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Z" sheetId="1" state="visible" r:id="rId2"/>
    <sheet name="DATOS" sheetId="2" state="visible" r:id="rId3"/>
    <sheet name="Accesorios" sheetId="3" state="visible" r:id="rId4"/>
  </sheets>
  <externalReferences>
    <externalReference r:id="rId5"/>
    <externalReference r:id="rId6"/>
  </externalReferences>
  <definedNames>
    <definedName function="false" hidden="true" localSheetId="2" name="_xlnm._FilterDatabase" vbProcedure="false">Accesorios!$A$2:$J$239</definedName>
    <definedName function="false" hidden="true" localSheetId="1" name="_xlnm._FilterDatabase" vbProcedure="false">DATOS!$A$2:$T$34</definedName>
    <definedName function="false" hidden="true" localSheetId="0" name="_xlnm._FilterDatabase" vbProcedure="false">VOZ!$A$2:$AI$195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G2" authorId="0">
      <text>
        <r>
          <rPr>
            <sz val="11"/>
            <color rgb="FF000000"/>
            <rFont val="Calibri"/>
            <family val="2"/>
            <charset val="1"/>
          </rPr>
          <t xml:space="preserve">FERNANDEZ, MARINA, Vodafone:
</t>
        </r>
        <r>
          <rPr>
            <sz val="9"/>
            <color rgb="FF000000"/>
            <rFont val="Tahoma"/>
            <family val="2"/>
            <charset val="1"/>
          </rPr>
          <t xml:space="preserve">¿Meter sell out?
</t>
        </r>
      </text>
    </comment>
  </commentList>
</comments>
</file>

<file path=xl/sharedStrings.xml><?xml version="1.0" encoding="utf-8"?>
<sst xmlns="http://schemas.openxmlformats.org/spreadsheetml/2006/main" count="2240" uniqueCount="649">
  <si>
    <t xml:space="preserve">VOZ</t>
  </si>
  <si>
    <t xml:space="preserve">CAPTACIÓN</t>
  </si>
  <si>
    <t xml:space="preserve">FIDELIZACIÓN</t>
  </si>
  <si>
    <t xml:space="preserve">Digital</t>
  </si>
  <si>
    <t xml:space="preserve">SAP</t>
  </si>
  <si>
    <t xml:space="preserve">Gama</t>
  </si>
  <si>
    <t xml:space="preserve">Marca</t>
  </si>
  <si>
    <t xml:space="preserve">Modelo</t>
  </si>
  <si>
    <t xml:space="preserve">Tipo terminal</t>
  </si>
  <si>
    <t xml:space="preserve">Alta nueva - Red Infinity Smart/Pro</t>
  </si>
  <si>
    <t xml:space="preserve">Alta intermedia - Red Infinity</t>
  </si>
  <si>
    <t xml:space="preserve">Red Empresa/Pocket-Micro</t>
  </si>
  <si>
    <t xml:space="preserve">SIP</t>
  </si>
  <si>
    <t xml:space="preserve">Solo voz</t>
  </si>
  <si>
    <t xml:space="preserve">Hoteles</t>
  </si>
  <si>
    <t xml:space="preserve">Catálogo Especial CAPTAESP- 282</t>
  </si>
  <si>
    <t xml:space="preserve">Capta Gratis &gt;30ss</t>
  </si>
  <si>
    <t xml:space="preserve">PROMOBTS (IISS y TVTA)</t>
  </si>
  <si>
    <t xml:space="preserve">CAPTA RI Lite</t>
  </si>
  <si>
    <t xml:space="preserve">DEALS *</t>
  </si>
  <si>
    <t xml:space="preserve">Renovación RI Smart/ Pro</t>
  </si>
  <si>
    <t xml:space="preserve">Ciclo de vida</t>
  </si>
  <si>
    <t xml:space="preserve">Sin permanencia</t>
  </si>
  <si>
    <t xml:space="preserve">Reno RI Lite</t>
  </si>
  <si>
    <t xml:space="preserve">PROMO</t>
  </si>
  <si>
    <t xml:space="preserve">apagado 3G</t>
  </si>
  <si>
    <t xml:space="preserve">Comentarios</t>
  </si>
  <si>
    <t xml:space="preserve">DUAL SIM</t>
  </si>
  <si>
    <t xml:space="preserve">voLTE</t>
  </si>
  <si>
    <t xml:space="preserve">Wifi Calling</t>
  </si>
  <si>
    <t xml:space="preserve">Precio SAP</t>
  </si>
  <si>
    <t xml:space="preserve">Subvención</t>
  </si>
  <si>
    <t xml:space="preserve">WEB</t>
  </si>
  <si>
    <t xml:space="preserve">Fecha Visiblidad  Red channel</t>
  </si>
  <si>
    <t xml:space="preserve">modem/router</t>
  </si>
  <si>
    <t xml:space="preserve">ZTE</t>
  </si>
  <si>
    <t xml:space="preserve">Mifi R219Z</t>
  </si>
  <si>
    <t xml:space="preserve">router</t>
  </si>
  <si>
    <t xml:space="preserve">buscarv(B3;</t>
  </si>
  <si>
    <t xml:space="preserve">Voice</t>
  </si>
  <si>
    <t xml:space="preserve">Alcatel</t>
  </si>
  <si>
    <t xml:space="preserve">Voz</t>
  </si>
  <si>
    <t xml:space="preserve">Nokia</t>
  </si>
  <si>
    <t xml:space="preserve">voz</t>
  </si>
  <si>
    <t xml:space="preserve">M2M</t>
  </si>
  <si>
    <t xml:space="preserve"> ZTE</t>
  </si>
  <si>
    <t xml:space="preserve">ZTE Connected Car 4G IoT + SIM</t>
  </si>
  <si>
    <t xml:space="preserve">Accesorio</t>
  </si>
  <si>
    <t xml:space="preserve">Adoc</t>
  </si>
  <si>
    <t xml:space="preserve">Router R45</t>
  </si>
  <si>
    <t xml:space="preserve">One Net /HZ</t>
  </si>
  <si>
    <t xml:space="preserve">K4 4G</t>
  </si>
  <si>
    <t xml:space="preserve">neo</t>
  </si>
  <si>
    <t xml:space="preserve">Caja de Voz Adoc V4</t>
  </si>
  <si>
    <t xml:space="preserve">accesorio</t>
  </si>
  <si>
    <t xml:space="preserve">Plantronics</t>
  </si>
  <si>
    <t xml:space="preserve">Auricular Plantronics HW121N-A Neo 3100</t>
  </si>
  <si>
    <t xml:space="preserve"> Zwave</t>
  </si>
  <si>
    <t xml:space="preserve">KIT V-Home Mini IoT</t>
  </si>
  <si>
    <t xml:space="preserve">Google</t>
  </si>
  <si>
    <t xml:space="preserve">Google Home Smart Speaker</t>
  </si>
  <si>
    <t xml:space="preserve">Amazon</t>
  </si>
  <si>
    <t xml:space="preserve">Amazon Echo Smart Speaker</t>
  </si>
  <si>
    <t xml:space="preserve">Cable</t>
  </si>
  <si>
    <t xml:space="preserve">P540-M USB TELEPHONE</t>
  </si>
  <si>
    <t xml:space="preserve">huawei</t>
  </si>
  <si>
    <t xml:space="preserve">Huawei Watch Fit Black</t>
  </si>
  <si>
    <t xml:space="preserve">Cocomm</t>
  </si>
  <si>
    <t xml:space="preserve">NEO 3750 4G</t>
  </si>
  <si>
    <t xml:space="preserve">centralita y accesorios</t>
  </si>
  <si>
    <t xml:space="preserve">Quick Media</t>
  </si>
  <si>
    <t xml:space="preserve">Quick Media Tripode</t>
  </si>
  <si>
    <t xml:space="preserve">NEO 4700</t>
  </si>
  <si>
    <t xml:space="preserve">Google nest Hub</t>
  </si>
  <si>
    <t xml:space="preserve">Auricular Bluetooth  Voyager Focus UC </t>
  </si>
  <si>
    <t xml:space="preserve">NEO 4800</t>
  </si>
  <si>
    <t xml:space="preserve">Tablet</t>
  </si>
  <si>
    <t xml:space="preserve">TAB 3T 10 4G BLACK</t>
  </si>
  <si>
    <t xml:space="preserve">voz tablet</t>
  </si>
  <si>
    <t xml:space="preserve">Huawei watch GT2 Sport 46mm</t>
  </si>
  <si>
    <t xml:space="preserve">Neo 3750 4G + Auriculares</t>
  </si>
  <si>
    <t xml:space="preserve">LG</t>
  </si>
  <si>
    <t xml:space="preserve">K51s</t>
  </si>
  <si>
    <t xml:space="preserve">Medium</t>
  </si>
  <si>
    <t xml:space="preserve">Xiaomi</t>
  </si>
  <si>
    <t xml:space="preserve">Redmi Note 12 5G 6/128GB</t>
  </si>
  <si>
    <t xml:space="preserve">Sagemcom</t>
  </si>
  <si>
    <t xml:space="preserve">Sagemcom Atika Devialet Speaker</t>
  </si>
  <si>
    <t xml:space="preserve">NEO 8000 4G</t>
  </si>
  <si>
    <t xml:space="preserve">G50 Black</t>
  </si>
  <si>
    <t xml:space="preserve">High</t>
  </si>
  <si>
    <t xml:space="preserve">Samsung</t>
  </si>
  <si>
    <t xml:space="preserve">Galaxy X-Cover 5 EE</t>
  </si>
  <si>
    <t xml:space="preserve">tablet</t>
  </si>
  <si>
    <t xml:space="preserve">Galaxy Tab A7</t>
  </si>
  <si>
    <t xml:space="preserve">LG Smart TV 43</t>
  </si>
  <si>
    <t xml:space="preserve">Watch 5 40 Pink</t>
  </si>
  <si>
    <t xml:space="preserve">Watch 5 40 Black</t>
  </si>
  <si>
    <t xml:space="preserve">SAMSUNG GALAXY A34 5G 128GB BLACK EE</t>
  </si>
  <si>
    <t xml:space="preserve">Apple</t>
  </si>
  <si>
    <t xml:space="preserve">Apple Watch SE 44 Sil Al Whit SP CEL ISP</t>
  </si>
  <si>
    <t xml:space="preserve">Apple Watch SE 40 Mid Sil Midn SP CEL ISP</t>
  </si>
  <si>
    <t xml:space="preserve">Xiaomi pad 5 Wifi 128 Black</t>
  </si>
  <si>
    <t xml:space="preserve">Watch 5 44 Black</t>
  </si>
  <si>
    <t xml:space="preserve">Galaxy Tab S6 Lite</t>
  </si>
  <si>
    <t xml:space="preserve">SAMSUNG GALAXY A54 5G 128GB BLACK</t>
  </si>
  <si>
    <t xml:space="preserve">SAMSUNG GALAXY A54 5G 128GB BLACK EE</t>
  </si>
  <si>
    <t xml:space="preserve">Apple Watch SE 44 Sil Al Shit SP CEL ISP</t>
  </si>
  <si>
    <t xml:space="preserve">Apple Watch SE 40 Sil Al Whit SP CEL ISP</t>
  </si>
  <si>
    <t xml:space="preserve">Lenovo</t>
  </si>
  <si>
    <t xml:space="preserve">Ideapad IP 3 - 15ADA05 </t>
  </si>
  <si>
    <t xml:space="preserve">Redmi Note 12 Pro Plus</t>
  </si>
  <si>
    <t xml:space="preserve">Watch Pro</t>
  </si>
  <si>
    <t xml:space="preserve">XIaomi</t>
  </si>
  <si>
    <t xml:space="preserve">Mi Electric Scooter PRO 2 </t>
  </si>
  <si>
    <t xml:space="preserve">Ipad 10.2 2021 64Gb Space Grey</t>
  </si>
  <si>
    <t xml:space="preserve">Tenlaps</t>
  </si>
  <si>
    <t xml:space="preserve">One Stream 3G SIP</t>
  </si>
  <si>
    <t xml:space="preserve">LG Smart TV 55</t>
  </si>
  <si>
    <t xml:space="preserve">LG Smart TV 55UP751</t>
  </si>
  <si>
    <t xml:space="preserve">Xiaomi Smart TV 55</t>
  </si>
  <si>
    <t xml:space="preserve">Xiaomi Mi Electric Scooter Pro 2 AMG</t>
  </si>
  <si>
    <t xml:space="preserve">IPHONE SE MIDNIGHT 64GB-YPT</t>
  </si>
  <si>
    <t xml:space="preserve">Top</t>
  </si>
  <si>
    <t xml:space="preserve">Galaxy Xcover 6 Pro 5G EE 128Gb</t>
  </si>
  <si>
    <t xml:space="preserve">Thinkbook 14</t>
  </si>
  <si>
    <t xml:space="preserve">Apple Watch S8 41 St Al Starl SP CEL ISP</t>
  </si>
  <si>
    <t xml:space="preserve">Apple Watch S8 41 Mid Al Midn SP CEL ISP</t>
  </si>
  <si>
    <t xml:space="preserve">Apple Watch S8 45 St Al Starl SP CEL ISP</t>
  </si>
  <si>
    <t xml:space="preserve">Apple Watch S8 45 Sil Al Whit SP CEL ISP</t>
  </si>
  <si>
    <t xml:space="preserve">Apple Watch S8 45 Mid Al Midn SP CEL ISP</t>
  </si>
  <si>
    <t xml:space="preserve">Huawei</t>
  </si>
  <si>
    <t xml:space="preserve">MateBook D14 8GB-512GB</t>
  </si>
  <si>
    <t xml:space="preserve">Ipad 10.2 2021 256Gb Space Grey</t>
  </si>
  <si>
    <t xml:space="preserve">NEO Conference</t>
  </si>
  <si>
    <t xml:space="preserve">Konftel 300 MX</t>
  </si>
  <si>
    <t xml:space="preserve">Active Pro LTE EE</t>
  </si>
  <si>
    <t xml:space="preserve">Samsung </t>
  </si>
  <si>
    <t xml:space="preserve">S23 Negro 128Gb</t>
  </si>
  <si>
    <t xml:space="preserve">iPhone 12 64GB Black</t>
  </si>
  <si>
    <t xml:space="preserve">Samsung Galaxy Book3 WIFI I5</t>
  </si>
  <si>
    <t xml:space="preserve">iPhone 12 128GB Black</t>
  </si>
  <si>
    <t xml:space="preserve">Galaxy S22 Black</t>
  </si>
  <si>
    <t xml:space="preserve">Nubia </t>
  </si>
  <si>
    <t xml:space="preserve">RedMagic 7 Premium 256Gb Black</t>
  </si>
  <si>
    <t xml:space="preserve">Booster</t>
  </si>
  <si>
    <t xml:space="preserve">Nextivity CEL FI 4G A</t>
  </si>
  <si>
    <t xml:space="preserve">iPhone 13 128GB Midnight</t>
  </si>
  <si>
    <t xml:space="preserve">Thinkbook 15 G4 IAP</t>
  </si>
  <si>
    <t xml:space="preserve">ThinkBook 15 G2 IPS</t>
  </si>
  <si>
    <t xml:space="preserve">DynaBook</t>
  </si>
  <si>
    <t xml:space="preserve">Tecra A50-J-1BI</t>
  </si>
  <si>
    <t xml:space="preserve">S23 Verde 128Gb</t>
  </si>
  <si>
    <t xml:space="preserve">S23 Light Pink 128Gb</t>
  </si>
  <si>
    <t xml:space="preserve">S23 Beige 128Gb</t>
  </si>
  <si>
    <t xml:space="preserve">Samsung S23 Negro 128Gb EE</t>
  </si>
  <si>
    <t xml:space="preserve">Apple Watch Ultra 49 Tit Green Alp M ISP</t>
  </si>
  <si>
    <t xml:space="preserve">Apple Watch Ultra 49 Ti Orange Alp M ISP</t>
  </si>
  <si>
    <t xml:space="preserve">iPhone 13 256GB Midnight</t>
  </si>
  <si>
    <t xml:space="preserve">iPhone 14 128GB Midnight</t>
  </si>
  <si>
    <t xml:space="preserve">Galaxy Flip 4 5G Rosa</t>
  </si>
  <si>
    <t xml:space="preserve">ThinkPad L13 Yoga</t>
  </si>
  <si>
    <t xml:space="preserve">Quick Media Cámara termográfica UTi165k</t>
  </si>
  <si>
    <t xml:space="preserve">Microsoft</t>
  </si>
  <si>
    <t xml:space="preserve">Surface Pro 7 +funda y teclado</t>
  </si>
  <si>
    <t xml:space="preserve">S23+ Negro 256Gb</t>
  </si>
  <si>
    <t xml:space="preserve">IdeaPad IP 5G 14Q8X05</t>
  </si>
  <si>
    <t xml:space="preserve">S23 Ultra verde 256Gb</t>
  </si>
  <si>
    <t xml:space="preserve">S23 Ultra Negro 256Gb</t>
  </si>
  <si>
    <t xml:space="preserve">iPAD Pro 5G 12,9" 256Gb 2021</t>
  </si>
  <si>
    <t xml:space="preserve">IpPhone eSpace 7950 + Cargador</t>
  </si>
  <si>
    <t xml:space="preserve">sip</t>
  </si>
  <si>
    <t xml:space="preserve">Motorola</t>
  </si>
  <si>
    <t xml:space="preserve">Razr 40 ultra 5G 256Gb Black</t>
  </si>
  <si>
    <t xml:space="preserve">G54 5G 8+256GB Black</t>
  </si>
  <si>
    <t xml:space="preserve">acelerador capta</t>
  </si>
  <si>
    <t xml:space="preserve">Low</t>
  </si>
  <si>
    <t xml:space="preserve">Blade A53+ 64Gb Black </t>
  </si>
  <si>
    <t xml:space="preserve">Oppo</t>
  </si>
  <si>
    <t xml:space="preserve">Reno 10 5G 256GB Grey</t>
  </si>
  <si>
    <t xml:space="preserve">Samsung Galaxy Book2 Go 5G</t>
  </si>
  <si>
    <t xml:space="preserve">Samsung Galaxy Fold 5 512Gb Gray</t>
  </si>
  <si>
    <t xml:space="preserve">Galaxy Watch 6 44 mm Black</t>
  </si>
  <si>
    <t xml:space="preserve">Galaxy Watch 6 40 mm Cream</t>
  </si>
  <si>
    <t xml:space="preserve">Galaxy Watch 6  Classic 47 mm Black</t>
  </si>
  <si>
    <t xml:space="preserve">Galaxy Watch 6  Classic 43 mm Silver</t>
  </si>
  <si>
    <t xml:space="preserve">Honor</t>
  </si>
  <si>
    <t xml:space="preserve">90 5G 512GB</t>
  </si>
  <si>
    <t xml:space="preserve">Redmi A2 32GB Black</t>
  </si>
  <si>
    <t xml:space="preserve">Galaxy Book2 Go WIFI</t>
  </si>
  <si>
    <t xml:space="preserve">Galaxy Flip 5 5G 256Gb Gray</t>
  </si>
  <si>
    <t xml:space="preserve">Galaxy Flip 5 5G 256Gb Mint</t>
  </si>
  <si>
    <t xml:space="preserve">Galaxy Flip 5 5G 256Gb Pink</t>
  </si>
  <si>
    <t xml:space="preserve">Galaxy Fold 5 5G 256Gb Black</t>
  </si>
  <si>
    <t xml:space="preserve">iPhone 15 128GB Black</t>
  </si>
  <si>
    <t xml:space="preserve">cambia precio</t>
  </si>
  <si>
    <t xml:space="preserve">iPhone 15 128GB Pink</t>
  </si>
  <si>
    <t xml:space="preserve">iPhone 15 128GB Blue</t>
  </si>
  <si>
    <t xml:space="preserve">iPhone 15 128GB Green</t>
  </si>
  <si>
    <t xml:space="preserve">iPhone 15 256GB Black</t>
  </si>
  <si>
    <t xml:space="preserve">iPhone 15 Plus 128GB Black</t>
  </si>
  <si>
    <t xml:space="preserve">iPhone 15 Plus 256GB Black</t>
  </si>
  <si>
    <t xml:space="preserve">iPhone 15 Pro 128GB Black Titanium</t>
  </si>
  <si>
    <t xml:space="preserve">iPhone 15 Pro 128GB White Titanium</t>
  </si>
  <si>
    <t xml:space="preserve">iPhone 15 Pro 256GB Black Titanium</t>
  </si>
  <si>
    <t xml:space="preserve">iPhone 15 Pro 256GB White Titanium</t>
  </si>
  <si>
    <t xml:space="preserve">iPhone 15 Pro 512GB Black Titanium</t>
  </si>
  <si>
    <t xml:space="preserve">iPhone 15 Pro 512GB White Titanium</t>
  </si>
  <si>
    <t xml:space="preserve">iPhone 15 Pro 1TB Black Titanium</t>
  </si>
  <si>
    <t xml:space="preserve">iPhone 15 Pro Max 256GB Black Titanium</t>
  </si>
  <si>
    <t xml:space="preserve">iPhone 15 Pro Max 256GB White Titanium</t>
  </si>
  <si>
    <t xml:space="preserve">iPhone 15 Pro Max 512GB Black Titanium</t>
  </si>
  <si>
    <t xml:space="preserve">iPhone 15 Pro Max 512GB White Titanium</t>
  </si>
  <si>
    <t xml:space="preserve">iPhone 15 Pro Max 1TB Black Titanium</t>
  </si>
  <si>
    <t xml:space="preserve">Reloj Ultra 2GPS+Celda 49mm Azul</t>
  </si>
  <si>
    <t xml:space="preserve">Reloj Ultra 2 GPS + Cell 49mm Oliv</t>
  </si>
  <si>
    <t xml:space="preserve">Ver 9 GPS + Cell 45mm Starlight ML</t>
  </si>
  <si>
    <t xml:space="preserve">Ver 9 GPS + Cell 45mm Midnight ML</t>
  </si>
  <si>
    <t xml:space="preserve">Ver 9 GPS + Cell 45mm Silver M / L</t>
  </si>
  <si>
    <t xml:space="preserve">Ver 9 GPS + Cell 41mm Starlight SM</t>
  </si>
  <si>
    <t xml:space="preserve">Ver 9 GPS + Cell 41mm Midnight S/M</t>
  </si>
  <si>
    <t xml:space="preserve">Ver 9 GPS + Cell 41mm Rosa S/M</t>
  </si>
  <si>
    <t xml:space="preserve">Ver SE GPS + El 44mm Starlight ML</t>
  </si>
  <si>
    <t xml:space="preserve">Ver SE GPS + El 44mm Midnight M/L</t>
  </si>
  <si>
    <t xml:space="preserve">Ver SE GPS+Cel 40mm Starlight SM</t>
  </si>
  <si>
    <t xml:space="preserve">Watch SE GPS + Cellular 40mm Midnight</t>
  </si>
  <si>
    <t xml:space="preserve">A38 4G 128Gb Black</t>
  </si>
  <si>
    <t xml:space="preserve">13T 5G 256GB Black</t>
  </si>
  <si>
    <t xml:space="preserve">13T Pro 5G 512GB Black</t>
  </si>
  <si>
    <t xml:space="preserve">REDMI WATCH 2 Pro + Buds 3 (ESIM)</t>
  </si>
  <si>
    <t xml:space="preserve">iPhone 14 128GB Starlight</t>
  </si>
  <si>
    <t xml:space="preserve">iPhone 14 256GB Midnight</t>
  </si>
  <si>
    <t xml:space="preserve">iPhone 14 256GB Starlight</t>
  </si>
  <si>
    <t xml:space="preserve">Mobiwire</t>
  </si>
  <si>
    <t xml:space="preserve">Phone 4G</t>
  </si>
  <si>
    <t xml:space="preserve">TCL</t>
  </si>
  <si>
    <t xml:space="preserve">4042S 4G  Black </t>
  </si>
  <si>
    <t xml:space="preserve">DT180 4G</t>
  </si>
  <si>
    <t xml:space="preserve">70 Lite 5G 128GB Ocean Blue</t>
  </si>
  <si>
    <t xml:space="preserve">Tcl 40 Nxtpaper 5G 256Gb Black</t>
  </si>
  <si>
    <t xml:space="preserve">90 Lite 5G 256GB</t>
  </si>
  <si>
    <t xml:space="preserve">A58 4G 128Gb Black</t>
  </si>
  <si>
    <t xml:space="preserve">Redmi 12 5G 4/128GB</t>
  </si>
  <si>
    <t xml:space="preserve">Galaxy A23 5G 128GB</t>
  </si>
  <si>
    <t xml:space="preserve">A98 5G 256GB Cool Black</t>
  </si>
  <si>
    <t xml:space="preserve">Redmi Note 13 Pro+ 5G 512GB Black</t>
  </si>
  <si>
    <t xml:space="preserve">Redmi Note 13 Pro 5G 256GB MBlack</t>
  </si>
  <si>
    <t xml:space="preserve">Redmi Note 13 5G 256GB Gr. Black</t>
  </si>
  <si>
    <t xml:space="preserve">Redmi Note 13 4G 128GB Mid. Black</t>
  </si>
  <si>
    <t xml:space="preserve">Redmi 13C 128GB Navy Blue</t>
  </si>
  <si>
    <t xml:space="preserve">Galaxy S23 FE 5G 128GB Black</t>
  </si>
  <si>
    <t xml:space="preserve">G84 12/256GB Black</t>
  </si>
  <si>
    <t xml:space="preserve">A79 5G 256GB Mystery Black</t>
  </si>
  <si>
    <t xml:space="preserve">Galaxy S24 5G 256GB Negro Onyx</t>
  </si>
  <si>
    <t xml:space="preserve">Galaxy S24 5G 256GB Amber</t>
  </si>
  <si>
    <t xml:space="preserve">Galaxy S24 Ultra 5G 512 Negro</t>
  </si>
  <si>
    <t xml:space="preserve">Galaxy S24 Ultra 5G 512 Gris</t>
  </si>
  <si>
    <t xml:space="preserve">Galaxy S24 Ultra 5G 512 Violet</t>
  </si>
  <si>
    <t xml:space="preserve">Galaxy A25 5G 128GB Black</t>
  </si>
  <si>
    <t xml:space="preserve">Smart TV 55UR781</t>
  </si>
  <si>
    <t xml:space="preserve">DT250 4G</t>
  </si>
  <si>
    <t xml:space="preserve">NEO 8700</t>
  </si>
  <si>
    <t xml:space="preserve">GALAXY TAB A9+ 5G  11" 8/128GB</t>
  </si>
  <si>
    <t xml:space="preserve">GALAXY TAB A9 5G  8,7" 4/64GB</t>
  </si>
  <si>
    <t xml:space="preserve">NEO 3850W 4G</t>
  </si>
  <si>
    <t xml:space="preserve">SC01 4G</t>
  </si>
  <si>
    <t xml:space="preserve">Galaxy A05S 128GB</t>
  </si>
  <si>
    <t xml:space="preserve">Galaxy A15 4G 128</t>
  </si>
  <si>
    <t xml:space="preserve">Galaxy A15 5G 128GB Black</t>
  </si>
  <si>
    <t xml:space="preserve">Galaxy Xcover 7 128Gb EE Black</t>
  </si>
  <si>
    <t xml:space="preserve">Galaxy S24 Plus 5G 256GB Negro</t>
  </si>
  <si>
    <t xml:space="preserve">G34 5G 128Gb Hydro Vegano</t>
  </si>
  <si>
    <t xml:space="preserve">G04 4G 64Gb Black</t>
  </si>
  <si>
    <t xml:space="preserve">NEO 1700 4G</t>
  </si>
  <si>
    <t xml:space="preserve">TAB S9 5G 128GB</t>
  </si>
  <si>
    <t xml:space="preserve">TV</t>
  </si>
  <si>
    <t xml:space="preserve">Xiaomi Smart TV P1 55</t>
  </si>
  <si>
    <t xml:space="preserve">Horeca</t>
  </si>
  <si>
    <t xml:space="preserve">LG </t>
  </si>
  <si>
    <t xml:space="preserve">Smart TV 65 UR781 UHD 4K </t>
  </si>
  <si>
    <t xml:space="preserve">Magic V2 5G 512GB Black+tab+carg</t>
  </si>
  <si>
    <t xml:space="preserve">nuevo</t>
  </si>
  <si>
    <t xml:space="preserve">Xiaomi 14 5G 512GB Black</t>
  </si>
  <si>
    <t xml:space="preserve">Xiaomi 14 Ultra 5G 512GB Black</t>
  </si>
  <si>
    <t xml:space="preserve">Datos</t>
  </si>
  <si>
    <t xml:space="preserve">Terminales Datos/Ayuntamientos -  P. Cesión&amp;PVP</t>
  </si>
  <si>
    <t xml:space="preserve">T. Modems Mifis Tablets - P.Cesión&amp;PVP</t>
  </si>
  <si>
    <t xml:space="preserve">dsl, datos pinchos</t>
  </si>
  <si>
    <t xml:space="preserve">Alta nueva - Intermedia IoT</t>
  </si>
  <si>
    <t xml:space="preserve">Renovación</t>
  </si>
  <si>
    <t xml:space="preserve">Oficina 4G</t>
  </si>
  <si>
    <t xml:space="preserve">Back up 4G</t>
  </si>
  <si>
    <t xml:space="preserve">FIBRA</t>
  </si>
  <si>
    <t xml:space="preserve">Mifi para hoteles</t>
  </si>
  <si>
    <t xml:space="preserve">Precio Cesión</t>
  </si>
  <si>
    <t xml:space="preserve">Visible</t>
  </si>
  <si>
    <t xml:space="preserve">IOT</t>
  </si>
  <si>
    <t xml:space="preserve">Oysta GT300 </t>
  </si>
  <si>
    <t xml:space="preserve"> </t>
  </si>
  <si>
    <t xml:space="preserve">Microkey          </t>
  </si>
  <si>
    <t xml:space="preserve">CalampLMU330             </t>
  </si>
  <si>
    <t xml:space="preserve">Locatel Tacogest             </t>
  </si>
  <si>
    <t xml:space="preserve">Locatel básico</t>
  </si>
  <si>
    <t xml:space="preserve">MachineLink 4G</t>
  </si>
  <si>
    <t xml:space="preserve">Cargador MachineLink 4G</t>
  </si>
  <si>
    <t xml:space="preserve">Trackimo</t>
  </si>
  <si>
    <t xml:space="preserve">Trackimo Tag and Track IoT</t>
  </si>
  <si>
    <t xml:space="preserve">Microkey </t>
  </si>
  <si>
    <t xml:space="preserve">MK830 </t>
  </si>
  <si>
    <t xml:space="preserve">Vodafone</t>
  </si>
  <si>
    <t xml:space="preserve">K5161</t>
  </si>
  <si>
    <t xml:space="preserve">Datos Tablet</t>
  </si>
  <si>
    <t xml:space="preserve">VF Innovus Temperature Tag  + SIM</t>
  </si>
  <si>
    <t xml:space="preserve">TABT10</t>
  </si>
  <si>
    <t xml:space="preserve">Apple Ipad 10.9 64Gb Silver</t>
  </si>
  <si>
    <t xml:space="preserve">Apple Ipad Pro 11 WF CL ISP 256GB GRY</t>
  </si>
  <si>
    <t xml:space="preserve">Apple iPad Pro 12 9 WF CL ISP 256GB GRY</t>
  </si>
  <si>
    <t xml:space="preserve">Router MF296C</t>
  </si>
  <si>
    <t xml:space="preserve">Apple Ipad 10.9 256Gb Silver</t>
  </si>
  <si>
    <t xml:space="preserve">Deal Apple</t>
  </si>
  <si>
    <t xml:space="preserve">Tab Active 4 Pro 5G 128Gb Black</t>
  </si>
  <si>
    <t xml:space="preserve">Tab Nxtpaper 11 Dark Grey</t>
  </si>
  <si>
    <t xml:space="preserve">Router Gigacube MC888 Ultra 5G</t>
  </si>
  <si>
    <t xml:space="preserve">ADSL</t>
  </si>
  <si>
    <t xml:space="preserve">Sercomm</t>
  </si>
  <si>
    <t xml:space="preserve">VOX 2.5 router avanzado DSL</t>
  </si>
  <si>
    <t xml:space="preserve">Vox 2.5 router avanzado DSL + K4203</t>
  </si>
  <si>
    <t xml:space="preserve">GALAXY TAB S9 5G 128GB GRAY      </t>
  </si>
  <si>
    <t xml:space="preserve">GALAXY TAB S9 ULTRA 5G 256GB     </t>
  </si>
  <si>
    <t xml:space="preserve">MU5001 B MIFI 5G</t>
  </si>
  <si>
    <t xml:space="preserve">GALAXY TAB ACTIVE 5 5G 128GB EE</t>
  </si>
  <si>
    <t xml:space="preserve">Accesorios</t>
  </si>
  <si>
    <t xml:space="preserve">PVP</t>
  </si>
  <si>
    <t xml:space="preserve">Financiación</t>
  </si>
  <si>
    <t xml:space="preserve">Auricular</t>
  </si>
  <si>
    <t xml:space="preserve">si</t>
  </si>
  <si>
    <t xml:space="preserve">Cámara termográfica</t>
  </si>
  <si>
    <t xml:space="preserve">Quick Media </t>
  </si>
  <si>
    <t xml:space="preserve">Trípode</t>
  </si>
  <si>
    <t xml:space="preserve">Cable Plantronics HW261N Supraplus</t>
  </si>
  <si>
    <t xml:space="preserve">No</t>
  </si>
  <si>
    <t xml:space="preserve">Adaptador</t>
  </si>
  <si>
    <t xml:space="preserve">Adaptador Plantronics Neo 3400 new</t>
  </si>
  <si>
    <t xml:space="preserve">Conector USB para CS 540</t>
  </si>
  <si>
    <t xml:space="preserve">Descolgador</t>
  </si>
  <si>
    <t xml:space="preserve">Descolgador CS540 eSpace 7910-7950</t>
  </si>
  <si>
    <t xml:space="preserve">Cable adaptador HW111-121 eSpace 7910-7950</t>
  </si>
  <si>
    <t xml:space="preserve">Fonera</t>
  </si>
  <si>
    <t xml:space="preserve">Gramofon</t>
  </si>
  <si>
    <t xml:space="preserve">Fonera Gramofon Negra</t>
  </si>
  <si>
    <t xml:space="preserve">Fontech</t>
  </si>
  <si>
    <t xml:space="preserve">Fontech Punto acceso FON</t>
  </si>
  <si>
    <t xml:space="preserve">Voyager</t>
  </si>
  <si>
    <t xml:space="preserve">Auricular Bluetooth VOYAGER 5200 UC</t>
  </si>
  <si>
    <t xml:space="preserve">Esterilizador</t>
  </si>
  <si>
    <t xml:space="preserve">ESTERILIZADOR UV1           </t>
  </si>
  <si>
    <t xml:space="preserve">ESTERILIZADOR UV4</t>
  </si>
  <si>
    <t xml:space="preserve">Speaker</t>
  </si>
  <si>
    <t xml:space="preserve">Cable Car Connected OBD2</t>
  </si>
  <si>
    <t xml:space="preserve">Auricular Plantronics HW320 Neo 3</t>
  </si>
  <si>
    <t xml:space="preserve">Auricular Plantronics HW310</t>
  </si>
  <si>
    <t xml:space="preserve">Si</t>
  </si>
  <si>
    <t xml:space="preserve">Amazon Fire TV Stick 4K</t>
  </si>
  <si>
    <t xml:space="preserve">TV </t>
  </si>
  <si>
    <t xml:space="preserve">Amazon Fire TV Stick HD</t>
  </si>
  <si>
    <t xml:space="preserve">Reloj</t>
  </si>
  <si>
    <t xml:space="preserve">Huawei Watch GT2E 46mm Black</t>
  </si>
  <si>
    <t xml:space="preserve">Pulsera</t>
  </si>
  <si>
    <t xml:space="preserve">PC</t>
  </si>
  <si>
    <t xml:space="preserve">MSI</t>
  </si>
  <si>
    <t xml:space="preserve">GF65 Thin </t>
  </si>
  <si>
    <t xml:space="preserve">IoT</t>
  </si>
  <si>
    <t xml:space="preserve">Tablet WIFI</t>
  </si>
  <si>
    <t xml:space="preserve">Barra Sonido</t>
  </si>
  <si>
    <t xml:space="preserve">Schneider</t>
  </si>
  <si>
    <t xml:space="preserve">SCHNEIDER SOUNDBAR SC600SND </t>
  </si>
  <si>
    <t xml:space="preserve">no</t>
  </si>
  <si>
    <t xml:space="preserve">Auriculares inalámbrico</t>
  </si>
  <si>
    <t xml:space="preserve">Microsoft Modern wireless Headset Busine</t>
  </si>
  <si>
    <t xml:space="preserve">Impresora</t>
  </si>
  <si>
    <t xml:space="preserve">EPSON</t>
  </si>
  <si>
    <t xml:space="preserve">EPSON Expression Home XP-3150</t>
  </si>
  <si>
    <t xml:space="preserve">ESPON</t>
  </si>
  <si>
    <t xml:space="preserve">EPSON Eco Tank ET-2825</t>
  </si>
  <si>
    <t xml:space="preserve">SmartWatch</t>
  </si>
  <si>
    <t xml:space="preserve">OPPO</t>
  </si>
  <si>
    <t xml:space="preserve">Watch free BLACK</t>
  </si>
  <si>
    <t xml:space="preserve">Dynabook</t>
  </si>
  <si>
    <t xml:space="preserve">Galaxy Book2 15 i5 256GB</t>
  </si>
  <si>
    <t xml:space="preserve">Audio</t>
  </si>
  <si>
    <t xml:space="preserve">Auricular BT1</t>
  </si>
  <si>
    <t xml:space="preserve">LG Smart TV 65UQ751</t>
  </si>
  <si>
    <t xml:space="preserve">LG Smart TV 55 UQ751 UHD 4K</t>
  </si>
  <si>
    <t xml:space="preserve">LG Smart TV 75 75UQ80 UHD 4K</t>
  </si>
  <si>
    <t xml:space="preserve">Xiaomi Smart TV A2 55 4K HDR10</t>
  </si>
  <si>
    <t xml:space="preserve">Xiaomi Smart TV P1E 65 4K HDR10</t>
  </si>
  <si>
    <t xml:space="preserve">Home</t>
  </si>
  <si>
    <t xml:space="preserve">Princess</t>
  </si>
  <si>
    <t xml:space="preserve">Princess Calefactor Smart 348201</t>
  </si>
  <si>
    <t xml:space="preserve">oppo</t>
  </si>
  <si>
    <t xml:space="preserve">OPPO Pad air WIFI 64GB</t>
  </si>
  <si>
    <t xml:space="preserve">Xiaomi Redmi Pad 4GB-128GB WIFI</t>
  </si>
  <si>
    <t xml:space="preserve">Samsung Smart TV QLED 55</t>
  </si>
  <si>
    <t xml:space="preserve">Monitor</t>
  </si>
  <si>
    <t xml:space="preserve">MONITOR SAMSUNG M5 32 WHITE </t>
  </si>
  <si>
    <t xml:space="preserve">Gaming</t>
  </si>
  <si>
    <t xml:space="preserve">Meta</t>
  </si>
  <si>
    <t xml:space="preserve">Oculus Quest 2 128GB Promoción</t>
  </si>
  <si>
    <t xml:space="preserve">Tristar</t>
  </si>
  <si>
    <t xml:space="preserve">Calefactor eléctrico con Wifi Tristar KA5819</t>
  </si>
  <si>
    <t xml:space="preserve"> Huawei</t>
  </si>
  <si>
    <t xml:space="preserve">Huawei MatePad SE 64GB</t>
  </si>
  <si>
    <t xml:space="preserve">Huawei Freebuds 5i White</t>
  </si>
  <si>
    <t xml:space="preserve">Microsoft Surface Pro 8 W11P+Funda tec </t>
  </si>
  <si>
    <t xml:space="preserve">Auriculares nalámbricos</t>
  </si>
  <si>
    <t xml:space="preserve">AirPods+Charging case Isp</t>
  </si>
  <si>
    <t xml:space="preserve">Portatil</t>
  </si>
  <si>
    <t xml:space="preserve">ThinkPad L13 Gen Intel</t>
  </si>
  <si>
    <t xml:space="preserve">home</t>
  </si>
  <si>
    <t xml:space="preserve">Xiaomi Vacuum Cleaner G11 EU</t>
  </si>
  <si>
    <t xml:space="preserve">LG Smart TV 75 75UR80 UHD 4K</t>
  </si>
  <si>
    <t xml:space="preserve">Portátil</t>
  </si>
  <si>
    <t xml:space="preserve">Samsung Galaxy Book3 360 WIFI I5</t>
  </si>
  <si>
    <t xml:space="preserve">camera</t>
  </si>
  <si>
    <t xml:space="preserve">Sercomm Camera I-CAM2 SmartHome IOT</t>
  </si>
  <si>
    <t xml:space="preserve">Hub</t>
  </si>
  <si>
    <t xml:space="preserve">Samsung HUB SmartHome IOT</t>
  </si>
  <si>
    <t xml:space="preserve">Smart Band</t>
  </si>
  <si>
    <t xml:space="preserve">Band Sport Edition</t>
  </si>
  <si>
    <t xml:space="preserve">Auricular Plantronics Blackwire C420 PC</t>
  </si>
  <si>
    <t xml:space="preserve">Auricular Bluetooth Plan VL UC</t>
  </si>
  <si>
    <t xml:space="preserve">Auricular Plantronics Blackwire C320-M PC</t>
  </si>
  <si>
    <t xml:space="preserve">Auricular Plantronics Blackwire C310-M PC</t>
  </si>
  <si>
    <t xml:space="preserve">Auricular Bluetooth  VOYAGER 3200 UC</t>
  </si>
  <si>
    <t xml:space="preserve">Auricular DECTPlantronics CS540</t>
  </si>
  <si>
    <t xml:space="preserve">Altavoz</t>
  </si>
  <si>
    <t xml:space="preserve">Altavoz Bluetooth Calisto 620</t>
  </si>
  <si>
    <t xml:space="preserve">Auricular DECT Plantronics W440 A_M Operador</t>
  </si>
  <si>
    <t xml:space="preserve">Accesorio TV</t>
  </si>
  <si>
    <t xml:space="preserve">UEI</t>
  </si>
  <si>
    <t xml:space="preserve">Mando TIVO RCU</t>
  </si>
  <si>
    <t xml:space="preserve">Nagravision</t>
  </si>
  <si>
    <t xml:space="preserve">NAGRA SMARTCARD CLK+1 NGTV</t>
  </si>
  <si>
    <t xml:space="preserve">ONT L2</t>
  </si>
  <si>
    <t xml:space="preserve">NOKIA ONT G-010G-P</t>
  </si>
  <si>
    <t xml:space="preserve">Huawei ONT HG8010H</t>
  </si>
  <si>
    <t xml:space="preserve">ZTE ONT Jazztel</t>
  </si>
  <si>
    <t xml:space="preserve">CPE</t>
  </si>
  <si>
    <t xml:space="preserve">Sagemcom Superwifi fast286</t>
  </si>
  <si>
    <t xml:space="preserve">Huawei ONT HG8240H NEBA</t>
  </si>
  <si>
    <t xml:space="preserve">Cable Modem Básico</t>
  </si>
  <si>
    <t xml:space="preserve">Compal</t>
  </si>
  <si>
    <t xml:space="preserve">CM COMPAL CG6640E</t>
  </si>
  <si>
    <t xml:space="preserve">Sercomm VFH-500s DSL-L</t>
  </si>
  <si>
    <t xml:space="preserve"> Sercomm VFH-500s DSL</t>
  </si>
  <si>
    <t xml:space="preserve">Technicolor</t>
  </si>
  <si>
    <t xml:space="preserve">VDSL ESSENTIAL - VFH 500-T</t>
  </si>
  <si>
    <t xml:space="preserve">SERCOMM VOX 2.5 ROUTER AVANZADO          </t>
  </si>
  <si>
    <t xml:space="preserve">Mta basico</t>
  </si>
  <si>
    <t xml:space="preserve">Compal CH6643 MTA Basico</t>
  </si>
  <si>
    <t xml:space="preserve">Sercomm ONT L3 FG824CD</t>
  </si>
  <si>
    <t xml:space="preserve">Sercomm VFH-500s C</t>
  </si>
  <si>
    <t xml:space="preserve">Sercomm VOX 3,0 Fiber</t>
  </si>
  <si>
    <t xml:space="preserve">Sercomm VOX 3.0 FIBER Gen</t>
  </si>
  <si>
    <t xml:space="preserve">Cable Modem Premium</t>
  </si>
  <si>
    <t xml:space="preserve">CABLE-MODEM COMPAL CG7486E</t>
  </si>
  <si>
    <t xml:space="preserve">MTA SAGEMCOM ST3686</t>
  </si>
  <si>
    <t xml:space="preserve">MTA SIP</t>
  </si>
  <si>
    <t xml:space="preserve">MTA Technicolor TC7230</t>
  </si>
  <si>
    <t xml:space="preserve">MTA Technicolor TC7230 L</t>
  </si>
  <si>
    <t xml:space="preserve">MTA Premium Orange</t>
  </si>
  <si>
    <t xml:space="preserve">TC7210.CM Bitstream</t>
  </si>
  <si>
    <t xml:space="preserve">MTA Sagemcom ST3686 GENÉRICO</t>
  </si>
  <si>
    <t xml:space="preserve">MTA Premium</t>
  </si>
  <si>
    <t xml:space="preserve">MTA COMPAL PREMIUM CH7486E</t>
  </si>
  <si>
    <t xml:space="preserve">Cable-modem TC7210</t>
  </si>
  <si>
    <t xml:space="preserve">Sercomm Vox 3,0 Wifi 6</t>
  </si>
  <si>
    <t xml:space="preserve">MTA TECHNICOLOR CGA4233 DOCSIS 3.1</t>
  </si>
  <si>
    <t xml:space="preserve">STB</t>
  </si>
  <si>
    <t xml:space="preserve">SAGEMCOM STB NEBA ( RCU UEI )</t>
  </si>
  <si>
    <t xml:space="preserve">STB SAGEMCOM</t>
  </si>
  <si>
    <t xml:space="preserve">SAGEMCOM STB TIVO ( rcu Ruwido) </t>
  </si>
  <si>
    <t xml:space="preserve">Cisco Decodificador TIVO 8685</t>
  </si>
  <si>
    <t xml:space="preserve">Sensor</t>
  </si>
  <si>
    <t xml:space="preserve">Samsung Multisensor SmartHome IOT</t>
  </si>
  <si>
    <t xml:space="preserve">Sirena</t>
  </si>
  <si>
    <t xml:space="preserve">Sercomm Sirena SmartHome IOT</t>
  </si>
  <si>
    <t xml:space="preserve">Google Chromecast</t>
  </si>
  <si>
    <t xml:space="preserve">Google Home Mini Smart Speaker</t>
  </si>
  <si>
    <t xml:space="preserve">Google Nest Mini Charcoal  speaker</t>
  </si>
  <si>
    <t xml:space="preserve">Altavoz Inteligente</t>
  </si>
  <si>
    <t xml:space="preserve">Amazon Echo Dot 4th Gen Speaker</t>
  </si>
  <si>
    <t xml:space="preserve">Amazon Echo Dot 4th Gen Speaker Black</t>
  </si>
  <si>
    <t xml:space="preserve">Amazon Dot Smart Speaker</t>
  </si>
  <si>
    <t xml:space="preserve">Kit</t>
  </si>
  <si>
    <t xml:space="preserve">Samsung/Sercomm/</t>
  </si>
  <si>
    <t xml:space="preserve">KIT SmartHome IOT</t>
  </si>
  <si>
    <t xml:space="preserve">Samsung Smart TV 32</t>
  </si>
  <si>
    <t xml:space="preserve">LG Smart TV 32</t>
  </si>
  <si>
    <t xml:space="preserve">LG Smart TV 43UP75</t>
  </si>
  <si>
    <t xml:space="preserve">LG Smart TV 65UP751</t>
  </si>
  <si>
    <t xml:space="preserve">LG Smart TV OLED55C14</t>
  </si>
  <si>
    <t xml:space="preserve">sony</t>
  </si>
  <si>
    <t xml:space="preserve">Sony HDR Smart TV 32'</t>
  </si>
  <si>
    <t xml:space="preserve">TV 43"</t>
  </si>
  <si>
    <t xml:space="preserve">Samsung Smart TV 43"</t>
  </si>
  <si>
    <t xml:space="preserve">55TU7105    55''    4K</t>
  </si>
  <si>
    <t xml:space="preserve">LG Smart TV 49</t>
  </si>
  <si>
    <t xml:space="preserve">Zwave Smoke Sensor SmartHome IOT</t>
  </si>
  <si>
    <t xml:space="preserve">Tracker</t>
  </si>
  <si>
    <t xml:space="preserve">Vodafone Automotive SpA</t>
  </si>
  <si>
    <t xml:space="preserve">VF Automotive V-Car IOT</t>
  </si>
  <si>
    <t xml:space="preserve">TCT</t>
  </si>
  <si>
    <t xml:space="preserve">Alcatel MK 20 tracker IOT</t>
  </si>
  <si>
    <t xml:space="preserve">Kippi SRL</t>
  </si>
  <si>
    <t xml:space="preserve">Kippy Vita S tracker IOT</t>
  </si>
  <si>
    <t xml:space="preserve">Cámara 4G</t>
  </si>
  <si>
    <t xml:space="preserve">Netgear</t>
  </si>
  <si>
    <t xml:space="preserve">Netgear Arlo Go camera IOT</t>
  </si>
  <si>
    <t xml:space="preserve">Humax</t>
  </si>
  <si>
    <t xml:space="preserve">Kippy Vita S tracker V-Pet IOT + SIM</t>
  </si>
  <si>
    <t xml:space="preserve">Smartwatch</t>
  </si>
  <si>
    <t xml:space="preserve">Alcatel Kidswatch IOT Blue</t>
  </si>
  <si>
    <t xml:space="preserve">Car</t>
  </si>
  <si>
    <t xml:space="preserve">zte connected car 4G IoT + SIM</t>
  </si>
  <si>
    <t xml:space="preserve">Airties</t>
  </si>
  <si>
    <t xml:space="preserve">AirTies 4960 Super WiFi 6</t>
  </si>
  <si>
    <t xml:space="preserve">Watch</t>
  </si>
  <si>
    <t xml:space="preserve">Huawei </t>
  </si>
  <si>
    <t xml:space="preserve">Huawei Watch Fit Green</t>
  </si>
  <si>
    <t xml:space="preserve">Nubia</t>
  </si>
  <si>
    <t xml:space="preserve">RedMagic Watch Negro</t>
  </si>
  <si>
    <t xml:space="preserve">RedMagic Watch Blanco</t>
  </si>
  <si>
    <t xml:space="preserve">Huawei Band 6</t>
  </si>
  <si>
    <t xml:space="preserve">Huawei Freedbuds Pro</t>
  </si>
  <si>
    <t xml:space="preserve">Huawei Freedbuds i4</t>
  </si>
  <si>
    <t xml:space="preserve">kippy</t>
  </si>
  <si>
    <t xml:space="preserve">Kippy EVO IOT + SIM</t>
  </si>
  <si>
    <t xml:space="preserve">LG Smart TV 65`</t>
  </si>
  <si>
    <t xml:space="preserve">SONY</t>
  </si>
  <si>
    <t xml:space="preserve">Sony Smart TV 55'XH80</t>
  </si>
  <si>
    <t xml:space="preserve">Galaxy Buds Pro</t>
  </si>
  <si>
    <t xml:space="preserve">Smartband</t>
  </si>
  <si>
    <t xml:space="preserve">Xiaomi Mi Smart Band 5 </t>
  </si>
  <si>
    <t xml:space="preserve">Scooter</t>
  </si>
  <si>
    <t xml:space="preserve">Xiaomi Mi Electric Scooter 1S</t>
  </si>
  <si>
    <t xml:space="preserve">Purificador</t>
  </si>
  <si>
    <t xml:space="preserve">Xiaomi MI air purifier 3H</t>
  </si>
  <si>
    <t xml:space="preserve">Lampara</t>
  </si>
  <si>
    <t xml:space="preserve">Xiaomi Desk Lamp 1S</t>
  </si>
  <si>
    <t xml:space="preserve">Proyector</t>
  </si>
  <si>
    <t xml:space="preserve">Xiaomi Mi Projector Compactor</t>
  </si>
  <si>
    <t xml:space="preserve">Galaxy Buds 2</t>
  </si>
  <si>
    <t xml:space="preserve">Samsung Smart TV UHD 43"</t>
  </si>
  <si>
    <t xml:space="preserve">Samsung Smart TV UHD 55"</t>
  </si>
  <si>
    <t xml:space="preserve">Samsung Smart TV UHD 65"</t>
  </si>
  <si>
    <t xml:space="preserve">Smart TV 43 UHD 4K TU7095</t>
  </si>
  <si>
    <t xml:space="preserve">Gafas XR</t>
  </si>
  <si>
    <t xml:space="preserve">Nreal</t>
  </si>
  <si>
    <t xml:space="preserve">Nreal Glasses</t>
  </si>
  <si>
    <t xml:space="preserve">Apple Airtag 1</t>
  </si>
  <si>
    <t xml:space="preserve">Xiaomi </t>
  </si>
  <si>
    <t xml:space="preserve">Xiaomi Mi Watch Lite</t>
  </si>
  <si>
    <t xml:space="preserve">Samsung Smart TV Crystal UHD 55</t>
  </si>
  <si>
    <t xml:space="preserve">Monitor Samsung 32</t>
  </si>
  <si>
    <t xml:space="preserve">Netun</t>
  </si>
  <si>
    <t xml:space="preserve">HelpFlash luces emergencia IoT + SIM</t>
  </si>
  <si>
    <t xml:space="preserve">Smartech</t>
  </si>
  <si>
    <t xml:space="preserve">Mi Smart Air Fryer 3.5L EU</t>
  </si>
  <si>
    <t xml:space="preserve">Satellite Pro C40-G-11E  14</t>
  </si>
  <si>
    <t xml:space="preserve">Millenium</t>
  </si>
  <si>
    <t xml:space="preserve">ANIVIA MM1 Mini Gaming + Monitor MD 34</t>
  </si>
  <si>
    <t xml:space="preserve">Google nest Hub 2 Gen </t>
  </si>
  <si>
    <t xml:space="preserve">AIRPODS PRO WITH MAGSAFE CASE ISP</t>
  </si>
  <si>
    <t xml:space="preserve">AIRPODS 3RD GENERATION ISP </t>
  </si>
  <si>
    <t xml:space="preserve">CPU GAMING MILLENIUM MM1-MINI SONA </t>
  </si>
  <si>
    <t xml:space="preserve">Microsoft Surface Pro 7 DO+funda teclado  </t>
  </si>
  <si>
    <t xml:space="preserve">Microsoft Surface Go3 64GB</t>
  </si>
  <si>
    <t xml:space="preserve">Xiaomi Mi Body composition scale 2</t>
  </si>
  <si>
    <t xml:space="preserve">Xiaomi Mi Vacuum cleaner G10</t>
  </si>
  <si>
    <t xml:space="preserve">tv</t>
  </si>
  <si>
    <t xml:space="preserve">Xiaomi TV Box</t>
  </si>
  <si>
    <t xml:space="preserve">Xiaomi Redmi buds 3 Pro Glacier Gray</t>
  </si>
  <si>
    <t xml:space="preserve">Xiaomi Redmi Watch Lite 2</t>
  </si>
  <si>
    <t xml:space="preserve">Mi Robot Vacuum Mop Pro</t>
  </si>
  <si>
    <t xml:space="preserve">Suunto</t>
  </si>
  <si>
    <t xml:space="preserve">Suunto 7 Black Lime</t>
  </si>
  <si>
    <t xml:space="preserve">Suunto 9 Black</t>
  </si>
  <si>
    <t xml:space="preserve">Good Game</t>
  </si>
  <si>
    <t xml:space="preserve">OZONE Monitor gaming DSP24240</t>
  </si>
  <si>
    <t xml:space="preserve">OZONE Auricular gaming Nukepro 7, 7.1               </t>
  </si>
  <si>
    <t xml:space="preserve">Teclado</t>
  </si>
  <si>
    <t xml:space="preserve">OZONE teclado gaming Strikeback RGB</t>
  </si>
  <si>
    <t xml:space="preserve">Pack Gaming</t>
  </si>
  <si>
    <t xml:space="preserve">OZONE Pack alfombrilla +  teclado +raton</t>
  </si>
  <si>
    <t xml:space="preserve">Watch free VANILLA</t>
  </si>
  <si>
    <t xml:space="preserve">Cerradura</t>
  </si>
  <si>
    <t xml:space="preserve">NUKI</t>
  </si>
  <si>
    <t xml:space="preserve">SmartLock 3,0 white</t>
  </si>
  <si>
    <t xml:space="preserve">Surface  Go3 64 Gb LTE + Teclado</t>
  </si>
  <si>
    <t xml:space="preserve">Suunto 5</t>
  </si>
  <si>
    <t xml:space="preserve">Watch GT3 42mm White</t>
  </si>
  <si>
    <t xml:space="preserve">Suunto 7 Titanium</t>
  </si>
  <si>
    <t xml:space="preserve">Headsets</t>
  </si>
  <si>
    <t xml:space="preserve">Logitech</t>
  </si>
  <si>
    <t xml:space="preserve">Logitech G733 Lightspeed RGB Gaming Head</t>
  </si>
  <si>
    <t xml:space="preserve">Huawei Band 7</t>
  </si>
  <si>
    <t xml:space="preserve">Ozone</t>
  </si>
  <si>
    <t xml:space="preserve">Monitor gaming Ozone</t>
  </si>
  <si>
    <t xml:space="preserve">Princess Climatizador Smart 357250</t>
  </si>
  <si>
    <t xml:space="preserve">Matebook D15 i3 8G 256</t>
  </si>
  <si>
    <t xml:space="preserve">SOUND JOY ALTAVOZ + BAND 6 GREEN</t>
  </si>
  <si>
    <t xml:space="preserve">PROYECTOR SmartTV PF50KS</t>
  </si>
  <si>
    <t xml:space="preserve">SoundBar Dolby ATMOS 300W S60Q</t>
  </si>
  <si>
    <t xml:space="preserve">ENCO Buds 2</t>
  </si>
  <si>
    <t xml:space="preserve">Gafas</t>
  </si>
  <si>
    <t xml:space="preserve">Oculus </t>
  </si>
  <si>
    <t xml:space="preserve">Quest 2 128GB EMEA TYPE-C</t>
  </si>
  <si>
    <t xml:space="preserve">Quest 2 256GB</t>
  </si>
  <si>
    <t xml:space="preserve">Galaxy Buds Pro 2</t>
  </si>
  <si>
    <t xml:space="preserve">Airpods Pro 2nd generation ISP</t>
  </si>
  <si>
    <t xml:space="preserve">Huawei MateBook D15 i5 8GB-512GB SSD</t>
  </si>
  <si>
    <t xml:space="preserve">Xiaomi Redmi Buds 4 White</t>
  </si>
  <si>
    <t xml:space="preserve">Xiaomi Smart Pet Food Feeder</t>
  </si>
  <si>
    <t xml:space="preserve">Xiaomi Smart Pet Drinking Fountain</t>
  </si>
  <si>
    <t xml:space="preserve">Xiaomi Smart Blender EU</t>
  </si>
  <si>
    <t xml:space="preserve">Xiaomi Smart Doorbell 3</t>
  </si>
  <si>
    <t xml:space="preserve">Huawei Freebuds 4 SE</t>
  </si>
  <si>
    <t xml:space="preserve">Google Chromecast con Google TV HD</t>
  </si>
  <si>
    <t xml:space="preserve">Samsung Book2 i5 8 256GB Windows Pro</t>
  </si>
  <si>
    <t xml:space="preserve">IdeaPad Gaming 3 15IAH Ci5 1TB</t>
  </si>
  <si>
    <t xml:space="preserve">IdeaPad IP 1 15ADA7 3020e 8+256GB</t>
  </si>
  <si>
    <t xml:space="preserve">Amazon Echo Show 5 2 Gen</t>
  </si>
  <si>
    <t xml:space="preserve">Xiaomi Robot Vacuum Mop S12</t>
  </si>
  <si>
    <t xml:space="preserve">Climatizador</t>
  </si>
  <si>
    <t xml:space="preserve">Faitem</t>
  </si>
  <si>
    <t xml:space="preserve">Enfriador de Aire Móvil SmartLife Blanco </t>
  </si>
  <si>
    <t xml:space="preserve">Tablet Wifi</t>
  </si>
  <si>
    <t xml:space="preserve">Redmi Pad SE</t>
  </si>
  <si>
    <t xml:space="preserve">REDMI WATCH 3 BLACK            </t>
  </si>
  <si>
    <t xml:space="preserve">Nextivity</t>
  </si>
  <si>
    <t xml:space="preserve">Nextivity Cel-fi G41 4G + Antenas</t>
  </si>
  <si>
    <t xml:space="preserve">Nextivity Cel-fi C41 4G</t>
  </si>
  <si>
    <t xml:space="preserve">IdeaPad 1 15iGL7 N4020 4+128GB</t>
  </si>
  <si>
    <t xml:space="preserve">ThinkBook 15 G4 IAP 16+512GB</t>
  </si>
  <si>
    <t xml:space="preserve">IdeaPad 3 15iTL6 C8 8+512GB</t>
  </si>
  <si>
    <t xml:space="preserve">AirPods 3rd generation with Case</t>
  </si>
  <si>
    <t xml:space="preserve">Xiaomi Smart TV P1E 55</t>
  </si>
  <si>
    <t xml:space="preserve">Auricular mono HS310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</si>
</sst>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-* #,##0.00_-;\-* #,##0.00_-;_-* \-??_-;_-@_-"/>
    <numFmt numFmtId="167" formatCode="0.0"/>
    <numFmt numFmtId="168" formatCode="0"/>
    <numFmt numFmtId="169" formatCode="0.00"/>
  </numFmts>
  <fonts count="2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  <font>
      <sz val="8"/>
      <color rgb="FF000000"/>
      <name val="Calibri"/>
      <family val="2"/>
      <charset val="1"/>
    </font>
    <font>
      <b val="true"/>
      <sz val="8"/>
      <color rgb="FF000000"/>
      <name val="Calibri Light"/>
      <family val="2"/>
      <charset val="1"/>
    </font>
    <font>
      <b val="true"/>
      <sz val="11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sz val="8"/>
      <name val="Calibri Light"/>
      <family val="2"/>
      <charset val="1"/>
    </font>
    <font>
      <b val="true"/>
      <sz val="8"/>
      <name val="Calibri Light"/>
      <family val="2"/>
      <charset val="1"/>
    </font>
    <font>
      <b val="true"/>
      <sz val="8"/>
      <color rgb="FFFF0000"/>
      <name val="Calibri Light"/>
      <family val="2"/>
      <charset val="1"/>
    </font>
    <font>
      <sz val="8"/>
      <color rgb="FF000000"/>
      <name val="Calibri Light"/>
      <family val="2"/>
      <charset val="1"/>
    </font>
    <font>
      <sz val="8"/>
      <color rgb="FFFF0000"/>
      <name val="Calibri"/>
      <family val="2"/>
      <charset val="1"/>
    </font>
    <font>
      <sz val="8"/>
      <name val="Calibri"/>
      <family val="2"/>
      <charset val="1"/>
    </font>
    <font>
      <strike val="true"/>
      <sz val="8"/>
      <name val="Calibri Light"/>
      <family val="2"/>
      <charset val="1"/>
    </font>
    <font>
      <sz val="8"/>
      <color rgb="FFFF0000"/>
      <name val="Calibri Light"/>
      <family val="2"/>
      <charset val="1"/>
    </font>
    <font>
      <b val="true"/>
      <sz val="8"/>
      <name val="Calibri"/>
      <family val="2"/>
      <charset val="1"/>
    </font>
    <font>
      <b val="true"/>
      <sz val="8"/>
      <color rgb="FF000000"/>
      <name val="Calibri"/>
      <family val="2"/>
      <charset val="1"/>
    </font>
    <font>
      <sz val="9"/>
      <color rgb="FF000000"/>
      <name val="Tahoma"/>
      <family val="2"/>
      <charset val="1"/>
    </font>
    <font>
      <sz val="10"/>
      <color rgb="FF000000"/>
      <name val="Vodafone Lt"/>
      <family val="2"/>
      <charset val="1"/>
    </font>
    <font>
      <sz val="10"/>
      <color rgb="FF000000"/>
      <name val="Calibri Light"/>
      <family val="2"/>
      <charset val="1"/>
    </font>
    <font>
      <b val="true"/>
      <sz val="10"/>
      <color rgb="FF000000"/>
      <name val="Vodafone Lt"/>
      <family val="2"/>
      <charset val="1"/>
    </font>
    <font>
      <b val="true"/>
      <sz val="10"/>
      <color rgb="FF000000"/>
      <name val="Calibri Light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E7E6E6"/>
      </patternFill>
    </fill>
    <fill>
      <patternFill patternType="solid">
        <fgColor rgb="FF009999"/>
        <bgColor rgb="FF008080"/>
      </patternFill>
    </fill>
    <fill>
      <patternFill patternType="solid">
        <fgColor rgb="FF92D050"/>
        <bgColor rgb="FFAFABAB"/>
      </patternFill>
    </fill>
    <fill>
      <patternFill patternType="solid">
        <fgColor rgb="FFFCE4D6"/>
        <bgColor rgb="FFE7E6E6"/>
      </patternFill>
    </fill>
    <fill>
      <patternFill patternType="solid">
        <fgColor rgb="FFF8CBAD"/>
        <bgColor rgb="FFFCE4D6"/>
      </patternFill>
    </fill>
    <fill>
      <patternFill patternType="solid">
        <fgColor rgb="FFF4B084"/>
        <bgColor rgb="FFF8CBAD"/>
      </patternFill>
    </fill>
    <fill>
      <patternFill patternType="solid">
        <fgColor rgb="FFFFFFFF"/>
        <bgColor rgb="FFE7E6E6"/>
      </patternFill>
    </fill>
    <fill>
      <patternFill patternType="solid">
        <fgColor rgb="FFFFD966"/>
        <bgColor rgb="FFF8CBAD"/>
      </patternFill>
    </fill>
    <fill>
      <patternFill patternType="solid">
        <fgColor rgb="FF00B050"/>
        <bgColor rgb="FF009999"/>
      </patternFill>
    </fill>
    <fill>
      <patternFill patternType="solid">
        <fgColor rgb="FFC00000"/>
        <bgColor rgb="FFFF0000"/>
      </patternFill>
    </fill>
    <fill>
      <patternFill patternType="solid">
        <fgColor rgb="FFB4C7E7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D9D9D9"/>
      </patternFill>
    </fill>
    <fill>
      <patternFill patternType="solid">
        <fgColor rgb="FFE7E6E6"/>
        <bgColor rgb="FFFCE4D6"/>
      </patternFill>
    </fill>
    <fill>
      <patternFill patternType="solid">
        <fgColor rgb="FFAFABAB"/>
        <bgColor rgb="FFADB9CA"/>
      </patternFill>
    </fill>
    <fill>
      <patternFill patternType="solid">
        <fgColor rgb="FFADB9CA"/>
        <bgColor rgb="FFAFABAB"/>
      </patternFill>
    </fill>
    <fill>
      <patternFill patternType="solid">
        <fgColor rgb="FFFF0000"/>
        <bgColor rgb="FFC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13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4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5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8" borderId="8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0" borderId="8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3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4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8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7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8" borderId="7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6" borderId="8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16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16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16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6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6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8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8" borderId="7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8" borderId="8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8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8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8" xfId="2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8" borderId="6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8" fillId="8" borderId="5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4" fillId="8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8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7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14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14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8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8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0" xfId="2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23" fillId="8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3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8" xfId="27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8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8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3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0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1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14" borderId="8" xfId="27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ares 2" xfId="20"/>
    <cellStyle name="Millares 2 2" xfId="21"/>
    <cellStyle name="Millares 2 3" xfId="22"/>
    <cellStyle name="Millares 2 4" xfId="23"/>
    <cellStyle name="Millares 3" xfId="24"/>
    <cellStyle name="Millares 4" xfId="25"/>
    <cellStyle name="Millares 5" xfId="26"/>
    <cellStyle name="Normal 2" xfId="27"/>
    <cellStyle name="Normal 2 2" xfId="28"/>
    <cellStyle name="Normal 2 3" xfId="29"/>
    <cellStyle name="Normal 2 4" xfId="30"/>
    <cellStyle name="Normal 2 5" xfId="31"/>
  </cellStyles>
  <dxfs count="16">
    <dxf>
      <fill>
        <patternFill patternType="solid">
          <fgColor rgb="FFAFABAB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  <bgColor rgb="FF404040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FFD966"/>
        </patternFill>
      </fill>
    </dxf>
    <dxf>
      <fill>
        <patternFill patternType="solid">
          <fgColor rgb="FF00B050"/>
        </patternFill>
      </fill>
    </dxf>
    <dxf>
      <fill>
        <patternFill patternType="solid">
          <fgColor rgb="FFC5E0B4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B4C7E7"/>
        </patternFill>
      </fill>
    </dxf>
    <dxf>
      <fill>
        <patternFill patternType="solid">
          <fgColor rgb="FFE7E6E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B08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9999"/>
      <rgbColor rgb="FFADB9CA"/>
      <rgbColor rgb="FF808080"/>
      <rgbColor rgb="FF9999FF"/>
      <rgbColor rgb="FF993366"/>
      <rgbColor rgb="FFFCE4D6"/>
      <rgbColor rgb="FFE7E6E6"/>
      <rgbColor rgb="FF660066"/>
      <rgbColor rgb="FFFF8080"/>
      <rgbColor rgb="FF0066CC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5E0B4"/>
      <rgbColor rgb="FFFFD966"/>
      <rgbColor rgb="FF99CCFF"/>
      <rgbColor rgb="FFF4B084"/>
      <rgbColor rgb="FFCC99FF"/>
      <rgbColor rgb="FFF8CBAD"/>
      <rgbColor rgb="FF3366FF"/>
      <rgbColor rgb="FF33CCCC"/>
      <rgbColor rgb="FF92D050"/>
      <rgbColor rgb="FFFFCC00"/>
      <rgbColor rgb="FFFF9900"/>
      <rgbColor rgb="FFFF6600"/>
      <rgbColor rgb="FF666699"/>
      <rgbColor rgb="FFAFABAB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G:/AN_EMPRESAS/NE_MARKETING/MKE_SEGMENTOS/Privado/Segmento%20Pyme/TERMINALES/FY2324/Plantilla%20UTE/04082023%20v2_Plantilla_terminales%20Agosto%202023.xlsx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G:/AN_EMPRESAS/NE_MARKETING/MKE_SEGMENTOS/Privado/Segmento%20Pyme/TERMINALES/FY2324/Plantilla%20UTE/27042023%20v1_Plantilla_terminales%20Mayo2023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erminales VOZ"/>
      <sheetName val="Terminales Datos"/>
      <sheetName val="Accesorios"/>
    </sheetNames>
    <sheetDataSet>
      <sheetData sheetId="0"/>
      <sheetData sheetId="1">
        <row r="4">
          <cell r="B4" t="str">
            <v>Referencia</v>
          </cell>
          <cell r="C4" t="str">
            <v>F</v>
          </cell>
          <cell r="D4" t="str">
            <v>Modelo</v>
          </cell>
          <cell r="E4" t="str">
            <v>Precio Coste</v>
          </cell>
          <cell r="F4" t="str">
            <v>Precio Cesión</v>
          </cell>
          <cell r="G4" t="str">
            <v>Apoyo Sell Out</v>
          </cell>
        </row>
        <row r="5">
          <cell r="B5">
            <v>312307</v>
          </cell>
          <cell r="C5" t="str">
            <v>Samsung</v>
          </cell>
          <cell r="D5" t="str">
            <v>Galaxy TAB 4 10.1 LTE</v>
          </cell>
          <cell r="E5">
            <v>225</v>
          </cell>
          <cell r="F5">
            <v>340</v>
          </cell>
        </row>
        <row r="6">
          <cell r="B6">
            <v>312458</v>
          </cell>
          <cell r="C6" t="str">
            <v>Samsung</v>
          </cell>
          <cell r="D6" t="str">
            <v>Galaxy TAB 4 8" 16GB LTE</v>
          </cell>
          <cell r="E6">
            <v>227</v>
          </cell>
          <cell r="F6">
            <v>329.06</v>
          </cell>
        </row>
        <row r="7">
          <cell r="B7">
            <v>312676</v>
          </cell>
          <cell r="C7" t="str">
            <v>Samsung</v>
          </cell>
          <cell r="D7" t="str">
            <v>Galaxy TAB A 9,7''</v>
          </cell>
          <cell r="E7">
            <v>217.58</v>
          </cell>
          <cell r="F7">
            <v>330</v>
          </cell>
        </row>
        <row r="8">
          <cell r="B8">
            <v>312760</v>
          </cell>
          <cell r="C8" t="str">
            <v>Samsung</v>
          </cell>
          <cell r="D8" t="str">
            <v>Galaxy TAB 4 Active 8"</v>
          </cell>
          <cell r="E8">
            <v>321.16</v>
          </cell>
          <cell r="F8">
            <v>336.6</v>
          </cell>
        </row>
        <row r="9">
          <cell r="B9">
            <v>312306</v>
          </cell>
          <cell r="C9" t="str">
            <v>Sony</v>
          </cell>
          <cell r="D9" t="str">
            <v>Xperia Tablet Z2</v>
          </cell>
          <cell r="E9">
            <v>350.78</v>
          </cell>
          <cell r="F9">
            <v>470</v>
          </cell>
        </row>
        <row r="10">
          <cell r="B10">
            <v>312561</v>
          </cell>
          <cell r="C10" t="str">
            <v>iPad Air 2</v>
          </cell>
          <cell r="D10" t="str">
            <v>16 GB Space Grey</v>
          </cell>
          <cell r="E10">
            <v>449.2</v>
          </cell>
          <cell r="F10">
            <v>510</v>
          </cell>
        </row>
        <row r="11">
          <cell r="B11">
            <v>312562</v>
          </cell>
          <cell r="C11" t="str">
            <v>iPad Air 2</v>
          </cell>
          <cell r="D11" t="str">
            <v>16 GB Gold</v>
          </cell>
          <cell r="E11">
            <v>449.2</v>
          </cell>
          <cell r="F11">
            <v>510</v>
          </cell>
        </row>
        <row r="12">
          <cell r="B12">
            <v>312632</v>
          </cell>
          <cell r="C12" t="str">
            <v>Vodafone</v>
          </cell>
          <cell r="D12" t="str">
            <v>Smart TAB Prime  6 9.6"</v>
          </cell>
          <cell r="E12">
            <v>135.19</v>
          </cell>
          <cell r="F12">
            <v>162.9</v>
          </cell>
        </row>
        <row r="13">
          <cell r="B13">
            <v>312407</v>
          </cell>
          <cell r="C13" t="str">
            <v>Vodafone</v>
          </cell>
          <cell r="D13" t="str">
            <v>Smart TAB 4 8" 4G</v>
          </cell>
          <cell r="E13">
            <v>127.85</v>
          </cell>
          <cell r="F13">
            <v>150</v>
          </cell>
        </row>
        <row r="14">
          <cell r="B14">
            <v>312305</v>
          </cell>
          <cell r="C14" t="str">
            <v>Huawei</v>
          </cell>
          <cell r="D14" t="str">
            <v>Media Pad Link +</v>
          </cell>
          <cell r="E14">
            <v>174.73</v>
          </cell>
          <cell r="F14">
            <v>220</v>
          </cell>
        </row>
        <row r="15">
          <cell r="B15">
            <v>311746</v>
          </cell>
          <cell r="C15" t="str">
            <v>Asus</v>
          </cell>
          <cell r="D15" t="str">
            <v>ASUS TF600 (Windows 8)</v>
          </cell>
          <cell r="E15">
            <v>545</v>
          </cell>
          <cell r="F15">
            <v>570</v>
          </cell>
        </row>
        <row r="16">
          <cell r="B16">
            <v>311962</v>
          </cell>
          <cell r="C16" t="str">
            <v>Huawei</v>
          </cell>
          <cell r="D16" t="str">
            <v>K5150</v>
          </cell>
          <cell r="E16">
            <v>41.39</v>
          </cell>
          <cell r="F16">
            <v>86</v>
          </cell>
        </row>
        <row r="17">
          <cell r="B17">
            <v>312208</v>
          </cell>
          <cell r="C17" t="str">
            <v>Huawei</v>
          </cell>
          <cell r="D17" t="str">
            <v>k4203</v>
          </cell>
          <cell r="E17">
            <v>11.51</v>
          </cell>
          <cell r="F17">
            <v>16.8</v>
          </cell>
        </row>
        <row r="18">
          <cell r="B18">
            <v>312400</v>
          </cell>
          <cell r="C18" t="str">
            <v>Vodafone</v>
          </cell>
          <cell r="D18" t="str">
            <v>R207</v>
          </cell>
          <cell r="E18">
            <v>21.44</v>
          </cell>
          <cell r="F18">
            <v>35</v>
          </cell>
        </row>
        <row r="19">
          <cell r="B19">
            <v>312210</v>
          </cell>
          <cell r="C19" t="str">
            <v>Vodafone</v>
          </cell>
          <cell r="D19" t="str">
            <v>R215</v>
          </cell>
          <cell r="E19">
            <v>46.51</v>
          </cell>
          <cell r="F19">
            <v>86</v>
          </cell>
        </row>
        <row r="20">
          <cell r="B20">
            <v>312623</v>
          </cell>
          <cell r="C20" t="str">
            <v>Vodafone</v>
          </cell>
          <cell r="D20" t="str">
            <v>R216</v>
          </cell>
          <cell r="E20">
            <v>30.28</v>
          </cell>
          <cell r="F20">
            <v>42.45</v>
          </cell>
        </row>
        <row r="21">
          <cell r="B21">
            <v>312667</v>
          </cell>
          <cell r="C21" t="str">
            <v>Vodafone</v>
          </cell>
          <cell r="D21" t="str">
            <v>R216z</v>
          </cell>
          <cell r="E21">
            <v>37.8</v>
          </cell>
          <cell r="F21">
            <v>42.45</v>
          </cell>
        </row>
        <row r="22">
          <cell r="B22">
            <v>312405</v>
          </cell>
          <cell r="C22" t="str">
            <v>Vodafone</v>
          </cell>
          <cell r="D22" t="str">
            <v>R226</v>
          </cell>
          <cell r="E22">
            <v>69.76</v>
          </cell>
          <cell r="F22">
            <v>122.12</v>
          </cell>
        </row>
        <row r="23">
          <cell r="B23">
            <v>312213</v>
          </cell>
          <cell r="C23" t="str">
            <v>Huawei</v>
          </cell>
          <cell r="D23" t="str">
            <v>B3000</v>
          </cell>
          <cell r="E23">
            <v>147.13</v>
          </cell>
          <cell r="F23">
            <v>200</v>
          </cell>
        </row>
        <row r="24">
          <cell r="B24">
            <v>312737</v>
          </cell>
          <cell r="C24" t="str">
            <v>Huawei</v>
          </cell>
          <cell r="D24" t="str">
            <v>B3000 V2</v>
          </cell>
          <cell r="E24">
            <v>96.23</v>
          </cell>
          <cell r="F24">
            <v>98.15</v>
          </cell>
        </row>
        <row r="25">
          <cell r="B25">
            <v>312777</v>
          </cell>
          <cell r="C25" t="str">
            <v>Huawei</v>
          </cell>
          <cell r="D25" t="str">
            <v>B310</v>
          </cell>
          <cell r="E25">
            <v>49.71</v>
          </cell>
          <cell r="F25">
            <v>87.74</v>
          </cell>
        </row>
        <row r="26">
          <cell r="B26">
            <v>311660</v>
          </cell>
          <cell r="C26" t="str">
            <v>LOCATEL</v>
          </cell>
          <cell r="D26" t="str">
            <v>Pack Localización  </v>
          </cell>
          <cell r="E26">
            <v>115</v>
          </cell>
          <cell r="F26">
            <v>132</v>
          </cell>
        </row>
        <row r="27">
          <cell r="B27">
            <v>311661</v>
          </cell>
          <cell r="C27" t="str">
            <v>MICRONAV</v>
          </cell>
          <cell r="D27" t="str">
            <v>Pack Localización</v>
          </cell>
          <cell r="E27">
            <v>130</v>
          </cell>
          <cell r="F27">
            <v>143</v>
          </cell>
        </row>
        <row r="28">
          <cell r="B28">
            <v>312347</v>
          </cell>
          <cell r="C28" t="str">
            <v>Router </v>
          </cell>
          <cell r="D28" t="str">
            <v>Router VDSL OV + Modem K4203</v>
          </cell>
          <cell r="E28">
            <v>62.99</v>
          </cell>
          <cell r="F28">
            <v>99</v>
          </cell>
        </row>
        <row r="29">
          <cell r="B29">
            <v>311938</v>
          </cell>
          <cell r="C29" t="str">
            <v>Router </v>
          </cell>
          <cell r="D29" t="str">
            <v>Router VDSL OV</v>
          </cell>
          <cell r="E29">
            <v>49.75</v>
          </cell>
          <cell r="F29">
            <v>89</v>
          </cell>
        </row>
        <row r="30">
          <cell r="B30">
            <v>312002</v>
          </cell>
          <cell r="C30" t="str">
            <v>Router </v>
          </cell>
          <cell r="D30" t="str">
            <v>Router ADSL Observa BRA14NR</v>
          </cell>
          <cell r="E30">
            <v>28.78</v>
          </cell>
          <cell r="F30">
            <v>79</v>
          </cell>
        </row>
        <row r="31">
          <cell r="B31">
            <v>311983</v>
          </cell>
          <cell r="C31" t="str">
            <v>Router </v>
          </cell>
          <cell r="D31" t="str">
            <v>Router ADSL Seercom AD1018</v>
          </cell>
          <cell r="E31">
            <v>27.44</v>
          </cell>
          <cell r="F31">
            <v>79</v>
          </cell>
        </row>
        <row r="32">
          <cell r="B32">
            <v>312402</v>
          </cell>
          <cell r="C32" t="str">
            <v>Router </v>
          </cell>
          <cell r="D32" t="str">
            <v>Router  AD1018 Sercomm ADSL 128 MB </v>
          </cell>
          <cell r="E32">
            <v>29.18</v>
          </cell>
          <cell r="F32">
            <v>79</v>
          </cell>
        </row>
        <row r="33">
          <cell r="B33">
            <v>312231</v>
          </cell>
          <cell r="C33" t="str">
            <v>Router </v>
          </cell>
          <cell r="D33" t="str">
            <v>Router HG556 OV+ Modem K4203</v>
          </cell>
          <cell r="E33">
            <v>57.17</v>
          </cell>
          <cell r="F33">
            <v>99</v>
          </cell>
        </row>
        <row r="34">
          <cell r="B34">
            <v>311937</v>
          </cell>
          <cell r="C34" t="str">
            <v>Huawei</v>
          </cell>
          <cell r="D34" t="str">
            <v>Router HG556 OV</v>
          </cell>
          <cell r="E34">
            <v>42.46</v>
          </cell>
          <cell r="F34">
            <v>84</v>
          </cell>
        </row>
        <row r="35">
          <cell r="B35">
            <v>311898</v>
          </cell>
          <cell r="C35" t="str">
            <v>Huawei</v>
          </cell>
          <cell r="D35" t="str">
            <v>Router VDSL OV+ Modem K3772</v>
          </cell>
          <cell r="E35">
            <v>71.73</v>
          </cell>
          <cell r="F35">
            <v>99</v>
          </cell>
        </row>
        <row r="36">
          <cell r="B36">
            <v>312572</v>
          </cell>
          <cell r="C36" t="str">
            <v>Observa</v>
          </cell>
          <cell r="D36" t="str">
            <v>Router VDSL OBSERVA OV V2</v>
          </cell>
          <cell r="E36">
            <v>49.75</v>
          </cell>
          <cell r="F36">
            <v>89</v>
          </cell>
        </row>
        <row r="37">
          <cell r="B37">
            <v>312606</v>
          </cell>
          <cell r="C37" t="str">
            <v>Huawei</v>
          </cell>
          <cell r="D37" t="str">
            <v>Router AR 511 4G</v>
          </cell>
          <cell r="E37">
            <v>520</v>
          </cell>
          <cell r="F37">
            <v>556.4</v>
          </cell>
        </row>
        <row r="38">
          <cell r="B38">
            <v>312574</v>
          </cell>
          <cell r="C38" t="str">
            <v>Huawei</v>
          </cell>
          <cell r="D38" t="str">
            <v>Router 4G E5186</v>
          </cell>
          <cell r="E38">
            <v>125.1</v>
          </cell>
          <cell r="F38">
            <v>215.89</v>
          </cell>
        </row>
        <row r="39">
          <cell r="B39">
            <v>312688</v>
          </cell>
          <cell r="C39" t="str">
            <v>Observa</v>
          </cell>
          <cell r="D39" t="str">
            <v>Router BRA14NR Observa ADSL ND</v>
          </cell>
          <cell r="E39">
            <v>28.61</v>
          </cell>
          <cell r="F39">
            <v>79</v>
          </cell>
        </row>
        <row r="40">
          <cell r="B40">
            <v>312345</v>
          </cell>
          <cell r="C40" t="str">
            <v>Sercomm</v>
          </cell>
          <cell r="D40" t="str">
            <v>Router VD1018 Sercomm VDSL</v>
          </cell>
          <cell r="E40">
            <v>38.24</v>
          </cell>
          <cell r="F40">
            <v>99</v>
          </cell>
        </row>
        <row r="41">
          <cell r="B41">
            <v>312876</v>
          </cell>
          <cell r="C41" t="str">
            <v>Sercomm</v>
          </cell>
          <cell r="D41" t="str">
            <v>VOX 2.5 router avanzado DSL</v>
          </cell>
          <cell r="E41">
            <v>47.19</v>
          </cell>
          <cell r="F41">
            <v>99</v>
          </cell>
        </row>
        <row r="42">
          <cell r="B42">
            <v>312728</v>
          </cell>
          <cell r="C42" t="str">
            <v>Sercomm</v>
          </cell>
          <cell r="D42" t="str">
            <v>ROUTER AD1018 SERCOMM ADSL NEBA</v>
          </cell>
          <cell r="E42">
            <v>27.65</v>
          </cell>
          <cell r="F42">
            <v>99</v>
          </cell>
        </row>
        <row r="43">
          <cell r="B43">
            <v>312733</v>
          </cell>
          <cell r="C43" t="str">
            <v>Observa</v>
          </cell>
          <cell r="D43" t="str">
            <v>ROUTER BRA14NR OBSERVA ADSL ND NEBA</v>
          </cell>
          <cell r="E43">
            <v>28.64</v>
          </cell>
          <cell r="F43">
            <v>99</v>
          </cell>
        </row>
        <row r="44">
          <cell r="B44">
            <v>312950</v>
          </cell>
          <cell r="C44" t="str">
            <v>Sercomm</v>
          </cell>
          <cell r="D44" t="str">
            <v>Vox 2.5 router avanzado DSL + K4203</v>
          </cell>
          <cell r="E44">
            <v>66.24</v>
          </cell>
          <cell r="F44">
            <v>99</v>
          </cell>
        </row>
        <row r="45">
          <cell r="B45">
            <v>312933</v>
          </cell>
          <cell r="C45" t="str">
            <v>Huawei</v>
          </cell>
          <cell r="D45" t="str">
            <v>Tablet Huawei MediaPad M2 10”</v>
          </cell>
          <cell r="E45">
            <v>293.88</v>
          </cell>
          <cell r="F45">
            <v>313.88</v>
          </cell>
        </row>
        <row r="46">
          <cell r="B46">
            <v>313014</v>
          </cell>
          <cell r="C46" t="str">
            <v>Apple</v>
          </cell>
          <cell r="D46" t="str">
            <v>iPad Pro 9.7" 32 GB Space Grey</v>
          </cell>
          <cell r="E46">
            <v>611.47</v>
          </cell>
          <cell r="F46">
            <v>623.7</v>
          </cell>
        </row>
        <row r="47">
          <cell r="B47">
            <v>313023</v>
          </cell>
          <cell r="C47" t="str">
            <v>Samsung</v>
          </cell>
          <cell r="D47" t="str">
            <v>Galaxy Tab A 10.1</v>
          </cell>
          <cell r="E47">
            <v>235.47</v>
          </cell>
          <cell r="F47">
            <v>261.94</v>
          </cell>
        </row>
        <row r="48">
          <cell r="B48">
            <v>312956</v>
          </cell>
          <cell r="C48" t="str">
            <v>Vodafone</v>
          </cell>
          <cell r="D48" t="str">
            <v>TAB Prime 7</v>
          </cell>
          <cell r="E48">
            <v>154.14</v>
          </cell>
          <cell r="F48">
            <v>175.12</v>
          </cell>
        </row>
        <row r="49">
          <cell r="B49">
            <v>313092</v>
          </cell>
          <cell r="C49" t="str">
            <v>iPad Air 2</v>
          </cell>
          <cell r="D49" t="str">
            <v>32 GB Space Grey</v>
          </cell>
          <cell r="E49">
            <v>414.57</v>
          </cell>
          <cell r="F49">
            <v>414.07</v>
          </cell>
        </row>
        <row r="50">
          <cell r="B50">
            <v>312934</v>
          </cell>
          <cell r="C50" t="str">
            <v>Vodafone</v>
          </cell>
          <cell r="D50" t="str">
            <v>K5160</v>
          </cell>
          <cell r="E50">
            <v>24.84</v>
          </cell>
          <cell r="F50">
            <v>37</v>
          </cell>
        </row>
        <row r="51">
          <cell r="B51">
            <v>313134</v>
          </cell>
          <cell r="C51" t="str">
            <v>Vodafone</v>
          </cell>
          <cell r="D51" t="str">
            <v>R218z</v>
          </cell>
          <cell r="E51">
            <v>34.14</v>
          </cell>
          <cell r="F51">
            <v>37.95</v>
          </cell>
        </row>
        <row r="52">
          <cell r="B52">
            <v>313123</v>
          </cell>
          <cell r="C52" t="str">
            <v>Sercomm</v>
          </cell>
          <cell r="D52" t="str">
            <v>VFH-500s DSL         </v>
          </cell>
          <cell r="E52">
            <v>43.68</v>
          </cell>
          <cell r="F52">
            <v>99</v>
          </cell>
        </row>
        <row r="53">
          <cell r="B53">
            <v>313198</v>
          </cell>
          <cell r="C53" t="str">
            <v>Apple</v>
          </cell>
          <cell r="D53" t="str">
            <v>iPad Plus 32 GB Space Grey</v>
          </cell>
          <cell r="E53">
            <v>412.32</v>
          </cell>
          <cell r="F53">
            <v>420.5664</v>
          </cell>
        </row>
        <row r="54">
          <cell r="B54">
            <v>313163</v>
          </cell>
          <cell r="C54" t="str">
            <v>Huawei</v>
          </cell>
          <cell r="D54" t="str">
            <v>Router AR 511 4G + Accesorios</v>
          </cell>
          <cell r="E54">
            <v>592.9</v>
          </cell>
          <cell r="F54">
            <v>634.4</v>
          </cell>
        </row>
        <row r="55">
          <cell r="B55">
            <v>313172</v>
          </cell>
          <cell r="C55" t="str">
            <v>Samsung</v>
          </cell>
          <cell r="D55" t="str">
            <v>Galaxy TAB S2 </v>
          </cell>
          <cell r="E55">
            <v>379.65</v>
          </cell>
          <cell r="F55">
            <v>443.96</v>
          </cell>
        </row>
        <row r="56">
          <cell r="B56">
            <v>313243</v>
          </cell>
          <cell r="C56" t="str">
            <v>Apple</v>
          </cell>
          <cell r="D56" t="str">
            <v>Ipad Pro 10,5" 64GB Space Grey</v>
          </cell>
          <cell r="E56">
            <v>659.17</v>
          </cell>
          <cell r="F56">
            <v>705.3119</v>
          </cell>
        </row>
        <row r="57">
          <cell r="B57">
            <v>313226</v>
          </cell>
          <cell r="C57" t="str">
            <v>Huawei</v>
          </cell>
          <cell r="D57" t="str">
            <v>Media Pad T3 10"</v>
          </cell>
          <cell r="E57">
            <v>153.42</v>
          </cell>
          <cell r="F57">
            <v>164.1594</v>
          </cell>
        </row>
        <row r="58">
          <cell r="B58">
            <v>313228</v>
          </cell>
          <cell r="C58" t="str">
            <v>Vodafone</v>
          </cell>
          <cell r="D58" t="str">
            <v>Smart Tab N8</v>
          </cell>
          <cell r="E58">
            <v>116.1</v>
          </cell>
          <cell r="F58">
            <v>124.227</v>
          </cell>
        </row>
        <row r="59">
          <cell r="B59">
            <v>313253</v>
          </cell>
          <cell r="C59" t="str">
            <v>ZTE</v>
          </cell>
          <cell r="D59" t="str">
            <v>MF255</v>
          </cell>
          <cell r="E59">
            <v>52.53</v>
          </cell>
          <cell r="F59">
            <v>51.98</v>
          </cell>
        </row>
        <row r="60">
          <cell r="B60">
            <v>313258</v>
          </cell>
          <cell r="C60" t="str">
            <v>Huawei</v>
          </cell>
          <cell r="D60" t="str">
            <v>R218</v>
          </cell>
          <cell r="E60">
            <v>27.27</v>
          </cell>
          <cell r="F60">
            <v>30</v>
          </cell>
        </row>
        <row r="61">
          <cell r="B61">
            <v>313297</v>
          </cell>
          <cell r="C61" t="str">
            <v>Huawei</v>
          </cell>
          <cell r="D61" t="str">
            <v>R227</v>
          </cell>
          <cell r="E61">
            <v>49.94</v>
          </cell>
          <cell r="F61">
            <v>74.38</v>
          </cell>
        </row>
        <row r="62">
          <cell r="B62">
            <v>313333</v>
          </cell>
          <cell r="C62" t="str">
            <v>Sercomm</v>
          </cell>
          <cell r="D62" t="str">
            <v>VFH-500S DSL+modem K4203</v>
          </cell>
          <cell r="E62">
            <v>53.77</v>
          </cell>
          <cell r="F62">
            <v>99</v>
          </cell>
        </row>
        <row r="63">
          <cell r="B63">
            <v>313311</v>
          </cell>
          <cell r="C63" t="str">
            <v>Samsung </v>
          </cell>
          <cell r="D63" t="str">
            <v>Galaxy Book 12" LTE 256GB</v>
          </cell>
          <cell r="E63">
            <v>1268.19</v>
          </cell>
          <cell r="F63">
            <v>1328.3025</v>
          </cell>
        </row>
        <row r="64">
          <cell r="B64">
            <v>313401</v>
          </cell>
          <cell r="C64" t="str">
            <v>Apple</v>
          </cell>
          <cell r="D64" t="str">
            <v>iPad 2018 32GB Space Grey</v>
          </cell>
          <cell r="E64">
            <v>354.71</v>
          </cell>
          <cell r="F64">
            <v>372.45</v>
          </cell>
        </row>
        <row r="65">
          <cell r="B65">
            <v>313421</v>
          </cell>
          <cell r="C65" t="str">
            <v>Samsung</v>
          </cell>
          <cell r="D65" t="str">
            <v>Galaxy Tab A 10.1 32GB</v>
          </cell>
          <cell r="E65">
            <v>242.98</v>
          </cell>
          <cell r="F65">
            <v>261.94</v>
          </cell>
        </row>
        <row r="66">
          <cell r="B66">
            <v>313285</v>
          </cell>
          <cell r="C66" t="str">
            <v>Huawei</v>
          </cell>
          <cell r="D66" t="str">
            <v>Router 4G B525</v>
          </cell>
          <cell r="E66">
            <v>82.1</v>
          </cell>
          <cell r="F66">
            <v>120</v>
          </cell>
        </row>
        <row r="67">
          <cell r="B67">
            <v>313244</v>
          </cell>
          <cell r="C67" t="str">
            <v>Apple</v>
          </cell>
          <cell r="D67" t="str">
            <v>Ipad Pro 12,9" 128GB Space Grey</v>
          </cell>
          <cell r="E67">
            <v>914.49</v>
          </cell>
          <cell r="F67">
            <v>978.5043</v>
          </cell>
        </row>
        <row r="68">
          <cell r="B68">
            <v>313407</v>
          </cell>
          <cell r="C68" t="str">
            <v>Alcatel</v>
          </cell>
          <cell r="D68" t="str">
            <v>R218T</v>
          </cell>
          <cell r="E68">
            <v>27.73</v>
          </cell>
          <cell r="F68">
            <v>30</v>
          </cell>
        </row>
        <row r="69">
          <cell r="B69">
            <v>313457</v>
          </cell>
          <cell r="C69" t="str">
            <v>Huawei</v>
          </cell>
          <cell r="D69" t="str">
            <v>MediaPad M5 Pro</v>
          </cell>
          <cell r="E69">
            <v>382.69</v>
          </cell>
          <cell r="F69">
            <v>401.8245</v>
          </cell>
        </row>
        <row r="70">
          <cell r="B70">
            <v>313566</v>
          </cell>
          <cell r="C70" t="str">
            <v>Apple</v>
          </cell>
          <cell r="D70" t="str">
            <v>iPad Pro 11" 64GB ISP Space grey</v>
          </cell>
          <cell r="E70">
            <v>780.18</v>
          </cell>
          <cell r="F70">
            <v>834.7926</v>
          </cell>
        </row>
        <row r="71">
          <cell r="B71">
            <v>313565</v>
          </cell>
          <cell r="C71" t="str">
            <v>Apple</v>
          </cell>
          <cell r="D71" t="str">
            <v>Ipad Pro 12,9" 256GB ISP Space Grey</v>
          </cell>
          <cell r="E71">
            <v>1071.3</v>
          </cell>
          <cell r="F71">
            <v>1146.291</v>
          </cell>
        </row>
        <row r="72">
          <cell r="B72">
            <v>313558</v>
          </cell>
          <cell r="C72" t="str">
            <v>Huawei</v>
          </cell>
          <cell r="D72" t="str">
            <v>MediaPad T5 10 32GB</v>
          </cell>
          <cell r="E72">
            <v>184.34</v>
          </cell>
          <cell r="F72">
            <v>197.2438</v>
          </cell>
        </row>
        <row r="73">
          <cell r="B73">
            <v>313666</v>
          </cell>
          <cell r="C73" t="str">
            <v>Apple</v>
          </cell>
          <cell r="D73" t="str">
            <v>iPad Air 2019 64GB</v>
          </cell>
          <cell r="E73">
            <v>511.46</v>
          </cell>
          <cell r="F73">
            <v>547.2622</v>
          </cell>
        </row>
        <row r="74">
          <cell r="B74">
            <v>313585</v>
          </cell>
          <cell r="C74" t="str">
            <v>Huawei</v>
          </cell>
          <cell r="D74" t="str">
            <v>B311</v>
          </cell>
          <cell r="E74">
            <v>47.67</v>
          </cell>
          <cell r="F74">
            <v>87.74</v>
          </cell>
        </row>
        <row r="75">
          <cell r="B75">
            <v>313673</v>
          </cell>
          <cell r="C75" t="str">
            <v>Samsung</v>
          </cell>
          <cell r="D75" t="str">
            <v>Galaxy TAB A10.1 32GB 2019</v>
          </cell>
          <cell r="E75">
            <v>205.59</v>
          </cell>
          <cell r="F75">
            <v>219.9813</v>
          </cell>
        </row>
        <row r="76">
          <cell r="B76">
            <v>313681</v>
          </cell>
          <cell r="C76" t="str">
            <v>Samsung</v>
          </cell>
          <cell r="D76" t="str">
            <v>Galaxy TAB S5e 64GB</v>
          </cell>
          <cell r="E76">
            <v>382.44</v>
          </cell>
          <cell r="F76">
            <v>409.2108</v>
          </cell>
        </row>
        <row r="77">
          <cell r="B77">
            <v>313646</v>
          </cell>
          <cell r="C77" t="str">
            <v>Huawei</v>
          </cell>
          <cell r="D77" t="str">
            <v>H112 5G</v>
          </cell>
          <cell r="E77">
            <v>434.15</v>
          </cell>
          <cell r="F77">
            <v>455.8575</v>
          </cell>
        </row>
        <row r="78">
          <cell r="B78">
            <v>313777</v>
          </cell>
          <cell r="C78" t="str">
            <v>Apple</v>
          </cell>
          <cell r="D78" t="str">
            <v>iPad 10.2 2019 32GB Space Grey</v>
          </cell>
          <cell r="E78">
            <v>384.57</v>
          </cell>
          <cell r="F78">
            <v>411.4899</v>
          </cell>
        </row>
        <row r="79">
          <cell r="B79">
            <v>313788</v>
          </cell>
          <cell r="C79" t="str">
            <v>Apple</v>
          </cell>
          <cell r="D79" t="str">
            <v>iPad 10.2 2019 128GB Space Grey</v>
          </cell>
          <cell r="E79">
            <v>459.21</v>
          </cell>
          <cell r="F79">
            <v>491.3547</v>
          </cell>
        </row>
        <row r="80">
          <cell r="B80">
            <v>313847</v>
          </cell>
          <cell r="C80" t="str">
            <v>Apple</v>
          </cell>
          <cell r="D80" t="str">
            <v>Ipad Pro 12.9" 2020 256GB Space Grey</v>
          </cell>
          <cell r="E80">
            <v>1026.51</v>
          </cell>
          <cell r="F80">
            <v>1077.8355</v>
          </cell>
        </row>
        <row r="81">
          <cell r="B81">
            <v>313846</v>
          </cell>
          <cell r="C81" t="str">
            <v>Apple</v>
          </cell>
          <cell r="D81" t="str">
            <v>Ipad Pro 11" 2020 256GB Space Grey</v>
          </cell>
          <cell r="E81">
            <v>862.29</v>
          </cell>
          <cell r="F81">
            <v>905.4045</v>
          </cell>
        </row>
        <row r="82">
          <cell r="B82">
            <v>313784</v>
          </cell>
          <cell r="C82" t="str">
            <v>Alcatel</v>
          </cell>
          <cell r="D82" t="str">
            <v>TAB 3T 10"</v>
          </cell>
          <cell r="E82">
            <v>120.43</v>
          </cell>
          <cell r="F82">
            <v>132.473</v>
          </cell>
        </row>
        <row r="83">
          <cell r="B83">
            <v>313827</v>
          </cell>
          <cell r="C83" t="str">
            <v>Huawei</v>
          </cell>
          <cell r="D83" t="str">
            <v>Router 4G B535</v>
          </cell>
          <cell r="E83">
            <v>60.72</v>
          </cell>
          <cell r="F83">
            <v>66.792</v>
          </cell>
        </row>
        <row r="84">
          <cell r="B84">
            <v>313853</v>
          </cell>
          <cell r="C84" t="str">
            <v>Huawei</v>
          </cell>
          <cell r="D84" t="str">
            <v>MediaPad M5 Lite 10"</v>
          </cell>
          <cell r="E84">
            <v>218.74</v>
          </cell>
          <cell r="F84">
            <v>240.614</v>
          </cell>
          <cell r="G84">
            <v>33</v>
          </cell>
        </row>
        <row r="85">
          <cell r="B85">
            <v>313855</v>
          </cell>
          <cell r="C85" t="str">
            <v>Huawei</v>
          </cell>
          <cell r="D85" t="str">
            <v>E5576</v>
          </cell>
          <cell r="E85">
            <v>28.34</v>
          </cell>
          <cell r="F85">
            <v>31.174</v>
          </cell>
          <cell r="G85">
            <v>3</v>
          </cell>
        </row>
        <row r="86">
          <cell r="B86">
            <v>313558</v>
          </cell>
          <cell r="C86" t="str">
            <v>Huawei</v>
          </cell>
          <cell r="D86" t="str">
            <v>MediaPad T5 10"</v>
          </cell>
          <cell r="E86">
            <v>156.86</v>
          </cell>
          <cell r="F86">
            <v>172.546</v>
          </cell>
          <cell r="G86">
            <v>15</v>
          </cell>
        </row>
        <row r="87">
          <cell r="B87">
            <v>313825</v>
          </cell>
          <cell r="C87" t="str">
            <v>Huawei</v>
          </cell>
          <cell r="D87" t="str">
            <v>R219</v>
          </cell>
          <cell r="E87">
            <v>22.26</v>
          </cell>
          <cell r="F87">
            <v>24.486</v>
          </cell>
        </row>
        <row r="88">
          <cell r="B88">
            <v>313768</v>
          </cell>
          <cell r="C88" t="str">
            <v>Microkey </v>
          </cell>
          <cell r="D88" t="str">
            <v>MK830 </v>
          </cell>
          <cell r="E88">
            <v>78.5</v>
          </cell>
          <cell r="F88">
            <v>86.35</v>
          </cell>
        </row>
        <row r="89">
          <cell r="B89">
            <v>313888</v>
          </cell>
          <cell r="C89" t="str">
            <v>Samsung</v>
          </cell>
          <cell r="D89" t="str">
            <v>Active Pro LTE EE</v>
          </cell>
          <cell r="E89">
            <v>541.57</v>
          </cell>
          <cell r="F89">
            <v>568.6485</v>
          </cell>
        </row>
        <row r="90">
          <cell r="B90">
            <v>313858</v>
          </cell>
          <cell r="C90" t="str">
            <v>Samsung</v>
          </cell>
          <cell r="D90" t="str">
            <v>Galaxy TAB S6 Lite</v>
          </cell>
          <cell r="E90">
            <v>342.21</v>
          </cell>
          <cell r="F90">
            <v>366.1647</v>
          </cell>
          <cell r="G90">
            <v>26</v>
          </cell>
        </row>
        <row r="91">
          <cell r="B91">
            <v>313826</v>
          </cell>
          <cell r="C91" t="str">
            <v>Huawei</v>
          </cell>
          <cell r="D91" t="str">
            <v>B311n</v>
          </cell>
          <cell r="E91">
            <v>37.44</v>
          </cell>
          <cell r="F91">
            <v>41.184</v>
          </cell>
        </row>
        <row r="92">
          <cell r="B92">
            <v>313926</v>
          </cell>
          <cell r="C92" t="str">
            <v>Huawei</v>
          </cell>
          <cell r="D92" t="str">
            <v>MatePad 10.4 LTE 32GB+keyboard+ Pen</v>
          </cell>
          <cell r="E92">
            <v>263.78</v>
          </cell>
          <cell r="F92">
            <v>290.158</v>
          </cell>
          <cell r="G92">
            <v>60</v>
          </cell>
        </row>
        <row r="93">
          <cell r="B93">
            <v>313927</v>
          </cell>
          <cell r="C93" t="str">
            <v>Samsung</v>
          </cell>
          <cell r="D93" t="str">
            <v>Galaxy Tab S6 Lite+funda teclado</v>
          </cell>
          <cell r="E93">
            <v>342.21</v>
          </cell>
          <cell r="F93">
            <v>359.3205</v>
          </cell>
          <cell r="G93">
            <v>26</v>
          </cell>
        </row>
        <row r="94">
          <cell r="B94">
            <v>313907</v>
          </cell>
          <cell r="C94" t="str">
            <v>Samsung</v>
          </cell>
          <cell r="D94" t="str">
            <v>Galaxy Tab A7</v>
          </cell>
          <cell r="E94">
            <v>228.86</v>
          </cell>
          <cell r="F94">
            <v>251.746</v>
          </cell>
          <cell r="G94">
            <v>25</v>
          </cell>
        </row>
        <row r="95">
          <cell r="B95">
            <v>313906</v>
          </cell>
          <cell r="C95" t="str">
            <v>Samsung</v>
          </cell>
          <cell r="D95" t="str">
            <v>Galaxy Tab S7+ 5G</v>
          </cell>
          <cell r="E95">
            <v>859.8</v>
          </cell>
          <cell r="F95">
            <v>902.79</v>
          </cell>
          <cell r="G95">
            <v>25</v>
          </cell>
        </row>
        <row r="96">
          <cell r="B96">
            <v>313951</v>
          </cell>
          <cell r="C96" t="str">
            <v>Apple</v>
          </cell>
          <cell r="D96" t="str">
            <v>iPad 10.2  Wi-Fi + Cellular 128GB</v>
          </cell>
          <cell r="E96">
            <v>459.21</v>
          </cell>
          <cell r="F96">
            <v>482.1705</v>
          </cell>
        </row>
        <row r="97">
          <cell r="B97">
            <v>313830</v>
          </cell>
          <cell r="C97" t="str">
            <v>Huawei</v>
          </cell>
          <cell r="D97" t="str">
            <v>K5161</v>
          </cell>
          <cell r="E97">
            <v>19.73</v>
          </cell>
          <cell r="F97">
            <v>21.703</v>
          </cell>
        </row>
        <row r="98">
          <cell r="B98">
            <v>314063</v>
          </cell>
          <cell r="C98" t="str">
            <v>Samsung</v>
          </cell>
          <cell r="D98" t="str">
            <v>Galaxy Tab Active 3 64GB EE</v>
          </cell>
          <cell r="E98">
            <v>381.26</v>
          </cell>
          <cell r="F98">
            <v>400.323</v>
          </cell>
        </row>
        <row r="99">
          <cell r="B99">
            <v>313988</v>
          </cell>
          <cell r="C99" t="str">
            <v>Apple</v>
          </cell>
          <cell r="D99" t="str">
            <v>iPad Air ISP 256GB Space Grey</v>
          </cell>
          <cell r="E99">
            <v>713</v>
          </cell>
          <cell r="F99">
            <v>748.65</v>
          </cell>
        </row>
        <row r="100">
          <cell r="B100">
            <v>313868</v>
          </cell>
          <cell r="C100" t="str">
            <v>Huawei</v>
          </cell>
          <cell r="D100" t="str">
            <v>H122 5G</v>
          </cell>
          <cell r="E100">
            <v>282.35</v>
          </cell>
          <cell r="F100">
            <v>310.585</v>
          </cell>
        </row>
        <row r="101">
          <cell r="B101">
            <v>314067</v>
          </cell>
          <cell r="C101" t="str">
            <v>Huawei</v>
          </cell>
          <cell r="D101" t="str">
            <v>Vodafone R219 + MateBook X Pro Space Grey</v>
          </cell>
          <cell r="E101">
            <v>1419.98</v>
          </cell>
          <cell r="F101">
            <v>1490.979</v>
          </cell>
        </row>
        <row r="102">
          <cell r="B102">
            <v>300669</v>
          </cell>
          <cell r="C102" t="str">
            <v>Microsoft</v>
          </cell>
          <cell r="D102" t="str">
            <v>Surface Pro 7 +funda y teclado</v>
          </cell>
          <cell r="E102">
            <v>892.36</v>
          </cell>
          <cell r="F102">
            <v>936.978</v>
          </cell>
        </row>
        <row r="103">
          <cell r="B103">
            <v>313858</v>
          </cell>
          <cell r="C103" t="str">
            <v>Samsung</v>
          </cell>
          <cell r="D103" t="str">
            <v>Galaxy Tab S6 Lite</v>
          </cell>
          <cell r="E103">
            <v>342.21</v>
          </cell>
          <cell r="F103">
            <v>359.3205</v>
          </cell>
          <cell r="G103">
            <v>55</v>
          </cell>
        </row>
        <row r="104">
          <cell r="B104">
            <v>314053</v>
          </cell>
          <cell r="C104" t="str">
            <v>Samsung</v>
          </cell>
          <cell r="D104" t="str">
            <v>Galaxy TAB S7 128GB EE</v>
          </cell>
          <cell r="E104">
            <v>630.69</v>
          </cell>
          <cell r="F104">
            <v>662.2245</v>
          </cell>
          <cell r="G104">
            <v>100</v>
          </cell>
        </row>
        <row r="105">
          <cell r="B105">
            <v>314215</v>
          </cell>
          <cell r="C105" t="str">
            <v>Samsung</v>
          </cell>
          <cell r="D105" t="str">
            <v>Galaxy TAB S7 FE 5G 128GB</v>
          </cell>
          <cell r="E105">
            <v>548.66</v>
          </cell>
          <cell r="F105">
            <v>576.093</v>
          </cell>
          <cell r="G105">
            <v>0</v>
          </cell>
        </row>
        <row r="106">
          <cell r="B106">
            <v>314200</v>
          </cell>
          <cell r="C106" t="str">
            <v>Apple</v>
          </cell>
          <cell r="D106" t="str">
            <v>iPAD Pro 5G 12,9" 256Gb 2021</v>
          </cell>
          <cell r="E106">
            <v>1101.16</v>
          </cell>
          <cell r="F106">
            <v>1156.218</v>
          </cell>
        </row>
        <row r="107">
          <cell r="B107">
            <v>314195</v>
          </cell>
          <cell r="C107" t="str">
            <v>Apple</v>
          </cell>
          <cell r="D107" t="str">
            <v>iPAD Pro 5G 11" 256Gb 2021</v>
          </cell>
          <cell r="E107">
            <v>862.29</v>
          </cell>
          <cell r="F107">
            <v>905.4045</v>
          </cell>
        </row>
        <row r="108">
          <cell r="B108">
            <v>314363</v>
          </cell>
          <cell r="C108" t="str">
            <v>Apple</v>
          </cell>
          <cell r="D108" t="str">
            <v>Ipad 10.2 2021 64Gb Space Grey</v>
          </cell>
          <cell r="E108">
            <v>444.28</v>
          </cell>
          <cell r="F108">
            <v>466.494</v>
          </cell>
        </row>
        <row r="109">
          <cell r="B109">
            <v>314364</v>
          </cell>
          <cell r="C109" t="str">
            <v>Apple</v>
          </cell>
          <cell r="D109" t="str">
            <v>Ipad 10.2 2021 256Gb Space Grey</v>
          </cell>
          <cell r="E109">
            <v>593.03</v>
          </cell>
          <cell r="F109">
            <v>622.6815</v>
          </cell>
        </row>
        <row r="110">
          <cell r="B110">
            <v>314222</v>
          </cell>
          <cell r="C110" t="str">
            <v>Alcatel</v>
          </cell>
          <cell r="D110" t="str">
            <v>TCT Router HH500 5G</v>
          </cell>
          <cell r="E110">
            <v>191.77</v>
          </cell>
          <cell r="F110">
            <v>210.947</v>
          </cell>
        </row>
        <row r="111">
          <cell r="B111">
            <v>314221</v>
          </cell>
          <cell r="C111" t="str">
            <v>ZTE</v>
          </cell>
          <cell r="D111" t="str">
            <v>MIFI MU5001 MIFI 5G</v>
          </cell>
          <cell r="E111">
            <v>181.76</v>
          </cell>
          <cell r="F111">
            <v>199.936</v>
          </cell>
        </row>
        <row r="112">
          <cell r="B112">
            <v>314491</v>
          </cell>
          <cell r="C112" t="str">
            <v>Samsung</v>
          </cell>
          <cell r="D112" t="str">
            <v>Samsung Galaxy Tab A7 Lite 3 - 32GB</v>
          </cell>
          <cell r="E112">
            <v>159.0358</v>
          </cell>
          <cell r="F112">
            <v>174.93938</v>
          </cell>
          <cell r="G112">
            <v>15</v>
          </cell>
        </row>
        <row r="113">
          <cell r="B113">
            <v>314453</v>
          </cell>
          <cell r="C113" t="str">
            <v>Samsung</v>
          </cell>
          <cell r="D113" t="str">
            <v>Samsung Galaxy Tab A8 4GB - 64GB</v>
          </cell>
          <cell r="E113">
            <v>245.66</v>
          </cell>
          <cell r="F113">
            <v>270.226</v>
          </cell>
          <cell r="G113">
            <v>20</v>
          </cell>
        </row>
        <row r="114">
          <cell r="B114">
            <v>314225</v>
          </cell>
          <cell r="C114" t="str">
            <v>Alcatel</v>
          </cell>
          <cell r="D114" t="str">
            <v>TAB 3T 10 4G BLACK</v>
          </cell>
          <cell r="E114">
            <v>120.42</v>
          </cell>
          <cell r="F114">
            <v>132.462</v>
          </cell>
          <cell r="G114">
            <v>17</v>
          </cell>
        </row>
        <row r="115">
          <cell r="B115">
            <v>314492</v>
          </cell>
          <cell r="C115" t="str">
            <v>Adoc</v>
          </cell>
          <cell r="D115" t="str">
            <v>Router R45</v>
          </cell>
          <cell r="E115">
            <v>54.68</v>
          </cell>
          <cell r="F115">
            <v>60.148</v>
          </cell>
        </row>
        <row r="116">
          <cell r="B116">
            <v>314527</v>
          </cell>
          <cell r="C116" t="str">
            <v>Samsung</v>
          </cell>
          <cell r="D116" t="str">
            <v>Galaxy Tab S8 Ultra 5G 256Gb</v>
          </cell>
          <cell r="E116">
            <v>1249.56</v>
          </cell>
          <cell r="F116">
            <v>1312.038</v>
          </cell>
          <cell r="G116">
            <v>50</v>
          </cell>
        </row>
        <row r="117">
          <cell r="B117">
            <v>314575</v>
          </cell>
          <cell r="C117" t="str">
            <v>Apple</v>
          </cell>
          <cell r="D117" t="str">
            <v>IPAD AIR WF 256GB Space Grey</v>
          </cell>
          <cell r="E117">
            <v>757.79</v>
          </cell>
          <cell r="F117">
            <v>795.6795</v>
          </cell>
        </row>
        <row r="118">
          <cell r="B118">
            <v>314177</v>
          </cell>
          <cell r="C118" t="str">
            <v>Adoc</v>
          </cell>
          <cell r="D118" t="str">
            <v>TAB T10</v>
          </cell>
          <cell r="E118">
            <v>135.22</v>
          </cell>
          <cell r="F118">
            <v>148.742</v>
          </cell>
        </row>
        <row r="119">
          <cell r="B119">
            <v>314664</v>
          </cell>
          <cell r="C119" t="str">
            <v>Samsung</v>
          </cell>
          <cell r="D119" t="str">
            <v>Galaxy Tab S8 5G Black</v>
          </cell>
          <cell r="E119">
            <v>782.02</v>
          </cell>
          <cell r="F119">
            <v>821.121</v>
          </cell>
        </row>
        <row r="120">
          <cell r="B120">
            <v>314888</v>
          </cell>
          <cell r="C120" t="str">
            <v>Apple</v>
          </cell>
          <cell r="D120" t="str">
            <v>Apple Ipad 10.9 64Gb Silver</v>
          </cell>
          <cell r="E120">
            <v>578.64</v>
          </cell>
          <cell r="F120">
            <v>607.572</v>
          </cell>
        </row>
        <row r="121">
          <cell r="B121">
            <v>314890</v>
          </cell>
          <cell r="C121" t="str">
            <v>Apple</v>
          </cell>
          <cell r="D121" t="str">
            <v>Apple Ipad 10.9 256Gb Silver</v>
          </cell>
          <cell r="E121">
            <v>727.93</v>
          </cell>
          <cell r="F121">
            <v>764.3265</v>
          </cell>
        </row>
        <row r="122">
          <cell r="B122">
            <v>314891</v>
          </cell>
          <cell r="C122" t="str">
            <v>Apple</v>
          </cell>
          <cell r="D122" t="str">
            <v>Apple Ipad Pro 11 WF CL ISP 256GB GRY</v>
          </cell>
          <cell r="E122">
            <v>1026.51</v>
          </cell>
          <cell r="F122">
            <v>1077.8355</v>
          </cell>
        </row>
        <row r="123">
          <cell r="B123">
            <v>314892</v>
          </cell>
          <cell r="C123" t="str">
            <v>Apple</v>
          </cell>
          <cell r="D123" t="str">
            <v>Apple iPad Pro 12.9 WF CL ISP 256GB GRY</v>
          </cell>
          <cell r="E123">
            <v>1325.1</v>
          </cell>
          <cell r="F123">
            <v>1391.355</v>
          </cell>
        </row>
        <row r="124">
          <cell r="B124">
            <v>314697</v>
          </cell>
          <cell r="C124" t="str">
            <v>ZTE</v>
          </cell>
          <cell r="D124" t="str">
            <v>Mifi R219Z</v>
          </cell>
          <cell r="E124">
            <v>23.78</v>
          </cell>
          <cell r="F124">
            <v>26.158</v>
          </cell>
        </row>
        <row r="125">
          <cell r="B125">
            <v>314691</v>
          </cell>
          <cell r="C125" t="str">
            <v>ZTE</v>
          </cell>
          <cell r="D125" t="str">
            <v>Router MF296C</v>
          </cell>
          <cell r="E125">
            <v>57.58</v>
          </cell>
          <cell r="F125">
            <v>63.338</v>
          </cell>
        </row>
        <row r="126">
          <cell r="B126">
            <v>315048</v>
          </cell>
          <cell r="C126" t="str">
            <v>Samsung</v>
          </cell>
          <cell r="D126" t="str">
            <v>Tab Active 4 Pro 5G 128Gb Black</v>
          </cell>
          <cell r="E126">
            <v>652.48</v>
          </cell>
          <cell r="F126">
            <v>685.104</v>
          </cell>
        </row>
        <row r="127">
          <cell r="B127">
            <v>301046</v>
          </cell>
          <cell r="C127" t="str">
            <v>TCL</v>
          </cell>
          <cell r="D127" t="str">
            <v>Tab Nxtpaper 11 Dark Grey</v>
          </cell>
          <cell r="E127">
            <v>188.47</v>
          </cell>
          <cell r="F127">
            <v>207.317</v>
          </cell>
        </row>
        <row r="128">
          <cell r="B128">
            <v>314901</v>
          </cell>
          <cell r="C128" t="str">
            <v>ZTE</v>
          </cell>
          <cell r="D128" t="str">
            <v>Router Gigacube MC888 Ultra 5G</v>
          </cell>
          <cell r="E128">
            <v>167.73</v>
          </cell>
          <cell r="F128">
            <v>184.503</v>
          </cell>
        </row>
        <row r="129">
          <cell r="B129">
            <v>315157</v>
          </cell>
          <cell r="C129" t="str">
            <v>Samsung</v>
          </cell>
          <cell r="D129" t="str">
            <v>GALAXY TAB S9 5G 128GB GRAY      </v>
          </cell>
          <cell r="E129">
            <v>821.49</v>
          </cell>
          <cell r="F129">
            <v>862.5645</v>
          </cell>
        </row>
        <row r="130">
          <cell r="B130">
            <v>315158</v>
          </cell>
          <cell r="C130" t="str">
            <v>Samsung</v>
          </cell>
          <cell r="D130" t="str">
            <v>GALAXY TAB S9 ULTRA 5G 256GB     </v>
          </cell>
          <cell r="E130">
            <v>1164.56</v>
          </cell>
          <cell r="F130">
            <v>1222.788</v>
          </cell>
        </row>
        <row r="131">
          <cell r="B131">
            <v>315175</v>
          </cell>
          <cell r="C131" t="str">
            <v>ZTE</v>
          </cell>
          <cell r="D131" t="str">
            <v>MU5001 B MIFI 5G</v>
          </cell>
          <cell r="E131">
            <v>181.76</v>
          </cell>
          <cell r="F131">
            <v>199.936</v>
          </cell>
        </row>
      </sheetData>
      <sheetData sheetId="2">
        <row r="3">
          <cell r="D3" t="str">
            <v>Referencia</v>
          </cell>
          <cell r="E3" t="str">
            <v>FABRICANTE</v>
          </cell>
          <cell r="F3" t="str">
            <v>MODELO</v>
          </cell>
          <cell r="G3" t="str">
            <v>Precio Coste</v>
          </cell>
          <cell r="H3" t="str">
            <v>Precio Cesión</v>
          </cell>
          <cell r="I3" t="str">
            <v>Apoyos de sell-out</v>
          </cell>
        </row>
        <row r="4">
          <cell r="D4">
            <v>327656</v>
          </cell>
          <cell r="E4" t="str">
            <v>Plantronics</v>
          </cell>
          <cell r="F4" t="str">
            <v>Auricular Plantronics Blackwire C420 PC</v>
          </cell>
          <cell r="G4">
            <v>48.88</v>
          </cell>
          <cell r="H4">
            <v>51.324</v>
          </cell>
        </row>
        <row r="5">
          <cell r="D5">
            <v>327953</v>
          </cell>
          <cell r="E5" t="str">
            <v>Plantronics</v>
          </cell>
          <cell r="F5" t="str">
            <v>Auricular Bluetooth Plan VL UC</v>
          </cell>
          <cell r="G5">
            <v>65.57</v>
          </cell>
          <cell r="H5">
            <v>68.8485</v>
          </cell>
        </row>
        <row r="6">
          <cell r="D6">
            <v>328158</v>
          </cell>
          <cell r="E6" t="str">
            <v>Plantronics</v>
          </cell>
          <cell r="F6" t="str">
            <v>Auricular Plantronics Blackwire C320-M PC</v>
          </cell>
          <cell r="G6">
            <v>27.99</v>
          </cell>
          <cell r="H6">
            <v>29.3895</v>
          </cell>
        </row>
        <row r="7">
          <cell r="D7">
            <v>328159</v>
          </cell>
          <cell r="E7" t="str">
            <v>Plantronics</v>
          </cell>
          <cell r="F7" t="str">
            <v>Auricular Plantronics Blackwire C310-M PC</v>
          </cell>
          <cell r="G7">
            <v>17.96</v>
          </cell>
          <cell r="H7">
            <v>18.858</v>
          </cell>
        </row>
        <row r="8">
          <cell r="D8">
            <v>328421</v>
          </cell>
          <cell r="E8" t="str">
            <v>Plantronics</v>
          </cell>
          <cell r="F8" t="str">
            <v>Auricular Bluetooth  VOYAGER 3200 UC</v>
          </cell>
          <cell r="G8">
            <v>89</v>
          </cell>
          <cell r="H8">
            <v>93.45</v>
          </cell>
        </row>
        <row r="9">
          <cell r="D9">
            <v>328420</v>
          </cell>
          <cell r="E9" t="str">
            <v>Plantronics</v>
          </cell>
          <cell r="F9" t="str">
            <v>Auricular Bluetooth  Voyager Focus UC sin Base</v>
          </cell>
          <cell r="G9">
            <v>111.52</v>
          </cell>
          <cell r="H9">
            <v>117.096</v>
          </cell>
        </row>
        <row r="10">
          <cell r="D10">
            <v>300641</v>
          </cell>
          <cell r="E10" t="str">
            <v>Quik Media</v>
          </cell>
          <cell r="F10" t="str">
            <v>Quick Media Cámara termográfica UTi165k</v>
          </cell>
          <cell r="G10">
            <v>867.37</v>
          </cell>
          <cell r="H10">
            <v>910.7385</v>
          </cell>
        </row>
        <row r="11">
          <cell r="D11">
            <v>300642</v>
          </cell>
          <cell r="E11" t="str">
            <v>Quik Media</v>
          </cell>
          <cell r="F11" t="str">
            <v>Quick Media Tripode</v>
          </cell>
          <cell r="G11">
            <v>88</v>
          </cell>
          <cell r="H11">
            <v>92.4</v>
          </cell>
        </row>
        <row r="12">
          <cell r="D12">
            <v>327657</v>
          </cell>
          <cell r="E12" t="str">
            <v>Plantronics</v>
          </cell>
          <cell r="F12" t="str">
            <v>Auricular Plantronics HW121N-A Neo 3100</v>
          </cell>
          <cell r="G12">
            <v>68.1</v>
          </cell>
          <cell r="H12">
            <v>71.505</v>
          </cell>
        </row>
        <row r="13">
          <cell r="D13">
            <v>327660</v>
          </cell>
          <cell r="E13" t="str">
            <v>Plantronics</v>
          </cell>
          <cell r="F13" t="str">
            <v>Cable Plantronics HW261N Supraplus</v>
          </cell>
          <cell r="G13">
            <v>12.32</v>
          </cell>
          <cell r="H13">
            <v>12.936</v>
          </cell>
        </row>
        <row r="14">
          <cell r="D14">
            <v>327662</v>
          </cell>
          <cell r="E14" t="str">
            <v>Plantronics</v>
          </cell>
          <cell r="F14" t="str">
            <v>P540-M USB TELEPHONE</v>
          </cell>
          <cell r="G14">
            <v>78.27</v>
          </cell>
          <cell r="H14">
            <v>82.1835</v>
          </cell>
        </row>
        <row r="15">
          <cell r="D15">
            <v>327880</v>
          </cell>
          <cell r="E15" t="str">
            <v>Plantronics</v>
          </cell>
          <cell r="F15" t="str">
            <v>Auricular DECTPlantronics CS540</v>
          </cell>
          <cell r="G15">
            <v>115.15</v>
          </cell>
          <cell r="H15">
            <v>120.9075</v>
          </cell>
        </row>
        <row r="16">
          <cell r="D16">
            <v>328004</v>
          </cell>
          <cell r="E16" t="str">
            <v>Plantronics</v>
          </cell>
          <cell r="F16" t="str">
            <v>Altavoz Bluetooth Calisto 620</v>
          </cell>
          <cell r="G16">
            <v>72.24</v>
          </cell>
          <cell r="H16">
            <v>75.852</v>
          </cell>
        </row>
        <row r="17">
          <cell r="D17">
            <v>328049</v>
          </cell>
          <cell r="E17" t="str">
            <v>Plantronics</v>
          </cell>
          <cell r="F17" t="str">
            <v>Adaptador Plantronics Neo 3400 new</v>
          </cell>
          <cell r="G17">
            <v>12.31</v>
          </cell>
          <cell r="H17">
            <v>12.9255</v>
          </cell>
        </row>
        <row r="18">
          <cell r="D18">
            <v>328161</v>
          </cell>
          <cell r="E18" t="str">
            <v>Plantronics</v>
          </cell>
          <cell r="F18" t="str">
            <v>Auricular DECT Plantronics W440 A_M Operador</v>
          </cell>
          <cell r="G18">
            <v>137.63</v>
          </cell>
          <cell r="H18">
            <v>144.5115</v>
          </cell>
        </row>
        <row r="19">
          <cell r="D19">
            <v>328194</v>
          </cell>
          <cell r="E19" t="str">
            <v>Plantronics</v>
          </cell>
          <cell r="F19" t="str">
            <v>Conector USB para CS 540</v>
          </cell>
          <cell r="G19">
            <v>22.39</v>
          </cell>
          <cell r="H19">
            <v>23.5095</v>
          </cell>
        </row>
        <row r="20">
          <cell r="D20">
            <v>328195</v>
          </cell>
          <cell r="E20" t="str">
            <v>Plantronics</v>
          </cell>
          <cell r="F20" t="str">
            <v>Descolgador CS540 eSpace 7910-7950</v>
          </cell>
          <cell r="G20">
            <v>22.39</v>
          </cell>
          <cell r="H20">
            <v>23.5095</v>
          </cell>
        </row>
        <row r="21">
          <cell r="D21">
            <v>328196</v>
          </cell>
          <cell r="E21" t="str">
            <v>Plantronics</v>
          </cell>
          <cell r="F21" t="str">
            <v>Cable adaptador HW111-121 eSpace 7910-7950</v>
          </cell>
          <cell r="G21">
            <v>8.39</v>
          </cell>
          <cell r="H21">
            <v>8.8095</v>
          </cell>
        </row>
        <row r="22">
          <cell r="D22">
            <v>380427</v>
          </cell>
          <cell r="E22" t="str">
            <v>Gramofon</v>
          </cell>
          <cell r="F22" t="str">
            <v>Fonera Gramofon Negra</v>
          </cell>
          <cell r="G22">
            <v>36</v>
          </cell>
          <cell r="H22">
            <v>37.8</v>
          </cell>
        </row>
        <row r="23">
          <cell r="D23">
            <v>380518</v>
          </cell>
          <cell r="E23" t="str">
            <v>Gramofon</v>
          </cell>
          <cell r="F23" t="str">
            <v>Fontech Punto acceso FON</v>
          </cell>
          <cell r="G23">
            <v>36.81</v>
          </cell>
          <cell r="H23">
            <v>38.6505</v>
          </cell>
        </row>
        <row r="24">
          <cell r="D24">
            <v>328581</v>
          </cell>
          <cell r="E24" t="str">
            <v>Nextivity</v>
          </cell>
          <cell r="F24" t="str">
            <v>Nextivity CEL FI 4G A</v>
          </cell>
          <cell r="G24">
            <v>647.98</v>
          </cell>
          <cell r="H24">
            <v>680.379</v>
          </cell>
        </row>
        <row r="25">
          <cell r="D25">
            <v>328370</v>
          </cell>
          <cell r="E25" t="str">
            <v>Plantronics</v>
          </cell>
          <cell r="F25" t="str">
            <v>Auricular Bluetooth VOYAGER 5200 UC</v>
          </cell>
          <cell r="G25">
            <v>45</v>
          </cell>
          <cell r="H25">
            <v>47.25</v>
          </cell>
        </row>
        <row r="26">
          <cell r="D26">
            <v>300639</v>
          </cell>
          <cell r="E26" t="str">
            <v>Quik Media</v>
          </cell>
          <cell r="F26" t="str">
            <v>ESTERILIZADOR UV1           </v>
          </cell>
          <cell r="G26">
            <v>18.5</v>
          </cell>
          <cell r="H26">
            <v>19.425</v>
          </cell>
        </row>
        <row r="27">
          <cell r="D27">
            <v>300640</v>
          </cell>
          <cell r="E27" t="str">
            <v>Quik Media</v>
          </cell>
          <cell r="F27" t="str">
            <v>ESTERILIZADOR UV4</v>
          </cell>
          <cell r="G27">
            <v>46.25</v>
          </cell>
          <cell r="H27">
            <v>48.5625</v>
          </cell>
        </row>
        <row r="28">
          <cell r="D28">
            <v>300655</v>
          </cell>
        </row>
        <row r="28">
          <cell r="F28" t="str">
            <v>Cable Car Connected OBD2</v>
          </cell>
          <cell r="G28">
            <v>5.55</v>
          </cell>
          <cell r="H28">
            <v>5.8275</v>
          </cell>
        </row>
        <row r="29">
          <cell r="D29">
            <v>328633</v>
          </cell>
          <cell r="E29" t="str">
            <v>Plantronics</v>
          </cell>
          <cell r="F29" t="str">
            <v>Auricular Plantronics HW320 Neo 3</v>
          </cell>
          <cell r="G29">
            <v>34</v>
          </cell>
          <cell r="H29">
            <v>35.7</v>
          </cell>
        </row>
        <row r="30">
          <cell r="D30">
            <v>328632</v>
          </cell>
          <cell r="E30" t="str">
            <v>Plantronics</v>
          </cell>
          <cell r="F30" t="str">
            <v>Auricular Plantronics HW310</v>
          </cell>
          <cell r="G30">
            <v>29</v>
          </cell>
          <cell r="H30">
            <v>30.45</v>
          </cell>
        </row>
        <row r="31">
          <cell r="D31">
            <v>380421</v>
          </cell>
          <cell r="E31" t="str">
            <v>UEI</v>
          </cell>
          <cell r="F31" t="str">
            <v>Mando TIVO RCU</v>
          </cell>
          <cell r="G31">
            <v>2.62</v>
          </cell>
          <cell r="H31">
            <v>2.751</v>
          </cell>
        </row>
        <row r="32">
          <cell r="D32">
            <v>380419</v>
          </cell>
          <cell r="E32" t="str">
            <v>Nagravision</v>
          </cell>
          <cell r="F32" t="str">
            <v>NAGRA SMARTCARD CLK+1 NGTV</v>
          </cell>
          <cell r="G32">
            <v>5.93</v>
          </cell>
          <cell r="H32">
            <v>6.2265</v>
          </cell>
        </row>
        <row r="33">
          <cell r="D33">
            <v>380490</v>
          </cell>
          <cell r="E33" t="str">
            <v>Nokia</v>
          </cell>
          <cell r="F33" t="str">
            <v>NOKIA ONT G-010G-P</v>
          </cell>
          <cell r="G33">
            <v>24.51</v>
          </cell>
          <cell r="H33">
            <v>25.7355</v>
          </cell>
        </row>
        <row r="34">
          <cell r="D34">
            <v>380495</v>
          </cell>
          <cell r="E34" t="str">
            <v>Huawei</v>
          </cell>
          <cell r="F34" t="str">
            <v>Huawei ONT HG8010H</v>
          </cell>
          <cell r="G34">
            <v>25</v>
          </cell>
          <cell r="H34">
            <v>26.25</v>
          </cell>
        </row>
        <row r="35">
          <cell r="D35">
            <v>380436</v>
          </cell>
          <cell r="E35" t="str">
            <v>ZTE</v>
          </cell>
          <cell r="F35" t="str">
            <v>ZTE ONT Jazztel</v>
          </cell>
          <cell r="G35">
            <v>30.17</v>
          </cell>
          <cell r="H35">
            <v>31.6785</v>
          </cell>
        </row>
        <row r="36">
          <cell r="D36">
            <v>380521</v>
          </cell>
          <cell r="E36" t="str">
            <v>Sagemcom</v>
          </cell>
          <cell r="F36" t="str">
            <v>Sagemcom Superwifi fast286</v>
          </cell>
          <cell r="G36">
            <v>40.22</v>
          </cell>
          <cell r="H36">
            <v>42.231</v>
          </cell>
        </row>
        <row r="37">
          <cell r="D37">
            <v>380432</v>
          </cell>
          <cell r="E37" t="str">
            <v>Huawei</v>
          </cell>
          <cell r="F37" t="str">
            <v>Huawei ONT HG8240H NEBA</v>
          </cell>
          <cell r="G37">
            <v>35.86</v>
          </cell>
          <cell r="H37">
            <v>37.653</v>
          </cell>
        </row>
        <row r="38">
          <cell r="D38">
            <v>380438</v>
          </cell>
          <cell r="E38" t="str">
            <v>Compal</v>
          </cell>
          <cell r="F38" t="str">
            <v>CM COMPAL CG6640E</v>
          </cell>
          <cell r="G38">
            <v>37.39</v>
          </cell>
          <cell r="H38">
            <v>39.2595</v>
          </cell>
        </row>
        <row r="39">
          <cell r="D39">
            <v>380504</v>
          </cell>
          <cell r="E39" t="str">
            <v>Sercomm</v>
          </cell>
          <cell r="F39" t="str">
            <v>Sercomm VFH-500s DSL-L</v>
          </cell>
          <cell r="G39">
            <v>40.66</v>
          </cell>
          <cell r="H39">
            <v>42.693</v>
          </cell>
        </row>
        <row r="40">
          <cell r="D40">
            <v>380489</v>
          </cell>
          <cell r="E40" t="str">
            <v>Sercomm</v>
          </cell>
          <cell r="F40" t="str">
            <v> Sercomm VFH-500s DSL</v>
          </cell>
          <cell r="G40">
            <v>40.68</v>
          </cell>
          <cell r="H40">
            <v>42.714</v>
          </cell>
        </row>
        <row r="41">
          <cell r="D41">
            <v>380502</v>
          </cell>
          <cell r="E41" t="str">
            <v>Technicolor</v>
          </cell>
          <cell r="F41" t="str">
            <v>VDSL ESSENTIAL - VFH 500-T</v>
          </cell>
          <cell r="G41">
            <v>41</v>
          </cell>
          <cell r="H41">
            <v>43.05</v>
          </cell>
        </row>
        <row r="42">
          <cell r="D42">
            <v>380429</v>
          </cell>
          <cell r="E42" t="str">
            <v>Sercomm</v>
          </cell>
          <cell r="F42" t="str">
            <v>SERCOMM VOX 2.5 ROUTER AVANZADO          </v>
          </cell>
          <cell r="G42">
            <v>84</v>
          </cell>
          <cell r="H42">
            <v>88.2</v>
          </cell>
        </row>
        <row r="43">
          <cell r="D43">
            <v>380497</v>
          </cell>
          <cell r="E43" t="str">
            <v>Compal</v>
          </cell>
          <cell r="F43" t="str">
            <v>Compal CH6643 MTA Basico</v>
          </cell>
          <cell r="G43">
            <v>45.58</v>
          </cell>
          <cell r="H43">
            <v>47.859</v>
          </cell>
        </row>
        <row r="44">
          <cell r="D44">
            <v>380520</v>
          </cell>
          <cell r="E44" t="str">
            <v>Sercomm</v>
          </cell>
          <cell r="F44" t="str">
            <v>Sercomm ONT L3 FG824CD</v>
          </cell>
          <cell r="G44">
            <v>50.61</v>
          </cell>
          <cell r="H44">
            <v>53.1405</v>
          </cell>
        </row>
        <row r="45">
          <cell r="D45">
            <v>380527</v>
          </cell>
          <cell r="E45" t="str">
            <v>Sercomm</v>
          </cell>
          <cell r="F45" t="str">
            <v>Sercomm VFH-500s C</v>
          </cell>
          <cell r="G45">
            <v>46.92</v>
          </cell>
          <cell r="H45">
            <v>49.266</v>
          </cell>
        </row>
        <row r="46">
          <cell r="D46">
            <v>380529</v>
          </cell>
          <cell r="E46" t="str">
            <v>Sercomm</v>
          </cell>
          <cell r="F46" t="str">
            <v>Sercomm VOX 3,0 Fiber</v>
          </cell>
          <cell r="G46">
            <v>48.97</v>
          </cell>
          <cell r="H46">
            <v>51.4185</v>
          </cell>
        </row>
        <row r="47">
          <cell r="D47">
            <v>380532</v>
          </cell>
          <cell r="E47" t="str">
            <v>Sercomm</v>
          </cell>
          <cell r="F47" t="str">
            <v>Sercomm VOX 3.0 FIBER Gen</v>
          </cell>
          <cell r="G47">
            <v>53.36</v>
          </cell>
          <cell r="H47">
            <v>56.028</v>
          </cell>
        </row>
        <row r="48">
          <cell r="D48">
            <v>380433</v>
          </cell>
          <cell r="E48" t="str">
            <v>Compal</v>
          </cell>
          <cell r="F48" t="str">
            <v>CABLE-MODEM COMPAL CG7486E</v>
          </cell>
          <cell r="G48">
            <v>56.59</v>
          </cell>
          <cell r="H48">
            <v>59.4195</v>
          </cell>
        </row>
        <row r="49">
          <cell r="D49">
            <v>380483</v>
          </cell>
          <cell r="E49" t="str">
            <v>Sagemcom</v>
          </cell>
          <cell r="F49" t="str">
            <v>MTA SAGEMCOM ST3686</v>
          </cell>
          <cell r="G49">
            <v>57.29</v>
          </cell>
          <cell r="H49">
            <v>60.1545</v>
          </cell>
        </row>
        <row r="50">
          <cell r="D50">
            <v>380425</v>
          </cell>
          <cell r="E50" t="str">
            <v>Technicolor</v>
          </cell>
          <cell r="F50" t="str">
            <v>MTA Technicolor TC7230</v>
          </cell>
          <cell r="G50">
            <v>58.17</v>
          </cell>
          <cell r="H50">
            <v>61.0785</v>
          </cell>
        </row>
        <row r="51">
          <cell r="D51">
            <v>380499</v>
          </cell>
          <cell r="E51" t="str">
            <v>Technicolor</v>
          </cell>
          <cell r="F51" t="str">
            <v>MTA Technicolor TC7230 L</v>
          </cell>
          <cell r="G51">
            <v>58.92</v>
          </cell>
          <cell r="H51">
            <v>61.866</v>
          </cell>
        </row>
        <row r="52">
          <cell r="D52">
            <v>380430</v>
          </cell>
          <cell r="E52" t="str">
            <v>Technicolor</v>
          </cell>
          <cell r="F52" t="str">
            <v>TC7210.CM Bitstream</v>
          </cell>
          <cell r="G52">
            <v>59.36</v>
          </cell>
          <cell r="H52">
            <v>62.328</v>
          </cell>
        </row>
        <row r="53">
          <cell r="D53">
            <v>380530</v>
          </cell>
          <cell r="E53" t="str">
            <v>Sagemcom</v>
          </cell>
          <cell r="F53" t="str">
            <v>MTA Sagemcom ST3686 GENÉRICO</v>
          </cell>
          <cell r="G53">
            <v>60.68</v>
          </cell>
          <cell r="H53">
            <v>63.714</v>
          </cell>
        </row>
        <row r="54">
          <cell r="D54">
            <v>380434</v>
          </cell>
          <cell r="E54" t="str">
            <v>Compal</v>
          </cell>
          <cell r="F54" t="str">
            <v>MTA COMPAL PREMIUM CH7486E</v>
          </cell>
          <cell r="G54">
            <v>59.75</v>
          </cell>
          <cell r="H54">
            <v>62.7375</v>
          </cell>
        </row>
        <row r="55">
          <cell r="D55">
            <v>380424</v>
          </cell>
          <cell r="E55" t="str">
            <v>Technicolor</v>
          </cell>
          <cell r="F55" t="str">
            <v>Cable-modem TC7210</v>
          </cell>
          <cell r="G55">
            <v>61.08</v>
          </cell>
          <cell r="H55">
            <v>64.134</v>
          </cell>
        </row>
        <row r="56">
          <cell r="D56">
            <v>380561</v>
          </cell>
          <cell r="E56" t="str">
            <v>Sercomm</v>
          </cell>
          <cell r="F56" t="str">
            <v>Sercomm Vox 3,0 Wifi 6</v>
          </cell>
          <cell r="G56">
            <v>66.2</v>
          </cell>
          <cell r="H56">
            <v>69.51</v>
          </cell>
        </row>
        <row r="57">
          <cell r="D57">
            <v>380511</v>
          </cell>
          <cell r="E57" t="str">
            <v>Technicolor</v>
          </cell>
          <cell r="F57" t="str">
            <v>MTA TECHNICOLOR CGA4233 DOCSIS 3.1</v>
          </cell>
          <cell r="G57">
            <v>87.72</v>
          </cell>
          <cell r="H57">
            <v>92.106</v>
          </cell>
        </row>
        <row r="58">
          <cell r="D58">
            <v>380492</v>
          </cell>
          <cell r="E58" t="str">
            <v>Sagemcom</v>
          </cell>
          <cell r="F58" t="str">
            <v>SAGEMCOM STB NEBA ( RCU UEI )</v>
          </cell>
          <cell r="G58">
            <v>87.16</v>
          </cell>
          <cell r="H58">
            <v>91.518</v>
          </cell>
        </row>
        <row r="59">
          <cell r="D59">
            <v>380437</v>
          </cell>
          <cell r="E59" t="str">
            <v>Sagemcom</v>
          </cell>
          <cell r="F59" t="str">
            <v>STB SAGEMCOM</v>
          </cell>
          <cell r="G59">
            <v>87.82</v>
          </cell>
          <cell r="H59">
            <v>92.211</v>
          </cell>
        </row>
        <row r="60">
          <cell r="D60">
            <v>380484</v>
          </cell>
          <cell r="E60" t="str">
            <v>Sagemcom</v>
          </cell>
          <cell r="F60" t="str">
            <v>SAGEMCOM STB TIVO ( rcu Ruwido) </v>
          </cell>
          <cell r="G60">
            <v>89.95</v>
          </cell>
          <cell r="H60">
            <v>94.4475</v>
          </cell>
        </row>
        <row r="61">
          <cell r="D61">
            <v>380420</v>
          </cell>
          <cell r="E61" t="str">
            <v>Technicolor</v>
          </cell>
          <cell r="F61" t="str">
            <v>Cisco Decodificador TIVO 8685</v>
          </cell>
          <cell r="G61">
            <v>127.58</v>
          </cell>
          <cell r="H61">
            <v>133.959</v>
          </cell>
        </row>
        <row r="62">
          <cell r="D62">
            <v>300610</v>
          </cell>
          <cell r="E62" t="str">
            <v>Samsung</v>
          </cell>
          <cell r="F62" t="str">
            <v>Samsung Multisensor SmartHome IOT</v>
          </cell>
          <cell r="G62">
            <v>13.96</v>
          </cell>
          <cell r="H62">
            <v>14.658</v>
          </cell>
        </row>
        <row r="63">
          <cell r="D63">
            <v>300608</v>
          </cell>
          <cell r="E63" t="str">
            <v>Sercomm</v>
          </cell>
          <cell r="F63" t="str">
            <v>Sercomm Sirena SmartHome IOT</v>
          </cell>
          <cell r="G63">
            <v>19.23</v>
          </cell>
          <cell r="H63">
            <v>20.1915</v>
          </cell>
        </row>
        <row r="64">
          <cell r="D64">
            <v>300617</v>
          </cell>
          <cell r="E64" t="str">
            <v>Google</v>
          </cell>
          <cell r="F64" t="str">
            <v>Google Chromecast</v>
          </cell>
          <cell r="G64">
            <v>29.49</v>
          </cell>
          <cell r="H64">
            <v>30.9645</v>
          </cell>
        </row>
        <row r="65">
          <cell r="D65">
            <v>300645</v>
          </cell>
          <cell r="E65" t="str">
            <v>Amazon</v>
          </cell>
          <cell r="F65" t="str">
            <v>Amazon Fire Stick HD</v>
          </cell>
          <cell r="G65">
            <v>30.08</v>
          </cell>
          <cell r="H65">
            <v>31.584</v>
          </cell>
        </row>
        <row r="66">
          <cell r="D66">
            <v>300621</v>
          </cell>
          <cell r="E66" t="str">
            <v>Google</v>
          </cell>
          <cell r="F66" t="str">
            <v>Google Home Mini Smart Speaker</v>
          </cell>
          <cell r="G66">
            <v>40.96</v>
          </cell>
          <cell r="H66">
            <v>43.008</v>
          </cell>
        </row>
        <row r="67">
          <cell r="D67">
            <v>300687</v>
          </cell>
          <cell r="E67" t="str">
            <v>Google</v>
          </cell>
          <cell r="F67" t="str">
            <v>Google Nest Mini Charcoal  speaker</v>
          </cell>
          <cell r="G67">
            <v>40.96</v>
          </cell>
          <cell r="H67">
            <v>43.008</v>
          </cell>
        </row>
        <row r="68">
          <cell r="D68">
            <v>300686</v>
          </cell>
          <cell r="E68" t="str">
            <v>Amazon</v>
          </cell>
          <cell r="F68" t="str">
            <v>Amazon Echo Dot 4th Gen Speaker</v>
          </cell>
          <cell r="G68">
            <v>45.39</v>
          </cell>
          <cell r="H68">
            <v>47.6595</v>
          </cell>
        </row>
        <row r="69">
          <cell r="D69">
            <v>300709</v>
          </cell>
          <cell r="E69" t="str">
            <v>Amazon</v>
          </cell>
          <cell r="F69" t="str">
            <v>Amazon Echo Dot 4th Gen Speaker Black</v>
          </cell>
          <cell r="G69">
            <v>45.39</v>
          </cell>
          <cell r="H69">
            <v>47.6595</v>
          </cell>
        </row>
        <row r="70">
          <cell r="D70">
            <v>300626</v>
          </cell>
          <cell r="E70" t="str">
            <v>Amazon</v>
          </cell>
          <cell r="F70" t="str">
            <v>Amazon Dot Smart Speaker</v>
          </cell>
          <cell r="G70">
            <v>39.9</v>
          </cell>
          <cell r="H70">
            <v>41.895</v>
          </cell>
        </row>
        <row r="71">
          <cell r="D71">
            <v>300644</v>
          </cell>
          <cell r="E71" t="str">
            <v>Amazon</v>
          </cell>
          <cell r="F71" t="str">
            <v>Amazon Fire Stick 4K</v>
          </cell>
          <cell r="G71">
            <v>45.12</v>
          </cell>
          <cell r="H71">
            <v>47.376</v>
          </cell>
        </row>
        <row r="72">
          <cell r="D72">
            <v>300612</v>
          </cell>
          <cell r="E72" t="str">
            <v>Sercomm</v>
          </cell>
          <cell r="F72" t="str">
            <v>Sercomm Camera I-CAM2 SmartHome IOT</v>
          </cell>
          <cell r="G72">
            <v>49.87</v>
          </cell>
          <cell r="H72">
            <v>52.3635</v>
          </cell>
        </row>
        <row r="73">
          <cell r="D73">
            <v>300611</v>
          </cell>
          <cell r="E73" t="str">
            <v>Samsung</v>
          </cell>
          <cell r="F73" t="str">
            <v>Samsung HUB SmartHome IOT</v>
          </cell>
          <cell r="G73">
            <v>55.66</v>
          </cell>
          <cell r="H73">
            <v>58.443</v>
          </cell>
        </row>
        <row r="74">
          <cell r="D74">
            <v>300620</v>
          </cell>
          <cell r="E74" t="str">
            <v>Google</v>
          </cell>
          <cell r="F74" t="str">
            <v>Google Home Smart Speaker</v>
          </cell>
          <cell r="G74">
            <v>75.09</v>
          </cell>
          <cell r="H74">
            <v>78.8445</v>
          </cell>
        </row>
        <row r="75">
          <cell r="D75">
            <v>300625</v>
          </cell>
          <cell r="E75" t="str">
            <v>Amazon</v>
          </cell>
          <cell r="F75" t="str">
            <v>Amazon Echo Smart Speaker</v>
          </cell>
          <cell r="G75">
            <v>75.2</v>
          </cell>
          <cell r="H75">
            <v>78.96</v>
          </cell>
        </row>
        <row r="76">
          <cell r="D76">
            <v>300631</v>
          </cell>
          <cell r="E76" t="str">
            <v>Google</v>
          </cell>
          <cell r="F76" t="str">
            <v>Google nest Hub</v>
          </cell>
          <cell r="G76">
            <v>89.55</v>
          </cell>
          <cell r="H76">
            <v>94.0275</v>
          </cell>
        </row>
        <row r="77">
          <cell r="D77">
            <v>300727</v>
          </cell>
          <cell r="E77" t="str">
            <v>Google</v>
          </cell>
          <cell r="F77" t="str">
            <v>Google nest Hub 2 Gen </v>
          </cell>
          <cell r="G77">
            <v>43.69</v>
          </cell>
          <cell r="H77">
            <v>45.8745</v>
          </cell>
        </row>
        <row r="78">
          <cell r="D78">
            <v>300614</v>
          </cell>
          <cell r="E78" t="str">
            <v>Samsung/Sercomm/</v>
          </cell>
          <cell r="F78" t="str">
            <v>KIT SmartHome IOT</v>
          </cell>
          <cell r="G78">
            <v>140.8</v>
          </cell>
          <cell r="H78">
            <v>147.84</v>
          </cell>
        </row>
        <row r="79">
          <cell r="D79">
            <v>300633</v>
          </cell>
          <cell r="E79" t="str">
            <v>Samsung</v>
          </cell>
          <cell r="F79" t="str">
            <v>Samsung Smart TV 32</v>
          </cell>
          <cell r="G79">
            <v>187.22</v>
          </cell>
          <cell r="H79">
            <v>196.581</v>
          </cell>
        </row>
        <row r="80">
          <cell r="D80">
            <v>300618</v>
          </cell>
          <cell r="E80" t="str">
            <v>LG</v>
          </cell>
          <cell r="F80" t="str">
            <v>LG Smart TV 32</v>
          </cell>
          <cell r="G80">
            <v>198.5</v>
          </cell>
          <cell r="H80">
            <v>208.425</v>
          </cell>
        </row>
        <row r="81">
          <cell r="D81">
            <v>300696</v>
          </cell>
          <cell r="E81" t="str">
            <v>LG</v>
          </cell>
          <cell r="F81" t="str">
            <v>LG Smart TV 43UP75</v>
          </cell>
          <cell r="G81">
            <v>267.58</v>
          </cell>
          <cell r="H81">
            <v>280.959</v>
          </cell>
        </row>
        <row r="82">
          <cell r="D82">
            <v>300697</v>
          </cell>
          <cell r="E82" t="str">
            <v>LG</v>
          </cell>
          <cell r="F82" t="str">
            <v>LG Smart TV 55UP751</v>
          </cell>
          <cell r="G82">
            <v>392.05</v>
          </cell>
          <cell r="H82">
            <v>411.6525</v>
          </cell>
        </row>
        <row r="83">
          <cell r="D83">
            <v>300698</v>
          </cell>
          <cell r="E83" t="str">
            <v>LG</v>
          </cell>
          <cell r="F83" t="str">
            <v>LG Smart TV 65UP751</v>
          </cell>
          <cell r="G83">
            <v>497.76</v>
          </cell>
          <cell r="H83">
            <v>522.648</v>
          </cell>
        </row>
        <row r="84">
          <cell r="D84">
            <v>300721</v>
          </cell>
          <cell r="E84" t="str">
            <v>LG</v>
          </cell>
          <cell r="F84" t="str">
            <v>LG Smart TV OLED55C14</v>
          </cell>
          <cell r="G84">
            <v>942</v>
          </cell>
          <cell r="H84">
            <v>989.1</v>
          </cell>
        </row>
        <row r="85">
          <cell r="D85">
            <v>300615</v>
          </cell>
          <cell r="E85" t="str">
            <v>sony</v>
          </cell>
          <cell r="F85" t="str">
            <v>Sony HDR Smart TV 32'</v>
          </cell>
          <cell r="G85">
            <v>200.3</v>
          </cell>
          <cell r="H85">
            <v>210.315</v>
          </cell>
        </row>
        <row r="86">
          <cell r="D86">
            <v>300638</v>
          </cell>
          <cell r="E86" t="str">
            <v>Xiaomi</v>
          </cell>
          <cell r="F86" t="str">
            <v>Xiaomi Smart TV 55</v>
          </cell>
          <cell r="G86">
            <v>398.67</v>
          </cell>
          <cell r="H86">
            <v>418.6035</v>
          </cell>
        </row>
        <row r="87">
          <cell r="D87">
            <v>300683</v>
          </cell>
          <cell r="E87" t="str">
            <v>Xiaomi</v>
          </cell>
          <cell r="F87" t="str">
            <v>TV 43"</v>
          </cell>
          <cell r="G87">
            <v>290.18</v>
          </cell>
          <cell r="H87">
            <v>304.689</v>
          </cell>
        </row>
        <row r="88">
          <cell r="D88">
            <v>300667</v>
          </cell>
          <cell r="E88" t="str">
            <v>Samsung</v>
          </cell>
          <cell r="F88" t="str">
            <v>Samsung Smart TV 43"</v>
          </cell>
          <cell r="G88">
            <v>248</v>
          </cell>
          <cell r="H88">
            <v>260.4</v>
          </cell>
        </row>
        <row r="89">
          <cell r="D89">
            <v>300648</v>
          </cell>
          <cell r="E89" t="str">
            <v>Samsung</v>
          </cell>
          <cell r="F89" t="str">
            <v>55TU7105    55''    4K</v>
          </cell>
          <cell r="G89">
            <v>340</v>
          </cell>
          <cell r="H89">
            <v>357</v>
          </cell>
        </row>
        <row r="90">
          <cell r="D90">
            <v>300619</v>
          </cell>
          <cell r="E90" t="str">
            <v>LG</v>
          </cell>
          <cell r="F90" t="str">
            <v>LG Smart TV 49</v>
          </cell>
          <cell r="G90">
            <v>342</v>
          </cell>
          <cell r="H90">
            <v>359.1</v>
          </cell>
        </row>
        <row r="91">
          <cell r="D91">
            <v>300613</v>
          </cell>
          <cell r="E91" t="str">
            <v>Samsung</v>
          </cell>
          <cell r="F91" t="str">
            <v>Zwave Smoke Sensor SmartHome IOT</v>
          </cell>
          <cell r="G91">
            <v>39.66</v>
          </cell>
          <cell r="H91">
            <v>41.643</v>
          </cell>
        </row>
        <row r="92">
          <cell r="D92">
            <v>300630</v>
          </cell>
          <cell r="E92" t="str">
            <v>Sagemcom</v>
          </cell>
          <cell r="F92" t="str">
            <v>Sagemcom devialet Sound Box</v>
          </cell>
          <cell r="G92">
            <v>177.1</v>
          </cell>
          <cell r="H92">
            <v>185.955</v>
          </cell>
        </row>
        <row r="93">
          <cell r="D93">
            <v>313237</v>
          </cell>
          <cell r="E93" t="str">
            <v>Vodafone Automotive SpA</v>
          </cell>
          <cell r="F93" t="str">
            <v>VF Automotive V-Car IOT</v>
          </cell>
          <cell r="G93">
            <v>54.5</v>
          </cell>
          <cell r="H93">
            <v>57.225</v>
          </cell>
        </row>
        <row r="94">
          <cell r="D94">
            <v>313238</v>
          </cell>
          <cell r="E94" t="str">
            <v>TCT</v>
          </cell>
          <cell r="F94" t="str">
            <v>Alcatel MK 20 tracker IOT</v>
          </cell>
          <cell r="G94">
            <v>41.25</v>
          </cell>
          <cell r="H94">
            <v>43.3125</v>
          </cell>
        </row>
        <row r="95">
          <cell r="D95">
            <v>313241</v>
          </cell>
          <cell r="E95" t="str">
            <v>Kippi SRL</v>
          </cell>
          <cell r="F95" t="str">
            <v>Kippy Vita S tracker IOT</v>
          </cell>
          <cell r="G95">
            <v>35.64</v>
          </cell>
          <cell r="H95">
            <v>37.422</v>
          </cell>
        </row>
        <row r="96">
          <cell r="D96">
            <v>313242</v>
          </cell>
          <cell r="E96" t="str">
            <v>Netgear</v>
          </cell>
          <cell r="F96" t="str">
            <v>Netgear Arlo Go camera IOT</v>
          </cell>
          <cell r="G96">
            <v>257.98</v>
          </cell>
          <cell r="H96">
            <v>270.879</v>
          </cell>
        </row>
        <row r="97">
          <cell r="D97">
            <v>313391</v>
          </cell>
          <cell r="E97" t="str">
            <v>Humax</v>
          </cell>
          <cell r="F97" t="str">
            <v>Kippy Vita S tracker V-Pet IOT + SIM</v>
          </cell>
          <cell r="G97">
            <v>49.24</v>
          </cell>
          <cell r="H97">
            <v>51.702</v>
          </cell>
        </row>
        <row r="98">
          <cell r="D98">
            <v>313402</v>
          </cell>
          <cell r="E98" t="str">
            <v>TCT</v>
          </cell>
          <cell r="F98" t="str">
            <v>Alcatel Kidswatch IOT Blue</v>
          </cell>
          <cell r="G98">
            <v>92.88</v>
          </cell>
          <cell r="H98">
            <v>97.524</v>
          </cell>
        </row>
        <row r="99">
          <cell r="D99">
            <v>313884</v>
          </cell>
          <cell r="E99" t="str">
            <v>ZTE</v>
          </cell>
          <cell r="F99" t="str">
            <v>zte connected car 4G IoT + SIM</v>
          </cell>
          <cell r="G99">
            <v>50.31</v>
          </cell>
          <cell r="H99">
            <v>52.8255</v>
          </cell>
        </row>
        <row r="100">
          <cell r="D100">
            <v>380564</v>
          </cell>
          <cell r="E100" t="str">
            <v>Airties</v>
          </cell>
          <cell r="F100" t="str">
            <v>AirTies 4960 Super WiFi 6</v>
          </cell>
          <cell r="G100">
            <v>47.71</v>
          </cell>
          <cell r="H100">
            <v>50.0955</v>
          </cell>
        </row>
        <row r="101">
          <cell r="D101">
            <v>300658</v>
          </cell>
          <cell r="E101" t="str">
            <v>Huawei </v>
          </cell>
          <cell r="F101" t="str">
            <v>Huawei Watch Fit Green</v>
          </cell>
          <cell r="G101">
            <v>80.09</v>
          </cell>
          <cell r="H101">
            <v>84.0945</v>
          </cell>
        </row>
        <row r="102">
          <cell r="D102">
            <v>300662</v>
          </cell>
          <cell r="E102" t="str">
            <v>Huawei </v>
          </cell>
          <cell r="F102" t="str">
            <v>Huawei Watch Fit Black</v>
          </cell>
          <cell r="G102">
            <v>80.09</v>
          </cell>
          <cell r="H102">
            <v>84.0945</v>
          </cell>
        </row>
        <row r="103">
          <cell r="D103">
            <v>300660</v>
          </cell>
          <cell r="E103" t="str">
            <v>Huawei </v>
          </cell>
          <cell r="F103" t="str">
            <v>Huawei Watch GT2e Sport 46mm</v>
          </cell>
          <cell r="G103">
            <v>128.53</v>
          </cell>
          <cell r="H103">
            <v>134.9565</v>
          </cell>
          <cell r="I103">
            <v>40</v>
          </cell>
        </row>
        <row r="104">
          <cell r="D104">
            <v>300659</v>
          </cell>
          <cell r="E104" t="str">
            <v>Huawei </v>
          </cell>
          <cell r="F104" t="str">
            <v>Huawei Watch GT2E 46mm Black</v>
          </cell>
          <cell r="G104">
            <v>111.91</v>
          </cell>
          <cell r="H104">
            <v>117.5055</v>
          </cell>
        </row>
        <row r="105">
          <cell r="D105">
            <v>300742</v>
          </cell>
          <cell r="E105" t="str">
            <v>Nubia</v>
          </cell>
          <cell r="F105" t="str">
            <v>RedMagic Watch Negro</v>
          </cell>
          <cell r="G105">
            <v>72.86</v>
          </cell>
          <cell r="H105">
            <v>76.503</v>
          </cell>
        </row>
        <row r="106">
          <cell r="D106">
            <v>300743</v>
          </cell>
          <cell r="E106" t="str">
            <v>Nubia</v>
          </cell>
          <cell r="F106" t="str">
            <v>RedMagic Watch Blanco</v>
          </cell>
          <cell r="G106">
            <v>72.86</v>
          </cell>
          <cell r="H106">
            <v>76.503</v>
          </cell>
        </row>
        <row r="107">
          <cell r="D107">
            <v>300704</v>
          </cell>
          <cell r="E107" t="str">
            <v>Huawei </v>
          </cell>
          <cell r="F107" t="str">
            <v>Huawei Band 6</v>
          </cell>
          <cell r="G107">
            <v>45.54</v>
          </cell>
          <cell r="H107">
            <v>47.817</v>
          </cell>
        </row>
        <row r="108">
          <cell r="D108">
            <v>300700</v>
          </cell>
          <cell r="E108" t="str">
            <v>Huawei </v>
          </cell>
          <cell r="F108" t="str">
            <v>Huawei Freedbuds Pro</v>
          </cell>
          <cell r="G108">
            <v>60.76</v>
          </cell>
          <cell r="H108">
            <v>63.798</v>
          </cell>
        </row>
        <row r="109">
          <cell r="D109">
            <v>300701</v>
          </cell>
          <cell r="E109" t="str">
            <v>Huawei </v>
          </cell>
          <cell r="F109" t="str">
            <v>Huawei Freedbuds i4</v>
          </cell>
          <cell r="G109">
            <v>118.04</v>
          </cell>
          <cell r="H109">
            <v>123.942</v>
          </cell>
        </row>
        <row r="110">
          <cell r="D110">
            <v>313448</v>
          </cell>
          <cell r="E110" t="str">
            <v>kippy</v>
          </cell>
          <cell r="F110" t="str">
            <v>Kippy EVO IOT + SIM</v>
          </cell>
          <cell r="G110">
            <v>64.81</v>
          </cell>
          <cell r="H110">
            <v>68.0505</v>
          </cell>
        </row>
        <row r="111">
          <cell r="D111">
            <v>300671</v>
          </cell>
          <cell r="E111" t="str">
            <v>LG</v>
          </cell>
          <cell r="F111" t="str">
            <v>LG Smart TV 43`</v>
          </cell>
          <cell r="G111">
            <v>248</v>
          </cell>
          <cell r="H111">
            <v>260.4</v>
          </cell>
        </row>
        <row r="112">
          <cell r="D112">
            <v>300672</v>
          </cell>
          <cell r="E112" t="str">
            <v>LG</v>
          </cell>
          <cell r="F112" t="str">
            <v>LG Smart TV 55`</v>
          </cell>
          <cell r="G112">
            <v>340</v>
          </cell>
          <cell r="H112">
            <v>357</v>
          </cell>
        </row>
        <row r="113">
          <cell r="D113">
            <v>300673</v>
          </cell>
          <cell r="E113" t="str">
            <v>LG</v>
          </cell>
          <cell r="F113" t="str">
            <v>LG Smart TV 65`</v>
          </cell>
          <cell r="G113">
            <v>465</v>
          </cell>
          <cell r="H113">
            <v>488.25</v>
          </cell>
        </row>
        <row r="114">
          <cell r="D114">
            <v>300674</v>
          </cell>
          <cell r="E114" t="str">
            <v>SONY</v>
          </cell>
          <cell r="F114" t="str">
            <v>Sony Smart TV 55'XH80</v>
          </cell>
          <cell r="G114">
            <v>538.36</v>
          </cell>
          <cell r="H114">
            <v>565.278</v>
          </cell>
        </row>
        <row r="115">
          <cell r="D115">
            <v>300682</v>
          </cell>
          <cell r="E115" t="str">
            <v>Samsung</v>
          </cell>
          <cell r="F115" t="str">
            <v>Galaxy Buds Pro</v>
          </cell>
          <cell r="G115">
            <v>171.03</v>
          </cell>
          <cell r="H115">
            <v>179.5815</v>
          </cell>
        </row>
        <row r="116">
          <cell r="D116">
            <v>300675</v>
          </cell>
          <cell r="E116" t="str">
            <v>Xiaomi</v>
          </cell>
          <cell r="F116" t="str">
            <v>Xiaomi Mi Smart Band 5 </v>
          </cell>
          <cell r="G116">
            <v>26.44</v>
          </cell>
          <cell r="H116">
            <v>27.762</v>
          </cell>
        </row>
        <row r="117">
          <cell r="D117">
            <v>300676</v>
          </cell>
          <cell r="E117" t="str">
            <v>Xiaomi</v>
          </cell>
          <cell r="F117" t="str">
            <v>Xiaomi Mi Electric Scooter PRO 2 </v>
          </cell>
          <cell r="G117">
            <v>436.36</v>
          </cell>
          <cell r="H117">
            <v>458.178</v>
          </cell>
          <cell r="I117">
            <v>18</v>
          </cell>
        </row>
        <row r="118">
          <cell r="D118">
            <v>300677</v>
          </cell>
          <cell r="E118" t="str">
            <v>Xiaomi</v>
          </cell>
          <cell r="F118" t="str">
            <v>Xiaomi Mi Electric Scooter 1S</v>
          </cell>
          <cell r="G118">
            <v>327.27</v>
          </cell>
          <cell r="H118">
            <v>343.6335</v>
          </cell>
        </row>
        <row r="119">
          <cell r="D119">
            <v>300678</v>
          </cell>
          <cell r="E119" t="str">
            <v>Xiaomi</v>
          </cell>
          <cell r="F119" t="str">
            <v>Xiaomi MI air purifier 3H</v>
          </cell>
          <cell r="G119">
            <v>123.35</v>
          </cell>
          <cell r="H119">
            <v>129.5175</v>
          </cell>
        </row>
        <row r="120">
          <cell r="D120">
            <v>300679</v>
          </cell>
          <cell r="E120" t="str">
            <v>Xiaomi</v>
          </cell>
          <cell r="F120" t="str">
            <v>Xiaomi Desk Lamp 1S</v>
          </cell>
          <cell r="G120">
            <v>25.78</v>
          </cell>
          <cell r="H120">
            <v>27.069</v>
          </cell>
        </row>
        <row r="121">
          <cell r="D121">
            <v>300680</v>
          </cell>
          <cell r="E121" t="str">
            <v>Xiaomi</v>
          </cell>
          <cell r="F121" t="str">
            <v>Xiaomi Mi Projector Compactor</v>
          </cell>
          <cell r="G121">
            <v>450.6</v>
          </cell>
          <cell r="H121">
            <v>473.13</v>
          </cell>
        </row>
        <row r="122">
          <cell r="D122">
            <v>300745</v>
          </cell>
          <cell r="E122" t="str">
            <v>Samsung</v>
          </cell>
          <cell r="F122" t="str">
            <v>Galaxy Buds 2</v>
          </cell>
          <cell r="G122">
            <v>112.332</v>
          </cell>
          <cell r="H122">
            <v>117.9486</v>
          </cell>
          <cell r="I122">
            <v>20</v>
          </cell>
        </row>
        <row r="123">
          <cell r="D123">
            <v>300689</v>
          </cell>
          <cell r="E123" t="str">
            <v>Samsung</v>
          </cell>
          <cell r="F123" t="str">
            <v>Samsung Smart TV UHD 43"</v>
          </cell>
          <cell r="G123">
            <v>277</v>
          </cell>
          <cell r="H123">
            <v>290.85</v>
          </cell>
        </row>
        <row r="124">
          <cell r="D124">
            <v>300690</v>
          </cell>
          <cell r="E124" t="str">
            <v>Samsung</v>
          </cell>
          <cell r="F124" t="str">
            <v>Samsung Smart TV UHD 55"</v>
          </cell>
          <cell r="G124">
            <v>372.98</v>
          </cell>
          <cell r="H124">
            <v>391.629</v>
          </cell>
        </row>
        <row r="125">
          <cell r="D125">
            <v>300691</v>
          </cell>
          <cell r="E125" t="str">
            <v>Samsung</v>
          </cell>
          <cell r="F125" t="str">
            <v>Samsung Smart TV UHD 65"</v>
          </cell>
          <cell r="G125">
            <v>480</v>
          </cell>
          <cell r="H125">
            <v>504</v>
          </cell>
        </row>
        <row r="126">
          <cell r="D126">
            <v>300722</v>
          </cell>
          <cell r="E126" t="str">
            <v>Samsung</v>
          </cell>
          <cell r="F126" t="str">
            <v>Smart TV 43 UHD 4K TU7095</v>
          </cell>
          <cell r="G126">
            <v>290</v>
          </cell>
          <cell r="H126">
            <v>304.5</v>
          </cell>
        </row>
        <row r="127">
          <cell r="D127">
            <v>300695</v>
          </cell>
          <cell r="E127" t="str">
            <v>Nreal</v>
          </cell>
          <cell r="F127" t="str">
            <v>Nreal Glasses</v>
          </cell>
          <cell r="G127">
            <v>458.66</v>
          </cell>
          <cell r="H127">
            <v>481.593</v>
          </cell>
        </row>
        <row r="128">
          <cell r="D128">
            <v>300714</v>
          </cell>
          <cell r="E128" t="str">
            <v>Apple</v>
          </cell>
          <cell r="F128" t="str">
            <v>AirPods</v>
          </cell>
          <cell r="G128">
            <v>113.15</v>
          </cell>
          <cell r="H128">
            <v>118.8075</v>
          </cell>
        </row>
        <row r="129">
          <cell r="D129">
            <v>300715</v>
          </cell>
          <cell r="E129" t="str">
            <v>Apple</v>
          </cell>
          <cell r="F129" t="str">
            <v>AirPods+Wireless Charging</v>
          </cell>
          <cell r="G129">
            <v>144.76</v>
          </cell>
          <cell r="H129">
            <v>151.998</v>
          </cell>
        </row>
        <row r="130">
          <cell r="D130">
            <v>300716</v>
          </cell>
          <cell r="E130" t="str">
            <v>Apple</v>
          </cell>
          <cell r="F130" t="str">
            <v>AirPods+Charging case Isp</v>
          </cell>
          <cell r="G130">
            <v>117.02</v>
          </cell>
          <cell r="H130">
            <v>122.871</v>
          </cell>
        </row>
        <row r="131">
          <cell r="D131">
            <v>300719</v>
          </cell>
          <cell r="E131" t="str">
            <v>Apple</v>
          </cell>
          <cell r="F131" t="str">
            <v>AIRPODS PRO WITH WIRELESS CASE-ISP</v>
          </cell>
          <cell r="G131">
            <v>176.36</v>
          </cell>
          <cell r="H131">
            <v>185.178</v>
          </cell>
        </row>
        <row r="132">
          <cell r="D132">
            <v>300725</v>
          </cell>
          <cell r="E132" t="str">
            <v>Apple</v>
          </cell>
          <cell r="F132" t="str">
            <v>Apple Airtag 1</v>
          </cell>
          <cell r="G132">
            <v>22.13</v>
          </cell>
          <cell r="H132">
            <v>23.2365</v>
          </cell>
        </row>
        <row r="133">
          <cell r="D133">
            <v>300729</v>
          </cell>
          <cell r="E133" t="str">
            <v>OPPO</v>
          </cell>
          <cell r="F133" t="str">
            <v>Band Sport Edition</v>
          </cell>
          <cell r="G133">
            <v>39.47</v>
          </cell>
          <cell r="H133">
            <v>41.4435</v>
          </cell>
          <cell r="I133">
            <v>9</v>
          </cell>
        </row>
        <row r="134">
          <cell r="D134">
            <v>300728</v>
          </cell>
          <cell r="E134" t="str">
            <v>OPPO</v>
          </cell>
          <cell r="F134" t="str">
            <v>Band Style </v>
          </cell>
          <cell r="G134">
            <v>56.672</v>
          </cell>
          <cell r="H134">
            <v>59.5056</v>
          </cell>
        </row>
        <row r="135">
          <cell r="D135">
            <v>300730</v>
          </cell>
          <cell r="E135" t="str">
            <v>OPPO</v>
          </cell>
          <cell r="F135" t="str">
            <v>ENCO Buds W12 </v>
          </cell>
          <cell r="G135">
            <v>40.82</v>
          </cell>
          <cell r="H135">
            <v>42.861</v>
          </cell>
        </row>
        <row r="136">
          <cell r="D136">
            <v>300731</v>
          </cell>
          <cell r="E136" t="str">
            <v>OPPO</v>
          </cell>
          <cell r="F136" t="str">
            <v>ENCO Free 2 W52 </v>
          </cell>
          <cell r="G136">
            <v>81.6</v>
          </cell>
          <cell r="H136">
            <v>85.68</v>
          </cell>
        </row>
        <row r="137">
          <cell r="D137">
            <v>300712</v>
          </cell>
          <cell r="E137" t="str">
            <v>Xiaomi </v>
          </cell>
          <cell r="F137" t="str">
            <v>Xiaomi Smart TV P1 55</v>
          </cell>
          <cell r="G137">
            <v>472</v>
          </cell>
          <cell r="H137">
            <v>495.6</v>
          </cell>
        </row>
        <row r="138">
          <cell r="D138">
            <v>300735</v>
          </cell>
          <cell r="E138" t="str">
            <v>Xiaomi </v>
          </cell>
          <cell r="F138" t="str">
            <v>Xiaomi Mi Watch Lite</v>
          </cell>
          <cell r="G138">
            <v>39.66</v>
          </cell>
          <cell r="H138">
            <v>41.643</v>
          </cell>
        </row>
        <row r="139">
          <cell r="D139">
            <v>300737</v>
          </cell>
          <cell r="E139" t="str">
            <v>Samsung</v>
          </cell>
          <cell r="F139" t="str">
            <v>Samsung Smart TV Crystal UHD 55</v>
          </cell>
          <cell r="G139">
            <v>373</v>
          </cell>
          <cell r="H139">
            <v>391.65</v>
          </cell>
        </row>
        <row r="140">
          <cell r="D140">
            <v>307738</v>
          </cell>
          <cell r="E140" t="str">
            <v>Samsung</v>
          </cell>
          <cell r="F140" t="str">
            <v>Samsung Smart TV Crystal UHD 65</v>
          </cell>
          <cell r="G140">
            <v>493</v>
          </cell>
          <cell r="H140">
            <v>517.65</v>
          </cell>
        </row>
        <row r="141">
          <cell r="D141">
            <v>300736</v>
          </cell>
          <cell r="E141" t="str">
            <v>Samsung</v>
          </cell>
          <cell r="F141" t="str">
            <v>Monitor Samsung 32</v>
          </cell>
          <cell r="G141">
            <v>215</v>
          </cell>
          <cell r="H141">
            <v>225.75</v>
          </cell>
        </row>
        <row r="142">
          <cell r="D142">
            <v>314217</v>
          </cell>
          <cell r="E142" t="str">
            <v>Netun</v>
          </cell>
          <cell r="F142" t="str">
            <v>HelpFlash luces emergencia IoT + SIM</v>
          </cell>
          <cell r="G142">
            <v>30.96</v>
          </cell>
          <cell r="H142">
            <v>49.55</v>
          </cell>
          <cell r="I142">
            <v>1</v>
          </cell>
        </row>
        <row r="143">
          <cell r="D143">
            <v>300751</v>
          </cell>
          <cell r="E143" t="str">
            <v>Xiaomi</v>
          </cell>
          <cell r="F143" t="str">
            <v>Mi Smart Air Fryer 3.5L EU</v>
          </cell>
          <cell r="G143">
            <v>61.98</v>
          </cell>
          <cell r="H143">
            <v>65.079</v>
          </cell>
        </row>
        <row r="144">
          <cell r="D144">
            <v>300724</v>
          </cell>
          <cell r="E144" t="str">
            <v>Lenovo</v>
          </cell>
          <cell r="F144" t="str">
            <v>ThinkBook 15 G2 IPS</v>
          </cell>
          <cell r="G144">
            <v>678.95</v>
          </cell>
          <cell r="H144">
            <v>712.8975</v>
          </cell>
        </row>
        <row r="145">
          <cell r="D145">
            <v>300733</v>
          </cell>
          <cell r="E145" t="str">
            <v>Lenovo</v>
          </cell>
          <cell r="F145" t="str">
            <v>V15</v>
          </cell>
          <cell r="G145">
            <v>500.61</v>
          </cell>
          <cell r="H145">
            <v>525.6405</v>
          </cell>
        </row>
        <row r="146">
          <cell r="D146">
            <v>300734</v>
          </cell>
          <cell r="E146" t="str">
            <v>MSI</v>
          </cell>
          <cell r="F146" t="str">
            <v>GF65 Thin </v>
          </cell>
          <cell r="G146">
            <v>802.45</v>
          </cell>
          <cell r="H146">
            <v>842.5725</v>
          </cell>
        </row>
        <row r="147">
          <cell r="D147">
            <v>300726</v>
          </cell>
          <cell r="E147" t="str">
            <v>Lenovo</v>
          </cell>
          <cell r="F147" t="str">
            <v>IdeaPad Gaming 3 15 R7</v>
          </cell>
          <cell r="G147">
            <v>729.78</v>
          </cell>
          <cell r="H147">
            <v>766.269</v>
          </cell>
        </row>
        <row r="148">
          <cell r="D148">
            <v>300732</v>
          </cell>
          <cell r="E148" t="str">
            <v>Lenovo</v>
          </cell>
          <cell r="F148" t="str">
            <v>ThinkPad L13 Yoga</v>
          </cell>
          <cell r="G148">
            <v>831.36</v>
          </cell>
          <cell r="H148">
            <v>872.928</v>
          </cell>
        </row>
        <row r="149">
          <cell r="D149">
            <v>300744</v>
          </cell>
          <cell r="E149" t="str">
            <v>DynaBook</v>
          </cell>
          <cell r="F149" t="str">
            <v>Satellite Pro C40-G-11E  14</v>
          </cell>
          <cell r="G149">
            <v>421.05</v>
          </cell>
          <cell r="H149">
            <v>442.1025</v>
          </cell>
        </row>
        <row r="150">
          <cell r="D150">
            <v>300752</v>
          </cell>
          <cell r="E150" t="str">
            <v>Huawei</v>
          </cell>
          <cell r="F150" t="str">
            <v>MateBook D14 8GB-512GB</v>
          </cell>
          <cell r="G150">
            <v>583.86</v>
          </cell>
          <cell r="H150">
            <v>613.053</v>
          </cell>
        </row>
        <row r="151">
          <cell r="D151">
            <v>300759</v>
          </cell>
          <cell r="E151" t="str">
            <v>Lenovo</v>
          </cell>
          <cell r="F151" t="str">
            <v>Ideapad IP 3 - 15ADA05 </v>
          </cell>
          <cell r="G151">
            <v>343.52</v>
          </cell>
          <cell r="H151">
            <v>360.696</v>
          </cell>
        </row>
        <row r="152">
          <cell r="D152">
            <v>300754</v>
          </cell>
          <cell r="E152" t="str">
            <v>Lenovo</v>
          </cell>
          <cell r="F152" t="str">
            <v>Thinkbook 14</v>
          </cell>
          <cell r="G152">
            <v>464.45</v>
          </cell>
          <cell r="H152">
            <v>487.6725</v>
          </cell>
        </row>
        <row r="153">
          <cell r="D153">
            <v>300781</v>
          </cell>
          <cell r="E153" t="str">
            <v>Millenium</v>
          </cell>
          <cell r="F153" t="str">
            <v>ANIVIA MM1 Mini Gaming + Monitor MD 34</v>
          </cell>
          <cell r="G153">
            <v>1060.36</v>
          </cell>
          <cell r="H153">
            <v>1113.378</v>
          </cell>
        </row>
        <row r="154">
          <cell r="D154">
            <v>300783</v>
          </cell>
          <cell r="E154" t="str">
            <v>Amazon</v>
          </cell>
          <cell r="F154" t="str">
            <v>Amazon Echo Show 5 2 Gen</v>
          </cell>
          <cell r="G154">
            <v>64.27</v>
          </cell>
          <cell r="H154">
            <v>67.4835</v>
          </cell>
        </row>
        <row r="155">
          <cell r="D155">
            <v>300782</v>
          </cell>
          <cell r="E155" t="str">
            <v>Google</v>
          </cell>
          <cell r="F155" t="str">
            <v>Google nest Hub 2 Gen </v>
          </cell>
          <cell r="G155">
            <v>70.74</v>
          </cell>
          <cell r="H155">
            <v>74.277</v>
          </cell>
        </row>
        <row r="156">
          <cell r="D156">
            <v>300769</v>
          </cell>
          <cell r="E156" t="str">
            <v>Apple</v>
          </cell>
          <cell r="F156" t="str">
            <v>AIRPODS PRO WITH MAGSAFE CASE ISP</v>
          </cell>
          <cell r="G156">
            <v>176.36</v>
          </cell>
          <cell r="H156">
            <v>185.178</v>
          </cell>
        </row>
        <row r="157">
          <cell r="D157">
            <v>300770</v>
          </cell>
          <cell r="E157" t="str">
            <v>Apple</v>
          </cell>
          <cell r="F157" t="str">
            <v>AIRPODS 3RD GENERATION ISP </v>
          </cell>
          <cell r="G157">
            <v>161.18</v>
          </cell>
          <cell r="H157">
            <v>169.239</v>
          </cell>
        </row>
        <row r="158">
          <cell r="D158">
            <v>300766</v>
          </cell>
          <cell r="E158" t="str">
            <v>Xiaomi</v>
          </cell>
          <cell r="F158" t="str">
            <v>Xiaomi pad 5 Wifi 128 Black</v>
          </cell>
          <cell r="G158">
            <v>339.17</v>
          </cell>
          <cell r="H158">
            <v>356.1285</v>
          </cell>
          <cell r="I158">
            <v>45</v>
          </cell>
        </row>
        <row r="159">
          <cell r="D159">
            <v>328728</v>
          </cell>
          <cell r="E159" t="str">
            <v>Adoc</v>
          </cell>
          <cell r="F159" t="str">
            <v>Auricular Adoc BT1</v>
          </cell>
          <cell r="G159">
            <v>52</v>
          </cell>
          <cell r="H159">
            <v>54.6</v>
          </cell>
        </row>
        <row r="160">
          <cell r="D160">
            <v>300838</v>
          </cell>
          <cell r="E160" t="str">
            <v>Millenium</v>
          </cell>
          <cell r="F160" t="str">
            <v>CPU GAMING MILLENIUM MM1-MINI SONA </v>
          </cell>
          <cell r="G160">
            <v>1174.48</v>
          </cell>
          <cell r="H160">
            <v>1233.204</v>
          </cell>
        </row>
        <row r="161">
          <cell r="D161">
            <v>300839</v>
          </cell>
          <cell r="E161" t="str">
            <v>Schneider</v>
          </cell>
          <cell r="F161" t="str">
            <v>SCHNEIDER SOUNDBAR SC600SND </v>
          </cell>
          <cell r="G161">
            <v>60</v>
          </cell>
          <cell r="H161">
            <v>63</v>
          </cell>
        </row>
        <row r="162">
          <cell r="D162">
            <v>300802</v>
          </cell>
          <cell r="E162" t="str">
            <v>Microsoft</v>
          </cell>
          <cell r="F162" t="str">
            <v>Microsoft Surface Pro 7 DO+funda teclado  </v>
          </cell>
          <cell r="G162">
            <v>944.4</v>
          </cell>
          <cell r="H162">
            <v>991.62</v>
          </cell>
        </row>
        <row r="163">
          <cell r="D163">
            <v>300774</v>
          </cell>
          <cell r="E163" t="str">
            <v>Microsoft</v>
          </cell>
          <cell r="F163" t="str">
            <v>Microsoft Surface Go3 64GB</v>
          </cell>
          <cell r="G163">
            <v>334.18</v>
          </cell>
          <cell r="H163">
            <v>350.889</v>
          </cell>
        </row>
        <row r="164">
          <cell r="D164">
            <v>300775</v>
          </cell>
          <cell r="E164" t="str">
            <v>Microsoft</v>
          </cell>
          <cell r="F164" t="str">
            <v>Microsoft Modern wireless Headset Busine</v>
          </cell>
          <cell r="G164">
            <v>62.26</v>
          </cell>
          <cell r="H164">
            <v>65.373</v>
          </cell>
        </row>
        <row r="165">
          <cell r="D165">
            <v>300776</v>
          </cell>
          <cell r="E165" t="str">
            <v>Microsoft</v>
          </cell>
          <cell r="F165" t="str">
            <v>Microsoft XBOX serie S 512GB</v>
          </cell>
          <cell r="G165">
            <v>227.95</v>
          </cell>
          <cell r="H165">
            <v>239.3475</v>
          </cell>
        </row>
        <row r="166">
          <cell r="D166">
            <v>300777</v>
          </cell>
          <cell r="E166" t="str">
            <v>Microsoft</v>
          </cell>
          <cell r="F166" t="str">
            <v>Microsoft XBOX wireless controller white</v>
          </cell>
          <cell r="G166">
            <v>39.31</v>
          </cell>
          <cell r="H166">
            <v>41.2755</v>
          </cell>
        </row>
        <row r="167">
          <cell r="D167">
            <v>300778</v>
          </cell>
          <cell r="E167" t="str">
            <v>Microsoft</v>
          </cell>
          <cell r="F167" t="str">
            <v>Microsoft XBOX wireless controller Black</v>
          </cell>
          <cell r="G167">
            <v>39.31</v>
          </cell>
          <cell r="H167">
            <v>41.2755</v>
          </cell>
        </row>
        <row r="168">
          <cell r="D168">
            <v>300797</v>
          </cell>
          <cell r="E168" t="str">
            <v>Microsoft</v>
          </cell>
          <cell r="F168" t="str">
            <v>Microsoft XBOX serie X 1Tb</v>
          </cell>
          <cell r="G168">
            <v>379.92</v>
          </cell>
          <cell r="H168">
            <v>398.916</v>
          </cell>
        </row>
        <row r="169">
          <cell r="D169">
            <v>300798</v>
          </cell>
          <cell r="E169" t="str">
            <v>Microsoft</v>
          </cell>
          <cell r="F169" t="str">
            <v>Microsoft XBOX serie S 512GB Holiday </v>
          </cell>
          <cell r="G169">
            <v>227.95</v>
          </cell>
          <cell r="H169">
            <v>239.3475</v>
          </cell>
        </row>
        <row r="170">
          <cell r="D170">
            <v>300804</v>
          </cell>
          <cell r="E170" t="str">
            <v>Microsoft</v>
          </cell>
          <cell r="F170" t="str">
            <v>Microsoft XBOX wireless Elite controlle2</v>
          </cell>
          <cell r="G170">
            <v>118.27</v>
          </cell>
          <cell r="H170">
            <v>124.1835</v>
          </cell>
        </row>
        <row r="171">
          <cell r="D171">
            <v>300751</v>
          </cell>
          <cell r="E171" t="str">
            <v>Xiaomi</v>
          </cell>
          <cell r="F171" t="str">
            <v>Mi Smart Air Frier </v>
          </cell>
          <cell r="G171">
            <v>61.98</v>
          </cell>
          <cell r="H171">
            <v>65.079</v>
          </cell>
        </row>
        <row r="172">
          <cell r="D172">
            <v>300763</v>
          </cell>
          <cell r="E172" t="str">
            <v>Xiaomi</v>
          </cell>
          <cell r="F172" t="str">
            <v>Xiaomi Mi Body composition scale 2</v>
          </cell>
          <cell r="G172">
            <v>19.83</v>
          </cell>
          <cell r="H172">
            <v>20.8215</v>
          </cell>
          <cell r="I172">
            <v>4</v>
          </cell>
        </row>
        <row r="173">
          <cell r="D173">
            <v>300764</v>
          </cell>
          <cell r="E173" t="str">
            <v>Xiaomi</v>
          </cell>
          <cell r="F173" t="str">
            <v>Xiaomi Mi Vacuum cleaner G10</v>
          </cell>
          <cell r="G173">
            <v>185.94</v>
          </cell>
          <cell r="H173">
            <v>195.237</v>
          </cell>
          <cell r="I173">
            <v>20</v>
          </cell>
        </row>
        <row r="174">
          <cell r="D174">
            <v>300765</v>
          </cell>
          <cell r="E174" t="str">
            <v>Xiaomi</v>
          </cell>
          <cell r="F174" t="str">
            <v>Xiaomi TV Box</v>
          </cell>
          <cell r="G174">
            <v>46.27</v>
          </cell>
          <cell r="H174">
            <v>48.5835</v>
          </cell>
        </row>
        <row r="175">
          <cell r="D175">
            <v>300773</v>
          </cell>
          <cell r="E175" t="str">
            <v>Xiaomi</v>
          </cell>
          <cell r="F175" t="str">
            <v>Xiaomi Redmi buds 3 Pro Glacier Gray</v>
          </cell>
          <cell r="G175">
            <v>43.38</v>
          </cell>
          <cell r="H175">
            <v>45.549</v>
          </cell>
        </row>
        <row r="176">
          <cell r="D176">
            <v>300746</v>
          </cell>
          <cell r="E176" t="str">
            <v>Xiaomi</v>
          </cell>
          <cell r="F176" t="str">
            <v>Xiaomi Mi Smart Band 5 </v>
          </cell>
          <cell r="G176">
            <v>29.49</v>
          </cell>
          <cell r="H176">
            <v>30.9645</v>
          </cell>
        </row>
        <row r="177">
          <cell r="D177">
            <v>300773</v>
          </cell>
          <cell r="E177" t="str">
            <v>Xiaomi</v>
          </cell>
          <cell r="F177" t="str">
            <v>Xiaomi Redmi buds 3 Pro Glacier Gray</v>
          </cell>
          <cell r="G177">
            <v>43.38</v>
          </cell>
          <cell r="H177">
            <v>45.549</v>
          </cell>
        </row>
        <row r="178">
          <cell r="D178">
            <v>300796</v>
          </cell>
          <cell r="E178" t="str">
            <v>Xiaomi</v>
          </cell>
          <cell r="F178" t="str">
            <v>Xiaomi Mi Electric Scooter Pro 2 AMG</v>
          </cell>
          <cell r="G178">
            <v>581.81</v>
          </cell>
          <cell r="H178">
            <v>610.9005</v>
          </cell>
          <cell r="I178">
            <v>0</v>
          </cell>
        </row>
        <row r="179">
          <cell r="D179">
            <v>300806</v>
          </cell>
          <cell r="E179" t="str">
            <v>Xiaomi</v>
          </cell>
          <cell r="F179" t="str">
            <v>Xiaomi Redmi Watch Lite 2</v>
          </cell>
          <cell r="G179">
            <v>46.27</v>
          </cell>
          <cell r="H179">
            <v>48.5835</v>
          </cell>
          <cell r="I179">
            <v>5</v>
          </cell>
        </row>
        <row r="180">
          <cell r="D180">
            <v>300829</v>
          </cell>
          <cell r="E180" t="str">
            <v>Xiaomi</v>
          </cell>
          <cell r="F180" t="str">
            <v>Mi Robot Vacuum Mop Pro</v>
          </cell>
          <cell r="G180">
            <v>216.94</v>
          </cell>
          <cell r="H180">
            <v>227.787</v>
          </cell>
        </row>
        <row r="181">
          <cell r="D181">
            <v>300808</v>
          </cell>
          <cell r="E181" t="str">
            <v>Suunto</v>
          </cell>
          <cell r="F181" t="str">
            <v>Suunto 7 Black Lime</v>
          </cell>
          <cell r="G181">
            <v>202.63</v>
          </cell>
          <cell r="H181">
            <v>212.7615</v>
          </cell>
        </row>
        <row r="182">
          <cell r="D182">
            <v>300809</v>
          </cell>
          <cell r="E182" t="str">
            <v>Suunto</v>
          </cell>
          <cell r="F182" t="str">
            <v>Suunto 9 Black</v>
          </cell>
          <cell r="G182">
            <v>202.63</v>
          </cell>
          <cell r="H182">
            <v>212.7615</v>
          </cell>
        </row>
        <row r="183">
          <cell r="D183">
            <v>300826</v>
          </cell>
          <cell r="E183" t="str">
            <v>Nintendo</v>
          </cell>
          <cell r="F183" t="str">
            <v>Nintendo SWITCH Grey + 2 games + accessor</v>
          </cell>
          <cell r="G183">
            <v>342.04</v>
          </cell>
          <cell r="H183">
            <v>359.142</v>
          </cell>
        </row>
        <row r="184">
          <cell r="D184">
            <v>300827</v>
          </cell>
          <cell r="E184" t="str">
            <v>Nintendo</v>
          </cell>
          <cell r="F184" t="str">
            <v>Nintendo SWITCH Neon + 2 games + accessor</v>
          </cell>
          <cell r="G184">
            <v>342.04</v>
          </cell>
          <cell r="H184">
            <v>359.142</v>
          </cell>
        </row>
        <row r="185">
          <cell r="D185">
            <v>300822</v>
          </cell>
          <cell r="E185" t="str">
            <v>Good Game</v>
          </cell>
          <cell r="F185" t="str">
            <v>OZONE Monitor gaming DSP24240</v>
          </cell>
          <cell r="G185">
            <v>192.25</v>
          </cell>
          <cell r="H185">
            <v>201.8625</v>
          </cell>
        </row>
        <row r="186">
          <cell r="D186">
            <v>300823</v>
          </cell>
          <cell r="E186" t="str">
            <v>Good Game</v>
          </cell>
          <cell r="F186" t="str">
            <v>OZONE Auricular gaming Nukepro 7, 7.1               </v>
          </cell>
          <cell r="G186">
            <v>41.77</v>
          </cell>
          <cell r="H186">
            <v>43.8585</v>
          </cell>
        </row>
        <row r="187">
          <cell r="D187">
            <v>300824</v>
          </cell>
          <cell r="E187" t="str">
            <v>Good Game</v>
          </cell>
          <cell r="F187" t="str">
            <v>OZONE teclado gaming Strikeback RGB</v>
          </cell>
          <cell r="G187">
            <v>59.44</v>
          </cell>
          <cell r="H187">
            <v>62.412</v>
          </cell>
        </row>
        <row r="188">
          <cell r="D188">
            <v>300825</v>
          </cell>
          <cell r="E188" t="str">
            <v>Good Game</v>
          </cell>
          <cell r="F188" t="str">
            <v>OZONE Pack alfombrilla +  teclado +raton</v>
          </cell>
          <cell r="G188">
            <v>91.04</v>
          </cell>
          <cell r="H188">
            <v>95.592</v>
          </cell>
        </row>
        <row r="189">
          <cell r="D189">
            <v>300829</v>
          </cell>
          <cell r="E189" t="str">
            <v>Xiaomi</v>
          </cell>
          <cell r="F189" t="str">
            <v>Mi Robot Vacuum Mop Pro</v>
          </cell>
          <cell r="G189">
            <v>216.94</v>
          </cell>
          <cell r="H189">
            <v>227.787</v>
          </cell>
        </row>
        <row r="190">
          <cell r="D190">
            <v>300838</v>
          </cell>
          <cell r="E190" t="str">
            <v>Millenium</v>
          </cell>
          <cell r="F190" t="str">
            <v>CPU Gaming Millenium MM1 MINI SONA</v>
          </cell>
          <cell r="G190">
            <v>1174.48</v>
          </cell>
          <cell r="H190">
            <v>1233.204</v>
          </cell>
        </row>
        <row r="191">
          <cell r="D191">
            <v>300839</v>
          </cell>
          <cell r="E191" t="str">
            <v>Schneider</v>
          </cell>
          <cell r="F191" t="str">
            <v>Schneider Soundbar SC600SND</v>
          </cell>
          <cell r="G191">
            <v>60</v>
          </cell>
          <cell r="H191">
            <v>63</v>
          </cell>
        </row>
        <row r="192">
          <cell r="D192">
            <v>300855</v>
          </cell>
          <cell r="E192" t="str">
            <v>OPPO</v>
          </cell>
          <cell r="F192" t="str">
            <v>Watch free BLACK</v>
          </cell>
          <cell r="G192">
            <v>83.5912</v>
          </cell>
          <cell r="H192">
            <v>87.77076</v>
          </cell>
          <cell r="I192">
            <v>25</v>
          </cell>
        </row>
        <row r="193">
          <cell r="D193">
            <v>300856</v>
          </cell>
          <cell r="E193" t="str">
            <v>OPPO</v>
          </cell>
          <cell r="F193" t="str">
            <v>Watch free VANILLA</v>
          </cell>
          <cell r="G193">
            <v>83.5912</v>
          </cell>
          <cell r="H193">
            <v>87.77076</v>
          </cell>
          <cell r="I193">
            <v>25</v>
          </cell>
        </row>
        <row r="194">
          <cell r="D194">
            <v>300858</v>
          </cell>
          <cell r="E194" t="str">
            <v>Nintendo</v>
          </cell>
          <cell r="F194" t="str">
            <v>Nintendo Swi Animal Crossing New Horizon</v>
          </cell>
          <cell r="G194">
            <v>42.11</v>
          </cell>
          <cell r="H194">
            <v>44.2155</v>
          </cell>
        </row>
        <row r="195">
          <cell r="D195">
            <v>300859</v>
          </cell>
          <cell r="E195" t="str">
            <v>Nintendo</v>
          </cell>
          <cell r="F195" t="str">
            <v>Nintendo Swi Animal Mario Kart 8 E Luxe</v>
          </cell>
          <cell r="G195">
            <v>42.11</v>
          </cell>
          <cell r="H195">
            <v>44.2155</v>
          </cell>
        </row>
        <row r="196">
          <cell r="D196">
            <v>300860</v>
          </cell>
          <cell r="E196" t="str">
            <v>Nintendo</v>
          </cell>
          <cell r="F196" t="str">
            <v>Nintendo Switch Minecraft</v>
          </cell>
          <cell r="G196">
            <v>21.04</v>
          </cell>
          <cell r="H196">
            <v>22.092</v>
          </cell>
        </row>
        <row r="197">
          <cell r="D197">
            <v>300861</v>
          </cell>
          <cell r="E197" t="str">
            <v>Nintendo</v>
          </cell>
          <cell r="F197" t="str">
            <v>Nintendo Swi Mario 3D world+Browsers Fur</v>
          </cell>
          <cell r="G197">
            <v>42.11</v>
          </cell>
          <cell r="H197">
            <v>44.2155</v>
          </cell>
        </row>
        <row r="198">
          <cell r="D198">
            <v>300862</v>
          </cell>
          <cell r="E198" t="str">
            <v>Nintendo</v>
          </cell>
          <cell r="F198" t="str">
            <v>Nintendo Switch Pokemon Leyend Arceus</v>
          </cell>
          <cell r="G198">
            <v>42.11</v>
          </cell>
          <cell r="H198">
            <v>44.2155</v>
          </cell>
        </row>
        <row r="199">
          <cell r="D199">
            <v>300867</v>
          </cell>
          <cell r="E199" t="str">
            <v>EPSON</v>
          </cell>
          <cell r="F199" t="str">
            <v>EPSON Expression Home XP-3150 </v>
          </cell>
          <cell r="G199">
            <v>53.92</v>
          </cell>
          <cell r="H199">
            <v>56.616</v>
          </cell>
        </row>
        <row r="200">
          <cell r="D200">
            <v>300868</v>
          </cell>
          <cell r="E200" t="str">
            <v>EPSON</v>
          </cell>
          <cell r="F200" t="str">
            <v>EPSON Eco Tank ET-2825 </v>
          </cell>
          <cell r="G200">
            <v>168.96</v>
          </cell>
          <cell r="H200">
            <v>177.408</v>
          </cell>
        </row>
        <row r="201">
          <cell r="D201">
            <v>300865</v>
          </cell>
          <cell r="E201" t="str">
            <v>NUKI</v>
          </cell>
          <cell r="F201" t="str">
            <v>SmartLock 3,0 white</v>
          </cell>
          <cell r="G201">
            <v>98.51</v>
          </cell>
          <cell r="H201">
            <v>103.4355</v>
          </cell>
        </row>
        <row r="202">
          <cell r="D202">
            <v>314602</v>
          </cell>
          <cell r="E202" t="str">
            <v>Microsoft</v>
          </cell>
          <cell r="F202" t="str">
            <v>Surface  Go3 64 Gb LTE + Teclado</v>
          </cell>
          <cell r="G202">
            <v>461.43</v>
          </cell>
          <cell r="H202">
            <v>484.5015</v>
          </cell>
        </row>
        <row r="203">
          <cell r="D203">
            <v>300869</v>
          </cell>
          <cell r="E203" t="str">
            <v>DynaBook </v>
          </cell>
          <cell r="F203" t="str">
            <v>Tecra A50-J-1BI</v>
          </cell>
          <cell r="G203">
            <v>694.45</v>
          </cell>
          <cell r="H203">
            <v>729.1725</v>
          </cell>
        </row>
        <row r="204">
          <cell r="D204">
            <v>300871</v>
          </cell>
          <cell r="E204" t="str">
            <v>Suunto</v>
          </cell>
          <cell r="F204" t="str">
            <v>Suunto 5</v>
          </cell>
          <cell r="G204">
            <v>168.74</v>
          </cell>
          <cell r="H204">
            <v>177.177</v>
          </cell>
        </row>
        <row r="205">
          <cell r="D205">
            <v>300870</v>
          </cell>
          <cell r="E205" t="str">
            <v>Huawei</v>
          </cell>
          <cell r="F205" t="str">
            <v>Watch GT3 42mm White</v>
          </cell>
          <cell r="G205">
            <v>201.39</v>
          </cell>
          <cell r="H205">
            <v>211.4595</v>
          </cell>
          <cell r="I205">
            <v>39</v>
          </cell>
        </row>
        <row r="206">
          <cell r="D206">
            <v>300905</v>
          </cell>
          <cell r="E206" t="str">
            <v>Playstation</v>
          </cell>
          <cell r="F206" t="str">
            <v>SONY PS5 Stand+GT7+Horizon+Dualsense+PSN</v>
          </cell>
          <cell r="G206">
            <v>593.66</v>
          </cell>
          <cell r="H206">
            <v>623.343</v>
          </cell>
        </row>
        <row r="207">
          <cell r="D207">
            <v>300906</v>
          </cell>
          <cell r="E207" t="str">
            <v>Suunto</v>
          </cell>
          <cell r="F207" t="str">
            <v>Suunto 7 Titanium</v>
          </cell>
          <cell r="G207">
            <v>195.99</v>
          </cell>
          <cell r="H207">
            <v>205.7895</v>
          </cell>
        </row>
        <row r="208">
          <cell r="D208">
            <v>300909</v>
          </cell>
          <cell r="E208" t="str">
            <v>Samsung</v>
          </cell>
          <cell r="F208" t="str">
            <v>Galaxy Book2 15 i5 256GB</v>
          </cell>
          <cell r="G208">
            <v>588.33</v>
          </cell>
          <cell r="H208">
            <v>617.7465</v>
          </cell>
        </row>
        <row r="209">
          <cell r="D209">
            <v>300924</v>
          </cell>
          <cell r="E209" t="str">
            <v>Lenovo</v>
          </cell>
          <cell r="F209" t="str">
            <v>IdeaPad IP 5G 14Q8X05</v>
          </cell>
          <cell r="G209">
            <v>987.67</v>
          </cell>
          <cell r="H209">
            <v>1037.0535</v>
          </cell>
        </row>
        <row r="210">
          <cell r="D210">
            <v>300910</v>
          </cell>
          <cell r="E210" t="str">
            <v>Logitech</v>
          </cell>
          <cell r="F210" t="str">
            <v>Logitech G733 Lightspeed RGB Gaming Head</v>
          </cell>
          <cell r="G210">
            <v>111.86</v>
          </cell>
          <cell r="H210">
            <v>117.453</v>
          </cell>
        </row>
        <row r="211">
          <cell r="D211">
            <v>300905</v>
          </cell>
          <cell r="E211" t="str">
            <v>Playstation</v>
          </cell>
          <cell r="F211" t="str">
            <v>SONY PS5 Stand+GT7+Horizon+Dualsense+PSN</v>
          </cell>
          <cell r="G211">
            <v>593.66</v>
          </cell>
          <cell r="H211">
            <v>623.343</v>
          </cell>
        </row>
        <row r="212">
          <cell r="D212">
            <v>300906</v>
          </cell>
          <cell r="E212" t="str">
            <v>Suunto</v>
          </cell>
          <cell r="F212" t="str">
            <v>Suunto 7 Titanium</v>
          </cell>
          <cell r="G212">
            <v>195.99</v>
          </cell>
          <cell r="H212">
            <v>205.7895</v>
          </cell>
        </row>
        <row r="213">
          <cell r="D213">
            <v>300910</v>
          </cell>
          <cell r="E213" t="str">
            <v>Logitech</v>
          </cell>
          <cell r="F213" t="str">
            <v>Logitech G733 Lightspeed RGB Gaming Head</v>
          </cell>
          <cell r="G213">
            <v>111.86</v>
          </cell>
          <cell r="H213">
            <v>117.453</v>
          </cell>
        </row>
        <row r="214">
          <cell r="D214">
            <v>300924</v>
          </cell>
          <cell r="E214" t="str">
            <v>Lenovo</v>
          </cell>
          <cell r="F214" t="str">
            <v>IdeaPad IP 5G 14Q8X05</v>
          </cell>
          <cell r="G214">
            <v>987.67</v>
          </cell>
          <cell r="H214">
            <v>1037.0535</v>
          </cell>
        </row>
        <row r="215">
          <cell r="D215">
            <v>300925</v>
          </cell>
          <cell r="E215" t="str">
            <v>Huawei </v>
          </cell>
          <cell r="F215" t="str">
            <v>Huawei Band 7</v>
          </cell>
          <cell r="G215">
            <v>47.56</v>
          </cell>
          <cell r="H215">
            <v>49.938</v>
          </cell>
          <cell r="I215">
            <v>14</v>
          </cell>
        </row>
        <row r="216">
          <cell r="D216">
            <v>300923</v>
          </cell>
          <cell r="E216" t="str">
            <v>Nintendo</v>
          </cell>
          <cell r="F216" t="str">
            <v>Nintendo SWITCH Lite Azul + 2 games + accessor</v>
          </cell>
          <cell r="G216">
            <v>275.15</v>
          </cell>
          <cell r="H216">
            <v>288.9075</v>
          </cell>
        </row>
        <row r="217">
          <cell r="D217">
            <v>300866</v>
          </cell>
          <cell r="E217" t="str">
            <v>Ozone</v>
          </cell>
          <cell r="F217" t="str">
            <v>Monitor gaming Ozone</v>
          </cell>
          <cell r="G217">
            <v>185.38</v>
          </cell>
          <cell r="H217">
            <v>194.649</v>
          </cell>
        </row>
        <row r="218">
          <cell r="D218">
            <v>300926</v>
          </cell>
          <cell r="E218" t="str">
            <v>Princess</v>
          </cell>
          <cell r="F218" t="str">
            <v>Princess Climatizador Smart 357250</v>
          </cell>
          <cell r="G218">
            <v>73.98</v>
          </cell>
          <cell r="H218">
            <v>77.679</v>
          </cell>
        </row>
        <row r="219">
          <cell r="D219">
            <v>300880</v>
          </cell>
          <cell r="E219" t="str">
            <v>Huawei</v>
          </cell>
          <cell r="F219" t="str">
            <v>Matebook D15 i3 8G 256</v>
          </cell>
          <cell r="G219">
            <v>531.76</v>
          </cell>
          <cell r="H219">
            <v>558.348</v>
          </cell>
          <cell r="I219">
            <v>80</v>
          </cell>
        </row>
        <row r="220">
          <cell r="D220">
            <v>300881</v>
          </cell>
          <cell r="E220" t="str">
            <v>Huawei</v>
          </cell>
          <cell r="F220" t="str">
            <v>SOUND JOY ALTAVOZ + BAND 6 GREEN</v>
          </cell>
          <cell r="G220">
            <v>136.62</v>
          </cell>
          <cell r="H220">
            <v>143.451</v>
          </cell>
        </row>
        <row r="221">
          <cell r="D221">
            <v>300883</v>
          </cell>
          <cell r="E221" t="str">
            <v>LG</v>
          </cell>
          <cell r="F221" t="str">
            <v>PROYECTOR SmartTV PF50KS</v>
          </cell>
          <cell r="G221">
            <v>415</v>
          </cell>
          <cell r="H221">
            <v>435.75</v>
          </cell>
        </row>
        <row r="222">
          <cell r="D222">
            <v>300882</v>
          </cell>
          <cell r="E222" t="str">
            <v>LG</v>
          </cell>
          <cell r="F222" t="str">
            <v>SoundBar Dolby ATMOS 300W S60Q</v>
          </cell>
          <cell r="G222">
            <v>173.28</v>
          </cell>
          <cell r="H222">
            <v>181.944</v>
          </cell>
        </row>
        <row r="223">
          <cell r="D223">
            <v>300931</v>
          </cell>
          <cell r="E223" t="str">
            <v>Oppo</v>
          </cell>
          <cell r="F223" t="str">
            <v>ENCO Buds 2</v>
          </cell>
          <cell r="G223">
            <v>41.69</v>
          </cell>
          <cell r="H223">
            <v>43.7745</v>
          </cell>
          <cell r="I223">
            <v>7</v>
          </cell>
        </row>
        <row r="224">
          <cell r="D224">
            <v>300933</v>
          </cell>
          <cell r="E224" t="str">
            <v>Oculus </v>
          </cell>
          <cell r="F224" t="str">
            <v>Quest 2 128GB EMEA TYPE-C</v>
          </cell>
          <cell r="G224">
            <v>313.27</v>
          </cell>
          <cell r="H224">
            <v>328.9335</v>
          </cell>
        </row>
        <row r="225">
          <cell r="D225">
            <v>300934</v>
          </cell>
          <cell r="E225" t="str">
            <v>Oculus </v>
          </cell>
          <cell r="F225" t="str">
            <v>Quest 2 256GB</v>
          </cell>
          <cell r="G225">
            <v>274.16</v>
          </cell>
          <cell r="H225">
            <v>287.868</v>
          </cell>
        </row>
        <row r="226">
          <cell r="D226">
            <v>300935</v>
          </cell>
          <cell r="E226" t="str">
            <v>Samsung</v>
          </cell>
          <cell r="F226" t="str">
            <v>Galaxy Buds Pro 2</v>
          </cell>
          <cell r="G226">
            <v>172.04</v>
          </cell>
          <cell r="H226">
            <v>180.642</v>
          </cell>
          <cell r="I226">
            <v>20</v>
          </cell>
        </row>
        <row r="227">
          <cell r="D227">
            <v>300965</v>
          </cell>
          <cell r="E227" t="str">
            <v>Apple</v>
          </cell>
          <cell r="F227" t="str">
            <v>Airpods Pro 2nd generation ISP</v>
          </cell>
          <cell r="G227">
            <v>220.07</v>
          </cell>
          <cell r="H227">
            <v>231.0735</v>
          </cell>
        </row>
        <row r="228">
          <cell r="D228">
            <v>300976</v>
          </cell>
          <cell r="E228" t="str">
            <v>Huawei</v>
          </cell>
          <cell r="F228" t="str">
            <v>Huawei MateBook D15 i5 8GB-512GB SSD</v>
          </cell>
          <cell r="G228">
            <v>680.52</v>
          </cell>
          <cell r="H228">
            <v>714.546</v>
          </cell>
          <cell r="I228">
            <v>80</v>
          </cell>
        </row>
        <row r="229">
          <cell r="D229">
            <v>300909</v>
          </cell>
          <cell r="E229" t="str">
            <v>Samsung</v>
          </cell>
          <cell r="F229" t="str">
            <v>Galaxy Book2 15 i5 256GB</v>
          </cell>
          <cell r="G229">
            <v>588.33</v>
          </cell>
          <cell r="H229">
            <v>617.7465</v>
          </cell>
          <cell r="I229">
            <v>29.42</v>
          </cell>
        </row>
        <row r="230">
          <cell r="D230">
            <v>300963</v>
          </cell>
          <cell r="E230" t="str">
            <v>Xiaomi</v>
          </cell>
          <cell r="F230" t="str">
            <v>Xiaomi Redmi Buds 4 White</v>
          </cell>
          <cell r="G230">
            <v>44.62</v>
          </cell>
          <cell r="H230">
            <v>46.851</v>
          </cell>
          <cell r="I230">
            <v>10</v>
          </cell>
        </row>
        <row r="231">
          <cell r="D231">
            <v>300969</v>
          </cell>
          <cell r="E231" t="str">
            <v>Xiaomi</v>
          </cell>
          <cell r="F231" t="str">
            <v>Xiaomi Smart Pet Food Feeder</v>
          </cell>
          <cell r="G231">
            <v>96.69</v>
          </cell>
          <cell r="H231">
            <v>101.5245</v>
          </cell>
          <cell r="I231">
            <v>14</v>
          </cell>
        </row>
        <row r="232">
          <cell r="D232">
            <v>300970</v>
          </cell>
          <cell r="E232" t="str">
            <v>Xiaomi</v>
          </cell>
          <cell r="F232" t="str">
            <v>Xiaomi Smart Pet Drinking Fountain</v>
          </cell>
          <cell r="G232">
            <v>59.5</v>
          </cell>
          <cell r="H232">
            <v>62.475</v>
          </cell>
          <cell r="I232">
            <v>10</v>
          </cell>
        </row>
        <row r="233">
          <cell r="D233">
            <v>300971</v>
          </cell>
          <cell r="E233" t="str">
            <v>Xiaomi</v>
          </cell>
          <cell r="F233" t="str">
            <v>Xiaomi Smart Blender EU</v>
          </cell>
          <cell r="G233">
            <v>96.69</v>
          </cell>
          <cell r="H233">
            <v>101.5245</v>
          </cell>
          <cell r="I233">
            <v>14</v>
          </cell>
        </row>
        <row r="234">
          <cell r="D234">
            <v>300972</v>
          </cell>
          <cell r="E234" t="str">
            <v>Xiaomi</v>
          </cell>
          <cell r="F234" t="str">
            <v>Xiaomi Smart Doorbell 3</v>
          </cell>
          <cell r="G234">
            <v>66.93</v>
          </cell>
          <cell r="H234">
            <v>70.2765</v>
          </cell>
          <cell r="I234">
            <v>5</v>
          </cell>
        </row>
        <row r="235">
          <cell r="D235">
            <v>300938</v>
          </cell>
          <cell r="E235" t="str">
            <v>Huawei</v>
          </cell>
          <cell r="F235" t="str">
            <v>Huawei Freebuds 4 SE</v>
          </cell>
          <cell r="G235">
            <v>46.55</v>
          </cell>
          <cell r="H235">
            <v>48.8775</v>
          </cell>
          <cell r="I235">
            <v>14</v>
          </cell>
        </row>
        <row r="236">
          <cell r="D236">
            <v>300906</v>
          </cell>
          <cell r="E236" t="str">
            <v>Suunto</v>
          </cell>
          <cell r="F236" t="str">
            <v>Suunto 7 Titanium</v>
          </cell>
          <cell r="G236">
            <v>195.99</v>
          </cell>
          <cell r="H236">
            <v>205.7895</v>
          </cell>
        </row>
        <row r="237">
          <cell r="D237">
            <v>300973</v>
          </cell>
          <cell r="E237" t="str">
            <v>Google</v>
          </cell>
          <cell r="F237" t="str">
            <v>Google Chromecast con Google TV HD</v>
          </cell>
          <cell r="G237">
            <v>30.24</v>
          </cell>
          <cell r="H237">
            <v>31.752</v>
          </cell>
        </row>
        <row r="238">
          <cell r="D238">
            <v>328728</v>
          </cell>
          <cell r="E238" t="str">
            <v>Adoc</v>
          </cell>
          <cell r="F238" t="str">
            <v>Auricular BT1</v>
          </cell>
          <cell r="G238">
            <v>52</v>
          </cell>
          <cell r="H238">
            <v>54.6</v>
          </cell>
        </row>
        <row r="239">
          <cell r="D239">
            <v>300928</v>
          </cell>
          <cell r="E239" t="str">
            <v>LG</v>
          </cell>
          <cell r="F239" t="str">
            <v>LG Smart TV 65UQ751</v>
          </cell>
          <cell r="G239">
            <v>495</v>
          </cell>
          <cell r="H239">
            <v>519.75</v>
          </cell>
        </row>
        <row r="240">
          <cell r="D240">
            <v>300927</v>
          </cell>
          <cell r="E240" t="str">
            <v>LG</v>
          </cell>
          <cell r="F240" t="str">
            <v>LG Smart TV 55 UQ751 UHD 4K</v>
          </cell>
          <cell r="G240">
            <v>380</v>
          </cell>
          <cell r="H240">
            <v>399</v>
          </cell>
        </row>
        <row r="241">
          <cell r="D241">
            <v>300974</v>
          </cell>
          <cell r="E241" t="str">
            <v>LG</v>
          </cell>
          <cell r="F241" t="str">
            <v>LG Smart TV 75 75UQ80 UHD 4K</v>
          </cell>
          <cell r="G241">
            <v>849</v>
          </cell>
          <cell r="H241">
            <v>891.45</v>
          </cell>
        </row>
        <row r="242">
          <cell r="D242">
            <v>300984</v>
          </cell>
          <cell r="E242" t="str">
            <v>Xiaomi</v>
          </cell>
          <cell r="F242" t="str">
            <v>Xiaomi Smart TV A2 55 4K HDR10</v>
          </cell>
          <cell r="G242">
            <v>435.64</v>
          </cell>
          <cell r="H242">
            <v>457.422</v>
          </cell>
          <cell r="I242">
            <v>90</v>
          </cell>
        </row>
        <row r="243">
          <cell r="D243">
            <v>300985</v>
          </cell>
          <cell r="E243" t="str">
            <v>Xiaomi</v>
          </cell>
          <cell r="F243" t="str">
            <v>Xiaomi Smart TV P1E 65 4K HDR10</v>
          </cell>
          <cell r="G243">
            <v>508.36</v>
          </cell>
          <cell r="H243">
            <v>533.778</v>
          </cell>
          <cell r="I243">
            <v>50</v>
          </cell>
        </row>
        <row r="244">
          <cell r="D244">
            <v>300986</v>
          </cell>
          <cell r="E244" t="str">
            <v>Princess</v>
          </cell>
          <cell r="F244" t="str">
            <v>Princess Calefactor Smart 348201</v>
          </cell>
          <cell r="G244">
            <v>87.6</v>
          </cell>
          <cell r="H244">
            <v>91.98</v>
          </cell>
        </row>
        <row r="245">
          <cell r="D245">
            <v>300988</v>
          </cell>
          <cell r="E245" t="str">
            <v>oppo</v>
          </cell>
          <cell r="F245" t="str">
            <v>OPPO Pad air WIFI 64GB</v>
          </cell>
          <cell r="G245">
            <v>236.8</v>
          </cell>
          <cell r="H245">
            <v>248.64</v>
          </cell>
        </row>
        <row r="246">
          <cell r="D246">
            <v>300994</v>
          </cell>
          <cell r="E246" t="str">
            <v>Xiaomi</v>
          </cell>
          <cell r="F246" t="str">
            <v>Xiaomi Redmi Pad 4GB-128GB WIFI</v>
          </cell>
          <cell r="G246">
            <v>280</v>
          </cell>
          <cell r="H246">
            <v>294</v>
          </cell>
          <cell r="I246">
            <v>41.6</v>
          </cell>
        </row>
        <row r="247">
          <cell r="D247">
            <v>300977</v>
          </cell>
          <cell r="E247" t="str">
            <v>Samsung</v>
          </cell>
          <cell r="F247" t="str">
            <v>Samsung Smart TV QLED 55</v>
          </cell>
          <cell r="G247">
            <v>595</v>
          </cell>
          <cell r="H247">
            <v>624.75</v>
          </cell>
        </row>
        <row r="248">
          <cell r="D248">
            <v>300992</v>
          </cell>
          <cell r="E248" t="str">
            <v>Samsung</v>
          </cell>
          <cell r="F248" t="str">
            <v>MONITOR SAMSUNG M5 32 WHITE </v>
          </cell>
          <cell r="G248">
            <v>215</v>
          </cell>
          <cell r="H248">
            <v>225.75</v>
          </cell>
        </row>
        <row r="249">
          <cell r="D249">
            <v>300995</v>
          </cell>
          <cell r="E249" t="str">
            <v>Meta</v>
          </cell>
          <cell r="F249" t="str">
            <v>Oculus Quest 2 128GB Promoción</v>
          </cell>
          <cell r="G249">
            <v>313.27</v>
          </cell>
          <cell r="H249">
            <v>328.9335</v>
          </cell>
        </row>
        <row r="250">
          <cell r="D250">
            <v>300996</v>
          </cell>
          <cell r="E250" t="str">
            <v>Tristar</v>
          </cell>
          <cell r="F250" t="str">
            <v>Calefactor eléctrico con Wifi Tristar KA5819</v>
          </cell>
          <cell r="G250">
            <v>40.9</v>
          </cell>
          <cell r="H250">
            <v>42.945</v>
          </cell>
        </row>
        <row r="251">
          <cell r="D251">
            <v>301036</v>
          </cell>
          <cell r="E251" t="str">
            <v>Playstation</v>
          </cell>
          <cell r="F251" t="str">
            <v>SONY PS5 stand GOW voucher + Dualsense</v>
          </cell>
          <cell r="G251">
            <v>535.12</v>
          </cell>
          <cell r="H251">
            <v>561.876</v>
          </cell>
        </row>
        <row r="252">
          <cell r="D252">
            <v>301022</v>
          </cell>
          <cell r="E252" t="str">
            <v>Playstation</v>
          </cell>
          <cell r="F252" t="str">
            <v>SONY PlayStation VR2 + Horizon Call of the Mountain Voucher</v>
          </cell>
          <cell r="G252">
            <v>506.29</v>
          </cell>
          <cell r="H252">
            <v>531.6045</v>
          </cell>
        </row>
        <row r="253">
          <cell r="D253">
            <v>301034</v>
          </cell>
          <cell r="E253" t="str">
            <v> Huawei</v>
          </cell>
          <cell r="F253" t="str">
            <v>Huawei MatePad SE 64GB</v>
          </cell>
          <cell r="G253">
            <v>190.41</v>
          </cell>
          <cell r="H253">
            <v>199.9305</v>
          </cell>
          <cell r="I253">
            <v>30</v>
          </cell>
        </row>
        <row r="254">
          <cell r="D254">
            <v>301035</v>
          </cell>
          <cell r="E254" t="str">
            <v> Huawei</v>
          </cell>
          <cell r="F254" t="str">
            <v>Huawei Freebuds 5i White</v>
          </cell>
          <cell r="G254">
            <v>79.95</v>
          </cell>
          <cell r="H254">
            <v>83.9475</v>
          </cell>
          <cell r="I254">
            <v>30</v>
          </cell>
        </row>
        <row r="255">
          <cell r="D255">
            <v>301026</v>
          </cell>
          <cell r="E255" t="str">
            <v>Microsoft</v>
          </cell>
          <cell r="F255" t="str">
            <v>Microsoft Surface Pro 8 W11P+Funda tec </v>
          </cell>
          <cell r="G255">
            <v>878.06</v>
          </cell>
          <cell r="H255">
            <v>921.963</v>
          </cell>
        </row>
        <row r="256">
          <cell r="D256">
            <v>301039</v>
          </cell>
          <cell r="E256" t="str">
            <v>Samsung</v>
          </cell>
          <cell r="F256" t="str">
            <v>Samsung Book2 i5 8 256GB Windows Pro</v>
          </cell>
          <cell r="G256">
            <v>537.63</v>
          </cell>
          <cell r="H256">
            <v>564.5115</v>
          </cell>
        </row>
        <row r="257">
          <cell r="D257">
            <v>301038</v>
          </cell>
          <cell r="E257" t="str">
            <v>Lenovo</v>
          </cell>
          <cell r="F257" t="str">
            <v>IdeaPad Gaming 3 15IAH Ci5 1TB</v>
          </cell>
          <cell r="G257">
            <v>834.95</v>
          </cell>
          <cell r="H257">
            <v>876.6975</v>
          </cell>
          <cell r="I257">
            <v>40</v>
          </cell>
        </row>
        <row r="258">
          <cell r="D258">
            <v>301037</v>
          </cell>
          <cell r="E258" t="str">
            <v>Lenovo</v>
          </cell>
          <cell r="F258" t="str">
            <v>IdeaPad IP 1 15ADA7 3020e 8+256GB</v>
          </cell>
          <cell r="G258">
            <v>379.4</v>
          </cell>
          <cell r="H258">
            <v>398.37</v>
          </cell>
          <cell r="I258">
            <v>20</v>
          </cell>
        </row>
        <row r="259">
          <cell r="D259">
            <v>301063</v>
          </cell>
          <cell r="E259" t="str">
            <v>Lenovo</v>
          </cell>
          <cell r="F259" t="str">
            <v>Thinkbook 15 G4 IAP</v>
          </cell>
          <cell r="G259">
            <v>660.45</v>
          </cell>
          <cell r="H259">
            <v>693.4725</v>
          </cell>
        </row>
        <row r="260">
          <cell r="D260">
            <v>301064</v>
          </cell>
          <cell r="E260" t="str">
            <v>Lenovo</v>
          </cell>
          <cell r="F260" t="str">
            <v>ThinkPad L13 Gen Intel</v>
          </cell>
          <cell r="G260">
            <v>931.11</v>
          </cell>
          <cell r="H260">
            <v>977.6655</v>
          </cell>
        </row>
        <row r="261">
          <cell r="D261">
            <v>301053</v>
          </cell>
          <cell r="E261" t="str">
            <v>Xiaomi</v>
          </cell>
          <cell r="F261" t="str">
            <v>Xiaomi Vacuum Cleaner G11 EU</v>
          </cell>
          <cell r="G261">
            <v>334.7</v>
          </cell>
          <cell r="H261">
            <v>351.435</v>
          </cell>
          <cell r="I261">
            <v>90</v>
          </cell>
        </row>
        <row r="262">
          <cell r="D262">
            <v>301045</v>
          </cell>
          <cell r="E262" t="str">
            <v>LG</v>
          </cell>
          <cell r="F262" t="str">
            <v>LG Smart TV 75 75UR80 UHD 4K</v>
          </cell>
          <cell r="G262">
            <v>849</v>
          </cell>
          <cell r="H262">
            <v>891.45</v>
          </cell>
        </row>
        <row r="263">
          <cell r="D263">
            <v>301068</v>
          </cell>
          <cell r="E263" t="str">
            <v>Nintendo</v>
          </cell>
          <cell r="F263" t="str">
            <v>SWITCH OLED E.L ZELDA TEARS OF THE KINGDOM</v>
          </cell>
          <cell r="G263">
            <v>284.1</v>
          </cell>
          <cell r="H263">
            <v>298.305</v>
          </cell>
        </row>
        <row r="264">
          <cell r="D264">
            <v>301066</v>
          </cell>
          <cell r="E264" t="str">
            <v>Samsung</v>
          </cell>
          <cell r="F264" t="str">
            <v>Samsung Galaxy Book3 360 WIFI I5</v>
          </cell>
          <cell r="G264">
            <v>1128.71</v>
          </cell>
          <cell r="H264">
            <v>1185.1455</v>
          </cell>
          <cell r="I264">
            <v>100</v>
          </cell>
        </row>
        <row r="265">
          <cell r="D265">
            <v>301067</v>
          </cell>
          <cell r="E265" t="str">
            <v>Samsung</v>
          </cell>
          <cell r="F265" t="str">
            <v>Samsung Galaxy Book3 WIFI I5</v>
          </cell>
          <cell r="G265">
            <v>777.47</v>
          </cell>
          <cell r="H265">
            <v>816.3435</v>
          </cell>
          <cell r="I265">
            <v>100</v>
          </cell>
        </row>
        <row r="266">
          <cell r="D266">
            <v>315097</v>
          </cell>
          <cell r="E266" t="str">
            <v>Samsung</v>
          </cell>
          <cell r="F266" t="str">
            <v>Samsung Galaxy Book2 Go 5G</v>
          </cell>
          <cell r="G266">
            <v>496.48</v>
          </cell>
          <cell r="H266">
            <v>521.304</v>
          </cell>
          <cell r="I266">
            <v>70</v>
          </cell>
        </row>
        <row r="267">
          <cell r="D267">
            <v>300783</v>
          </cell>
          <cell r="E267" t="str">
            <v>Amazon</v>
          </cell>
          <cell r="F267" t="str">
            <v>Amazon Echo Show 5 2 Gen</v>
          </cell>
          <cell r="G267">
            <v>64.27</v>
          </cell>
          <cell r="H267">
            <v>67.4835</v>
          </cell>
        </row>
        <row r="268">
          <cell r="D268">
            <v>300782</v>
          </cell>
          <cell r="E268" t="str">
            <v>Google</v>
          </cell>
          <cell r="F268" t="str">
            <v>Google nest Hub 2 Gen </v>
          </cell>
          <cell r="G268">
            <v>70.74</v>
          </cell>
          <cell r="H268">
            <v>74.277</v>
          </cell>
        </row>
        <row r="269">
          <cell r="D269">
            <v>301061</v>
          </cell>
          <cell r="E269" t="str">
            <v>Xiaomi</v>
          </cell>
          <cell r="F269" t="str">
            <v>Xiaomi Robot Vacuum Mop S12</v>
          </cell>
          <cell r="G269">
            <v>223.13</v>
          </cell>
          <cell r="H269">
            <v>234.2865</v>
          </cell>
          <cell r="I269">
            <v>30</v>
          </cell>
        </row>
        <row r="270">
          <cell r="D270">
            <v>301079</v>
          </cell>
          <cell r="E270" t="str">
            <v>Faitem</v>
          </cell>
          <cell r="F270" t="str">
            <v>Enfriador de Aire Móvil SmartLife Blanco </v>
          </cell>
          <cell r="G270">
            <v>75.64</v>
          </cell>
          <cell r="H270">
            <v>79.422</v>
          </cell>
        </row>
        <row r="271">
          <cell r="D271">
            <v>301046</v>
          </cell>
          <cell r="E271" t="str">
            <v>Alcatel </v>
          </cell>
          <cell r="F271" t="str">
            <v>TCL NXTPAPER 11</v>
          </cell>
          <cell r="G271" t="str">
            <v>188,47€</v>
          </cell>
          <cell r="H271">
            <v>197.8935</v>
          </cell>
        </row>
        <row r="272">
          <cell r="D272">
            <v>301086</v>
          </cell>
          <cell r="E272" t="str">
            <v>ZTE</v>
          </cell>
          <cell r="F272" t="str">
            <v>Zte Buds 2 White</v>
          </cell>
          <cell r="G272" t="str">
            <v>16,78€</v>
          </cell>
          <cell r="H272">
            <v>17.619</v>
          </cell>
        </row>
        <row r="273">
          <cell r="D273">
            <v>301092</v>
          </cell>
          <cell r="E273" t="str">
            <v>Huawei </v>
          </cell>
          <cell r="F273" t="str">
            <v>Huawei Band 8</v>
          </cell>
          <cell r="G273">
            <v>48.576</v>
          </cell>
          <cell r="H273">
            <v>51.0048</v>
          </cell>
        </row>
        <row r="274">
          <cell r="D274">
            <v>301090</v>
          </cell>
          <cell r="E274" t="str">
            <v>JBL</v>
          </cell>
          <cell r="F274" t="str">
            <v>JBL Clip 4 Speaker</v>
          </cell>
          <cell r="G274">
            <v>42.97</v>
          </cell>
          <cell r="H274">
            <v>45.1185</v>
          </cell>
        </row>
        <row r="275">
          <cell r="D275">
            <v>301084</v>
          </cell>
          <cell r="E275" t="str">
            <v>LG </v>
          </cell>
          <cell r="F275" t="str">
            <v>Smart TV 55UR781</v>
          </cell>
          <cell r="G275">
            <v>380</v>
          </cell>
          <cell r="H275">
            <v>399</v>
          </cell>
        </row>
        <row r="276">
          <cell r="D276">
            <v>301085</v>
          </cell>
          <cell r="E276" t="str">
            <v>LG </v>
          </cell>
          <cell r="F276" t="str">
            <v>Smart TV 65 UR781 UHD 4K </v>
          </cell>
          <cell r="G276">
            <v>496</v>
          </cell>
          <cell r="H276">
            <v>520.8</v>
          </cell>
        </row>
        <row r="277">
          <cell r="D277">
            <v>301102</v>
          </cell>
          <cell r="E277" t="str">
            <v>Playstation</v>
          </cell>
          <cell r="F277" t="str">
            <v>SONY PS5 stand + Final Fantasy XVI</v>
          </cell>
          <cell r="G277">
            <v>408</v>
          </cell>
          <cell r="H277">
            <v>428.4</v>
          </cell>
        </row>
        <row r="278">
          <cell r="D278">
            <v>301094</v>
          </cell>
          <cell r="E278" t="str">
            <v>Samsung</v>
          </cell>
          <cell r="F278" t="str">
            <v>Galaxy Book2 Go WIFI</v>
          </cell>
          <cell r="G278">
            <v>426.12</v>
          </cell>
          <cell r="H278">
            <v>447.426</v>
          </cell>
          <cell r="I278">
            <v>130</v>
          </cell>
        </row>
        <row r="279">
          <cell r="D279">
            <v>301068</v>
          </cell>
          <cell r="E279" t="str">
            <v>Nintendo</v>
          </cell>
          <cell r="F279" t="str">
            <v>SWITCH OLED E.L ZELDA TEARS OF THE KINGDOM</v>
          </cell>
          <cell r="G279">
            <v>284.1</v>
          </cell>
          <cell r="H279">
            <v>298.305</v>
          </cell>
        </row>
        <row r="280">
          <cell r="D280">
            <v>301105</v>
          </cell>
          <cell r="E280" t="str">
            <v>Xiaomi</v>
          </cell>
          <cell r="F280" t="str">
            <v>Redmi Pad SE</v>
          </cell>
          <cell r="G280">
            <v>213.384375</v>
          </cell>
          <cell r="H280">
            <v>224.05359375</v>
          </cell>
          <cell r="I280">
            <v>66.25</v>
          </cell>
        </row>
        <row r="281">
          <cell r="D281">
            <v>301093</v>
          </cell>
          <cell r="E281" t="str">
            <v>Xiaomi</v>
          </cell>
          <cell r="F281" t="str">
            <v>REDMI WATCH 3 BLACK            </v>
          </cell>
          <cell r="G281">
            <v>89.25</v>
          </cell>
          <cell r="H281">
            <v>93.7125</v>
          </cell>
          <cell r="I281">
            <v>14</v>
          </cell>
        </row>
        <row r="282">
          <cell r="D282">
            <v>301104</v>
          </cell>
          <cell r="E282" t="str">
            <v>Xiaomi</v>
          </cell>
          <cell r="F282" t="str">
            <v>Electric Scooter 4 EU</v>
          </cell>
          <cell r="G282">
            <v>371.89</v>
          </cell>
          <cell r="H282">
            <v>390.4845</v>
          </cell>
        </row>
        <row r="283">
          <cell r="D283">
            <v>301103</v>
          </cell>
          <cell r="E283" t="str">
            <v>JBL</v>
          </cell>
          <cell r="F283" t="str">
            <v>JBL Soundbar Bar 2.0 All in One MK2</v>
          </cell>
          <cell r="G283">
            <v>132.22</v>
          </cell>
          <cell r="H283">
            <v>138.831</v>
          </cell>
        </row>
        <row r="284">
          <cell r="D284">
            <v>301101</v>
          </cell>
          <cell r="E284" t="str">
            <v>Faitem / Innov8</v>
          </cell>
          <cell r="F284" t="str">
            <v>Nedis Enfriador de aire COOL113CWT</v>
          </cell>
          <cell r="G284">
            <v>65.35</v>
          </cell>
          <cell r="H284">
            <v>68.6175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erminales VOZ"/>
      <sheetName val="Terminales Datos"/>
      <sheetName val="Accesorios"/>
    </sheetNames>
    <sheetDataSet>
      <sheetData sheetId="0"/>
      <sheetData sheetId="1">
        <row r="4">
          <cell r="B4" t="str">
            <v>Referencia</v>
          </cell>
          <cell r="C4" t="str">
            <v>F</v>
          </cell>
          <cell r="D4" t="str">
            <v>Modelo</v>
          </cell>
          <cell r="E4" t="str">
            <v>Precio Coste</v>
          </cell>
          <cell r="F4" t="str">
            <v>Precio Cesión</v>
          </cell>
        </row>
        <row r="5">
          <cell r="B5">
            <v>312307</v>
          </cell>
          <cell r="C5" t="str">
            <v>Samsung</v>
          </cell>
          <cell r="D5" t="str">
            <v>Galaxy TAB 4 10.1 LTE</v>
          </cell>
          <cell r="E5">
            <v>225</v>
          </cell>
          <cell r="F5">
            <v>340</v>
          </cell>
        </row>
        <row r="6">
          <cell r="B6">
            <v>312458</v>
          </cell>
          <cell r="C6" t="str">
            <v>Samsung</v>
          </cell>
          <cell r="D6" t="str">
            <v>Galaxy TAB 4 8" 16GB LTE</v>
          </cell>
          <cell r="E6">
            <v>227</v>
          </cell>
          <cell r="F6">
            <v>329.06</v>
          </cell>
        </row>
        <row r="7">
          <cell r="B7">
            <v>312676</v>
          </cell>
          <cell r="C7" t="str">
            <v>Samsung</v>
          </cell>
          <cell r="D7" t="str">
            <v>Galaxy TAB A 9,7''</v>
          </cell>
          <cell r="E7">
            <v>217.58</v>
          </cell>
          <cell r="F7">
            <v>330</v>
          </cell>
        </row>
        <row r="8">
          <cell r="B8">
            <v>312760</v>
          </cell>
          <cell r="C8" t="str">
            <v>Samsung</v>
          </cell>
          <cell r="D8" t="str">
            <v>Galaxy TAB 4 Active 8"</v>
          </cell>
          <cell r="E8">
            <v>321.16</v>
          </cell>
          <cell r="F8">
            <v>336.6</v>
          </cell>
        </row>
        <row r="9">
          <cell r="B9">
            <v>312306</v>
          </cell>
          <cell r="C9" t="str">
            <v>Sony</v>
          </cell>
          <cell r="D9" t="str">
            <v>Xperia Tablet Z2</v>
          </cell>
          <cell r="E9">
            <v>350.78</v>
          </cell>
          <cell r="F9">
            <v>470</v>
          </cell>
        </row>
        <row r="10">
          <cell r="B10">
            <v>312561</v>
          </cell>
          <cell r="C10" t="str">
            <v>iPad Air 2</v>
          </cell>
          <cell r="D10" t="str">
            <v>16 GB Space Grey</v>
          </cell>
          <cell r="E10">
            <v>449.2</v>
          </cell>
          <cell r="F10">
            <v>510</v>
          </cell>
        </row>
        <row r="11">
          <cell r="B11">
            <v>312562</v>
          </cell>
          <cell r="C11" t="str">
            <v>iPad Air 2</v>
          </cell>
          <cell r="D11" t="str">
            <v>16 GB Gold</v>
          </cell>
          <cell r="E11">
            <v>449.2</v>
          </cell>
          <cell r="F11">
            <v>510</v>
          </cell>
        </row>
        <row r="12">
          <cell r="B12">
            <v>312632</v>
          </cell>
          <cell r="C12" t="str">
            <v>Vodafone</v>
          </cell>
          <cell r="D12" t="str">
            <v>Smart TAB Prime  6 9.6"</v>
          </cell>
          <cell r="E12">
            <v>135.19</v>
          </cell>
          <cell r="F12">
            <v>162.9</v>
          </cell>
        </row>
        <row r="13">
          <cell r="B13">
            <v>312407</v>
          </cell>
          <cell r="C13" t="str">
            <v>Vodafone</v>
          </cell>
          <cell r="D13" t="str">
            <v>Smart TAB 4 8" 4G</v>
          </cell>
          <cell r="E13">
            <v>127.85</v>
          </cell>
          <cell r="F13">
            <v>150</v>
          </cell>
        </row>
        <row r="14">
          <cell r="B14">
            <v>312305</v>
          </cell>
          <cell r="C14" t="str">
            <v>Huawei</v>
          </cell>
          <cell r="D14" t="str">
            <v>Media Pad Link +</v>
          </cell>
          <cell r="E14">
            <v>174.73</v>
          </cell>
          <cell r="F14">
            <v>220</v>
          </cell>
        </row>
        <row r="15">
          <cell r="B15">
            <v>311746</v>
          </cell>
          <cell r="C15" t="str">
            <v>Asus</v>
          </cell>
          <cell r="D15" t="str">
            <v>ASUS TF600 (Windows 8)</v>
          </cell>
          <cell r="E15">
            <v>545</v>
          </cell>
          <cell r="F15">
            <v>570</v>
          </cell>
        </row>
        <row r="16">
          <cell r="B16">
            <v>311962</v>
          </cell>
          <cell r="C16" t="str">
            <v>Huawei</v>
          </cell>
          <cell r="D16" t="str">
            <v>K5150</v>
          </cell>
          <cell r="E16">
            <v>41.39</v>
          </cell>
          <cell r="F16">
            <v>86</v>
          </cell>
        </row>
        <row r="17">
          <cell r="B17">
            <v>312208</v>
          </cell>
          <cell r="C17" t="str">
            <v>Huawei</v>
          </cell>
          <cell r="D17" t="str">
            <v>k4203</v>
          </cell>
          <cell r="E17">
            <v>11.51</v>
          </cell>
          <cell r="F17">
            <v>16.8</v>
          </cell>
        </row>
        <row r="18">
          <cell r="B18">
            <v>312400</v>
          </cell>
          <cell r="C18" t="str">
            <v>Vodafone</v>
          </cell>
          <cell r="D18" t="str">
            <v>R207</v>
          </cell>
          <cell r="E18">
            <v>21.44</v>
          </cell>
          <cell r="F18">
            <v>35</v>
          </cell>
        </row>
        <row r="19">
          <cell r="B19">
            <v>312210</v>
          </cell>
          <cell r="C19" t="str">
            <v>Vodafone</v>
          </cell>
          <cell r="D19" t="str">
            <v>R215</v>
          </cell>
          <cell r="E19">
            <v>46.51</v>
          </cell>
          <cell r="F19">
            <v>86</v>
          </cell>
        </row>
        <row r="20">
          <cell r="B20">
            <v>312623</v>
          </cell>
          <cell r="C20" t="str">
            <v>Vodafone</v>
          </cell>
          <cell r="D20" t="str">
            <v>R216</v>
          </cell>
          <cell r="E20">
            <v>30.28</v>
          </cell>
          <cell r="F20">
            <v>42.45</v>
          </cell>
        </row>
        <row r="21">
          <cell r="B21">
            <v>312667</v>
          </cell>
          <cell r="C21" t="str">
            <v>Vodafone</v>
          </cell>
          <cell r="D21" t="str">
            <v>R216z</v>
          </cell>
          <cell r="E21">
            <v>37.8</v>
          </cell>
          <cell r="F21">
            <v>42.45</v>
          </cell>
        </row>
        <row r="22">
          <cell r="B22">
            <v>312405</v>
          </cell>
          <cell r="C22" t="str">
            <v>Vodafone</v>
          </cell>
          <cell r="D22" t="str">
            <v>R226</v>
          </cell>
          <cell r="E22">
            <v>69.76</v>
          </cell>
          <cell r="F22">
            <v>122.12</v>
          </cell>
        </row>
        <row r="23">
          <cell r="B23">
            <v>312213</v>
          </cell>
          <cell r="C23" t="str">
            <v>Huawei</v>
          </cell>
          <cell r="D23" t="str">
            <v>B3000</v>
          </cell>
          <cell r="E23">
            <v>147.13</v>
          </cell>
          <cell r="F23">
            <v>200</v>
          </cell>
        </row>
        <row r="24">
          <cell r="B24">
            <v>312737</v>
          </cell>
          <cell r="C24" t="str">
            <v>Huawei</v>
          </cell>
          <cell r="D24" t="str">
            <v>B3000 V2</v>
          </cell>
          <cell r="E24">
            <v>96.23</v>
          </cell>
          <cell r="F24">
            <v>98.15</v>
          </cell>
        </row>
        <row r="25">
          <cell r="B25">
            <v>312777</v>
          </cell>
          <cell r="C25" t="str">
            <v>Huawei</v>
          </cell>
          <cell r="D25" t="str">
            <v>B310</v>
          </cell>
          <cell r="E25">
            <v>49.71</v>
          </cell>
          <cell r="F25">
            <v>87.74</v>
          </cell>
        </row>
        <row r="26">
          <cell r="B26">
            <v>311660</v>
          </cell>
          <cell r="C26" t="str">
            <v>LOCATEL</v>
          </cell>
          <cell r="D26" t="str">
            <v>Pack Localización  </v>
          </cell>
          <cell r="E26">
            <v>115</v>
          </cell>
          <cell r="F26">
            <v>132</v>
          </cell>
        </row>
        <row r="27">
          <cell r="B27">
            <v>311661</v>
          </cell>
          <cell r="C27" t="str">
            <v>MICRONAV</v>
          </cell>
          <cell r="D27" t="str">
            <v>Pack Localización</v>
          </cell>
          <cell r="E27">
            <v>130</v>
          </cell>
          <cell r="F27">
            <v>143</v>
          </cell>
        </row>
        <row r="28">
          <cell r="B28">
            <v>312347</v>
          </cell>
          <cell r="C28" t="str">
            <v>Router </v>
          </cell>
          <cell r="D28" t="str">
            <v>Router VDSL OV + Modem K4203</v>
          </cell>
          <cell r="E28">
            <v>62.99</v>
          </cell>
          <cell r="F28">
            <v>99</v>
          </cell>
        </row>
        <row r="29">
          <cell r="B29">
            <v>311938</v>
          </cell>
          <cell r="C29" t="str">
            <v>Router </v>
          </cell>
          <cell r="D29" t="str">
            <v>Router VDSL OV</v>
          </cell>
          <cell r="E29">
            <v>49.75</v>
          </cell>
          <cell r="F29">
            <v>89</v>
          </cell>
        </row>
        <row r="30">
          <cell r="B30">
            <v>312002</v>
          </cell>
          <cell r="C30" t="str">
            <v>Router </v>
          </cell>
          <cell r="D30" t="str">
            <v>Router ADSL Observa BRA14NR</v>
          </cell>
          <cell r="E30">
            <v>28.78</v>
          </cell>
          <cell r="F30">
            <v>79</v>
          </cell>
        </row>
        <row r="31">
          <cell r="B31">
            <v>311983</v>
          </cell>
          <cell r="C31" t="str">
            <v>Router </v>
          </cell>
          <cell r="D31" t="str">
            <v>Router ADSL Seercom AD1018</v>
          </cell>
          <cell r="E31">
            <v>27.44</v>
          </cell>
          <cell r="F31">
            <v>79</v>
          </cell>
        </row>
        <row r="32">
          <cell r="B32">
            <v>312402</v>
          </cell>
          <cell r="C32" t="str">
            <v>Router </v>
          </cell>
          <cell r="D32" t="str">
            <v>Router  AD1018 Sercomm ADSL 128 MB </v>
          </cell>
          <cell r="E32">
            <v>29.18</v>
          </cell>
          <cell r="F32">
            <v>79</v>
          </cell>
        </row>
        <row r="33">
          <cell r="B33">
            <v>312231</v>
          </cell>
          <cell r="C33" t="str">
            <v>Router </v>
          </cell>
          <cell r="D33" t="str">
            <v>Router HG556 OV+ Modem K4203</v>
          </cell>
          <cell r="E33">
            <v>57.17</v>
          </cell>
          <cell r="F33">
            <v>99</v>
          </cell>
        </row>
        <row r="34">
          <cell r="B34">
            <v>311937</v>
          </cell>
          <cell r="C34" t="str">
            <v>Huawei</v>
          </cell>
          <cell r="D34" t="str">
            <v>Router HG556 OV</v>
          </cell>
          <cell r="E34">
            <v>42.46</v>
          </cell>
          <cell r="F34">
            <v>84</v>
          </cell>
        </row>
        <row r="35">
          <cell r="B35">
            <v>311898</v>
          </cell>
          <cell r="C35" t="str">
            <v>Huawei</v>
          </cell>
          <cell r="D35" t="str">
            <v>Router VDSL OV+ Modem K3772</v>
          </cell>
          <cell r="E35">
            <v>71.73</v>
          </cell>
          <cell r="F35">
            <v>99</v>
          </cell>
        </row>
        <row r="36">
          <cell r="B36">
            <v>312572</v>
          </cell>
          <cell r="C36" t="str">
            <v>Observa</v>
          </cell>
          <cell r="D36" t="str">
            <v>Router VDSL OBSERVA OV V2</v>
          </cell>
          <cell r="E36">
            <v>49.75</v>
          </cell>
          <cell r="F36">
            <v>89</v>
          </cell>
        </row>
        <row r="37">
          <cell r="B37">
            <v>312606</v>
          </cell>
          <cell r="C37" t="str">
            <v>Huawei</v>
          </cell>
          <cell r="D37" t="str">
            <v>Router AR 511 4G</v>
          </cell>
          <cell r="E37">
            <v>520</v>
          </cell>
          <cell r="F37">
            <v>556.4</v>
          </cell>
        </row>
        <row r="38">
          <cell r="B38">
            <v>312574</v>
          </cell>
          <cell r="C38" t="str">
            <v>Huawei</v>
          </cell>
          <cell r="D38" t="str">
            <v>Router 4G E5186</v>
          </cell>
          <cell r="E38">
            <v>125.1</v>
          </cell>
          <cell r="F38">
            <v>215.89</v>
          </cell>
        </row>
        <row r="39">
          <cell r="B39">
            <v>312688</v>
          </cell>
          <cell r="C39" t="str">
            <v>Observa</v>
          </cell>
          <cell r="D39" t="str">
            <v>Router BRA14NR Observa ADSL ND</v>
          </cell>
          <cell r="E39">
            <v>28.61</v>
          </cell>
          <cell r="F39">
            <v>79</v>
          </cell>
        </row>
        <row r="40">
          <cell r="B40">
            <v>312345</v>
          </cell>
          <cell r="C40" t="str">
            <v>Sercomm</v>
          </cell>
          <cell r="D40" t="str">
            <v>Router VD1018 Sercomm VDSL</v>
          </cell>
          <cell r="E40">
            <v>38.24</v>
          </cell>
          <cell r="F40">
            <v>99</v>
          </cell>
        </row>
        <row r="41">
          <cell r="B41">
            <v>312876</v>
          </cell>
          <cell r="C41" t="str">
            <v>Sercomm</v>
          </cell>
          <cell r="D41" t="str">
            <v>VOX 2.5 router avanzado DSL</v>
          </cell>
          <cell r="E41">
            <v>47.19</v>
          </cell>
          <cell r="F41">
            <v>99</v>
          </cell>
        </row>
        <row r="42">
          <cell r="B42">
            <v>312728</v>
          </cell>
          <cell r="C42" t="str">
            <v>Sercomm</v>
          </cell>
          <cell r="D42" t="str">
            <v>ROUTER AD1018 SERCOMM ADSL NEBA</v>
          </cell>
          <cell r="E42">
            <v>27.65</v>
          </cell>
          <cell r="F42">
            <v>99</v>
          </cell>
        </row>
        <row r="43">
          <cell r="B43">
            <v>312733</v>
          </cell>
          <cell r="C43" t="str">
            <v>Observa</v>
          </cell>
          <cell r="D43" t="str">
            <v>ROUTER BRA14NR OBSERVA ADSL ND NEBA</v>
          </cell>
          <cell r="E43">
            <v>28.64</v>
          </cell>
          <cell r="F43">
            <v>99</v>
          </cell>
        </row>
        <row r="44">
          <cell r="B44">
            <v>312950</v>
          </cell>
          <cell r="C44" t="str">
            <v>Sercomm</v>
          </cell>
          <cell r="D44" t="str">
            <v>Vox 2.5 router avanzado DSL + K4203</v>
          </cell>
          <cell r="E44">
            <v>66.24</v>
          </cell>
          <cell r="F44">
            <v>99</v>
          </cell>
        </row>
        <row r="45">
          <cell r="B45">
            <v>312933</v>
          </cell>
          <cell r="C45" t="str">
            <v>Huawei</v>
          </cell>
          <cell r="D45" t="str">
            <v>Tablet Huawei MediaPad M2 10”</v>
          </cell>
          <cell r="E45">
            <v>293.88</v>
          </cell>
          <cell r="F45">
            <v>313.88</v>
          </cell>
        </row>
        <row r="46">
          <cell r="B46">
            <v>313014</v>
          </cell>
          <cell r="C46" t="str">
            <v>Apple</v>
          </cell>
          <cell r="D46" t="str">
            <v>iPad Pro 9.7" 32 GB Space Grey</v>
          </cell>
          <cell r="E46">
            <v>611.47</v>
          </cell>
          <cell r="F46">
            <v>623.7</v>
          </cell>
        </row>
        <row r="47">
          <cell r="B47">
            <v>313023</v>
          </cell>
          <cell r="C47" t="str">
            <v>Samsung</v>
          </cell>
          <cell r="D47" t="str">
            <v>Galaxy Tab A 10.1</v>
          </cell>
          <cell r="E47">
            <v>235.47</v>
          </cell>
          <cell r="F47">
            <v>261.94</v>
          </cell>
        </row>
        <row r="48">
          <cell r="B48">
            <v>312956</v>
          </cell>
          <cell r="C48" t="str">
            <v>Vodafone</v>
          </cell>
          <cell r="D48" t="str">
            <v>TAB Prime 7</v>
          </cell>
          <cell r="E48">
            <v>154.14</v>
          </cell>
          <cell r="F48">
            <v>175.12</v>
          </cell>
        </row>
        <row r="49">
          <cell r="B49">
            <v>313092</v>
          </cell>
          <cell r="C49" t="str">
            <v>iPad Air 2</v>
          </cell>
          <cell r="D49" t="str">
            <v>32 GB Space Grey</v>
          </cell>
          <cell r="E49">
            <v>414.57</v>
          </cell>
          <cell r="F49">
            <v>414.07</v>
          </cell>
        </row>
        <row r="50">
          <cell r="B50">
            <v>312934</v>
          </cell>
          <cell r="C50" t="str">
            <v>Vodafone</v>
          </cell>
          <cell r="D50" t="str">
            <v>K5160</v>
          </cell>
          <cell r="E50">
            <v>24.84</v>
          </cell>
          <cell r="F50">
            <v>37</v>
          </cell>
        </row>
        <row r="51">
          <cell r="B51">
            <v>313134</v>
          </cell>
          <cell r="C51" t="str">
            <v>Vodafone</v>
          </cell>
          <cell r="D51" t="str">
            <v>R218z</v>
          </cell>
          <cell r="E51">
            <v>34.14</v>
          </cell>
          <cell r="F51">
            <v>37.95</v>
          </cell>
        </row>
        <row r="52">
          <cell r="B52">
            <v>313123</v>
          </cell>
          <cell r="C52" t="str">
            <v>Sercomm</v>
          </cell>
          <cell r="D52" t="str">
            <v>VFH-500s DSL         </v>
          </cell>
          <cell r="E52">
            <v>43.68</v>
          </cell>
          <cell r="F52">
            <v>99</v>
          </cell>
        </row>
        <row r="53">
          <cell r="B53">
            <v>313198</v>
          </cell>
          <cell r="C53" t="str">
            <v>Apple</v>
          </cell>
          <cell r="D53" t="str">
            <v>iPad Plus 32 GB Space Grey</v>
          </cell>
          <cell r="E53">
            <v>412.32</v>
          </cell>
          <cell r="F53">
            <v>420.5664</v>
          </cell>
        </row>
        <row r="54">
          <cell r="B54">
            <v>313163</v>
          </cell>
          <cell r="C54" t="str">
            <v>Huawei</v>
          </cell>
          <cell r="D54" t="str">
            <v>Router AR 511 4G + Accesorios</v>
          </cell>
          <cell r="E54">
            <v>592.9</v>
          </cell>
          <cell r="F54">
            <v>634.4</v>
          </cell>
        </row>
        <row r="55">
          <cell r="B55">
            <v>313172</v>
          </cell>
          <cell r="C55" t="str">
            <v>Samsung</v>
          </cell>
          <cell r="D55" t="str">
            <v>Galaxy TAB S2 </v>
          </cell>
          <cell r="E55">
            <v>379.65</v>
          </cell>
          <cell r="F55">
            <v>443.96</v>
          </cell>
        </row>
        <row r="56">
          <cell r="B56">
            <v>313243</v>
          </cell>
          <cell r="C56" t="str">
            <v>Apple</v>
          </cell>
          <cell r="D56" t="str">
            <v>Ipad Pro 10,5" 64GB Space Grey</v>
          </cell>
          <cell r="E56">
            <v>659.17</v>
          </cell>
          <cell r="F56">
            <v>705.3119</v>
          </cell>
        </row>
        <row r="57">
          <cell r="B57">
            <v>313226</v>
          </cell>
          <cell r="C57" t="str">
            <v>Huawei</v>
          </cell>
          <cell r="D57" t="str">
            <v>Media Pad T3 10"</v>
          </cell>
          <cell r="E57">
            <v>153.42</v>
          </cell>
          <cell r="F57">
            <v>164.1594</v>
          </cell>
        </row>
        <row r="58">
          <cell r="B58">
            <v>313228</v>
          </cell>
          <cell r="C58" t="str">
            <v>Vodafone</v>
          </cell>
          <cell r="D58" t="str">
            <v>Smart Tab N8</v>
          </cell>
          <cell r="E58">
            <v>116.1</v>
          </cell>
          <cell r="F58">
            <v>124.227</v>
          </cell>
        </row>
        <row r="59">
          <cell r="B59">
            <v>313253</v>
          </cell>
          <cell r="C59" t="str">
            <v>ZTE</v>
          </cell>
          <cell r="D59" t="str">
            <v>MF255</v>
          </cell>
          <cell r="E59">
            <v>52.53</v>
          </cell>
          <cell r="F59">
            <v>51.98</v>
          </cell>
        </row>
        <row r="60">
          <cell r="B60">
            <v>313258</v>
          </cell>
          <cell r="C60" t="str">
            <v>Huawei</v>
          </cell>
          <cell r="D60" t="str">
            <v>R218</v>
          </cell>
          <cell r="E60">
            <v>27.27</v>
          </cell>
          <cell r="F60">
            <v>30</v>
          </cell>
        </row>
        <row r="61">
          <cell r="B61">
            <v>313297</v>
          </cell>
          <cell r="C61" t="str">
            <v>Huawei</v>
          </cell>
          <cell r="D61" t="str">
            <v>R227</v>
          </cell>
          <cell r="E61">
            <v>49.94</v>
          </cell>
          <cell r="F61">
            <v>74.38</v>
          </cell>
        </row>
        <row r="62">
          <cell r="B62">
            <v>313333</v>
          </cell>
          <cell r="C62" t="str">
            <v>Sercomm</v>
          </cell>
          <cell r="D62" t="str">
            <v>VFH-500S DSL+modem K4203</v>
          </cell>
          <cell r="E62">
            <v>53.77</v>
          </cell>
          <cell r="F62">
            <v>99</v>
          </cell>
        </row>
        <row r="63">
          <cell r="B63">
            <v>313311</v>
          </cell>
          <cell r="C63" t="str">
            <v>Samsung </v>
          </cell>
          <cell r="D63" t="str">
            <v>Galaxy Book 12" LTE 256GB</v>
          </cell>
          <cell r="E63">
            <v>1268.19</v>
          </cell>
          <cell r="F63">
            <v>1328.3025</v>
          </cell>
        </row>
        <row r="64">
          <cell r="B64">
            <v>313401</v>
          </cell>
          <cell r="C64" t="str">
            <v>Apple</v>
          </cell>
          <cell r="D64" t="str">
            <v>iPad 2018 32GB Space Grey</v>
          </cell>
          <cell r="E64">
            <v>354.71</v>
          </cell>
          <cell r="F64">
            <v>372.45</v>
          </cell>
        </row>
        <row r="65">
          <cell r="B65">
            <v>313421</v>
          </cell>
          <cell r="C65" t="str">
            <v>Samsung</v>
          </cell>
          <cell r="D65" t="str">
            <v>Galaxy Tab A 10.1 32GB</v>
          </cell>
          <cell r="E65">
            <v>242.98</v>
          </cell>
          <cell r="F65">
            <v>261.94</v>
          </cell>
        </row>
        <row r="66">
          <cell r="B66">
            <v>313285</v>
          </cell>
          <cell r="C66" t="str">
            <v>Huawei</v>
          </cell>
          <cell r="D66" t="str">
            <v>Router 4G B525</v>
          </cell>
          <cell r="E66">
            <v>82.1</v>
          </cell>
          <cell r="F66">
            <v>120</v>
          </cell>
        </row>
        <row r="67">
          <cell r="B67">
            <v>313244</v>
          </cell>
          <cell r="C67" t="str">
            <v>Apple</v>
          </cell>
          <cell r="D67" t="str">
            <v>Ipad Pro 12,9" 128GB Space Grey</v>
          </cell>
          <cell r="E67">
            <v>914.49</v>
          </cell>
          <cell r="F67">
            <v>978.5043</v>
          </cell>
        </row>
        <row r="68">
          <cell r="B68">
            <v>313407</v>
          </cell>
          <cell r="C68" t="str">
            <v>Alcatel</v>
          </cell>
          <cell r="D68" t="str">
            <v>R218T</v>
          </cell>
          <cell r="E68">
            <v>27.73</v>
          </cell>
          <cell r="F68">
            <v>30</v>
          </cell>
        </row>
        <row r="69">
          <cell r="B69">
            <v>313457</v>
          </cell>
          <cell r="C69" t="str">
            <v>Huawei</v>
          </cell>
          <cell r="D69" t="str">
            <v>MediaPad M5 Pro</v>
          </cell>
          <cell r="E69">
            <v>382.69</v>
          </cell>
          <cell r="F69">
            <v>401.8245</v>
          </cell>
        </row>
        <row r="70">
          <cell r="B70">
            <v>313566</v>
          </cell>
          <cell r="C70" t="str">
            <v>Apple</v>
          </cell>
          <cell r="D70" t="str">
            <v>iPad Pro 11" 64GB ISP Space grey</v>
          </cell>
          <cell r="E70">
            <v>780.18</v>
          </cell>
          <cell r="F70">
            <v>834.7926</v>
          </cell>
        </row>
        <row r="71">
          <cell r="B71">
            <v>313565</v>
          </cell>
          <cell r="C71" t="str">
            <v>Apple</v>
          </cell>
          <cell r="D71" t="str">
            <v>Ipad Pro 12,9" 256GB ISP Space Grey</v>
          </cell>
          <cell r="E71">
            <v>1071.3</v>
          </cell>
          <cell r="F71">
            <v>1146.291</v>
          </cell>
        </row>
        <row r="72">
          <cell r="B72">
            <v>313558</v>
          </cell>
          <cell r="C72" t="str">
            <v>Huawei</v>
          </cell>
          <cell r="D72" t="str">
            <v>MediaPad T5 10 32GB</v>
          </cell>
          <cell r="E72">
            <v>184.34</v>
          </cell>
          <cell r="F72">
            <v>197.2438</v>
          </cell>
        </row>
        <row r="73">
          <cell r="B73">
            <v>313666</v>
          </cell>
          <cell r="C73" t="str">
            <v>Apple</v>
          </cell>
          <cell r="D73" t="str">
            <v>iPad Air 2019 64GB</v>
          </cell>
          <cell r="E73">
            <v>511.46</v>
          </cell>
          <cell r="F73">
            <v>547.2622</v>
          </cell>
        </row>
        <row r="74">
          <cell r="B74">
            <v>313585</v>
          </cell>
          <cell r="C74" t="str">
            <v>Huawei</v>
          </cell>
          <cell r="D74" t="str">
            <v>B311</v>
          </cell>
          <cell r="E74">
            <v>47.67</v>
          </cell>
          <cell r="F74">
            <v>87.74</v>
          </cell>
        </row>
        <row r="75">
          <cell r="B75">
            <v>313673</v>
          </cell>
          <cell r="C75" t="str">
            <v>Samsung</v>
          </cell>
          <cell r="D75" t="str">
            <v>Galaxy TAB A10.1 32GB 2019</v>
          </cell>
          <cell r="E75">
            <v>205.59</v>
          </cell>
          <cell r="F75">
            <v>219.9813</v>
          </cell>
        </row>
        <row r="76">
          <cell r="B76">
            <v>313681</v>
          </cell>
          <cell r="C76" t="str">
            <v>Samsung</v>
          </cell>
          <cell r="D76" t="str">
            <v>Galaxy TAB S5e 64GB</v>
          </cell>
          <cell r="E76">
            <v>382.44</v>
          </cell>
          <cell r="F76">
            <v>409.2108</v>
          </cell>
        </row>
        <row r="77">
          <cell r="B77">
            <v>313646</v>
          </cell>
          <cell r="C77" t="str">
            <v>Huawei</v>
          </cell>
          <cell r="D77" t="str">
            <v>H112 5G</v>
          </cell>
          <cell r="E77">
            <v>434.15</v>
          </cell>
          <cell r="F77">
            <v>455.8575</v>
          </cell>
        </row>
        <row r="78">
          <cell r="B78">
            <v>313777</v>
          </cell>
          <cell r="C78" t="str">
            <v>Apple</v>
          </cell>
          <cell r="D78" t="str">
            <v>iPad 10.2 2019 32GB Space Grey</v>
          </cell>
          <cell r="E78">
            <v>384.57</v>
          </cell>
          <cell r="F78">
            <v>411.4899</v>
          </cell>
        </row>
        <row r="79">
          <cell r="B79">
            <v>313788</v>
          </cell>
          <cell r="C79" t="str">
            <v>Apple</v>
          </cell>
          <cell r="D79" t="str">
            <v>iPad 10.2 2019 128GB Space Grey</v>
          </cell>
          <cell r="E79">
            <v>459.21</v>
          </cell>
          <cell r="F79">
            <v>491.3547</v>
          </cell>
        </row>
        <row r="80">
          <cell r="B80">
            <v>313847</v>
          </cell>
          <cell r="C80" t="str">
            <v>Apple</v>
          </cell>
          <cell r="D80" t="str">
            <v>Ipad Pro 12.9" 2020 256GB Space Grey</v>
          </cell>
          <cell r="E80">
            <v>1026.51</v>
          </cell>
          <cell r="F80">
            <v>1077.8355</v>
          </cell>
        </row>
        <row r="81">
          <cell r="B81">
            <v>313846</v>
          </cell>
          <cell r="C81" t="str">
            <v>Apple</v>
          </cell>
          <cell r="D81" t="str">
            <v>Ipad Pro 11" 2020 256GB Space Grey</v>
          </cell>
          <cell r="E81">
            <v>862.29</v>
          </cell>
          <cell r="F81">
            <v>905.4045</v>
          </cell>
        </row>
        <row r="82">
          <cell r="B82">
            <v>313784</v>
          </cell>
          <cell r="C82" t="str">
            <v>Alcatel</v>
          </cell>
          <cell r="D82" t="str">
            <v>TAB 3T 10"</v>
          </cell>
          <cell r="E82">
            <v>120.43</v>
          </cell>
          <cell r="F82">
            <v>132.473</v>
          </cell>
        </row>
        <row r="83">
          <cell r="B83">
            <v>313827</v>
          </cell>
          <cell r="C83" t="str">
            <v>Huawei</v>
          </cell>
          <cell r="D83" t="str">
            <v>Router 4G B535</v>
          </cell>
          <cell r="E83">
            <v>60.72</v>
          </cell>
          <cell r="F83">
            <v>66.792</v>
          </cell>
        </row>
        <row r="84">
          <cell r="B84">
            <v>313853</v>
          </cell>
          <cell r="C84" t="str">
            <v>Huawei</v>
          </cell>
          <cell r="D84" t="str">
            <v>MediaPad M5 Lite 10"</v>
          </cell>
          <cell r="E84">
            <v>218.74</v>
          </cell>
          <cell r="F84">
            <v>240.614</v>
          </cell>
        </row>
        <row r="85">
          <cell r="B85">
            <v>313855</v>
          </cell>
          <cell r="C85" t="str">
            <v>Huawei</v>
          </cell>
          <cell r="D85" t="str">
            <v>E5576</v>
          </cell>
          <cell r="E85">
            <v>28.34</v>
          </cell>
          <cell r="F85">
            <v>31.174</v>
          </cell>
        </row>
        <row r="86">
          <cell r="B86">
            <v>313558</v>
          </cell>
          <cell r="C86" t="str">
            <v>Huawei</v>
          </cell>
          <cell r="D86" t="str">
            <v>MediaPad T5 10"</v>
          </cell>
          <cell r="E86">
            <v>156.86</v>
          </cell>
          <cell r="F86">
            <v>172.546</v>
          </cell>
        </row>
        <row r="87">
          <cell r="B87">
            <v>313825</v>
          </cell>
          <cell r="C87" t="str">
            <v>Huawei</v>
          </cell>
          <cell r="D87" t="str">
            <v>R219</v>
          </cell>
          <cell r="E87">
            <v>22.26</v>
          </cell>
          <cell r="F87">
            <v>24.486</v>
          </cell>
        </row>
        <row r="88">
          <cell r="B88">
            <v>313768</v>
          </cell>
          <cell r="C88" t="str">
            <v>Microkey </v>
          </cell>
          <cell r="D88" t="str">
            <v>MK830 </v>
          </cell>
          <cell r="E88">
            <v>78.5</v>
          </cell>
          <cell r="F88">
            <v>86.35</v>
          </cell>
        </row>
        <row r="89">
          <cell r="B89">
            <v>313888</v>
          </cell>
          <cell r="C89" t="str">
            <v>Samsung</v>
          </cell>
          <cell r="D89" t="str">
            <v>Active Pro LTE EE</v>
          </cell>
          <cell r="E89">
            <v>541.57</v>
          </cell>
          <cell r="F89">
            <v>568.6485</v>
          </cell>
        </row>
        <row r="90">
          <cell r="B90">
            <v>313858</v>
          </cell>
          <cell r="C90" t="str">
            <v>Samsung</v>
          </cell>
          <cell r="D90" t="str">
            <v>Galaxy TAB S6 Lite</v>
          </cell>
          <cell r="E90">
            <v>342.21</v>
          </cell>
          <cell r="F90">
            <v>366.1647</v>
          </cell>
        </row>
        <row r="91">
          <cell r="B91">
            <v>313826</v>
          </cell>
          <cell r="C91" t="str">
            <v>Huawei</v>
          </cell>
          <cell r="D91" t="str">
            <v>B311n</v>
          </cell>
          <cell r="E91">
            <v>37.44</v>
          </cell>
          <cell r="F91">
            <v>41.184</v>
          </cell>
        </row>
        <row r="92">
          <cell r="B92">
            <v>313926</v>
          </cell>
          <cell r="C92" t="str">
            <v>Huawei</v>
          </cell>
          <cell r="D92" t="str">
            <v>MatePad 10.4 LTE 32GB+keyboard+ Pen</v>
          </cell>
          <cell r="E92">
            <v>263.78</v>
          </cell>
          <cell r="F92">
            <v>290.158</v>
          </cell>
        </row>
        <row r="93">
          <cell r="B93">
            <v>313927</v>
          </cell>
          <cell r="C93" t="str">
            <v>Samsung</v>
          </cell>
          <cell r="D93" t="str">
            <v>Galaxy Tab S6 Lite+funda teclado</v>
          </cell>
          <cell r="E93">
            <v>342.21</v>
          </cell>
          <cell r="F93">
            <v>359.3205</v>
          </cell>
        </row>
        <row r="94">
          <cell r="B94">
            <v>313907</v>
          </cell>
          <cell r="C94" t="str">
            <v>Samsung</v>
          </cell>
          <cell r="D94" t="str">
            <v>Galaxy Tab A7</v>
          </cell>
          <cell r="E94">
            <v>228.86</v>
          </cell>
          <cell r="F94">
            <v>251.746</v>
          </cell>
        </row>
        <row r="95">
          <cell r="B95">
            <v>313906</v>
          </cell>
          <cell r="C95" t="str">
            <v>Samsung</v>
          </cell>
          <cell r="D95" t="str">
            <v>Galaxy Tab S7+ 5G</v>
          </cell>
          <cell r="E95">
            <v>859.8</v>
          </cell>
          <cell r="F95">
            <v>902.79</v>
          </cell>
        </row>
        <row r="96">
          <cell r="B96">
            <v>313951</v>
          </cell>
          <cell r="C96" t="str">
            <v>Apple</v>
          </cell>
          <cell r="D96" t="str">
            <v>iPad 10.2  Wi-Fi + Cellular 128GB</v>
          </cell>
          <cell r="E96">
            <v>459.21</v>
          </cell>
          <cell r="F96">
            <v>482.1705</v>
          </cell>
        </row>
        <row r="97">
          <cell r="B97">
            <v>313830</v>
          </cell>
          <cell r="C97" t="str">
            <v>Huawei</v>
          </cell>
          <cell r="D97" t="str">
            <v>K5161</v>
          </cell>
          <cell r="E97">
            <v>19.73</v>
          </cell>
          <cell r="F97">
            <v>21.703</v>
          </cell>
        </row>
        <row r="98">
          <cell r="B98">
            <v>314063</v>
          </cell>
          <cell r="C98" t="str">
            <v>Samsung</v>
          </cell>
          <cell r="D98" t="str">
            <v>Galaxy Tab Active 3 64GB EE</v>
          </cell>
          <cell r="E98">
            <v>380.66</v>
          </cell>
          <cell r="F98">
            <v>399.693</v>
          </cell>
        </row>
        <row r="99">
          <cell r="B99">
            <v>313988</v>
          </cell>
          <cell r="C99" t="str">
            <v>Apple</v>
          </cell>
          <cell r="D99" t="str">
            <v>iPad Air ISP 256GB Space Grey</v>
          </cell>
          <cell r="E99">
            <v>713</v>
          </cell>
          <cell r="F99">
            <v>748.65</v>
          </cell>
        </row>
        <row r="100">
          <cell r="B100">
            <v>313868</v>
          </cell>
          <cell r="C100" t="str">
            <v>Huawei</v>
          </cell>
          <cell r="D100" t="str">
            <v>H122 5G</v>
          </cell>
          <cell r="E100">
            <v>282.35</v>
          </cell>
          <cell r="F100">
            <v>310.585</v>
          </cell>
        </row>
        <row r="101">
          <cell r="B101">
            <v>314067</v>
          </cell>
          <cell r="C101" t="str">
            <v>Huawei</v>
          </cell>
          <cell r="D101" t="str">
            <v>Vodafone R219 + MateBook X Pro Space Grey</v>
          </cell>
          <cell r="E101">
            <v>1419.98</v>
          </cell>
          <cell r="F101">
            <v>1490.979</v>
          </cell>
        </row>
        <row r="102">
          <cell r="B102">
            <v>300669</v>
          </cell>
          <cell r="C102" t="str">
            <v>Microsoft</v>
          </cell>
          <cell r="D102" t="str">
            <v>Surface Pro 7 +funda y teclado</v>
          </cell>
          <cell r="E102">
            <v>892.36</v>
          </cell>
          <cell r="F102">
            <v>936.978</v>
          </cell>
        </row>
        <row r="103">
          <cell r="B103">
            <v>313858</v>
          </cell>
          <cell r="C103" t="str">
            <v>Samsung</v>
          </cell>
          <cell r="D103" t="str">
            <v>Galaxy Tab S6 Lite</v>
          </cell>
          <cell r="E103">
            <v>342.21</v>
          </cell>
          <cell r="F103">
            <v>359.3205</v>
          </cell>
        </row>
        <row r="104">
          <cell r="B104">
            <v>314053</v>
          </cell>
          <cell r="C104" t="str">
            <v>Samsung</v>
          </cell>
          <cell r="D104" t="str">
            <v>Galaxy TAB S7 128GB EE</v>
          </cell>
          <cell r="E104">
            <v>630.69</v>
          </cell>
          <cell r="F104">
            <v>662.2245</v>
          </cell>
        </row>
        <row r="105">
          <cell r="B105">
            <v>314215</v>
          </cell>
          <cell r="C105" t="str">
            <v>Samsung</v>
          </cell>
          <cell r="D105" t="str">
            <v>Galaxy TAB S7 FE 5G 128GB</v>
          </cell>
          <cell r="E105">
            <v>548.66</v>
          </cell>
          <cell r="F105">
            <v>576.093</v>
          </cell>
        </row>
        <row r="106">
          <cell r="B106">
            <v>314200</v>
          </cell>
          <cell r="C106" t="str">
            <v>Apple</v>
          </cell>
          <cell r="D106" t="str">
            <v>iPAD Pro 5G 12,9" 256Gb 2021</v>
          </cell>
          <cell r="E106">
            <v>1101.16</v>
          </cell>
          <cell r="F106">
            <v>1156.218</v>
          </cell>
        </row>
        <row r="107">
          <cell r="B107">
            <v>314195</v>
          </cell>
          <cell r="C107" t="str">
            <v>Apple</v>
          </cell>
          <cell r="D107" t="str">
            <v>iPAD Pro 5G 11" 256Gb 2021</v>
          </cell>
          <cell r="E107">
            <v>862.29</v>
          </cell>
          <cell r="F107">
            <v>905.4045</v>
          </cell>
        </row>
        <row r="108">
          <cell r="B108">
            <v>314363</v>
          </cell>
          <cell r="C108" t="str">
            <v>Apple</v>
          </cell>
          <cell r="D108" t="str">
            <v>Ipad 10.2 2021 64Gb Space Grey</v>
          </cell>
          <cell r="E108">
            <v>444.28</v>
          </cell>
          <cell r="F108">
            <v>466.494</v>
          </cell>
        </row>
        <row r="109">
          <cell r="B109">
            <v>314364</v>
          </cell>
          <cell r="C109" t="str">
            <v>Apple</v>
          </cell>
          <cell r="D109" t="str">
            <v>Ipad 10.2 2021 256Gb Space Grey</v>
          </cell>
          <cell r="E109">
            <v>593.03</v>
          </cell>
          <cell r="F109">
            <v>622.6815</v>
          </cell>
        </row>
        <row r="110">
          <cell r="B110">
            <v>314222</v>
          </cell>
          <cell r="C110" t="str">
            <v>Alcatel</v>
          </cell>
          <cell r="D110" t="str">
            <v>TCT Router HH500 5G</v>
          </cell>
          <cell r="E110">
            <v>191.77</v>
          </cell>
          <cell r="F110">
            <v>210.947</v>
          </cell>
        </row>
        <row r="111">
          <cell r="B111">
            <v>314221</v>
          </cell>
          <cell r="C111" t="str">
            <v>ZTE</v>
          </cell>
          <cell r="D111" t="str">
            <v>MIFI MU5001 MIFI 5G</v>
          </cell>
          <cell r="E111">
            <v>181.76</v>
          </cell>
          <cell r="F111">
            <v>199.936</v>
          </cell>
        </row>
        <row r="112">
          <cell r="B112">
            <v>314491</v>
          </cell>
          <cell r="C112" t="str">
            <v>Samsung</v>
          </cell>
          <cell r="D112" t="str">
            <v>Samsung Galaxy Tab A7 Lite 3 - 32GB</v>
          </cell>
          <cell r="E112">
            <v>159.0358</v>
          </cell>
          <cell r="F112">
            <v>174.93938</v>
          </cell>
        </row>
        <row r="113">
          <cell r="B113">
            <v>314453</v>
          </cell>
          <cell r="C113" t="str">
            <v>Samsung</v>
          </cell>
          <cell r="D113" t="str">
            <v>Samsung Galaxy Tab A8 4GB - 64GB</v>
          </cell>
          <cell r="E113">
            <v>245.0558</v>
          </cell>
          <cell r="F113">
            <v>269.56138</v>
          </cell>
        </row>
        <row r="114">
          <cell r="B114">
            <v>314225</v>
          </cell>
          <cell r="C114" t="str">
            <v>Alcatel</v>
          </cell>
          <cell r="D114" t="str">
            <v>TAB 3T 10 4G BLACK</v>
          </cell>
          <cell r="E114">
            <v>120.42</v>
          </cell>
          <cell r="F114">
            <v>132.462</v>
          </cell>
        </row>
        <row r="115">
          <cell r="B115">
            <v>314492</v>
          </cell>
          <cell r="C115" t="str">
            <v>Adoc</v>
          </cell>
          <cell r="D115" t="str">
            <v>Router R45</v>
          </cell>
          <cell r="E115">
            <v>54.68</v>
          </cell>
          <cell r="F115">
            <v>60.148</v>
          </cell>
        </row>
        <row r="116">
          <cell r="B116">
            <v>314527</v>
          </cell>
          <cell r="C116" t="str">
            <v>Samsung</v>
          </cell>
          <cell r="D116" t="str">
            <v>Galaxy Tab S8 Ultra 5G 256Gb</v>
          </cell>
          <cell r="E116">
            <v>1248.96</v>
          </cell>
          <cell r="F116">
            <v>1311.408</v>
          </cell>
        </row>
        <row r="117">
          <cell r="B117">
            <v>314575</v>
          </cell>
          <cell r="C117" t="str">
            <v>Apple</v>
          </cell>
          <cell r="D117" t="str">
            <v>IPAD AIR WF 256GB Space Grey</v>
          </cell>
          <cell r="E117">
            <v>757.79</v>
          </cell>
          <cell r="F117">
            <v>795.6795</v>
          </cell>
        </row>
        <row r="118">
          <cell r="B118">
            <v>314177</v>
          </cell>
          <cell r="C118" t="str">
            <v>Adoc</v>
          </cell>
          <cell r="D118" t="str">
            <v>TAB T10</v>
          </cell>
          <cell r="E118">
            <v>135.82</v>
          </cell>
          <cell r="F118">
            <v>149.402</v>
          </cell>
        </row>
        <row r="119">
          <cell r="B119">
            <v>314664</v>
          </cell>
          <cell r="C119" t="str">
            <v>Samsung</v>
          </cell>
          <cell r="D119" t="str">
            <v>Galaxy Tab S8 5G Black</v>
          </cell>
          <cell r="E119">
            <v>781.42</v>
          </cell>
          <cell r="F119">
            <v>820.491</v>
          </cell>
        </row>
        <row r="120">
          <cell r="B120">
            <v>314888</v>
          </cell>
          <cell r="C120" t="str">
            <v>Apple</v>
          </cell>
          <cell r="D120" t="str">
            <v>Apple Ipad 10.9 64Gb Silver</v>
          </cell>
          <cell r="E120">
            <v>578.64</v>
          </cell>
          <cell r="F120">
            <v>607.572</v>
          </cell>
        </row>
        <row r="121">
          <cell r="B121">
            <v>314890</v>
          </cell>
          <cell r="C121" t="str">
            <v>Apple</v>
          </cell>
          <cell r="D121" t="str">
            <v>Apple Ipad 10.9 256Gb Silver</v>
          </cell>
          <cell r="E121">
            <v>727.93</v>
          </cell>
          <cell r="F121">
            <v>764.3265</v>
          </cell>
        </row>
        <row r="122">
          <cell r="B122">
            <v>314891</v>
          </cell>
          <cell r="C122" t="str">
            <v>Apple</v>
          </cell>
          <cell r="D122" t="str">
            <v>Apple Ipad Pro 11 WF CL ISP 256GB GRY</v>
          </cell>
          <cell r="E122">
            <v>1026.51</v>
          </cell>
          <cell r="F122">
            <v>1077.8355</v>
          </cell>
        </row>
        <row r="123">
          <cell r="B123">
            <v>314892</v>
          </cell>
          <cell r="C123" t="str">
            <v>Apple</v>
          </cell>
          <cell r="D123" t="str">
            <v>Apple iPad Pro 12.9 WF CL ISP 256GB GRY</v>
          </cell>
          <cell r="E123">
            <v>1325.1</v>
          </cell>
          <cell r="F123">
            <v>1391.355</v>
          </cell>
        </row>
        <row r="124">
          <cell r="B124">
            <v>314697</v>
          </cell>
          <cell r="C124" t="str">
            <v>ZTE</v>
          </cell>
          <cell r="D124" t="str">
            <v>Mifi R219Z</v>
          </cell>
          <cell r="E124">
            <v>23.78</v>
          </cell>
          <cell r="F124">
            <v>26.158</v>
          </cell>
        </row>
        <row r="125">
          <cell r="B125">
            <v>314691</v>
          </cell>
          <cell r="C125" t="str">
            <v>ZTE</v>
          </cell>
          <cell r="D125" t="str">
            <v>Router MF296C</v>
          </cell>
          <cell r="E125">
            <v>57.58</v>
          </cell>
          <cell r="F125">
            <v>63.338</v>
          </cell>
        </row>
        <row r="126">
          <cell r="B126">
            <v>315048</v>
          </cell>
          <cell r="C126" t="str">
            <v>Samsung</v>
          </cell>
          <cell r="D126" t="str">
            <v>Tab Active 4 Pro 5G 128Gb Black</v>
          </cell>
          <cell r="E126">
            <v>651.88</v>
          </cell>
          <cell r="F126">
            <v>684.474</v>
          </cell>
        </row>
        <row r="127">
          <cell r="B127">
            <v>301046</v>
          </cell>
          <cell r="C127" t="str">
            <v>TCL</v>
          </cell>
          <cell r="D127" t="str">
            <v>Tab Nxtpaper 11 Dark Grey</v>
          </cell>
          <cell r="E127">
            <v>188.47</v>
          </cell>
          <cell r="F127">
            <v>207.317</v>
          </cell>
        </row>
      </sheetData>
      <sheetData sheetId="2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99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1.45703125" defaultRowHeight="13.8" zeroHeight="false" outlineLevelRow="0" outlineLevelCol="0"/>
  <cols>
    <col collapsed="false" customWidth="false" hidden="false" outlineLevel="0" max="1" min="1" style="1" width="11.45"/>
    <col collapsed="false" customWidth="true" hidden="false" outlineLevel="0" max="2" min="2" style="0" width="9.82"/>
    <col collapsed="false" customWidth="true" hidden="false" outlineLevel="0" max="3" min="3" style="2" width="19.72"/>
    <col collapsed="false" customWidth="true" hidden="false" outlineLevel="0" max="4" min="4" style="3" width="35.54"/>
    <col collapsed="false" customWidth="true" hidden="false" outlineLevel="0" max="5" min="5" style="0" width="15.82"/>
    <col collapsed="false" customWidth="true" hidden="false" outlineLevel="0" max="6" min="6" style="0" width="17.82"/>
    <col collapsed="false" customWidth="true" hidden="false" outlineLevel="0" max="7" min="7" style="0" width="21.28"/>
    <col collapsed="false" customWidth="true" hidden="false" outlineLevel="0" max="8" min="8" style="0" width="17.72"/>
    <col collapsed="false" customWidth="true" hidden="false" outlineLevel="0" max="9" min="9" style="0" width="8.54"/>
    <col collapsed="false" customWidth="true" hidden="false" outlineLevel="0" max="10" min="10" style="0" width="12.45"/>
    <col collapsed="false" customWidth="true" hidden="false" outlineLevel="0" max="11" min="11" style="0" width="11.72"/>
    <col collapsed="false" customWidth="true" hidden="true" outlineLevel="0" max="12" min="12" style="0" width="17.17"/>
    <col collapsed="false" customWidth="true" hidden="false" outlineLevel="0" max="13" min="13" style="0" width="14.27"/>
    <col collapsed="false" customWidth="true" hidden="false" outlineLevel="0" max="14" min="14" style="0" width="14.45"/>
    <col collapsed="false" customWidth="true" hidden="false" outlineLevel="0" max="15" min="15" style="0" width="14"/>
    <col collapsed="false" customWidth="true" hidden="false" outlineLevel="0" max="16" min="16" style="0" width="11.82"/>
    <col collapsed="false" customWidth="true" hidden="false" outlineLevel="0" max="17" min="17" style="0" width="14.54"/>
    <col collapsed="false" customWidth="true" hidden="false" outlineLevel="0" max="18" min="18" style="0" width="15.54"/>
    <col collapsed="false" customWidth="true" hidden="false" outlineLevel="0" max="19" min="19" style="0" width="15.45"/>
    <col collapsed="false" customWidth="true" hidden="true" outlineLevel="0" max="20" min="20" style="0" width="11"/>
    <col collapsed="false" customWidth="true" hidden="false" outlineLevel="0" max="21" min="21" style="0" width="12.54"/>
    <col collapsed="false" customWidth="true" hidden="true" outlineLevel="0" max="22" min="22" style="0" width="11.82"/>
    <col collapsed="false" customWidth="true" hidden="true" outlineLevel="0" max="23" min="23" style="0" width="11"/>
    <col collapsed="false" customWidth="true" hidden="false" outlineLevel="0" max="26" min="26" style="0" width="19.28"/>
    <col collapsed="false" customWidth="true" hidden="false" outlineLevel="0" max="30" min="27" style="4" width="15.17"/>
    <col collapsed="false" customWidth="true" hidden="false" outlineLevel="0" max="31" min="31" style="0" width="10.72"/>
    <col collapsed="false" customWidth="false" hidden="false" outlineLevel="0" max="32" min="32" style="5" width="11.45"/>
    <col collapsed="false" customWidth="true" hidden="false" outlineLevel="0" max="33" min="33" style="0" width="13.72"/>
    <col collapsed="false" customWidth="true" hidden="false" outlineLevel="0" max="34" min="34" style="6" width="20.28"/>
    <col collapsed="false" customWidth="true" hidden="false" outlineLevel="0" max="1024" min="1024" style="0" width="9.14"/>
  </cols>
  <sheetData>
    <row r="1" customFormat="false" ht="15" hidden="false" customHeight="true" outlineLevel="0" collapsed="false">
      <c r="A1" s="7" t="s">
        <v>0</v>
      </c>
      <c r="B1" s="7"/>
      <c r="C1" s="7"/>
      <c r="D1" s="8"/>
      <c r="E1" s="9" t="s">
        <v>1</v>
      </c>
      <c r="F1" s="10"/>
      <c r="G1" s="10"/>
      <c r="H1" s="10"/>
      <c r="I1" s="9"/>
      <c r="J1" s="10"/>
      <c r="K1" s="10"/>
      <c r="L1" s="10"/>
      <c r="M1" s="10"/>
      <c r="N1" s="10"/>
      <c r="O1" s="10"/>
      <c r="P1" s="11"/>
      <c r="Q1" s="9" t="s">
        <v>2</v>
      </c>
      <c r="R1" s="10"/>
      <c r="S1" s="10"/>
      <c r="T1" s="10"/>
      <c r="U1" s="10"/>
      <c r="V1" s="10"/>
      <c r="W1" s="10"/>
      <c r="X1" s="10"/>
      <c r="Y1" s="12" t="s">
        <v>3</v>
      </c>
      <c r="Z1" s="12"/>
      <c r="AB1" s="13"/>
      <c r="AC1" s="14"/>
      <c r="AD1" s="15"/>
      <c r="AE1" s="16"/>
    </row>
    <row r="2" customFormat="false" ht="21" hidden="false" customHeight="false" outlineLevel="0" collapsed="false">
      <c r="A2" s="17" t="s">
        <v>4</v>
      </c>
      <c r="B2" s="18" t="s">
        <v>5</v>
      </c>
      <c r="C2" s="19" t="s">
        <v>6</v>
      </c>
      <c r="D2" s="20" t="s">
        <v>7</v>
      </c>
      <c r="E2" s="21" t="s">
        <v>8</v>
      </c>
      <c r="F2" s="22" t="s">
        <v>9</v>
      </c>
      <c r="G2" s="22" t="s">
        <v>10</v>
      </c>
      <c r="H2" s="22" t="s">
        <v>11</v>
      </c>
      <c r="I2" s="23" t="s">
        <v>12</v>
      </c>
      <c r="J2" s="24" t="s">
        <v>13</v>
      </c>
      <c r="K2" s="24" t="s">
        <v>14</v>
      </c>
      <c r="L2" s="25" t="s">
        <v>15</v>
      </c>
      <c r="M2" s="25" t="s">
        <v>16</v>
      </c>
      <c r="N2" s="26" t="s">
        <v>17</v>
      </c>
      <c r="O2" s="27" t="s">
        <v>18</v>
      </c>
      <c r="P2" s="28" t="s">
        <v>19</v>
      </c>
      <c r="Q2" s="29" t="s">
        <v>20</v>
      </c>
      <c r="R2" s="30" t="s">
        <v>21</v>
      </c>
      <c r="S2" s="30" t="s">
        <v>22</v>
      </c>
      <c r="T2" s="31" t="n">
        <v>10001</v>
      </c>
      <c r="U2" s="27" t="s">
        <v>23</v>
      </c>
      <c r="V2" s="32" t="s">
        <v>24</v>
      </c>
      <c r="W2" s="30" t="n">
        <v>10002</v>
      </c>
      <c r="X2" s="33" t="s">
        <v>25</v>
      </c>
      <c r="Y2" s="30" t="s">
        <v>21</v>
      </c>
      <c r="Z2" s="30" t="s">
        <v>22</v>
      </c>
      <c r="AA2" s="34" t="s">
        <v>26</v>
      </c>
      <c r="AB2" s="35" t="s">
        <v>27</v>
      </c>
      <c r="AC2" s="36" t="s">
        <v>28</v>
      </c>
      <c r="AD2" s="37" t="s">
        <v>29</v>
      </c>
      <c r="AE2" s="30" t="s">
        <v>30</v>
      </c>
      <c r="AF2" s="30" t="s">
        <v>31</v>
      </c>
      <c r="AG2" s="30" t="s">
        <v>32</v>
      </c>
      <c r="AH2" s="38" t="s">
        <v>33</v>
      </c>
    </row>
    <row r="3" customFormat="false" ht="14.25" hidden="false" customHeight="true" outlineLevel="0" collapsed="false">
      <c r="A3" s="39" t="n">
        <v>314697</v>
      </c>
      <c r="B3" s="39" t="s">
        <v>34</v>
      </c>
      <c r="C3" s="39" t="s">
        <v>35</v>
      </c>
      <c r="D3" s="39" t="s">
        <v>36</v>
      </c>
      <c r="E3" s="40" t="s">
        <v>37</v>
      </c>
      <c r="F3" s="41" t="n">
        <v>26</v>
      </c>
      <c r="G3" s="41" t="n">
        <v>26</v>
      </c>
      <c r="H3" s="40" t="n">
        <v>26</v>
      </c>
      <c r="I3" s="40"/>
      <c r="J3" s="40"/>
      <c r="K3" s="40"/>
      <c r="L3" s="42"/>
      <c r="M3" s="40"/>
      <c r="N3" s="40"/>
      <c r="O3" s="41" t="n">
        <v>26</v>
      </c>
      <c r="P3" s="43"/>
      <c r="Q3" s="40" t="n">
        <v>26</v>
      </c>
      <c r="R3" s="41" t="n">
        <v>26</v>
      </c>
      <c r="S3" s="41" t="n">
        <v>26</v>
      </c>
      <c r="T3" s="40"/>
      <c r="U3" s="41" t="n">
        <v>26</v>
      </c>
      <c r="V3" s="40"/>
      <c r="W3" s="40"/>
      <c r="X3" s="44"/>
      <c r="Y3" s="40" t="n">
        <v>26</v>
      </c>
      <c r="Z3" s="40" t="n">
        <v>26</v>
      </c>
      <c r="AA3" s="45"/>
      <c r="AB3" s="45" t="s">
        <v>38</v>
      </c>
      <c r="AC3" s="45"/>
      <c r="AD3" s="45"/>
      <c r="AE3" s="40" t="n">
        <v>26</v>
      </c>
      <c r="AF3" s="46" t="n">
        <v>0</v>
      </c>
      <c r="AG3" s="40"/>
      <c r="AI3" s="47"/>
    </row>
    <row r="4" customFormat="false" ht="14.25" hidden="false" customHeight="true" outlineLevel="0" collapsed="false">
      <c r="A4" s="48" t="n">
        <v>314175</v>
      </c>
      <c r="B4" s="48" t="s">
        <v>39</v>
      </c>
      <c r="C4" s="49" t="s">
        <v>40</v>
      </c>
      <c r="D4" s="49" t="n">
        <v>3080</v>
      </c>
      <c r="E4" s="40" t="s">
        <v>41</v>
      </c>
      <c r="F4" s="41" t="n">
        <v>35</v>
      </c>
      <c r="G4" s="41" t="n">
        <v>35</v>
      </c>
      <c r="H4" s="40" t="n">
        <v>35</v>
      </c>
      <c r="I4" s="40"/>
      <c r="J4" s="40" t="n">
        <v>34</v>
      </c>
      <c r="K4" s="40" t="n">
        <v>34</v>
      </c>
      <c r="L4" s="40"/>
      <c r="M4" s="40"/>
      <c r="N4" s="40"/>
      <c r="O4" s="41" t="n">
        <v>35</v>
      </c>
      <c r="P4" s="43"/>
      <c r="Q4" s="40" t="n">
        <v>35</v>
      </c>
      <c r="R4" s="41" t="n">
        <v>35</v>
      </c>
      <c r="S4" s="41" t="n">
        <v>35</v>
      </c>
      <c r="T4" s="50"/>
      <c r="U4" s="41" t="n">
        <v>35</v>
      </c>
      <c r="V4" s="40"/>
      <c r="W4" s="40"/>
      <c r="X4" s="44"/>
      <c r="Y4" s="40" t="n">
        <v>35</v>
      </c>
      <c r="Z4" s="40" t="n">
        <v>35</v>
      </c>
      <c r="AA4" s="45"/>
      <c r="AB4" s="45"/>
      <c r="AC4" s="45"/>
      <c r="AD4" s="45"/>
      <c r="AE4" s="51" t="n">
        <v>35</v>
      </c>
      <c r="AF4" s="52" t="n">
        <v>0</v>
      </c>
      <c r="AG4" s="40"/>
      <c r="AI4" s="47"/>
    </row>
    <row r="5" customFormat="false" ht="13.8" hidden="false" customHeight="false" outlineLevel="0" collapsed="false">
      <c r="A5" s="48" t="n">
        <v>314407</v>
      </c>
      <c r="B5" s="48" t="s">
        <v>39</v>
      </c>
      <c r="C5" s="49" t="s">
        <v>42</v>
      </c>
      <c r="D5" s="49" t="n">
        <v>225</v>
      </c>
      <c r="E5" s="40" t="s">
        <v>43</v>
      </c>
      <c r="F5" s="41" t="n">
        <v>31</v>
      </c>
      <c r="G5" s="41" t="n">
        <v>31</v>
      </c>
      <c r="H5" s="40" t="n">
        <v>31</v>
      </c>
      <c r="I5" s="40"/>
      <c r="J5" s="40"/>
      <c r="K5" s="40"/>
      <c r="L5" s="40"/>
      <c r="M5" s="40"/>
      <c r="N5" s="40"/>
      <c r="O5" s="41" t="n">
        <v>31</v>
      </c>
      <c r="P5" s="43"/>
      <c r="Q5" s="40" t="n">
        <v>31</v>
      </c>
      <c r="R5" s="41" t="n">
        <v>31</v>
      </c>
      <c r="S5" s="41" t="n">
        <v>37</v>
      </c>
      <c r="T5" s="50"/>
      <c r="U5" s="41" t="n">
        <v>31</v>
      </c>
      <c r="V5" s="40"/>
      <c r="W5" s="40"/>
      <c r="X5" s="44"/>
      <c r="Y5" s="40" t="n">
        <v>31</v>
      </c>
      <c r="Z5" s="40" t="n">
        <v>37</v>
      </c>
      <c r="AA5" s="45"/>
      <c r="AB5" s="45"/>
      <c r="AC5" s="45"/>
      <c r="AD5" s="45"/>
      <c r="AE5" s="51" t="n">
        <v>37</v>
      </c>
      <c r="AF5" s="52" t="n">
        <v>6</v>
      </c>
      <c r="AG5" s="40"/>
      <c r="AI5" s="47"/>
    </row>
    <row r="6" customFormat="false" ht="13.8" hidden="false" customHeight="false" outlineLevel="0" collapsed="false">
      <c r="A6" s="53" t="n">
        <v>380572</v>
      </c>
      <c r="B6" s="53" t="s">
        <v>44</v>
      </c>
      <c r="C6" s="53" t="s">
        <v>45</v>
      </c>
      <c r="D6" s="53" t="s">
        <v>46</v>
      </c>
      <c r="E6" s="40" t="s">
        <v>47</v>
      </c>
      <c r="F6" s="41" t="n">
        <v>50</v>
      </c>
      <c r="G6" s="41" t="n">
        <v>50</v>
      </c>
      <c r="H6" s="40" t="n">
        <v>50</v>
      </c>
      <c r="I6" s="54"/>
      <c r="J6" s="54"/>
      <c r="K6" s="54"/>
      <c r="L6" s="54"/>
      <c r="M6" s="54"/>
      <c r="N6" s="54"/>
      <c r="O6" s="41" t="n">
        <v>50</v>
      </c>
      <c r="P6" s="43"/>
      <c r="Q6" s="40" t="n">
        <v>50</v>
      </c>
      <c r="R6" s="41" t="n">
        <v>50</v>
      </c>
      <c r="S6" s="41" t="n">
        <v>50</v>
      </c>
      <c r="T6" s="55"/>
      <c r="U6" s="41" t="n">
        <v>50</v>
      </c>
      <c r="V6" s="54"/>
      <c r="W6" s="40"/>
      <c r="X6" s="44"/>
      <c r="Y6" s="40" t="n">
        <v>50</v>
      </c>
      <c r="Z6" s="40" t="n">
        <v>50</v>
      </c>
      <c r="AA6" s="45"/>
      <c r="AB6" s="45"/>
      <c r="AC6" s="45"/>
      <c r="AD6" s="45"/>
      <c r="AE6" s="40" t="n">
        <v>50</v>
      </c>
      <c r="AF6" s="52" t="n">
        <v>0</v>
      </c>
      <c r="AG6" s="49"/>
      <c r="AI6" s="47"/>
    </row>
    <row r="7" customFormat="false" ht="13.8" hidden="false" customHeight="false" outlineLevel="0" collapsed="false">
      <c r="A7" s="53" t="n">
        <v>314492</v>
      </c>
      <c r="B7" s="53" t="s">
        <v>34</v>
      </c>
      <c r="C7" s="53" t="s">
        <v>48</v>
      </c>
      <c r="D7" s="53" t="s">
        <v>49</v>
      </c>
      <c r="E7" s="40" t="s">
        <v>37</v>
      </c>
      <c r="F7" s="41" t="n">
        <v>60</v>
      </c>
      <c r="G7" s="41" t="n">
        <v>60</v>
      </c>
      <c r="H7" s="41" t="n">
        <v>60</v>
      </c>
      <c r="I7" s="40"/>
      <c r="J7" s="40"/>
      <c r="K7" s="40"/>
      <c r="L7" s="50"/>
      <c r="M7" s="40"/>
      <c r="N7" s="40"/>
      <c r="O7" s="41" t="n">
        <v>60</v>
      </c>
      <c r="P7" s="43"/>
      <c r="Q7" s="41" t="n">
        <v>60</v>
      </c>
      <c r="R7" s="41" t="n">
        <v>60</v>
      </c>
      <c r="S7" s="41" t="n">
        <v>60</v>
      </c>
      <c r="T7" s="40"/>
      <c r="U7" s="41" t="n">
        <v>60</v>
      </c>
      <c r="V7" s="40"/>
      <c r="W7" s="40"/>
      <c r="X7" s="44"/>
      <c r="Y7" s="40" t="n">
        <v>60</v>
      </c>
      <c r="Z7" s="40" t="n">
        <v>60</v>
      </c>
      <c r="AA7" s="45"/>
      <c r="AB7" s="45"/>
      <c r="AC7" s="45"/>
      <c r="AD7" s="45"/>
      <c r="AE7" s="40" t="n">
        <v>60</v>
      </c>
      <c r="AF7" s="46" t="n">
        <v>0</v>
      </c>
      <c r="AG7" s="40"/>
      <c r="AI7" s="47"/>
    </row>
    <row r="8" customFormat="false" ht="13.8" hidden="false" customHeight="false" outlineLevel="0" collapsed="false">
      <c r="A8" s="53" t="n">
        <v>314186</v>
      </c>
      <c r="B8" s="53" t="s">
        <v>50</v>
      </c>
      <c r="C8" s="53" t="s">
        <v>48</v>
      </c>
      <c r="D8" s="53" t="s">
        <v>51</v>
      </c>
      <c r="E8" s="56" t="s">
        <v>52</v>
      </c>
      <c r="F8" s="41" t="n">
        <v>53</v>
      </c>
      <c r="G8" s="41" t="n">
        <v>53</v>
      </c>
      <c r="H8" s="41" t="n">
        <v>53</v>
      </c>
      <c r="I8" s="57"/>
      <c r="J8" s="41" t="n">
        <v>53</v>
      </c>
      <c r="K8" s="40" t="n">
        <v>53</v>
      </c>
      <c r="L8" s="57"/>
      <c r="M8" s="57"/>
      <c r="N8" s="57"/>
      <c r="O8" s="41" t="n">
        <v>53</v>
      </c>
      <c r="P8" s="43"/>
      <c r="Q8" s="41" t="n">
        <v>53</v>
      </c>
      <c r="R8" s="41" t="n">
        <v>53</v>
      </c>
      <c r="S8" s="41" t="n">
        <v>60</v>
      </c>
      <c r="T8" s="57"/>
      <c r="U8" s="41" t="n">
        <v>53</v>
      </c>
      <c r="V8" s="57"/>
      <c r="W8" s="40" t="n">
        <v>53</v>
      </c>
      <c r="X8" s="44"/>
      <c r="Y8" s="40" t="n">
        <v>53</v>
      </c>
      <c r="Z8" s="40" t="n">
        <v>60</v>
      </c>
      <c r="AA8" s="45"/>
      <c r="AB8" s="45"/>
      <c r="AC8" s="45"/>
      <c r="AD8" s="45"/>
      <c r="AE8" s="51" t="n">
        <v>60</v>
      </c>
      <c r="AF8" s="52" t="n">
        <v>7</v>
      </c>
      <c r="AG8" s="49"/>
      <c r="AI8" s="47"/>
    </row>
    <row r="9" customFormat="false" ht="13.8" hidden="false" customHeight="false" outlineLevel="0" collapsed="false">
      <c r="A9" s="53" t="n">
        <v>314665</v>
      </c>
      <c r="B9" s="53" t="s">
        <v>39</v>
      </c>
      <c r="C9" s="53" t="s">
        <v>48</v>
      </c>
      <c r="D9" s="53" t="s">
        <v>53</v>
      </c>
      <c r="E9" s="40" t="s">
        <v>43</v>
      </c>
      <c r="F9" s="41" t="n">
        <v>60</v>
      </c>
      <c r="G9" s="41" t="n">
        <v>60</v>
      </c>
      <c r="H9" s="40" t="n">
        <v>60</v>
      </c>
      <c r="I9" s="40"/>
      <c r="J9" s="40" t="n">
        <v>60</v>
      </c>
      <c r="K9" s="40" t="n">
        <v>60</v>
      </c>
      <c r="L9" s="40"/>
      <c r="M9" s="40"/>
      <c r="N9" s="40"/>
      <c r="O9" s="41" t="n">
        <v>60</v>
      </c>
      <c r="P9" s="43"/>
      <c r="Q9" s="40" t="n">
        <v>60</v>
      </c>
      <c r="R9" s="41" t="n">
        <v>60</v>
      </c>
      <c r="S9" s="41" t="n">
        <v>66</v>
      </c>
      <c r="T9" s="50"/>
      <c r="U9" s="41" t="n">
        <v>60</v>
      </c>
      <c r="V9" s="40"/>
      <c r="W9" s="40" t="n">
        <v>60</v>
      </c>
      <c r="X9" s="44"/>
      <c r="Y9" s="40" t="n">
        <v>60</v>
      </c>
      <c r="Z9" s="40" t="n">
        <v>66</v>
      </c>
      <c r="AA9" s="45"/>
      <c r="AB9" s="45"/>
      <c r="AC9" s="45"/>
      <c r="AD9" s="45"/>
      <c r="AE9" s="51" t="n">
        <v>66</v>
      </c>
      <c r="AF9" s="52" t="n">
        <v>6</v>
      </c>
      <c r="AG9" s="40"/>
      <c r="AI9" s="47"/>
    </row>
    <row r="10" s="59" customFormat="true" ht="13.8" hidden="false" customHeight="false" outlineLevel="0" collapsed="false">
      <c r="A10" s="53" t="n">
        <v>327657</v>
      </c>
      <c r="B10" s="53" t="s">
        <v>54</v>
      </c>
      <c r="C10" s="53" t="s">
        <v>55</v>
      </c>
      <c r="D10" s="53" t="s">
        <v>56</v>
      </c>
      <c r="E10" s="41" t="s">
        <v>47</v>
      </c>
      <c r="F10" s="41" t="n">
        <v>72</v>
      </c>
      <c r="G10" s="41" t="n">
        <v>72</v>
      </c>
      <c r="H10" s="41" t="n">
        <v>72</v>
      </c>
      <c r="I10" s="55"/>
      <c r="J10" s="41" t="n">
        <v>72</v>
      </c>
      <c r="K10" s="40"/>
      <c r="L10" s="55"/>
      <c r="M10" s="55"/>
      <c r="N10" s="55"/>
      <c r="O10" s="41" t="n">
        <v>72</v>
      </c>
      <c r="P10" s="43"/>
      <c r="Q10" s="41" t="n">
        <v>72</v>
      </c>
      <c r="R10" s="41" t="n">
        <v>72</v>
      </c>
      <c r="S10" s="41" t="n">
        <v>72</v>
      </c>
      <c r="T10" s="55"/>
      <c r="U10" s="41" t="n">
        <v>72</v>
      </c>
      <c r="V10" s="55"/>
      <c r="W10" s="40"/>
      <c r="X10" s="44"/>
      <c r="Y10" s="41" t="n">
        <v>72</v>
      </c>
      <c r="Z10" s="40" t="n">
        <v>72</v>
      </c>
      <c r="AA10" s="45"/>
      <c r="AB10" s="45"/>
      <c r="AC10" s="45"/>
      <c r="AD10" s="45"/>
      <c r="AE10" s="58" t="n">
        <v>72</v>
      </c>
      <c r="AF10" s="52" t="n">
        <v>0</v>
      </c>
      <c r="AG10" s="49"/>
      <c r="AH10" s="6"/>
      <c r="AI10" s="47"/>
      <c r="AMJ10" s="0"/>
    </row>
    <row r="11" customFormat="false" ht="13.8" hidden="false" customHeight="false" outlineLevel="0" collapsed="false">
      <c r="A11" s="53" t="n">
        <v>300646</v>
      </c>
      <c r="B11" s="53" t="s">
        <v>44</v>
      </c>
      <c r="C11" s="53" t="s">
        <v>57</v>
      </c>
      <c r="D11" s="53" t="s">
        <v>58</v>
      </c>
      <c r="E11" s="40" t="s">
        <v>47</v>
      </c>
      <c r="F11" s="41" t="n">
        <v>78</v>
      </c>
      <c r="G11" s="41" t="n">
        <v>78</v>
      </c>
      <c r="H11" s="40" t="n">
        <v>78</v>
      </c>
      <c r="I11" s="54"/>
      <c r="J11" s="54"/>
      <c r="K11" s="54"/>
      <c r="L11" s="54"/>
      <c r="M11" s="54"/>
      <c r="N11" s="54"/>
      <c r="O11" s="41" t="n">
        <v>78</v>
      </c>
      <c r="P11" s="43"/>
      <c r="Q11" s="40" t="n">
        <v>78</v>
      </c>
      <c r="R11" s="41" t="n">
        <v>78</v>
      </c>
      <c r="S11" s="41" t="n">
        <v>78</v>
      </c>
      <c r="T11" s="55"/>
      <c r="U11" s="41" t="n">
        <v>78</v>
      </c>
      <c r="V11" s="54"/>
      <c r="W11" s="40"/>
      <c r="X11" s="44"/>
      <c r="Y11" s="40" t="n">
        <v>78</v>
      </c>
      <c r="Z11" s="40" t="n">
        <v>78</v>
      </c>
      <c r="AA11" s="45"/>
      <c r="AB11" s="45"/>
      <c r="AC11" s="45"/>
      <c r="AD11" s="45"/>
      <c r="AE11" s="40" t="n">
        <v>78</v>
      </c>
      <c r="AF11" s="52" t="n">
        <v>0</v>
      </c>
      <c r="AG11" s="49"/>
      <c r="AI11" s="47"/>
    </row>
    <row r="12" customFormat="false" ht="13.8" hidden="false" customHeight="false" outlineLevel="0" collapsed="false">
      <c r="A12" s="53" t="n">
        <v>300620</v>
      </c>
      <c r="B12" s="53" t="s">
        <v>54</v>
      </c>
      <c r="C12" s="53" t="s">
        <v>59</v>
      </c>
      <c r="D12" s="53" t="s">
        <v>60</v>
      </c>
      <c r="E12" s="41" t="s">
        <v>47</v>
      </c>
      <c r="F12" s="41" t="n">
        <v>79</v>
      </c>
      <c r="G12" s="41" t="n">
        <v>79</v>
      </c>
      <c r="H12" s="41" t="n">
        <v>79</v>
      </c>
      <c r="I12" s="55"/>
      <c r="J12" s="41"/>
      <c r="K12" s="41"/>
      <c r="L12" s="55"/>
      <c r="M12" s="55"/>
      <c r="N12" s="55"/>
      <c r="O12" s="41" t="n">
        <v>79</v>
      </c>
      <c r="P12" s="43"/>
      <c r="Q12" s="41" t="n">
        <v>79</v>
      </c>
      <c r="R12" s="41" t="n">
        <v>79</v>
      </c>
      <c r="S12" s="41" t="n">
        <v>79</v>
      </c>
      <c r="T12" s="55"/>
      <c r="U12" s="41" t="n">
        <v>79</v>
      </c>
      <c r="V12" s="55"/>
      <c r="W12" s="40"/>
      <c r="X12" s="44"/>
      <c r="Y12" s="41" t="n">
        <v>79</v>
      </c>
      <c r="Z12" s="40" t="n">
        <v>79</v>
      </c>
      <c r="AA12" s="45"/>
      <c r="AB12" s="45"/>
      <c r="AC12" s="45"/>
      <c r="AD12" s="45"/>
      <c r="AE12" s="58" t="n">
        <v>79</v>
      </c>
      <c r="AF12" s="52" t="n">
        <v>0</v>
      </c>
      <c r="AG12" s="49"/>
      <c r="AI12" s="47"/>
    </row>
    <row r="13" customFormat="false" ht="13.8" hidden="false" customHeight="false" outlineLevel="0" collapsed="false">
      <c r="A13" s="53" t="n">
        <v>300625</v>
      </c>
      <c r="B13" s="53" t="s">
        <v>54</v>
      </c>
      <c r="C13" s="53" t="s">
        <v>61</v>
      </c>
      <c r="D13" s="53" t="s">
        <v>62</v>
      </c>
      <c r="E13" s="41" t="s">
        <v>47</v>
      </c>
      <c r="F13" s="41" t="n">
        <v>79</v>
      </c>
      <c r="G13" s="41" t="n">
        <v>79</v>
      </c>
      <c r="H13" s="41" t="n">
        <v>79</v>
      </c>
      <c r="I13" s="55"/>
      <c r="J13" s="41"/>
      <c r="K13" s="41"/>
      <c r="L13" s="55"/>
      <c r="M13" s="55"/>
      <c r="N13" s="55"/>
      <c r="O13" s="41" t="n">
        <v>79</v>
      </c>
      <c r="P13" s="43"/>
      <c r="Q13" s="41" t="n">
        <v>79</v>
      </c>
      <c r="R13" s="41" t="n">
        <v>79</v>
      </c>
      <c r="S13" s="41" t="n">
        <v>79</v>
      </c>
      <c r="T13" s="55"/>
      <c r="U13" s="41" t="n">
        <v>79</v>
      </c>
      <c r="V13" s="55"/>
      <c r="W13" s="40"/>
      <c r="X13" s="44"/>
      <c r="Y13" s="41" t="n">
        <v>79</v>
      </c>
      <c r="Z13" s="40" t="n">
        <v>79</v>
      </c>
      <c r="AA13" s="45"/>
      <c r="AB13" s="45"/>
      <c r="AC13" s="45"/>
      <c r="AD13" s="45"/>
      <c r="AE13" s="58" t="n">
        <v>79</v>
      </c>
      <c r="AF13" s="52" t="n">
        <v>0</v>
      </c>
      <c r="AG13" s="49"/>
      <c r="AI13" s="47"/>
    </row>
    <row r="14" customFormat="false" ht="13.8" hidden="false" customHeight="false" outlineLevel="0" collapsed="false">
      <c r="A14" s="53" t="n">
        <v>327662</v>
      </c>
      <c r="B14" s="53" t="s">
        <v>44</v>
      </c>
      <c r="C14" s="53" t="s">
        <v>63</v>
      </c>
      <c r="D14" s="53" t="s">
        <v>64</v>
      </c>
      <c r="E14" s="41" t="s">
        <v>47</v>
      </c>
      <c r="F14" s="41" t="n">
        <v>82</v>
      </c>
      <c r="G14" s="41" t="n">
        <v>82</v>
      </c>
      <c r="H14" s="41" t="n">
        <v>82</v>
      </c>
      <c r="I14" s="55"/>
      <c r="J14" s="41"/>
      <c r="K14" s="41"/>
      <c r="L14" s="55"/>
      <c r="M14" s="55"/>
      <c r="N14" s="55"/>
      <c r="O14" s="41" t="n">
        <v>82</v>
      </c>
      <c r="P14" s="43"/>
      <c r="Q14" s="41" t="n">
        <v>82</v>
      </c>
      <c r="R14" s="41" t="n">
        <v>82</v>
      </c>
      <c r="S14" s="41" t="n">
        <v>82</v>
      </c>
      <c r="T14" s="55"/>
      <c r="U14" s="41" t="n">
        <v>82</v>
      </c>
      <c r="V14" s="55"/>
      <c r="W14" s="40"/>
      <c r="X14" s="44"/>
      <c r="Y14" s="40" t="n">
        <v>82</v>
      </c>
      <c r="Z14" s="40" t="n">
        <v>82</v>
      </c>
      <c r="AA14" s="45"/>
      <c r="AB14" s="45"/>
      <c r="AC14" s="45"/>
      <c r="AD14" s="45"/>
      <c r="AE14" s="58" t="n">
        <v>82</v>
      </c>
      <c r="AF14" s="52" t="n">
        <v>0</v>
      </c>
      <c r="AG14" s="49"/>
      <c r="AI14" s="47"/>
    </row>
    <row r="15" customFormat="false" ht="13.8" hidden="false" customHeight="false" outlineLevel="0" collapsed="false">
      <c r="A15" s="53" t="n">
        <v>300662</v>
      </c>
      <c r="B15" s="53" t="s">
        <v>54</v>
      </c>
      <c r="C15" s="53" t="s">
        <v>65</v>
      </c>
      <c r="D15" s="53" t="s">
        <v>66</v>
      </c>
      <c r="E15" s="41" t="s">
        <v>47</v>
      </c>
      <c r="F15" s="41" t="n">
        <v>84</v>
      </c>
      <c r="G15" s="41" t="n">
        <v>84</v>
      </c>
      <c r="H15" s="41" t="n">
        <v>84</v>
      </c>
      <c r="I15" s="55"/>
      <c r="J15" s="41"/>
      <c r="K15" s="41"/>
      <c r="L15" s="55"/>
      <c r="M15" s="55"/>
      <c r="N15" s="55"/>
      <c r="O15" s="41" t="n">
        <v>84</v>
      </c>
      <c r="P15" s="43"/>
      <c r="Q15" s="41" t="n">
        <v>84</v>
      </c>
      <c r="R15" s="41" t="n">
        <v>84</v>
      </c>
      <c r="S15" s="41" t="n">
        <v>84</v>
      </c>
      <c r="T15" s="55"/>
      <c r="U15" s="41" t="n">
        <v>84</v>
      </c>
      <c r="V15" s="55"/>
      <c r="W15" s="40"/>
      <c r="X15" s="44"/>
      <c r="Y15" s="41" t="n">
        <v>84</v>
      </c>
      <c r="Z15" s="40" t="n">
        <v>84</v>
      </c>
      <c r="AA15" s="45"/>
      <c r="AB15" s="45"/>
      <c r="AC15" s="45"/>
      <c r="AD15" s="45"/>
      <c r="AE15" s="41" t="n">
        <v>84</v>
      </c>
      <c r="AF15" s="60" t="n">
        <v>0</v>
      </c>
      <c r="AG15" s="49"/>
      <c r="AI15" s="47"/>
    </row>
    <row r="16" customFormat="false" ht="13.8" hidden="false" customHeight="false" outlineLevel="0" collapsed="false">
      <c r="A16" s="53" t="n">
        <v>313885</v>
      </c>
      <c r="B16" s="53" t="s">
        <v>50</v>
      </c>
      <c r="C16" s="53" t="s">
        <v>67</v>
      </c>
      <c r="D16" s="53" t="s">
        <v>68</v>
      </c>
      <c r="E16" s="61" t="s">
        <v>52</v>
      </c>
      <c r="F16" s="62" t="n">
        <v>58</v>
      </c>
      <c r="G16" s="41" t="n">
        <v>98</v>
      </c>
      <c r="H16" s="61" t="n">
        <v>58</v>
      </c>
      <c r="I16" s="61"/>
      <c r="J16" s="62" t="n">
        <v>58</v>
      </c>
      <c r="K16" s="40" t="n">
        <v>58</v>
      </c>
      <c r="L16" s="61"/>
      <c r="M16" s="61"/>
      <c r="N16" s="61"/>
      <c r="O16" s="41" t="n">
        <v>58</v>
      </c>
      <c r="P16" s="63" t="n">
        <v>57.67</v>
      </c>
      <c r="Q16" s="41" t="n">
        <v>58</v>
      </c>
      <c r="R16" s="41" t="n">
        <v>98</v>
      </c>
      <c r="S16" s="41" t="n">
        <v>98</v>
      </c>
      <c r="T16" s="41"/>
      <c r="U16" s="41" t="n">
        <v>58</v>
      </c>
      <c r="V16" s="41"/>
      <c r="W16" s="40" t="n">
        <v>58</v>
      </c>
      <c r="X16" s="44" t="n">
        <v>57.67</v>
      </c>
      <c r="Y16" s="40" t="n">
        <v>98</v>
      </c>
      <c r="Z16" s="40" t="n">
        <v>98</v>
      </c>
      <c r="AA16" s="45"/>
      <c r="AB16" s="45"/>
      <c r="AC16" s="45"/>
      <c r="AD16" s="45"/>
      <c r="AE16" s="51" t="n">
        <v>98</v>
      </c>
      <c r="AF16" s="52" t="n">
        <v>0</v>
      </c>
      <c r="AG16" s="49" t="s">
        <v>69</v>
      </c>
      <c r="AI16" s="47"/>
    </row>
    <row r="17" s="64" customFormat="true" ht="13.8" hidden="false" customHeight="false" outlineLevel="0" collapsed="false">
      <c r="A17" s="53" t="n">
        <v>300642</v>
      </c>
      <c r="B17" s="53" t="s">
        <v>44</v>
      </c>
      <c r="C17" s="53" t="s">
        <v>70</v>
      </c>
      <c r="D17" s="53" t="s">
        <v>71</v>
      </c>
      <c r="E17" s="41" t="s">
        <v>47</v>
      </c>
      <c r="F17" s="41" t="n">
        <v>92</v>
      </c>
      <c r="G17" s="41" t="n">
        <v>92</v>
      </c>
      <c r="H17" s="41" t="n">
        <v>92</v>
      </c>
      <c r="I17" s="55"/>
      <c r="J17" s="41"/>
      <c r="K17" s="41"/>
      <c r="L17" s="55"/>
      <c r="M17" s="55"/>
      <c r="N17" s="55"/>
      <c r="O17" s="41" t="n">
        <v>92</v>
      </c>
      <c r="P17" s="43"/>
      <c r="Q17" s="41" t="n">
        <v>92</v>
      </c>
      <c r="R17" s="41" t="n">
        <v>92</v>
      </c>
      <c r="S17" s="41" t="n">
        <v>92</v>
      </c>
      <c r="T17" s="55"/>
      <c r="U17" s="41" t="n">
        <v>92</v>
      </c>
      <c r="V17" s="55"/>
      <c r="W17" s="40"/>
      <c r="X17" s="44"/>
      <c r="Y17" s="40" t="n">
        <v>92</v>
      </c>
      <c r="Z17" s="40" t="n">
        <v>92</v>
      </c>
      <c r="AA17" s="45"/>
      <c r="AB17" s="45"/>
      <c r="AC17" s="45"/>
      <c r="AD17" s="45"/>
      <c r="AE17" s="58" t="n">
        <v>92</v>
      </c>
      <c r="AF17" s="60" t="n">
        <v>0</v>
      </c>
      <c r="AG17" s="49"/>
      <c r="AH17" s="6"/>
      <c r="AI17" s="47"/>
      <c r="AMJ17" s="0"/>
    </row>
    <row r="18" customFormat="false" ht="13.8" hidden="false" customHeight="false" outlineLevel="0" collapsed="false">
      <c r="A18" s="53" t="n">
        <v>313549</v>
      </c>
      <c r="B18" s="53" t="s">
        <v>50</v>
      </c>
      <c r="C18" s="53" t="s">
        <v>67</v>
      </c>
      <c r="D18" s="53" t="s">
        <v>72</v>
      </c>
      <c r="E18" s="61" t="s">
        <v>52</v>
      </c>
      <c r="F18" s="61" t="n">
        <v>63</v>
      </c>
      <c r="G18" s="41" t="n">
        <v>128</v>
      </c>
      <c r="H18" s="61" t="n">
        <v>63</v>
      </c>
      <c r="I18" s="61"/>
      <c r="J18" s="61" t="n">
        <v>63</v>
      </c>
      <c r="K18" s="40" t="n">
        <v>63</v>
      </c>
      <c r="L18" s="61"/>
      <c r="M18" s="61"/>
      <c r="N18" s="61"/>
      <c r="O18" s="41" t="n">
        <v>63</v>
      </c>
      <c r="P18" s="63" t="n">
        <v>63</v>
      </c>
      <c r="Q18" s="41" t="n">
        <v>63</v>
      </c>
      <c r="R18" s="41" t="n">
        <v>128</v>
      </c>
      <c r="S18" s="41" t="n">
        <v>128</v>
      </c>
      <c r="T18" s="61"/>
      <c r="U18" s="41" t="n">
        <v>63</v>
      </c>
      <c r="V18" s="61"/>
      <c r="W18" s="40" t="n">
        <v>63</v>
      </c>
      <c r="X18" s="44" t="n">
        <v>63</v>
      </c>
      <c r="Y18" s="40" t="n">
        <v>128</v>
      </c>
      <c r="Z18" s="40" t="n">
        <v>128</v>
      </c>
      <c r="AA18" s="45"/>
      <c r="AB18" s="45"/>
      <c r="AC18" s="45"/>
      <c r="AD18" s="45"/>
      <c r="AE18" s="51" t="n">
        <v>128</v>
      </c>
      <c r="AF18" s="52" t="n">
        <v>0</v>
      </c>
      <c r="AG18" s="65" t="s">
        <v>69</v>
      </c>
      <c r="AI18" s="47"/>
    </row>
    <row r="19" customFormat="false" ht="13.8" hidden="false" customHeight="false" outlineLevel="0" collapsed="false">
      <c r="A19" s="53" t="n">
        <v>300631</v>
      </c>
      <c r="B19" s="53" t="s">
        <v>54</v>
      </c>
      <c r="C19" s="53" t="s">
        <v>59</v>
      </c>
      <c r="D19" s="53" t="s">
        <v>73</v>
      </c>
      <c r="E19" s="41" t="s">
        <v>47</v>
      </c>
      <c r="F19" s="41" t="n">
        <v>94</v>
      </c>
      <c r="G19" s="41" t="n">
        <v>94</v>
      </c>
      <c r="H19" s="41" t="n">
        <v>94</v>
      </c>
      <c r="I19" s="55"/>
      <c r="J19" s="41"/>
      <c r="K19" s="41"/>
      <c r="L19" s="55"/>
      <c r="M19" s="55"/>
      <c r="N19" s="55"/>
      <c r="O19" s="41" t="n">
        <v>94</v>
      </c>
      <c r="P19" s="43"/>
      <c r="Q19" s="41" t="n">
        <v>94</v>
      </c>
      <c r="R19" s="41" t="n">
        <v>94</v>
      </c>
      <c r="S19" s="41" t="n">
        <v>94</v>
      </c>
      <c r="T19" s="55"/>
      <c r="U19" s="41" t="n">
        <v>94</v>
      </c>
      <c r="V19" s="55"/>
      <c r="W19" s="40"/>
      <c r="X19" s="44"/>
      <c r="Y19" s="41" t="n">
        <v>94</v>
      </c>
      <c r="Z19" s="40" t="n">
        <v>94</v>
      </c>
      <c r="AA19" s="45"/>
      <c r="AB19" s="45"/>
      <c r="AC19" s="45"/>
      <c r="AD19" s="45"/>
      <c r="AE19" s="58" t="n">
        <v>94</v>
      </c>
      <c r="AF19" s="60" t="n">
        <v>0</v>
      </c>
      <c r="AG19" s="49"/>
      <c r="AI19" s="47"/>
    </row>
    <row r="20" customFormat="false" ht="13.8" hidden="false" customHeight="false" outlineLevel="0" collapsed="false">
      <c r="A20" s="53" t="n">
        <v>328420</v>
      </c>
      <c r="B20" s="53" t="s">
        <v>54</v>
      </c>
      <c r="C20" s="53" t="s">
        <v>55</v>
      </c>
      <c r="D20" s="53" t="s">
        <v>74</v>
      </c>
      <c r="E20" s="41" t="s">
        <v>47</v>
      </c>
      <c r="F20" s="41" t="n">
        <v>97</v>
      </c>
      <c r="G20" s="41" t="n">
        <v>97</v>
      </c>
      <c r="H20" s="41" t="n">
        <v>97</v>
      </c>
      <c r="I20" s="55"/>
      <c r="J20" s="41"/>
      <c r="K20" s="41"/>
      <c r="L20" s="55"/>
      <c r="M20" s="55"/>
      <c r="N20" s="55"/>
      <c r="O20" s="41" t="n">
        <v>97</v>
      </c>
      <c r="P20" s="43"/>
      <c r="Q20" s="41" t="n">
        <v>97</v>
      </c>
      <c r="R20" s="41" t="n">
        <v>97</v>
      </c>
      <c r="S20" s="41" t="n">
        <v>117</v>
      </c>
      <c r="T20" s="55"/>
      <c r="U20" s="41" t="n">
        <v>97</v>
      </c>
      <c r="V20" s="55"/>
      <c r="W20" s="40"/>
      <c r="X20" s="44"/>
      <c r="Y20" s="41" t="n">
        <v>97</v>
      </c>
      <c r="Z20" s="40" t="n">
        <v>117</v>
      </c>
      <c r="AA20" s="45"/>
      <c r="AB20" s="45"/>
      <c r="AC20" s="45"/>
      <c r="AD20" s="45"/>
      <c r="AE20" s="58" t="n">
        <v>117</v>
      </c>
      <c r="AF20" s="60" t="n">
        <v>20</v>
      </c>
      <c r="AG20" s="49"/>
      <c r="AI20" s="47"/>
    </row>
    <row r="21" customFormat="false" ht="13.8" hidden="false" customHeight="false" outlineLevel="0" collapsed="false">
      <c r="A21" s="53" t="n">
        <v>314108</v>
      </c>
      <c r="B21" s="53" t="s">
        <v>50</v>
      </c>
      <c r="C21" s="53" t="s">
        <v>48</v>
      </c>
      <c r="D21" s="53" t="s">
        <v>75</v>
      </c>
      <c r="E21" s="61" t="s">
        <v>52</v>
      </c>
      <c r="F21" s="61" t="n">
        <v>68</v>
      </c>
      <c r="G21" s="41" t="n">
        <v>136</v>
      </c>
      <c r="H21" s="61" t="n">
        <v>68</v>
      </c>
      <c r="I21" s="55"/>
      <c r="J21" s="61" t="n">
        <v>68</v>
      </c>
      <c r="K21" s="40" t="n">
        <v>68</v>
      </c>
      <c r="L21" s="55"/>
      <c r="M21" s="55"/>
      <c r="N21" s="55"/>
      <c r="O21" s="41" t="n">
        <v>68</v>
      </c>
      <c r="P21" s="63" t="n">
        <v>85.754</v>
      </c>
      <c r="Q21" s="41" t="n">
        <v>68</v>
      </c>
      <c r="R21" s="41" t="n">
        <v>136</v>
      </c>
      <c r="S21" s="41" t="n">
        <v>136</v>
      </c>
      <c r="T21" s="50"/>
      <c r="U21" s="41" t="n">
        <v>68</v>
      </c>
      <c r="V21" s="50"/>
      <c r="W21" s="40" t="n">
        <v>68</v>
      </c>
      <c r="X21" s="44" t="n">
        <v>85.754</v>
      </c>
      <c r="Y21" s="40" t="n">
        <v>136</v>
      </c>
      <c r="Z21" s="40" t="n">
        <v>136</v>
      </c>
      <c r="AA21" s="45"/>
      <c r="AB21" s="45"/>
      <c r="AC21" s="45"/>
      <c r="AD21" s="45"/>
      <c r="AE21" s="51" t="n">
        <v>136</v>
      </c>
      <c r="AF21" s="52" t="n">
        <v>0</v>
      </c>
      <c r="AG21" s="49" t="s">
        <v>69</v>
      </c>
      <c r="AI21" s="47"/>
    </row>
    <row r="22" customFormat="false" ht="13.8" hidden="false" customHeight="false" outlineLevel="0" collapsed="false">
      <c r="A22" s="53" t="n">
        <v>314225</v>
      </c>
      <c r="B22" s="53" t="s">
        <v>76</v>
      </c>
      <c r="C22" s="53" t="s">
        <v>40</v>
      </c>
      <c r="D22" s="53" t="s">
        <v>77</v>
      </c>
      <c r="E22" s="41" t="s">
        <v>78</v>
      </c>
      <c r="F22" s="41" t="n">
        <v>132</v>
      </c>
      <c r="G22" s="41" t="n">
        <v>132</v>
      </c>
      <c r="H22" s="50" t="n">
        <v>132</v>
      </c>
      <c r="I22" s="66"/>
      <c r="J22" s="66"/>
      <c r="K22" s="66"/>
      <c r="L22" s="66"/>
      <c r="M22" s="50"/>
      <c r="N22" s="66"/>
      <c r="O22" s="41" t="n">
        <v>132</v>
      </c>
      <c r="P22" s="43"/>
      <c r="Q22" s="50" t="n">
        <v>132</v>
      </c>
      <c r="R22" s="41" t="n">
        <v>132</v>
      </c>
      <c r="S22" s="41" t="n">
        <v>132</v>
      </c>
      <c r="T22" s="50"/>
      <c r="U22" s="41" t="n">
        <v>132</v>
      </c>
      <c r="V22" s="66"/>
      <c r="W22" s="40"/>
      <c r="X22" s="44"/>
      <c r="Y22" s="40" t="n">
        <v>132</v>
      </c>
      <c r="Z22" s="40" t="n">
        <v>132</v>
      </c>
      <c r="AA22" s="45"/>
      <c r="AB22" s="45"/>
      <c r="AC22" s="45"/>
      <c r="AD22" s="45"/>
      <c r="AE22" s="40" t="n">
        <v>132</v>
      </c>
      <c r="AF22" s="52" t="n">
        <v>0</v>
      </c>
      <c r="AG22" s="67"/>
      <c r="AI22" s="47"/>
    </row>
    <row r="23" customFormat="false" ht="13.8" hidden="false" customHeight="false" outlineLevel="0" collapsed="false">
      <c r="A23" s="53" t="n">
        <v>300660</v>
      </c>
      <c r="B23" s="53" t="s">
        <v>54</v>
      </c>
      <c r="C23" s="53" t="s">
        <v>65</v>
      </c>
      <c r="D23" s="53" t="s">
        <v>79</v>
      </c>
      <c r="E23" s="41" t="s">
        <v>47</v>
      </c>
      <c r="F23" s="41" t="n">
        <v>136</v>
      </c>
      <c r="G23" s="41" t="n">
        <v>136</v>
      </c>
      <c r="H23" s="41" t="n">
        <v>136</v>
      </c>
      <c r="I23" s="55"/>
      <c r="J23" s="41"/>
      <c r="K23" s="41"/>
      <c r="L23" s="55"/>
      <c r="M23" s="55"/>
      <c r="N23" s="55"/>
      <c r="O23" s="41" t="n">
        <v>136</v>
      </c>
      <c r="P23" s="43"/>
      <c r="Q23" s="41" t="n">
        <v>136</v>
      </c>
      <c r="R23" s="41" t="n">
        <v>136</v>
      </c>
      <c r="S23" s="41" t="n">
        <v>136</v>
      </c>
      <c r="T23" s="55"/>
      <c r="U23" s="41" t="n">
        <v>136</v>
      </c>
      <c r="V23" s="55"/>
      <c r="W23" s="40"/>
      <c r="X23" s="44"/>
      <c r="Y23" s="41" t="n">
        <v>136</v>
      </c>
      <c r="Z23" s="40" t="n">
        <v>136</v>
      </c>
      <c r="AA23" s="45"/>
      <c r="AB23" s="45"/>
      <c r="AC23" s="45"/>
      <c r="AD23" s="45"/>
      <c r="AE23" s="41" t="n">
        <v>136</v>
      </c>
      <c r="AF23" s="60" t="n">
        <v>0</v>
      </c>
      <c r="AG23" s="49"/>
      <c r="AI23" s="47"/>
    </row>
    <row r="24" customFormat="false" ht="13.8" hidden="false" customHeight="false" outlineLevel="0" collapsed="false">
      <c r="A24" s="53" t="n">
        <v>314107</v>
      </c>
      <c r="B24" s="53" t="s">
        <v>50</v>
      </c>
      <c r="C24" s="53" t="s">
        <v>67</v>
      </c>
      <c r="D24" s="53" t="s">
        <v>80</v>
      </c>
      <c r="E24" s="41" t="s">
        <v>52</v>
      </c>
      <c r="F24" s="41" t="n">
        <v>140</v>
      </c>
      <c r="G24" s="41" t="n">
        <v>140</v>
      </c>
      <c r="H24" s="41" t="n">
        <v>140</v>
      </c>
      <c r="I24" s="55"/>
      <c r="J24" s="41" t="n">
        <v>140</v>
      </c>
      <c r="K24" s="40" t="n">
        <v>140</v>
      </c>
      <c r="L24" s="55"/>
      <c r="M24" s="55"/>
      <c r="N24" s="55"/>
      <c r="O24" s="41" t="n">
        <v>140</v>
      </c>
      <c r="P24" s="43"/>
      <c r="Q24" s="41" t="n">
        <v>140</v>
      </c>
      <c r="R24" s="41" t="n">
        <v>140</v>
      </c>
      <c r="S24" s="41" t="n">
        <v>140</v>
      </c>
      <c r="T24" s="55"/>
      <c r="U24" s="41" t="n">
        <v>140</v>
      </c>
      <c r="V24" s="55"/>
      <c r="W24" s="40" t="n">
        <v>140</v>
      </c>
      <c r="X24" s="44"/>
      <c r="Y24" s="40" t="n">
        <v>140</v>
      </c>
      <c r="Z24" s="40" t="n">
        <v>140</v>
      </c>
      <c r="AA24" s="45"/>
      <c r="AB24" s="45"/>
      <c r="AC24" s="45"/>
      <c r="AD24" s="45"/>
      <c r="AE24" s="51" t="n">
        <v>140</v>
      </c>
      <c r="AF24" s="52" t="n">
        <v>0</v>
      </c>
      <c r="AG24" s="49"/>
      <c r="AI24" s="47"/>
    </row>
    <row r="25" customFormat="false" ht="13.8" hidden="false" customHeight="false" outlineLevel="0" collapsed="false">
      <c r="A25" s="53" t="n">
        <v>313838</v>
      </c>
      <c r="B25" s="53" t="s">
        <v>54</v>
      </c>
      <c r="C25" s="53" t="s">
        <v>81</v>
      </c>
      <c r="D25" s="53" t="s">
        <v>82</v>
      </c>
      <c r="E25" s="41" t="s">
        <v>47</v>
      </c>
      <c r="F25" s="41" t="n">
        <v>117</v>
      </c>
      <c r="G25" s="41" t="n">
        <v>117</v>
      </c>
      <c r="H25" s="41" t="n">
        <v>117</v>
      </c>
      <c r="I25" s="57"/>
      <c r="J25" s="41"/>
      <c r="K25" s="57"/>
      <c r="L25" s="41"/>
      <c r="M25" s="41"/>
      <c r="N25" s="41"/>
      <c r="O25" s="41" t="n">
        <v>117</v>
      </c>
      <c r="P25" s="43"/>
      <c r="Q25" s="41" t="n">
        <v>117</v>
      </c>
      <c r="R25" s="41" t="n">
        <v>117</v>
      </c>
      <c r="S25" s="41" t="n">
        <v>167</v>
      </c>
      <c r="T25" s="57"/>
      <c r="U25" s="41" t="n">
        <v>117</v>
      </c>
      <c r="V25" s="57"/>
      <c r="W25" s="40"/>
      <c r="X25" s="44"/>
      <c r="Y25" s="40" t="n">
        <v>117</v>
      </c>
      <c r="Z25" s="40" t="n">
        <v>167</v>
      </c>
      <c r="AA25" s="45"/>
      <c r="AB25" s="45"/>
      <c r="AC25" s="45"/>
      <c r="AD25" s="45"/>
      <c r="AE25" s="41" t="n">
        <v>167</v>
      </c>
      <c r="AF25" s="60" t="n">
        <v>50</v>
      </c>
      <c r="AG25" s="57"/>
      <c r="AI25" s="47"/>
    </row>
    <row r="26" customFormat="false" ht="13.8" hidden="false" customHeight="false" outlineLevel="0" collapsed="false">
      <c r="A26" s="53" t="n">
        <v>315044</v>
      </c>
      <c r="B26" s="53" t="s">
        <v>83</v>
      </c>
      <c r="C26" s="53" t="s">
        <v>84</v>
      </c>
      <c r="D26" s="53" t="s">
        <v>85</v>
      </c>
      <c r="E26" s="40" t="s">
        <v>43</v>
      </c>
      <c r="F26" s="41" t="n">
        <v>266</v>
      </c>
      <c r="G26" s="41" t="n">
        <v>266</v>
      </c>
      <c r="H26" s="40" t="n">
        <v>266</v>
      </c>
      <c r="I26" s="40"/>
      <c r="J26" s="40"/>
      <c r="K26" s="40"/>
      <c r="L26" s="40"/>
      <c r="M26" s="40"/>
      <c r="N26" s="40"/>
      <c r="O26" s="41" t="n">
        <v>266</v>
      </c>
      <c r="P26" s="63"/>
      <c r="Q26" s="40" t="n">
        <v>266</v>
      </c>
      <c r="R26" s="41" t="n">
        <v>266</v>
      </c>
      <c r="S26" s="41" t="n">
        <v>289</v>
      </c>
      <c r="T26" s="50"/>
      <c r="U26" s="41" t="n">
        <v>266</v>
      </c>
      <c r="V26" s="40"/>
      <c r="W26" s="40"/>
      <c r="X26" s="44"/>
      <c r="Y26" s="40" t="n">
        <v>266</v>
      </c>
      <c r="Z26" s="40" t="n">
        <v>289</v>
      </c>
      <c r="AA26" s="45"/>
      <c r="AB26" s="45"/>
      <c r="AC26" s="45"/>
      <c r="AD26" s="45"/>
      <c r="AE26" s="51" t="n">
        <v>289</v>
      </c>
      <c r="AF26" s="52" t="n">
        <v>23</v>
      </c>
      <c r="AG26" s="40"/>
      <c r="AI26" s="47"/>
    </row>
    <row r="27" customFormat="false" ht="13.8" hidden="false" customHeight="false" outlineLevel="0" collapsed="false">
      <c r="A27" s="53" t="n">
        <v>300630</v>
      </c>
      <c r="B27" s="53" t="s">
        <v>54</v>
      </c>
      <c r="C27" s="53" t="s">
        <v>86</v>
      </c>
      <c r="D27" s="53" t="s">
        <v>87</v>
      </c>
      <c r="E27" s="41" t="s">
        <v>47</v>
      </c>
      <c r="F27" s="41" t="n">
        <v>186</v>
      </c>
      <c r="G27" s="41" t="n">
        <v>186</v>
      </c>
      <c r="H27" s="41" t="n">
        <v>186</v>
      </c>
      <c r="I27" s="55"/>
      <c r="J27" s="41"/>
      <c r="K27" s="41"/>
      <c r="L27" s="55"/>
      <c r="M27" s="55"/>
      <c r="N27" s="55"/>
      <c r="O27" s="41" t="n">
        <v>186</v>
      </c>
      <c r="P27" s="43"/>
      <c r="Q27" s="41" t="n">
        <v>186</v>
      </c>
      <c r="R27" s="41" t="n">
        <v>186</v>
      </c>
      <c r="S27" s="41" t="n">
        <v>186</v>
      </c>
      <c r="T27" s="55"/>
      <c r="U27" s="41" t="n">
        <v>186</v>
      </c>
      <c r="V27" s="55"/>
      <c r="W27" s="40"/>
      <c r="X27" s="44"/>
      <c r="Y27" s="40" t="n">
        <v>186</v>
      </c>
      <c r="Z27" s="40" t="n">
        <v>186</v>
      </c>
      <c r="AA27" s="45"/>
      <c r="AB27" s="45"/>
      <c r="AC27" s="45"/>
      <c r="AD27" s="45"/>
      <c r="AE27" s="58" t="n">
        <v>186</v>
      </c>
      <c r="AF27" s="60" t="n">
        <v>0</v>
      </c>
      <c r="AG27" s="49"/>
      <c r="AI27" s="47"/>
    </row>
    <row r="28" customFormat="false" ht="13.8" hidden="false" customHeight="false" outlineLevel="0" collapsed="false">
      <c r="A28" s="53" t="n">
        <v>314268</v>
      </c>
      <c r="B28" s="53" t="s">
        <v>50</v>
      </c>
      <c r="C28" s="53" t="s">
        <v>48</v>
      </c>
      <c r="D28" s="53" t="s">
        <v>88</v>
      </c>
      <c r="E28" s="68" t="s">
        <v>52</v>
      </c>
      <c r="F28" s="61" t="n">
        <v>177.245</v>
      </c>
      <c r="G28" s="41" t="n">
        <v>162</v>
      </c>
      <c r="H28" s="61" t="n">
        <v>177</v>
      </c>
      <c r="I28" s="68"/>
      <c r="J28" s="68" t="n">
        <v>177</v>
      </c>
      <c r="K28" s="40" t="n">
        <v>177</v>
      </c>
      <c r="L28" s="55"/>
      <c r="M28" s="68"/>
      <c r="N28" s="68"/>
      <c r="O28" s="41" t="n">
        <v>177.245</v>
      </c>
      <c r="P28" s="63" t="n">
        <v>177.245</v>
      </c>
      <c r="Q28" s="41" t="n">
        <v>177</v>
      </c>
      <c r="R28" s="41" t="n">
        <v>197</v>
      </c>
      <c r="S28" s="41" t="n">
        <v>197</v>
      </c>
      <c r="T28" s="40"/>
      <c r="U28" s="41" t="n">
        <v>177.245</v>
      </c>
      <c r="V28" s="40"/>
      <c r="W28" s="40" t="n">
        <v>177.245</v>
      </c>
      <c r="X28" s="44" t="n">
        <v>177.245</v>
      </c>
      <c r="Y28" s="40" t="n">
        <v>197</v>
      </c>
      <c r="Z28" s="40" t="n">
        <v>197</v>
      </c>
      <c r="AA28" s="45"/>
      <c r="AB28" s="45"/>
      <c r="AC28" s="45"/>
      <c r="AD28" s="45"/>
      <c r="AE28" s="51" t="n">
        <v>197</v>
      </c>
      <c r="AF28" s="52" t="n">
        <v>0</v>
      </c>
      <c r="AG28" s="40"/>
      <c r="AI28" s="47"/>
    </row>
    <row r="29" customFormat="false" ht="13.8" hidden="false" customHeight="false" outlineLevel="0" collapsed="false">
      <c r="A29" s="53" t="n">
        <v>314267</v>
      </c>
      <c r="B29" s="53" t="s">
        <v>83</v>
      </c>
      <c r="C29" s="53" t="s">
        <v>42</v>
      </c>
      <c r="D29" s="53" t="s">
        <v>89</v>
      </c>
      <c r="E29" s="40" t="s">
        <v>41</v>
      </c>
      <c r="F29" s="41" t="n">
        <v>178</v>
      </c>
      <c r="G29" s="41" t="n">
        <v>178</v>
      </c>
      <c r="H29" s="40" t="n">
        <v>178</v>
      </c>
      <c r="I29" s="66"/>
      <c r="J29" s="66"/>
      <c r="K29" s="66"/>
      <c r="L29" s="66"/>
      <c r="M29" s="66"/>
      <c r="N29" s="66"/>
      <c r="O29" s="41" t="n">
        <v>178</v>
      </c>
      <c r="P29" s="43"/>
      <c r="Q29" s="40" t="n">
        <v>161</v>
      </c>
      <c r="R29" s="41" t="n">
        <v>178</v>
      </c>
      <c r="S29" s="41" t="n">
        <v>198</v>
      </c>
      <c r="T29" s="55"/>
      <c r="U29" s="41" t="n">
        <v>178</v>
      </c>
      <c r="V29" s="66"/>
      <c r="W29" s="66"/>
      <c r="X29" s="44"/>
      <c r="Y29" s="40" t="n">
        <v>178</v>
      </c>
      <c r="Z29" s="40" t="n">
        <v>198</v>
      </c>
      <c r="AA29" s="45"/>
      <c r="AB29" s="45"/>
      <c r="AC29" s="45"/>
      <c r="AD29" s="45"/>
      <c r="AE29" s="51" t="n">
        <v>198</v>
      </c>
      <c r="AF29" s="52" t="n">
        <v>20</v>
      </c>
      <c r="AG29" s="49"/>
      <c r="AI29" s="47"/>
    </row>
    <row r="30" customFormat="false" ht="13.8" hidden="false" customHeight="false" outlineLevel="0" collapsed="false">
      <c r="A30" s="53" t="n">
        <v>314172</v>
      </c>
      <c r="B30" s="53" t="s">
        <v>90</v>
      </c>
      <c r="C30" s="53" t="s">
        <v>91</v>
      </c>
      <c r="D30" s="53" t="s">
        <v>92</v>
      </c>
      <c r="E30" s="61" t="s">
        <v>43</v>
      </c>
      <c r="F30" s="41" t="n">
        <v>243</v>
      </c>
      <c r="G30" s="41" t="n">
        <v>243</v>
      </c>
      <c r="H30" s="61" t="n">
        <v>243</v>
      </c>
      <c r="I30" s="57"/>
      <c r="J30" s="57"/>
      <c r="K30" s="57"/>
      <c r="L30" s="57"/>
      <c r="M30" s="57"/>
      <c r="N30" s="57"/>
      <c r="O30" s="41" t="n">
        <v>243</v>
      </c>
      <c r="P30" s="43"/>
      <c r="Q30" s="61" t="n">
        <v>216</v>
      </c>
      <c r="R30" s="41" t="n">
        <v>243</v>
      </c>
      <c r="S30" s="41" t="n">
        <v>243</v>
      </c>
      <c r="T30" s="57"/>
      <c r="U30" s="41" t="n">
        <v>243</v>
      </c>
      <c r="V30" s="57"/>
      <c r="W30" s="57"/>
      <c r="X30" s="44"/>
      <c r="Y30" s="61" t="n">
        <v>243</v>
      </c>
      <c r="Z30" s="40" t="n">
        <v>243</v>
      </c>
      <c r="AA30" s="45"/>
      <c r="AB30" s="45"/>
      <c r="AC30" s="45"/>
      <c r="AD30" s="45"/>
      <c r="AE30" s="51" t="n">
        <v>243</v>
      </c>
      <c r="AF30" s="52" t="n">
        <v>0</v>
      </c>
      <c r="AG30" s="57"/>
      <c r="AI30" s="47"/>
    </row>
    <row r="31" customFormat="false" ht="13.8" hidden="false" customHeight="false" outlineLevel="0" collapsed="false">
      <c r="A31" s="53" t="n">
        <v>313907</v>
      </c>
      <c r="B31" s="53" t="s">
        <v>93</v>
      </c>
      <c r="C31" s="53" t="s">
        <v>91</v>
      </c>
      <c r="D31" s="53" t="s">
        <v>94</v>
      </c>
      <c r="E31" s="61" t="s">
        <v>78</v>
      </c>
      <c r="F31" s="41" t="n">
        <v>252</v>
      </c>
      <c r="G31" s="41" t="n">
        <v>252</v>
      </c>
      <c r="H31" s="41" t="n">
        <v>252</v>
      </c>
      <c r="I31" s="41"/>
      <c r="J31" s="41"/>
      <c r="K31" s="41"/>
      <c r="L31" s="41"/>
      <c r="M31" s="41"/>
      <c r="N31" s="41"/>
      <c r="O31" s="41" t="n">
        <v>252</v>
      </c>
      <c r="P31" s="43"/>
      <c r="Q31" s="41" t="n">
        <v>252</v>
      </c>
      <c r="R31" s="41" t="n">
        <v>252</v>
      </c>
      <c r="S31" s="41" t="n">
        <v>252</v>
      </c>
      <c r="T31" s="41"/>
      <c r="U31" s="41" t="n">
        <v>252</v>
      </c>
      <c r="V31" s="41"/>
      <c r="W31" s="69"/>
      <c r="X31" s="44"/>
      <c r="Y31" s="41" t="n">
        <v>252</v>
      </c>
      <c r="Z31" s="40" t="n">
        <v>252</v>
      </c>
      <c r="AA31" s="45"/>
      <c r="AB31" s="45"/>
      <c r="AC31" s="45"/>
      <c r="AD31" s="45"/>
      <c r="AE31" s="41" t="n">
        <v>252</v>
      </c>
      <c r="AF31" s="52" t="n">
        <v>0</v>
      </c>
      <c r="AG31" s="49"/>
      <c r="AI31" s="47"/>
    </row>
    <row r="32" customFormat="false" ht="13.8" hidden="false" customHeight="false" outlineLevel="0" collapsed="false">
      <c r="A32" s="53" t="n">
        <v>300671</v>
      </c>
      <c r="B32" s="53" t="s">
        <v>54</v>
      </c>
      <c r="C32" s="53" t="s">
        <v>81</v>
      </c>
      <c r="D32" s="53" t="s">
        <v>95</v>
      </c>
      <c r="E32" s="41" t="s">
        <v>47</v>
      </c>
      <c r="F32" s="41" t="n">
        <v>220</v>
      </c>
      <c r="G32" s="41" t="n">
        <v>220</v>
      </c>
      <c r="H32" s="41" t="n">
        <v>220</v>
      </c>
      <c r="I32" s="55"/>
      <c r="J32" s="41"/>
      <c r="K32" s="41"/>
      <c r="L32" s="55"/>
      <c r="M32" s="55"/>
      <c r="N32" s="55"/>
      <c r="O32" s="41" t="n">
        <v>220</v>
      </c>
      <c r="P32" s="43"/>
      <c r="Q32" s="41" t="n">
        <v>220</v>
      </c>
      <c r="R32" s="41" t="n">
        <v>220</v>
      </c>
      <c r="S32" s="41" t="n">
        <v>260</v>
      </c>
      <c r="T32" s="55"/>
      <c r="U32" s="41" t="n">
        <v>220</v>
      </c>
      <c r="V32" s="55"/>
      <c r="W32" s="55"/>
      <c r="X32" s="44"/>
      <c r="Y32" s="40" t="n">
        <v>220</v>
      </c>
      <c r="Z32" s="40" t="n">
        <v>260</v>
      </c>
      <c r="AA32" s="45"/>
      <c r="AB32" s="45"/>
      <c r="AC32" s="45"/>
      <c r="AD32" s="45"/>
      <c r="AE32" s="41" t="n">
        <v>260</v>
      </c>
      <c r="AF32" s="60" t="n">
        <v>40</v>
      </c>
      <c r="AG32" s="49"/>
      <c r="AI32" s="47"/>
    </row>
    <row r="33" s="64" customFormat="true" ht="13.8" hidden="false" customHeight="false" outlineLevel="0" collapsed="false">
      <c r="A33" s="53" t="n">
        <v>314715</v>
      </c>
      <c r="B33" s="53" t="s">
        <v>90</v>
      </c>
      <c r="C33" s="53" t="s">
        <v>91</v>
      </c>
      <c r="D33" s="53" t="s">
        <v>96</v>
      </c>
      <c r="E33" s="40" t="s">
        <v>43</v>
      </c>
      <c r="F33" s="41" t="n">
        <v>271</v>
      </c>
      <c r="G33" s="41" t="n">
        <v>271</v>
      </c>
      <c r="H33" s="40" t="n">
        <v>271</v>
      </c>
      <c r="I33" s="40"/>
      <c r="J33" s="40"/>
      <c r="K33" s="40"/>
      <c r="L33" s="40"/>
      <c r="M33" s="40"/>
      <c r="N33" s="40"/>
      <c r="O33" s="41" t="n">
        <v>271</v>
      </c>
      <c r="P33" s="43"/>
      <c r="Q33" s="40" t="n">
        <v>271</v>
      </c>
      <c r="R33" s="41" t="n">
        <v>271</v>
      </c>
      <c r="S33" s="41" t="n">
        <v>291</v>
      </c>
      <c r="T33" s="50"/>
      <c r="U33" s="41" t="n">
        <v>271</v>
      </c>
      <c r="V33" s="40"/>
      <c r="W33" s="40"/>
      <c r="X33" s="44"/>
      <c r="Y33" s="40" t="n">
        <v>271</v>
      </c>
      <c r="Z33" s="40" t="n">
        <v>291</v>
      </c>
      <c r="AA33" s="45"/>
      <c r="AB33" s="45"/>
      <c r="AC33" s="45"/>
      <c r="AD33" s="45"/>
      <c r="AE33" s="51" t="n">
        <v>291</v>
      </c>
      <c r="AF33" s="52" t="n">
        <v>20</v>
      </c>
      <c r="AG33" s="40"/>
      <c r="AH33" s="6"/>
      <c r="AI33" s="47"/>
      <c r="AMJ33" s="0"/>
    </row>
    <row r="34" customFormat="false" ht="13.8" hidden="false" customHeight="false" outlineLevel="0" collapsed="false">
      <c r="A34" s="53" t="n">
        <v>314728</v>
      </c>
      <c r="B34" s="53" t="s">
        <v>90</v>
      </c>
      <c r="C34" s="53" t="s">
        <v>91</v>
      </c>
      <c r="D34" s="53" t="s">
        <v>97</v>
      </c>
      <c r="E34" s="40" t="s">
        <v>43</v>
      </c>
      <c r="F34" s="41" t="n">
        <v>255</v>
      </c>
      <c r="G34" s="41" t="n">
        <v>255</v>
      </c>
      <c r="H34" s="40" t="n">
        <v>255</v>
      </c>
      <c r="I34" s="40"/>
      <c r="J34" s="40"/>
      <c r="K34" s="40"/>
      <c r="L34" s="50"/>
      <c r="M34" s="40"/>
      <c r="N34" s="40"/>
      <c r="O34" s="41" t="n">
        <v>255</v>
      </c>
      <c r="P34" s="43"/>
      <c r="Q34" s="40" t="n">
        <v>255</v>
      </c>
      <c r="R34" s="41" t="n">
        <v>255</v>
      </c>
      <c r="S34" s="41" t="n">
        <v>291</v>
      </c>
      <c r="T34" s="40"/>
      <c r="U34" s="41" t="n">
        <v>255</v>
      </c>
      <c r="V34" s="40"/>
      <c r="W34" s="40"/>
      <c r="X34" s="44"/>
      <c r="Y34" s="40" t="n">
        <v>255</v>
      </c>
      <c r="Z34" s="40" t="n">
        <v>291</v>
      </c>
      <c r="AA34" s="45"/>
      <c r="AB34" s="45"/>
      <c r="AC34" s="45"/>
      <c r="AD34" s="45"/>
      <c r="AE34" s="51" t="n">
        <v>291</v>
      </c>
      <c r="AF34" s="52" t="n">
        <v>36</v>
      </c>
      <c r="AG34" s="40"/>
      <c r="AI34" s="47"/>
    </row>
    <row r="35" customFormat="false" ht="13.8" hidden="false" customHeight="false" outlineLevel="0" collapsed="false">
      <c r="A35" s="53" t="n">
        <v>315098</v>
      </c>
      <c r="B35" s="53" t="s">
        <v>90</v>
      </c>
      <c r="C35" s="53" t="s">
        <v>91</v>
      </c>
      <c r="D35" s="53" t="s">
        <v>98</v>
      </c>
      <c r="E35" s="40" t="s">
        <v>43</v>
      </c>
      <c r="F35" s="41" t="n">
        <v>308</v>
      </c>
      <c r="G35" s="41" t="n">
        <v>308</v>
      </c>
      <c r="H35" s="40" t="n">
        <v>308</v>
      </c>
      <c r="I35" s="40"/>
      <c r="J35" s="40"/>
      <c r="K35" s="40"/>
      <c r="L35" s="50"/>
      <c r="M35" s="40"/>
      <c r="N35" s="40"/>
      <c r="O35" s="41" t="n">
        <v>308</v>
      </c>
      <c r="P35" s="43"/>
      <c r="Q35" s="40" t="n">
        <v>308</v>
      </c>
      <c r="R35" s="41" t="n">
        <v>308</v>
      </c>
      <c r="S35" s="41" t="n">
        <v>318</v>
      </c>
      <c r="T35" s="40"/>
      <c r="U35" s="41" t="n">
        <v>308</v>
      </c>
      <c r="V35" s="40"/>
      <c r="W35" s="40"/>
      <c r="X35" s="44"/>
      <c r="Y35" s="40" t="n">
        <v>308</v>
      </c>
      <c r="Z35" s="40" t="n">
        <v>318</v>
      </c>
      <c r="AA35" s="45"/>
      <c r="AB35" s="45"/>
      <c r="AC35" s="45"/>
      <c r="AD35" s="45"/>
      <c r="AE35" s="51" t="n">
        <v>318</v>
      </c>
      <c r="AF35" s="52" t="n">
        <v>10</v>
      </c>
      <c r="AG35" s="40"/>
      <c r="AI35" s="47"/>
    </row>
    <row r="36" customFormat="false" ht="13.8" hidden="false" customHeight="false" outlineLevel="0" collapsed="false">
      <c r="A36" s="53" t="n">
        <v>314828</v>
      </c>
      <c r="B36" s="53" t="s">
        <v>90</v>
      </c>
      <c r="C36" s="53" t="s">
        <v>99</v>
      </c>
      <c r="D36" s="53" t="s">
        <v>100</v>
      </c>
      <c r="E36" s="40" t="s">
        <v>47</v>
      </c>
      <c r="F36" s="41" t="n">
        <v>291</v>
      </c>
      <c r="G36" s="41" t="n">
        <v>291</v>
      </c>
      <c r="H36" s="40" t="n">
        <v>291</v>
      </c>
      <c r="I36" s="40"/>
      <c r="J36" s="40"/>
      <c r="K36" s="40"/>
      <c r="L36" s="40"/>
      <c r="M36" s="40"/>
      <c r="N36" s="40"/>
      <c r="O36" s="41" t="n">
        <v>291</v>
      </c>
      <c r="P36" s="43"/>
      <c r="Q36" s="40" t="n">
        <v>291</v>
      </c>
      <c r="R36" s="41" t="n">
        <v>291</v>
      </c>
      <c r="S36" s="41" t="n">
        <v>291</v>
      </c>
      <c r="T36" s="40"/>
      <c r="U36" s="41" t="n">
        <v>291</v>
      </c>
      <c r="V36" s="40"/>
      <c r="W36" s="40"/>
      <c r="X36" s="44"/>
      <c r="Y36" s="40" t="n">
        <v>291</v>
      </c>
      <c r="Z36" s="40" t="n">
        <v>291</v>
      </c>
      <c r="AA36" s="45"/>
      <c r="AB36" s="45"/>
      <c r="AC36" s="45"/>
      <c r="AD36" s="45"/>
      <c r="AE36" s="51" t="n">
        <v>291</v>
      </c>
      <c r="AF36" s="52" t="n">
        <v>0</v>
      </c>
      <c r="AG36" s="40"/>
      <c r="AI36" s="47"/>
    </row>
    <row r="37" customFormat="false" ht="13.8" hidden="false" customHeight="false" outlineLevel="0" collapsed="false">
      <c r="A37" s="53" t="n">
        <v>314826</v>
      </c>
      <c r="B37" s="53" t="s">
        <v>90</v>
      </c>
      <c r="C37" s="53" t="s">
        <v>99</v>
      </c>
      <c r="D37" s="53" t="s">
        <v>101</v>
      </c>
      <c r="E37" s="40" t="s">
        <v>47</v>
      </c>
      <c r="F37" s="41" t="n">
        <v>227</v>
      </c>
      <c r="G37" s="41" t="n">
        <v>227</v>
      </c>
      <c r="H37" s="40" t="n">
        <v>227</v>
      </c>
      <c r="I37" s="40"/>
      <c r="J37" s="40"/>
      <c r="K37" s="40"/>
      <c r="L37" s="40"/>
      <c r="M37" s="40"/>
      <c r="N37" s="40"/>
      <c r="O37" s="41" t="n">
        <v>227</v>
      </c>
      <c r="P37" s="43"/>
      <c r="Q37" s="40" t="n">
        <v>227</v>
      </c>
      <c r="R37" s="41" t="n">
        <v>227</v>
      </c>
      <c r="S37" s="41" t="n">
        <v>291</v>
      </c>
      <c r="T37" s="40"/>
      <c r="U37" s="41" t="n">
        <v>227</v>
      </c>
      <c r="V37" s="40"/>
      <c r="W37" s="40"/>
      <c r="X37" s="44"/>
      <c r="Y37" s="40" t="n">
        <v>227</v>
      </c>
      <c r="Z37" s="40" t="n">
        <v>291</v>
      </c>
      <c r="AA37" s="45"/>
      <c r="AB37" s="45"/>
      <c r="AC37" s="45"/>
      <c r="AD37" s="45"/>
      <c r="AE37" s="51" t="n">
        <v>291</v>
      </c>
      <c r="AF37" s="52" t="n">
        <v>64</v>
      </c>
      <c r="AG37" s="40"/>
      <c r="AI37" s="47"/>
    </row>
    <row r="38" s="71" customFormat="true" ht="13.8" hidden="false" customHeight="false" outlineLevel="0" collapsed="false">
      <c r="A38" s="53" t="n">
        <v>300766</v>
      </c>
      <c r="B38" s="53" t="s">
        <v>93</v>
      </c>
      <c r="C38" s="53" t="s">
        <v>84</v>
      </c>
      <c r="D38" s="53" t="s">
        <v>102</v>
      </c>
      <c r="E38" s="41" t="s">
        <v>78</v>
      </c>
      <c r="F38" s="41" t="n">
        <v>330</v>
      </c>
      <c r="G38" s="41" t="n">
        <v>330</v>
      </c>
      <c r="H38" s="50" t="n">
        <v>330</v>
      </c>
      <c r="I38" s="66"/>
      <c r="J38" s="66"/>
      <c r="K38" s="66"/>
      <c r="L38" s="66"/>
      <c r="M38" s="50"/>
      <c r="N38" s="66"/>
      <c r="O38" s="41" t="n">
        <v>330</v>
      </c>
      <c r="P38" s="43"/>
      <c r="Q38" s="70" t="n">
        <v>330</v>
      </c>
      <c r="R38" s="41" t="n">
        <v>330</v>
      </c>
      <c r="S38" s="41" t="n">
        <v>356</v>
      </c>
      <c r="T38" s="50"/>
      <c r="U38" s="41" t="n">
        <v>330</v>
      </c>
      <c r="V38" s="66"/>
      <c r="W38" s="66"/>
      <c r="X38" s="44"/>
      <c r="Y38" s="40" t="n">
        <v>330</v>
      </c>
      <c r="Z38" s="40" t="n">
        <v>356</v>
      </c>
      <c r="AA38" s="45"/>
      <c r="AB38" s="45"/>
      <c r="AC38" s="45"/>
      <c r="AD38" s="45"/>
      <c r="AE38" s="40" t="n">
        <v>356</v>
      </c>
      <c r="AF38" s="46" t="n">
        <v>26</v>
      </c>
      <c r="AG38" s="66"/>
      <c r="AH38" s="6"/>
      <c r="AI38" s="47"/>
      <c r="AMJ38" s="0"/>
    </row>
    <row r="39" customFormat="false" ht="13.8" hidden="false" customHeight="false" outlineLevel="0" collapsed="false">
      <c r="A39" s="53" t="n">
        <v>314714</v>
      </c>
      <c r="B39" s="53" t="s">
        <v>90</v>
      </c>
      <c r="C39" s="53" t="s">
        <v>91</v>
      </c>
      <c r="D39" s="53" t="s">
        <v>103</v>
      </c>
      <c r="E39" s="40" t="s">
        <v>43</v>
      </c>
      <c r="F39" s="41" t="n">
        <v>315</v>
      </c>
      <c r="G39" s="41" t="n">
        <v>315</v>
      </c>
      <c r="H39" s="40" t="n">
        <v>315</v>
      </c>
      <c r="I39" s="40"/>
      <c r="J39" s="40"/>
      <c r="K39" s="40"/>
      <c r="L39" s="40"/>
      <c r="M39" s="40"/>
      <c r="N39" s="40"/>
      <c r="O39" s="41" t="n">
        <v>315</v>
      </c>
      <c r="P39" s="43"/>
      <c r="Q39" s="72" t="n">
        <v>315</v>
      </c>
      <c r="R39" s="41" t="n">
        <v>315</v>
      </c>
      <c r="S39" s="41" t="n">
        <v>315</v>
      </c>
      <c r="T39" s="50"/>
      <c r="U39" s="41" t="n">
        <v>315</v>
      </c>
      <c r="V39" s="40"/>
      <c r="W39" s="40"/>
      <c r="X39" s="44"/>
      <c r="Y39" s="40" t="n">
        <v>315</v>
      </c>
      <c r="Z39" s="40" t="n">
        <v>315</v>
      </c>
      <c r="AA39" s="45"/>
      <c r="AB39" s="45"/>
      <c r="AC39" s="45"/>
      <c r="AD39" s="45"/>
      <c r="AE39" s="51" t="n">
        <v>315</v>
      </c>
      <c r="AF39" s="52" t="n">
        <v>0</v>
      </c>
      <c r="AG39" s="40"/>
      <c r="AI39" s="47"/>
    </row>
    <row r="40" customFormat="false" ht="13.8" hidden="false" customHeight="false" outlineLevel="0" collapsed="false">
      <c r="A40" s="53" t="n">
        <v>313858</v>
      </c>
      <c r="B40" s="53" t="s">
        <v>76</v>
      </c>
      <c r="C40" s="53" t="s">
        <v>91</v>
      </c>
      <c r="D40" s="53" t="s">
        <v>104</v>
      </c>
      <c r="E40" s="41" t="s">
        <v>78</v>
      </c>
      <c r="F40" s="41" t="n">
        <v>296</v>
      </c>
      <c r="G40" s="41" t="n">
        <v>296</v>
      </c>
      <c r="H40" s="41" t="n">
        <v>296</v>
      </c>
      <c r="I40" s="66"/>
      <c r="J40" s="66"/>
      <c r="K40" s="66"/>
      <c r="L40" s="66"/>
      <c r="M40" s="66"/>
      <c r="N40" s="66"/>
      <c r="O40" s="41" t="n">
        <v>296</v>
      </c>
      <c r="P40" s="43"/>
      <c r="Q40" s="73" t="n">
        <v>296</v>
      </c>
      <c r="R40" s="41" t="n">
        <v>296</v>
      </c>
      <c r="S40" s="41" t="n">
        <v>359</v>
      </c>
      <c r="T40" s="55"/>
      <c r="U40" s="41" t="n">
        <v>296</v>
      </c>
      <c r="V40" s="66"/>
      <c r="W40" s="66"/>
      <c r="X40" s="44"/>
      <c r="Y40" s="41" t="n">
        <v>304</v>
      </c>
      <c r="Z40" s="40" t="n">
        <v>359</v>
      </c>
      <c r="AA40" s="45"/>
      <c r="AB40" s="45"/>
      <c r="AC40" s="45"/>
      <c r="AD40" s="45"/>
      <c r="AE40" s="41" t="n">
        <v>359</v>
      </c>
      <c r="AF40" s="60" t="n">
        <v>63</v>
      </c>
      <c r="AG40" s="49"/>
      <c r="AI40" s="47"/>
    </row>
    <row r="41" customFormat="false" ht="13.8" hidden="false" customHeight="false" outlineLevel="0" collapsed="false">
      <c r="A41" s="53" t="n">
        <v>315026</v>
      </c>
      <c r="B41" s="53" t="s">
        <v>90</v>
      </c>
      <c r="C41" s="53" t="s">
        <v>91</v>
      </c>
      <c r="D41" s="53" t="s">
        <v>105</v>
      </c>
      <c r="E41" s="40" t="s">
        <v>43</v>
      </c>
      <c r="F41" s="41" t="n">
        <v>313</v>
      </c>
      <c r="G41" s="41" t="n">
        <v>313</v>
      </c>
      <c r="H41" s="40" t="n">
        <v>313</v>
      </c>
      <c r="I41" s="40"/>
      <c r="J41" s="40"/>
      <c r="K41" s="40"/>
      <c r="L41" s="40"/>
      <c r="M41" s="40" t="n">
        <v>0</v>
      </c>
      <c r="N41" s="40" t="n">
        <v>0</v>
      </c>
      <c r="O41" s="41" t="n">
        <v>313</v>
      </c>
      <c r="P41" s="43"/>
      <c r="Q41" s="72" t="n">
        <v>313</v>
      </c>
      <c r="R41" s="41" t="n">
        <v>313</v>
      </c>
      <c r="S41" s="41" t="n">
        <v>386</v>
      </c>
      <c r="T41" s="50"/>
      <c r="U41" s="41" t="n">
        <v>313</v>
      </c>
      <c r="V41" s="40"/>
      <c r="W41" s="40"/>
      <c r="X41" s="44"/>
      <c r="Y41" s="40" t="n">
        <v>313</v>
      </c>
      <c r="Z41" s="40" t="n">
        <v>386</v>
      </c>
      <c r="AA41" s="45"/>
      <c r="AB41" s="45"/>
      <c r="AC41" s="45"/>
      <c r="AD41" s="45"/>
      <c r="AE41" s="51" t="n">
        <v>386</v>
      </c>
      <c r="AF41" s="52" t="n">
        <v>73</v>
      </c>
      <c r="AG41" s="40"/>
      <c r="AI41" s="47"/>
    </row>
    <row r="42" customFormat="false" ht="13.8" hidden="false" customHeight="false" outlineLevel="0" collapsed="false">
      <c r="A42" s="53" t="n">
        <v>315100</v>
      </c>
      <c r="B42" s="53" t="s">
        <v>90</v>
      </c>
      <c r="C42" s="53" t="s">
        <v>91</v>
      </c>
      <c r="D42" s="53" t="s">
        <v>106</v>
      </c>
      <c r="E42" s="40" t="s">
        <v>43</v>
      </c>
      <c r="F42" s="41" t="n">
        <v>397</v>
      </c>
      <c r="G42" s="41" t="n">
        <v>397</v>
      </c>
      <c r="H42" s="40" t="n">
        <v>397</v>
      </c>
      <c r="I42" s="40"/>
      <c r="J42" s="40"/>
      <c r="K42" s="40"/>
      <c r="L42" s="50"/>
      <c r="M42" s="40" t="n">
        <v>0</v>
      </c>
      <c r="N42" s="40" t="n">
        <v>0</v>
      </c>
      <c r="O42" s="41" t="n">
        <v>397</v>
      </c>
      <c r="P42" s="43"/>
      <c r="Q42" s="40" t="n">
        <v>397</v>
      </c>
      <c r="R42" s="41" t="n">
        <v>397</v>
      </c>
      <c r="S42" s="41" t="n">
        <v>397</v>
      </c>
      <c r="T42" s="40"/>
      <c r="U42" s="41" t="n">
        <v>397</v>
      </c>
      <c r="V42" s="40"/>
      <c r="W42" s="40"/>
      <c r="X42" s="44"/>
      <c r="Y42" s="40" t="n">
        <v>397</v>
      </c>
      <c r="Z42" s="40" t="n">
        <v>397</v>
      </c>
      <c r="AA42" s="45"/>
      <c r="AB42" s="45"/>
      <c r="AC42" s="45"/>
      <c r="AD42" s="45"/>
      <c r="AE42" s="51" t="n">
        <v>397</v>
      </c>
      <c r="AF42" s="52" t="n">
        <v>0</v>
      </c>
      <c r="AG42" s="40"/>
      <c r="AI42" s="47"/>
    </row>
    <row r="43" customFormat="false" ht="13.8" hidden="false" customHeight="false" outlineLevel="0" collapsed="false">
      <c r="A43" s="53" t="n">
        <v>314832</v>
      </c>
      <c r="B43" s="53" t="s">
        <v>90</v>
      </c>
      <c r="C43" s="53" t="s">
        <v>99</v>
      </c>
      <c r="D43" s="53" t="s">
        <v>107</v>
      </c>
      <c r="E43" s="40" t="s">
        <v>47</v>
      </c>
      <c r="F43" s="41" t="n">
        <v>324</v>
      </c>
      <c r="G43" s="41" t="n">
        <v>324</v>
      </c>
      <c r="H43" s="40" t="n">
        <v>324</v>
      </c>
      <c r="I43" s="40"/>
      <c r="J43" s="40"/>
      <c r="K43" s="40"/>
      <c r="L43" s="40"/>
      <c r="M43" s="40"/>
      <c r="N43" s="40"/>
      <c r="O43" s="41" t="n">
        <v>324</v>
      </c>
      <c r="P43" s="43"/>
      <c r="Q43" s="40" t="n">
        <v>324</v>
      </c>
      <c r="R43" s="41" t="n">
        <v>324</v>
      </c>
      <c r="S43" s="41" t="n">
        <v>324</v>
      </c>
      <c r="T43" s="40"/>
      <c r="U43" s="41" t="n">
        <v>324</v>
      </c>
      <c r="V43" s="40"/>
      <c r="W43" s="40"/>
      <c r="X43" s="44"/>
      <c r="Y43" s="40" t="n">
        <v>324</v>
      </c>
      <c r="Z43" s="40" t="n">
        <v>324</v>
      </c>
      <c r="AA43" s="45"/>
      <c r="AB43" s="45"/>
      <c r="AC43" s="45"/>
      <c r="AD43" s="45"/>
      <c r="AE43" s="51" t="n">
        <v>324</v>
      </c>
      <c r="AF43" s="52" t="n">
        <v>0</v>
      </c>
      <c r="AG43" s="40"/>
      <c r="AI43" s="47"/>
    </row>
    <row r="44" customFormat="false" ht="14.25" hidden="false" customHeight="true" outlineLevel="0" collapsed="false">
      <c r="A44" s="53" t="n">
        <v>314830</v>
      </c>
      <c r="B44" s="53" t="s">
        <v>90</v>
      </c>
      <c r="C44" s="53" t="s">
        <v>99</v>
      </c>
      <c r="D44" s="53" t="s">
        <v>108</v>
      </c>
      <c r="E44" s="40" t="s">
        <v>47</v>
      </c>
      <c r="F44" s="41" t="n">
        <v>230</v>
      </c>
      <c r="G44" s="41" t="n">
        <v>230</v>
      </c>
      <c r="H44" s="40" t="n">
        <v>230</v>
      </c>
      <c r="I44" s="40"/>
      <c r="J44" s="40"/>
      <c r="K44" s="40"/>
      <c r="L44" s="40"/>
      <c r="M44" s="40"/>
      <c r="N44" s="40"/>
      <c r="O44" s="41" t="n">
        <v>230</v>
      </c>
      <c r="P44" s="43"/>
      <c r="Q44" s="40" t="n">
        <v>230</v>
      </c>
      <c r="R44" s="41" t="n">
        <v>230</v>
      </c>
      <c r="S44" s="41" t="n">
        <v>324</v>
      </c>
      <c r="T44" s="40"/>
      <c r="U44" s="41" t="n">
        <v>230</v>
      </c>
      <c r="V44" s="40"/>
      <c r="W44" s="40"/>
      <c r="X44" s="44"/>
      <c r="Y44" s="40" t="n">
        <v>230</v>
      </c>
      <c r="Z44" s="40" t="n">
        <v>324</v>
      </c>
      <c r="AA44" s="45"/>
      <c r="AB44" s="45"/>
      <c r="AC44" s="45"/>
      <c r="AD44" s="45"/>
      <c r="AE44" s="51" t="n">
        <v>324</v>
      </c>
      <c r="AF44" s="52" t="n">
        <v>94</v>
      </c>
      <c r="AG44" s="40"/>
      <c r="AI44" s="47"/>
    </row>
    <row r="45" customFormat="false" ht="13.8" hidden="false" customHeight="false" outlineLevel="0" collapsed="false">
      <c r="A45" s="53" t="n">
        <v>300759</v>
      </c>
      <c r="B45" s="53" t="s">
        <v>54</v>
      </c>
      <c r="C45" s="53" t="s">
        <v>109</v>
      </c>
      <c r="D45" s="53" t="s">
        <v>110</v>
      </c>
      <c r="E45" s="41" t="s">
        <v>47</v>
      </c>
      <c r="F45" s="41" t="n">
        <v>281</v>
      </c>
      <c r="G45" s="41" t="n">
        <v>281</v>
      </c>
      <c r="H45" s="40" t="n">
        <v>281</v>
      </c>
      <c r="I45" s="66"/>
      <c r="J45" s="66"/>
      <c r="K45" s="66"/>
      <c r="L45" s="66"/>
      <c r="M45" s="66"/>
      <c r="N45" s="66"/>
      <c r="O45" s="41" t="n">
        <v>281</v>
      </c>
      <c r="P45" s="43"/>
      <c r="Q45" s="72" t="n">
        <v>281</v>
      </c>
      <c r="R45" s="41" t="n">
        <v>281</v>
      </c>
      <c r="S45" s="41" t="n">
        <v>361</v>
      </c>
      <c r="T45" s="50"/>
      <c r="U45" s="41" t="n">
        <v>281</v>
      </c>
      <c r="V45" s="66"/>
      <c r="W45" s="66"/>
      <c r="X45" s="44"/>
      <c r="Y45" s="40" t="n">
        <v>281</v>
      </c>
      <c r="Z45" s="40" t="n">
        <v>361</v>
      </c>
      <c r="AA45" s="45"/>
      <c r="AB45" s="45"/>
      <c r="AC45" s="45"/>
      <c r="AD45" s="45"/>
      <c r="AE45" s="40" t="n">
        <v>361</v>
      </c>
      <c r="AF45" s="46" t="n">
        <v>80</v>
      </c>
      <c r="AG45" s="49"/>
      <c r="AI45" s="47"/>
    </row>
    <row r="46" customFormat="false" ht="13.8" hidden="false" customHeight="false" outlineLevel="0" collapsed="false">
      <c r="A46" s="53" t="n">
        <v>315046</v>
      </c>
      <c r="B46" s="53" t="s">
        <v>90</v>
      </c>
      <c r="C46" s="53" t="s">
        <v>84</v>
      </c>
      <c r="D46" s="53" t="s">
        <v>111</v>
      </c>
      <c r="E46" s="40" t="s">
        <v>43</v>
      </c>
      <c r="F46" s="41" t="n">
        <v>389</v>
      </c>
      <c r="G46" s="41" t="n">
        <v>389</v>
      </c>
      <c r="H46" s="40" t="n">
        <v>389</v>
      </c>
      <c r="I46" s="40"/>
      <c r="J46" s="40"/>
      <c r="K46" s="40"/>
      <c r="L46" s="40"/>
      <c r="M46" s="40" t="n">
        <v>0</v>
      </c>
      <c r="N46" s="40"/>
      <c r="O46" s="41" t="n">
        <v>389</v>
      </c>
      <c r="P46" s="43"/>
      <c r="Q46" s="40" t="n">
        <v>389</v>
      </c>
      <c r="R46" s="41" t="n">
        <v>389</v>
      </c>
      <c r="S46" s="41" t="n">
        <v>444</v>
      </c>
      <c r="T46" s="50"/>
      <c r="U46" s="41" t="n">
        <v>389</v>
      </c>
      <c r="V46" s="40"/>
      <c r="W46" s="40"/>
      <c r="X46" s="44"/>
      <c r="Y46" s="40" t="n">
        <v>389</v>
      </c>
      <c r="Z46" s="40" t="n">
        <v>444</v>
      </c>
      <c r="AA46" s="45"/>
      <c r="AB46" s="45"/>
      <c r="AC46" s="45"/>
      <c r="AD46" s="45"/>
      <c r="AE46" s="51" t="n">
        <v>444</v>
      </c>
      <c r="AF46" s="52" t="n">
        <v>55</v>
      </c>
      <c r="AG46" s="40"/>
      <c r="AI46" s="47"/>
    </row>
    <row r="47" customFormat="false" ht="13.8" hidden="false" customHeight="false" outlineLevel="0" collapsed="false">
      <c r="A47" s="53" t="n">
        <v>314716</v>
      </c>
      <c r="B47" s="53" t="s">
        <v>90</v>
      </c>
      <c r="C47" s="53" t="s">
        <v>91</v>
      </c>
      <c r="D47" s="53" t="s">
        <v>112</v>
      </c>
      <c r="E47" s="40" t="s">
        <v>43</v>
      </c>
      <c r="F47" s="41" t="n">
        <v>411</v>
      </c>
      <c r="G47" s="41" t="n">
        <v>411</v>
      </c>
      <c r="H47" s="40" t="n">
        <v>411</v>
      </c>
      <c r="I47" s="40"/>
      <c r="J47" s="40"/>
      <c r="K47" s="40"/>
      <c r="L47" s="40"/>
      <c r="M47" s="40"/>
      <c r="N47" s="40"/>
      <c r="O47" s="41" t="n">
        <v>411</v>
      </c>
      <c r="P47" s="43"/>
      <c r="Q47" s="40" t="n">
        <v>411</v>
      </c>
      <c r="R47" s="41" t="n">
        <v>411</v>
      </c>
      <c r="S47" s="41" t="n">
        <v>411</v>
      </c>
      <c r="T47" s="50"/>
      <c r="U47" s="41" t="n">
        <v>411</v>
      </c>
      <c r="V47" s="72"/>
      <c r="W47" s="72"/>
      <c r="X47" s="44"/>
      <c r="Y47" s="72" t="n">
        <v>411</v>
      </c>
      <c r="Z47" s="40" t="n">
        <v>411</v>
      </c>
      <c r="AA47" s="45"/>
      <c r="AB47" s="45"/>
      <c r="AC47" s="45"/>
      <c r="AD47" s="45"/>
      <c r="AE47" s="51" t="n">
        <v>411</v>
      </c>
      <c r="AF47" s="52" t="n">
        <v>0</v>
      </c>
      <c r="AG47" s="40"/>
      <c r="AI47" s="47"/>
    </row>
    <row r="48" customFormat="false" ht="13.8" hidden="false" customHeight="false" outlineLevel="0" collapsed="false">
      <c r="A48" s="53" t="n">
        <v>300676</v>
      </c>
      <c r="B48" s="53" t="s">
        <v>54</v>
      </c>
      <c r="C48" s="53" t="s">
        <v>113</v>
      </c>
      <c r="D48" s="53" t="s">
        <v>114</v>
      </c>
      <c r="E48" s="40" t="s">
        <v>47</v>
      </c>
      <c r="F48" s="41" t="n">
        <v>458</v>
      </c>
      <c r="G48" s="41" t="n">
        <v>458</v>
      </c>
      <c r="H48" s="40" t="n">
        <v>458</v>
      </c>
      <c r="I48" s="40"/>
      <c r="J48" s="40"/>
      <c r="K48" s="40"/>
      <c r="L48" s="50"/>
      <c r="M48" s="40"/>
      <c r="N48" s="40"/>
      <c r="O48" s="41" t="n">
        <v>458</v>
      </c>
      <c r="P48" s="43"/>
      <c r="Q48" s="40" t="n">
        <v>458</v>
      </c>
      <c r="R48" s="41" t="n">
        <v>458</v>
      </c>
      <c r="S48" s="41" t="n">
        <v>458</v>
      </c>
      <c r="T48" s="40"/>
      <c r="U48" s="41" t="n">
        <v>458</v>
      </c>
      <c r="V48" s="40"/>
      <c r="W48" s="40"/>
      <c r="X48" s="44"/>
      <c r="Y48" s="40" t="n">
        <v>458</v>
      </c>
      <c r="Z48" s="40" t="n">
        <v>458</v>
      </c>
      <c r="AA48" s="45"/>
      <c r="AB48" s="45"/>
      <c r="AC48" s="45"/>
      <c r="AD48" s="45"/>
      <c r="AE48" s="40" t="n">
        <v>458</v>
      </c>
      <c r="AF48" s="52" t="n">
        <v>0</v>
      </c>
      <c r="AG48" s="40"/>
      <c r="AI48" s="47"/>
    </row>
    <row r="49" customFormat="false" ht="13.8" hidden="false" customHeight="false" outlineLevel="0" collapsed="false">
      <c r="A49" s="53" t="n">
        <v>314363</v>
      </c>
      <c r="B49" s="53" t="s">
        <v>76</v>
      </c>
      <c r="C49" s="53" t="s">
        <v>99</v>
      </c>
      <c r="D49" s="53" t="s">
        <v>115</v>
      </c>
      <c r="E49" s="41" t="s">
        <v>78</v>
      </c>
      <c r="F49" s="41" t="n">
        <v>466</v>
      </c>
      <c r="G49" s="41" t="n">
        <v>466</v>
      </c>
      <c r="H49" s="40" t="n">
        <v>466</v>
      </c>
      <c r="I49" s="66"/>
      <c r="J49" s="66"/>
      <c r="K49" s="66"/>
      <c r="L49" s="66"/>
      <c r="M49" s="66"/>
      <c r="N49" s="66"/>
      <c r="O49" s="41" t="n">
        <v>466</v>
      </c>
      <c r="P49" s="43"/>
      <c r="Q49" s="40" t="n">
        <v>466</v>
      </c>
      <c r="R49" s="41" t="n">
        <v>466</v>
      </c>
      <c r="S49" s="41" t="n">
        <v>466</v>
      </c>
      <c r="T49" s="50"/>
      <c r="U49" s="41" t="n">
        <v>466</v>
      </c>
      <c r="V49" s="66"/>
      <c r="W49" s="66"/>
      <c r="X49" s="44"/>
      <c r="Y49" s="40" t="n">
        <v>466</v>
      </c>
      <c r="Z49" s="40" t="n">
        <v>466</v>
      </c>
      <c r="AA49" s="45"/>
      <c r="AB49" s="45"/>
      <c r="AC49" s="45"/>
      <c r="AD49" s="45"/>
      <c r="AE49" s="40" t="n">
        <v>466</v>
      </c>
      <c r="AF49" s="46" t="n">
        <v>0</v>
      </c>
      <c r="AG49" s="49"/>
      <c r="AI49" s="47"/>
    </row>
    <row r="50" customFormat="false" ht="13.8" hidden="false" customHeight="false" outlineLevel="0" collapsed="false">
      <c r="A50" s="53" t="n">
        <v>313480</v>
      </c>
      <c r="B50" s="53" t="s">
        <v>39</v>
      </c>
      <c r="C50" s="53" t="s">
        <v>116</v>
      </c>
      <c r="D50" s="53" t="s">
        <v>117</v>
      </c>
      <c r="E50" s="41" t="s">
        <v>47</v>
      </c>
      <c r="F50" s="41" t="n">
        <v>410</v>
      </c>
      <c r="G50" s="41" t="n">
        <v>410</v>
      </c>
      <c r="H50" s="41" t="n">
        <v>410</v>
      </c>
      <c r="I50" s="55"/>
      <c r="J50" s="41"/>
      <c r="K50" s="41"/>
      <c r="L50" s="55"/>
      <c r="M50" s="55"/>
      <c r="N50" s="55"/>
      <c r="O50" s="41" t="n">
        <v>410</v>
      </c>
      <c r="P50" s="43"/>
      <c r="Q50" s="41" t="n">
        <v>410</v>
      </c>
      <c r="R50" s="41" t="n">
        <v>410</v>
      </c>
      <c r="S50" s="41" t="n">
        <v>410</v>
      </c>
      <c r="T50" s="55"/>
      <c r="U50" s="41" t="n">
        <v>410</v>
      </c>
      <c r="V50" s="55"/>
      <c r="W50" s="55"/>
      <c r="X50" s="44"/>
      <c r="Y50" s="40" t="n">
        <v>410</v>
      </c>
      <c r="Z50" s="40" t="n">
        <v>410</v>
      </c>
      <c r="AA50" s="45"/>
      <c r="AB50" s="45"/>
      <c r="AC50" s="45"/>
      <c r="AD50" s="45"/>
      <c r="AE50" s="51" t="n">
        <v>410</v>
      </c>
      <c r="AF50" s="52" t="n">
        <v>0</v>
      </c>
      <c r="AG50" s="49"/>
      <c r="AI50" s="47"/>
    </row>
    <row r="51" customFormat="false" ht="13.8" hidden="false" customHeight="false" outlineLevel="0" collapsed="false">
      <c r="A51" s="53" t="n">
        <v>300672</v>
      </c>
      <c r="B51" s="53" t="s">
        <v>54</v>
      </c>
      <c r="C51" s="53" t="s">
        <v>81</v>
      </c>
      <c r="D51" s="53" t="s">
        <v>118</v>
      </c>
      <c r="E51" s="41" t="s">
        <v>47</v>
      </c>
      <c r="F51" s="41" t="n">
        <v>357</v>
      </c>
      <c r="G51" s="41" t="n">
        <v>357</v>
      </c>
      <c r="H51" s="41" t="n">
        <v>357</v>
      </c>
      <c r="I51" s="55"/>
      <c r="J51" s="41"/>
      <c r="K51" s="41"/>
      <c r="L51" s="55"/>
      <c r="M51" s="55"/>
      <c r="N51" s="55"/>
      <c r="O51" s="41" t="n">
        <v>357</v>
      </c>
      <c r="P51" s="43"/>
      <c r="Q51" s="41" t="n">
        <v>357</v>
      </c>
      <c r="R51" s="41" t="n">
        <v>357</v>
      </c>
      <c r="S51" s="41" t="n">
        <v>357</v>
      </c>
      <c r="T51" s="55"/>
      <c r="U51" s="41" t="n">
        <v>357</v>
      </c>
      <c r="V51" s="55"/>
      <c r="W51" s="55"/>
      <c r="X51" s="44"/>
      <c r="Y51" s="40" t="n">
        <v>357</v>
      </c>
      <c r="Z51" s="40" t="n">
        <v>357</v>
      </c>
      <c r="AA51" s="45"/>
      <c r="AB51" s="45"/>
      <c r="AC51" s="45"/>
      <c r="AD51" s="45"/>
      <c r="AE51" s="41" t="n">
        <v>357</v>
      </c>
      <c r="AF51" s="52" t="n">
        <v>0</v>
      </c>
      <c r="AG51" s="49"/>
      <c r="AI51" s="47"/>
    </row>
    <row r="52" customFormat="false" ht="13.8" hidden="false" customHeight="false" outlineLevel="0" collapsed="false">
      <c r="A52" s="53" t="n">
        <v>300697</v>
      </c>
      <c r="B52" s="53" t="s">
        <v>54</v>
      </c>
      <c r="C52" s="53" t="s">
        <v>81</v>
      </c>
      <c r="D52" s="53" t="s">
        <v>119</v>
      </c>
      <c r="E52" s="41" t="s">
        <v>47</v>
      </c>
      <c r="F52" s="41" t="n">
        <v>412</v>
      </c>
      <c r="G52" s="41" t="n">
        <v>412</v>
      </c>
      <c r="H52" s="50" t="n">
        <v>412</v>
      </c>
      <c r="I52" s="66"/>
      <c r="J52" s="66"/>
      <c r="K52" s="66"/>
      <c r="L52" s="66"/>
      <c r="M52" s="50"/>
      <c r="N52" s="66"/>
      <c r="O52" s="41" t="n">
        <v>412</v>
      </c>
      <c r="P52" s="43"/>
      <c r="Q52" s="50" t="n">
        <v>412</v>
      </c>
      <c r="R52" s="41" t="n">
        <v>412</v>
      </c>
      <c r="S52" s="41" t="n">
        <v>412</v>
      </c>
      <c r="T52" s="50"/>
      <c r="U52" s="41" t="n">
        <v>412</v>
      </c>
      <c r="V52" s="66"/>
      <c r="W52" s="66"/>
      <c r="X52" s="44"/>
      <c r="Y52" s="40" t="n">
        <v>412</v>
      </c>
      <c r="Z52" s="40" t="n">
        <v>412</v>
      </c>
      <c r="AA52" s="45"/>
      <c r="AB52" s="45"/>
      <c r="AC52" s="45"/>
      <c r="AD52" s="45"/>
      <c r="AE52" s="40" t="n">
        <v>412</v>
      </c>
      <c r="AF52" s="52" t="n">
        <v>0</v>
      </c>
      <c r="AG52" s="66"/>
      <c r="AI52" s="47"/>
    </row>
    <row r="53" customFormat="false" ht="13.8" hidden="false" customHeight="false" outlineLevel="0" collapsed="false">
      <c r="A53" s="53" t="n">
        <v>300638</v>
      </c>
      <c r="B53" s="53" t="s">
        <v>54</v>
      </c>
      <c r="C53" s="53" t="s">
        <v>84</v>
      </c>
      <c r="D53" s="53" t="s">
        <v>120</v>
      </c>
      <c r="E53" s="41" t="s">
        <v>47</v>
      </c>
      <c r="F53" s="41" t="n">
        <v>358</v>
      </c>
      <c r="G53" s="41" t="n">
        <v>358</v>
      </c>
      <c r="H53" s="41" t="n">
        <v>358</v>
      </c>
      <c r="I53" s="50"/>
      <c r="J53" s="41"/>
      <c r="K53" s="41"/>
      <c r="L53" s="50"/>
      <c r="M53" s="50"/>
      <c r="N53" s="50"/>
      <c r="O53" s="41" t="n">
        <v>358</v>
      </c>
      <c r="P53" s="43"/>
      <c r="Q53" s="41" t="n">
        <v>358</v>
      </c>
      <c r="R53" s="41" t="n">
        <v>358</v>
      </c>
      <c r="S53" s="41" t="n">
        <v>418</v>
      </c>
      <c r="T53" s="50"/>
      <c r="U53" s="41" t="n">
        <v>358</v>
      </c>
      <c r="V53" s="50"/>
      <c r="W53" s="50"/>
      <c r="X53" s="44"/>
      <c r="Y53" s="40" t="n">
        <v>358</v>
      </c>
      <c r="Z53" s="40" t="n">
        <v>418</v>
      </c>
      <c r="AA53" s="45"/>
      <c r="AB53" s="45"/>
      <c r="AC53" s="45"/>
      <c r="AD53" s="45"/>
      <c r="AE53" s="41" t="n">
        <v>418</v>
      </c>
      <c r="AF53" s="60" t="n">
        <v>60</v>
      </c>
      <c r="AG53" s="49"/>
      <c r="AI53" s="47"/>
    </row>
    <row r="54" customFormat="false" ht="13.8" hidden="false" customHeight="false" outlineLevel="0" collapsed="false">
      <c r="A54" s="53" t="n">
        <v>300796</v>
      </c>
      <c r="B54" s="53" t="s">
        <v>54</v>
      </c>
      <c r="C54" s="53" t="s">
        <v>84</v>
      </c>
      <c r="D54" s="53" t="s">
        <v>121</v>
      </c>
      <c r="E54" s="40" t="s">
        <v>47</v>
      </c>
      <c r="F54" s="41" t="n">
        <v>610</v>
      </c>
      <c r="G54" s="41" t="n">
        <v>610</v>
      </c>
      <c r="H54" s="50" t="n">
        <v>610</v>
      </c>
      <c r="I54" s="66"/>
      <c r="J54" s="66"/>
      <c r="K54" s="66"/>
      <c r="L54" s="66"/>
      <c r="M54" s="50"/>
      <c r="N54" s="66"/>
      <c r="O54" s="41" t="n">
        <v>610</v>
      </c>
      <c r="P54" s="43"/>
      <c r="Q54" s="50" t="n">
        <v>610</v>
      </c>
      <c r="R54" s="41" t="n">
        <v>610</v>
      </c>
      <c r="S54" s="41" t="n">
        <v>610</v>
      </c>
      <c r="T54" s="50"/>
      <c r="U54" s="41" t="n">
        <v>610</v>
      </c>
      <c r="V54" s="66"/>
      <c r="W54" s="66"/>
      <c r="X54" s="44"/>
      <c r="Y54" s="40" t="n">
        <v>610</v>
      </c>
      <c r="Z54" s="40" t="n">
        <v>610</v>
      </c>
      <c r="AA54" s="45"/>
      <c r="AB54" s="45"/>
      <c r="AC54" s="45"/>
      <c r="AD54" s="45"/>
      <c r="AE54" s="40" t="n">
        <v>610</v>
      </c>
      <c r="AF54" s="46" t="n">
        <v>0</v>
      </c>
      <c r="AG54" s="57"/>
      <c r="AI54" s="47"/>
    </row>
    <row r="55" customFormat="false" ht="13.8" hidden="false" customHeight="false" outlineLevel="0" collapsed="false">
      <c r="A55" s="53" t="n">
        <v>314576</v>
      </c>
      <c r="B55" s="53" t="s">
        <v>90</v>
      </c>
      <c r="C55" s="53" t="s">
        <v>99</v>
      </c>
      <c r="D55" s="53" t="s">
        <v>122</v>
      </c>
      <c r="E55" s="41" t="s">
        <v>43</v>
      </c>
      <c r="F55" s="41" t="n">
        <v>441</v>
      </c>
      <c r="G55" s="41" t="n">
        <v>441</v>
      </c>
      <c r="H55" s="50" t="n">
        <v>441</v>
      </c>
      <c r="I55" s="57"/>
      <c r="J55" s="57"/>
      <c r="K55" s="57"/>
      <c r="L55" s="66"/>
      <c r="M55" s="57"/>
      <c r="N55" s="66"/>
      <c r="O55" s="41" t="n">
        <v>441</v>
      </c>
      <c r="P55" s="43"/>
      <c r="Q55" s="50" t="n">
        <v>441</v>
      </c>
      <c r="R55" s="41" t="n">
        <v>441</v>
      </c>
      <c r="S55" s="41" t="n">
        <v>441</v>
      </c>
      <c r="T55" s="50"/>
      <c r="U55" s="41" t="n">
        <v>441</v>
      </c>
      <c r="V55" s="57"/>
      <c r="W55" s="57"/>
      <c r="X55" s="44"/>
      <c r="Y55" s="74" t="n">
        <v>441</v>
      </c>
      <c r="Z55" s="40" t="n">
        <v>441</v>
      </c>
      <c r="AA55" s="45"/>
      <c r="AB55" s="45"/>
      <c r="AC55" s="45"/>
      <c r="AD55" s="45"/>
      <c r="AE55" s="51" t="n">
        <v>441</v>
      </c>
      <c r="AF55" s="52" t="n">
        <v>0</v>
      </c>
      <c r="AG55" s="50"/>
      <c r="AI55" s="47"/>
    </row>
    <row r="56" customFormat="false" ht="13.8" hidden="false" customHeight="false" outlineLevel="0" collapsed="false">
      <c r="A56" s="53" t="n">
        <v>314731</v>
      </c>
      <c r="B56" s="53" t="s">
        <v>123</v>
      </c>
      <c r="C56" s="53" t="s">
        <v>91</v>
      </c>
      <c r="D56" s="53" t="s">
        <v>124</v>
      </c>
      <c r="E56" s="40" t="s">
        <v>43</v>
      </c>
      <c r="F56" s="41" t="n">
        <v>417</v>
      </c>
      <c r="G56" s="41" t="n">
        <v>417</v>
      </c>
      <c r="H56" s="40" t="n">
        <v>417</v>
      </c>
      <c r="I56" s="40"/>
      <c r="J56" s="40"/>
      <c r="K56" s="40"/>
      <c r="L56" s="50"/>
      <c r="M56" s="40"/>
      <c r="N56" s="40"/>
      <c r="O56" s="41" t="n">
        <v>417</v>
      </c>
      <c r="P56" s="43"/>
      <c r="Q56" s="40" t="n">
        <v>417</v>
      </c>
      <c r="R56" s="41" t="n">
        <v>417</v>
      </c>
      <c r="S56" s="41" t="n">
        <v>475</v>
      </c>
      <c r="T56" s="40"/>
      <c r="U56" s="41" t="n">
        <v>417</v>
      </c>
      <c r="V56" s="40"/>
      <c r="W56" s="40"/>
      <c r="X56" s="44"/>
      <c r="Y56" s="40" t="n">
        <v>417</v>
      </c>
      <c r="Z56" s="40" t="n">
        <v>475</v>
      </c>
      <c r="AA56" s="45"/>
      <c r="AB56" s="45"/>
      <c r="AC56" s="45"/>
      <c r="AD56" s="45"/>
      <c r="AE56" s="51" t="n">
        <v>475</v>
      </c>
      <c r="AF56" s="52" t="n">
        <v>58</v>
      </c>
      <c r="AG56" s="40"/>
      <c r="AI56" s="47"/>
    </row>
    <row r="57" customFormat="false" ht="13.8" hidden="false" customHeight="false" outlineLevel="0" collapsed="false">
      <c r="A57" s="53" t="n">
        <v>300754</v>
      </c>
      <c r="B57" s="53" t="s">
        <v>54</v>
      </c>
      <c r="C57" s="53" t="s">
        <v>109</v>
      </c>
      <c r="D57" s="53" t="s">
        <v>125</v>
      </c>
      <c r="E57" s="41" t="s">
        <v>47</v>
      </c>
      <c r="F57" s="41" t="n">
        <v>488</v>
      </c>
      <c r="G57" s="41" t="n">
        <v>488</v>
      </c>
      <c r="H57" s="40" t="n">
        <v>488</v>
      </c>
      <c r="I57" s="66"/>
      <c r="J57" s="66"/>
      <c r="K57" s="66"/>
      <c r="L57" s="66"/>
      <c r="M57" s="66"/>
      <c r="N57" s="66"/>
      <c r="O57" s="41" t="n">
        <v>488</v>
      </c>
      <c r="P57" s="43"/>
      <c r="Q57" s="40" t="n">
        <v>488</v>
      </c>
      <c r="R57" s="41" t="n">
        <v>488</v>
      </c>
      <c r="S57" s="41" t="n">
        <v>488</v>
      </c>
      <c r="T57" s="50"/>
      <c r="U57" s="41" t="n">
        <v>488</v>
      </c>
      <c r="V57" s="66"/>
      <c r="W57" s="66"/>
      <c r="X57" s="44"/>
      <c r="Y57" s="40" t="n">
        <v>488</v>
      </c>
      <c r="Z57" s="40" t="n">
        <v>488</v>
      </c>
      <c r="AA57" s="45"/>
      <c r="AB57" s="45"/>
      <c r="AC57" s="45"/>
      <c r="AD57" s="45"/>
      <c r="AE57" s="40" t="n">
        <v>488</v>
      </c>
      <c r="AF57" s="46" t="n">
        <v>0</v>
      </c>
      <c r="AG57" s="49"/>
      <c r="AI57" s="47"/>
    </row>
    <row r="58" customFormat="false" ht="13.8" hidden="false" customHeight="false" outlineLevel="0" collapsed="false">
      <c r="A58" s="53" t="n">
        <v>314847</v>
      </c>
      <c r="B58" s="53" t="s">
        <v>90</v>
      </c>
      <c r="C58" s="53" t="s">
        <v>99</v>
      </c>
      <c r="D58" s="53" t="s">
        <v>126</v>
      </c>
      <c r="E58" s="40" t="s">
        <v>47</v>
      </c>
      <c r="F58" s="41" t="n">
        <v>492</v>
      </c>
      <c r="G58" s="41" t="n">
        <v>492</v>
      </c>
      <c r="H58" s="40" t="n">
        <v>492</v>
      </c>
      <c r="I58" s="40"/>
      <c r="J58" s="40"/>
      <c r="K58" s="40"/>
      <c r="L58" s="40"/>
      <c r="M58" s="40"/>
      <c r="N58" s="40"/>
      <c r="O58" s="41" t="n">
        <v>492</v>
      </c>
      <c r="P58" s="43"/>
      <c r="Q58" s="40" t="n">
        <v>492</v>
      </c>
      <c r="R58" s="41" t="n">
        <v>492</v>
      </c>
      <c r="S58" s="41" t="n">
        <v>492</v>
      </c>
      <c r="T58" s="40"/>
      <c r="U58" s="41" t="n">
        <v>492</v>
      </c>
      <c r="V58" s="40"/>
      <c r="W58" s="40"/>
      <c r="X58" s="44"/>
      <c r="Y58" s="40" t="n">
        <v>492</v>
      </c>
      <c r="Z58" s="40" t="n">
        <v>492</v>
      </c>
      <c r="AA58" s="45"/>
      <c r="AB58" s="45"/>
      <c r="AC58" s="45"/>
      <c r="AD58" s="45"/>
      <c r="AE58" s="51" t="n">
        <v>492</v>
      </c>
      <c r="AF58" s="52" t="n">
        <v>0</v>
      </c>
      <c r="AG58" s="40"/>
      <c r="AI58" s="47"/>
    </row>
    <row r="59" customFormat="false" ht="13.8" hidden="false" customHeight="false" outlineLevel="0" collapsed="false">
      <c r="A59" s="53" t="n">
        <v>314845</v>
      </c>
      <c r="B59" s="53" t="s">
        <v>90</v>
      </c>
      <c r="C59" s="53" t="s">
        <v>99</v>
      </c>
      <c r="D59" s="53" t="s">
        <v>127</v>
      </c>
      <c r="E59" s="40" t="s">
        <v>47</v>
      </c>
      <c r="F59" s="41" t="n">
        <v>492</v>
      </c>
      <c r="G59" s="41" t="n">
        <v>492</v>
      </c>
      <c r="H59" s="40" t="n">
        <v>492</v>
      </c>
      <c r="I59" s="40"/>
      <c r="J59" s="40"/>
      <c r="K59" s="40"/>
      <c r="L59" s="40"/>
      <c r="M59" s="40"/>
      <c r="N59" s="40"/>
      <c r="O59" s="41" t="n">
        <v>492</v>
      </c>
      <c r="P59" s="43"/>
      <c r="Q59" s="40" t="n">
        <v>492</v>
      </c>
      <c r="R59" s="41" t="n">
        <v>492</v>
      </c>
      <c r="S59" s="41" t="n">
        <v>492</v>
      </c>
      <c r="T59" s="40"/>
      <c r="U59" s="41" t="n">
        <v>492</v>
      </c>
      <c r="V59" s="40"/>
      <c r="W59" s="40"/>
      <c r="X59" s="44"/>
      <c r="Y59" s="40" t="n">
        <v>492</v>
      </c>
      <c r="Z59" s="40" t="n">
        <v>492</v>
      </c>
      <c r="AA59" s="45"/>
      <c r="AB59" s="45"/>
      <c r="AC59" s="45"/>
      <c r="AD59" s="45"/>
      <c r="AE59" s="51" t="n">
        <v>492</v>
      </c>
      <c r="AF59" s="52" t="n">
        <v>0</v>
      </c>
      <c r="AG59" s="40"/>
      <c r="AI59" s="47"/>
    </row>
    <row r="60" customFormat="false" ht="13.8" hidden="false" customHeight="false" outlineLevel="0" collapsed="false">
      <c r="A60" s="53" t="n">
        <v>314843</v>
      </c>
      <c r="B60" s="53" t="s">
        <v>90</v>
      </c>
      <c r="C60" s="53" t="s">
        <v>99</v>
      </c>
      <c r="D60" s="53" t="s">
        <v>128</v>
      </c>
      <c r="E60" s="40" t="s">
        <v>47</v>
      </c>
      <c r="F60" s="41" t="n">
        <v>524</v>
      </c>
      <c r="G60" s="41" t="n">
        <v>524</v>
      </c>
      <c r="H60" s="40" t="n">
        <v>524</v>
      </c>
      <c r="I60" s="40"/>
      <c r="J60" s="40"/>
      <c r="K60" s="40"/>
      <c r="L60" s="40"/>
      <c r="M60" s="40"/>
      <c r="N60" s="40"/>
      <c r="O60" s="41" t="n">
        <v>524</v>
      </c>
      <c r="P60" s="43"/>
      <c r="Q60" s="40" t="n">
        <v>524</v>
      </c>
      <c r="R60" s="41" t="n">
        <v>524</v>
      </c>
      <c r="S60" s="41" t="n">
        <v>524</v>
      </c>
      <c r="T60" s="40"/>
      <c r="U60" s="41" t="n">
        <v>524</v>
      </c>
      <c r="V60" s="40"/>
      <c r="W60" s="40"/>
      <c r="X60" s="44"/>
      <c r="Y60" s="40" t="n">
        <v>524</v>
      </c>
      <c r="Z60" s="40" t="n">
        <v>524</v>
      </c>
      <c r="AA60" s="45"/>
      <c r="AB60" s="45"/>
      <c r="AC60" s="45"/>
      <c r="AD60" s="45"/>
      <c r="AE60" s="51" t="n">
        <v>524</v>
      </c>
      <c r="AF60" s="52" t="n">
        <v>0</v>
      </c>
      <c r="AG60" s="40"/>
      <c r="AI60" s="47"/>
    </row>
    <row r="61" customFormat="false" ht="13.8" hidden="false" customHeight="false" outlineLevel="0" collapsed="false">
      <c r="A61" s="53" t="n">
        <v>314823</v>
      </c>
      <c r="B61" s="53" t="s">
        <v>90</v>
      </c>
      <c r="C61" s="53" t="s">
        <v>99</v>
      </c>
      <c r="D61" s="53" t="s">
        <v>129</v>
      </c>
      <c r="E61" s="40" t="s">
        <v>47</v>
      </c>
      <c r="F61" s="41" t="n">
        <v>524</v>
      </c>
      <c r="G61" s="41" t="n">
        <v>524</v>
      </c>
      <c r="H61" s="40" t="n">
        <v>524</v>
      </c>
      <c r="I61" s="40"/>
      <c r="J61" s="40"/>
      <c r="K61" s="40"/>
      <c r="L61" s="40"/>
      <c r="M61" s="40"/>
      <c r="N61" s="40"/>
      <c r="O61" s="41" t="n">
        <v>524</v>
      </c>
      <c r="P61" s="43"/>
      <c r="Q61" s="40" t="n">
        <v>524</v>
      </c>
      <c r="R61" s="41" t="n">
        <v>524</v>
      </c>
      <c r="S61" s="41" t="n">
        <v>524</v>
      </c>
      <c r="T61" s="40"/>
      <c r="U61" s="41" t="n">
        <v>524</v>
      </c>
      <c r="V61" s="40"/>
      <c r="W61" s="40"/>
      <c r="X61" s="44"/>
      <c r="Y61" s="40" t="n">
        <v>524</v>
      </c>
      <c r="Z61" s="40" t="n">
        <v>524</v>
      </c>
      <c r="AA61" s="45"/>
      <c r="AB61" s="45"/>
      <c r="AC61" s="45"/>
      <c r="AD61" s="45"/>
      <c r="AE61" s="51" t="n">
        <v>524</v>
      </c>
      <c r="AF61" s="52" t="n">
        <v>0</v>
      </c>
      <c r="AG61" s="40"/>
      <c r="AI61" s="47"/>
    </row>
    <row r="62" customFormat="false" ht="13.8" hidden="false" customHeight="false" outlineLevel="0" collapsed="false">
      <c r="A62" s="53" t="n">
        <v>314820</v>
      </c>
      <c r="B62" s="53" t="s">
        <v>90</v>
      </c>
      <c r="C62" s="53" t="s">
        <v>99</v>
      </c>
      <c r="D62" s="53" t="s">
        <v>130</v>
      </c>
      <c r="E62" s="40" t="s">
        <v>47</v>
      </c>
      <c r="F62" s="41" t="n">
        <v>524</v>
      </c>
      <c r="G62" s="41" t="n">
        <v>524</v>
      </c>
      <c r="H62" s="40" t="n">
        <v>524</v>
      </c>
      <c r="I62" s="40"/>
      <c r="J62" s="40"/>
      <c r="K62" s="40"/>
      <c r="L62" s="40"/>
      <c r="M62" s="40"/>
      <c r="N62" s="40"/>
      <c r="O62" s="41" t="n">
        <v>524</v>
      </c>
      <c r="P62" s="43"/>
      <c r="Q62" s="40" t="n">
        <v>524</v>
      </c>
      <c r="R62" s="41" t="n">
        <v>524</v>
      </c>
      <c r="S62" s="41" t="n">
        <v>524</v>
      </c>
      <c r="T62" s="40"/>
      <c r="U62" s="41" t="n">
        <v>524</v>
      </c>
      <c r="V62" s="40"/>
      <c r="W62" s="40"/>
      <c r="X62" s="44"/>
      <c r="Y62" s="40" t="n">
        <v>524</v>
      </c>
      <c r="Z62" s="40" t="n">
        <v>524</v>
      </c>
      <c r="AA62" s="45"/>
      <c r="AB62" s="45"/>
      <c r="AC62" s="45"/>
      <c r="AD62" s="45"/>
      <c r="AE62" s="51" t="n">
        <v>524</v>
      </c>
      <c r="AF62" s="52" t="n">
        <v>0</v>
      </c>
      <c r="AG62" s="40"/>
      <c r="AI62" s="47"/>
    </row>
    <row r="63" customFormat="false" ht="13.8" hidden="false" customHeight="false" outlineLevel="0" collapsed="false">
      <c r="A63" s="53" t="n">
        <v>300752</v>
      </c>
      <c r="B63" s="53" t="s">
        <v>54</v>
      </c>
      <c r="C63" s="53" t="s">
        <v>131</v>
      </c>
      <c r="D63" s="53" t="s">
        <v>132</v>
      </c>
      <c r="E63" s="41" t="s">
        <v>47</v>
      </c>
      <c r="F63" s="41" t="n">
        <v>613</v>
      </c>
      <c r="G63" s="41" t="n">
        <v>613</v>
      </c>
      <c r="H63" s="40" t="n">
        <v>613</v>
      </c>
      <c r="I63" s="66"/>
      <c r="J63" s="66"/>
      <c r="K63" s="66"/>
      <c r="L63" s="66"/>
      <c r="M63" s="66"/>
      <c r="N63" s="66"/>
      <c r="O63" s="41" t="n">
        <v>613</v>
      </c>
      <c r="P63" s="43"/>
      <c r="Q63" s="40" t="n">
        <v>613</v>
      </c>
      <c r="R63" s="41" t="n">
        <v>613</v>
      </c>
      <c r="S63" s="41" t="n">
        <v>613</v>
      </c>
      <c r="T63" s="50"/>
      <c r="U63" s="41" t="n">
        <v>613</v>
      </c>
      <c r="V63" s="66"/>
      <c r="W63" s="66"/>
      <c r="X63" s="44"/>
      <c r="Y63" s="40" t="n">
        <v>613</v>
      </c>
      <c r="Z63" s="40" t="n">
        <v>613</v>
      </c>
      <c r="AA63" s="45"/>
      <c r="AB63" s="45"/>
      <c r="AC63" s="45"/>
      <c r="AD63" s="45"/>
      <c r="AE63" s="40" t="n">
        <v>613</v>
      </c>
      <c r="AF63" s="52" t="n">
        <v>0</v>
      </c>
      <c r="AG63" s="49"/>
      <c r="AI63" s="47"/>
    </row>
    <row r="64" customFormat="false" ht="13.8" hidden="false" customHeight="false" outlineLevel="0" collapsed="false">
      <c r="A64" s="53" t="n">
        <v>314364</v>
      </c>
      <c r="B64" s="53" t="s">
        <v>76</v>
      </c>
      <c r="C64" s="53" t="s">
        <v>99</v>
      </c>
      <c r="D64" s="53" t="s">
        <v>133</v>
      </c>
      <c r="E64" s="41" t="s">
        <v>78</v>
      </c>
      <c r="F64" s="41" t="n">
        <v>623</v>
      </c>
      <c r="G64" s="41" t="n">
        <v>623</v>
      </c>
      <c r="H64" s="40" t="n">
        <v>623</v>
      </c>
      <c r="I64" s="66"/>
      <c r="J64" s="66"/>
      <c r="K64" s="66"/>
      <c r="L64" s="66"/>
      <c r="M64" s="66"/>
      <c r="N64" s="66"/>
      <c r="O64" s="41" t="n">
        <v>623</v>
      </c>
      <c r="P64" s="43"/>
      <c r="Q64" s="40" t="n">
        <v>623</v>
      </c>
      <c r="R64" s="41" t="n">
        <v>623</v>
      </c>
      <c r="S64" s="41" t="n">
        <v>623</v>
      </c>
      <c r="T64" s="50"/>
      <c r="U64" s="41" t="n">
        <v>623</v>
      </c>
      <c r="V64" s="66"/>
      <c r="W64" s="66"/>
      <c r="X64" s="44"/>
      <c r="Y64" s="40" t="n">
        <v>623</v>
      </c>
      <c r="Z64" s="40" t="n">
        <v>623</v>
      </c>
      <c r="AA64" s="45"/>
      <c r="AB64" s="45"/>
      <c r="AC64" s="45"/>
      <c r="AD64" s="45"/>
      <c r="AE64" s="40" t="n">
        <v>623</v>
      </c>
      <c r="AF64" s="46" t="n">
        <v>0</v>
      </c>
      <c r="AG64" s="49"/>
      <c r="AI64" s="47"/>
    </row>
    <row r="65" customFormat="false" ht="13.8" hidden="false" customHeight="false" outlineLevel="0" collapsed="false">
      <c r="A65" s="53" t="n">
        <v>313125</v>
      </c>
      <c r="B65" s="53" t="s">
        <v>39</v>
      </c>
      <c r="C65" s="53" t="s">
        <v>134</v>
      </c>
      <c r="D65" s="53" t="s">
        <v>135</v>
      </c>
      <c r="E65" s="61" t="s">
        <v>52</v>
      </c>
      <c r="F65" s="41" t="n">
        <v>564</v>
      </c>
      <c r="G65" s="41" t="n">
        <v>564</v>
      </c>
      <c r="H65" s="41" t="n">
        <v>564</v>
      </c>
      <c r="I65" s="41"/>
      <c r="J65" s="41" t="n">
        <v>565</v>
      </c>
      <c r="K65" s="40"/>
      <c r="L65" s="41"/>
      <c r="M65" s="41"/>
      <c r="N65" s="41"/>
      <c r="O65" s="41" t="n">
        <v>564</v>
      </c>
      <c r="P65" s="43"/>
      <c r="Q65" s="41" t="n">
        <v>564</v>
      </c>
      <c r="R65" s="41" t="n">
        <v>564</v>
      </c>
      <c r="S65" s="41" t="n">
        <v>564</v>
      </c>
      <c r="T65" s="41"/>
      <c r="U65" s="41" t="n">
        <v>564</v>
      </c>
      <c r="V65" s="41"/>
      <c r="W65" s="57"/>
      <c r="X65" s="44"/>
      <c r="Y65" s="40" t="n">
        <v>564</v>
      </c>
      <c r="Z65" s="40" t="n">
        <v>564</v>
      </c>
      <c r="AA65" s="45"/>
      <c r="AB65" s="45"/>
      <c r="AC65" s="45"/>
      <c r="AD65" s="45"/>
      <c r="AE65" s="51" t="n">
        <v>564</v>
      </c>
      <c r="AF65" s="52" t="n">
        <v>0</v>
      </c>
      <c r="AG65" s="49"/>
      <c r="AI65" s="47"/>
    </row>
    <row r="66" customFormat="false" ht="13.8" hidden="false" customHeight="false" outlineLevel="0" collapsed="false">
      <c r="A66" s="53" t="n">
        <v>313888</v>
      </c>
      <c r="B66" s="53" t="s">
        <v>93</v>
      </c>
      <c r="C66" s="53" t="s">
        <v>91</v>
      </c>
      <c r="D66" s="53" t="s">
        <v>136</v>
      </c>
      <c r="E66" s="61" t="s">
        <v>78</v>
      </c>
      <c r="F66" s="41" t="n">
        <v>529</v>
      </c>
      <c r="G66" s="41" t="n">
        <v>529</v>
      </c>
      <c r="H66" s="41" t="n">
        <v>529</v>
      </c>
      <c r="I66" s="41"/>
      <c r="J66" s="41"/>
      <c r="K66" s="41"/>
      <c r="L66" s="41"/>
      <c r="M66" s="41"/>
      <c r="N66" s="41"/>
      <c r="O66" s="41" t="n">
        <v>529</v>
      </c>
      <c r="P66" s="43"/>
      <c r="Q66" s="41" t="n">
        <v>529</v>
      </c>
      <c r="R66" s="41" t="n">
        <v>529</v>
      </c>
      <c r="S66" s="41" t="n">
        <v>569</v>
      </c>
      <c r="T66" s="41"/>
      <c r="U66" s="41" t="n">
        <v>529</v>
      </c>
      <c r="V66" s="41"/>
      <c r="W66" s="41"/>
      <c r="X66" s="44"/>
      <c r="Y66" s="41" t="n">
        <v>529</v>
      </c>
      <c r="Z66" s="40" t="n">
        <v>569</v>
      </c>
      <c r="AA66" s="45"/>
      <c r="AB66" s="45"/>
      <c r="AC66" s="45"/>
      <c r="AD66" s="45"/>
      <c r="AE66" s="41" t="n">
        <v>569</v>
      </c>
      <c r="AF66" s="60" t="n">
        <v>40</v>
      </c>
      <c r="AG66" s="49"/>
      <c r="AI66" s="47"/>
    </row>
    <row r="67" customFormat="false" ht="13.8" hidden="false" customHeight="false" outlineLevel="0" collapsed="false">
      <c r="A67" s="53" t="n">
        <v>314972</v>
      </c>
      <c r="B67" s="53" t="s">
        <v>123</v>
      </c>
      <c r="C67" s="53" t="s">
        <v>137</v>
      </c>
      <c r="D67" s="53" t="s">
        <v>138</v>
      </c>
      <c r="E67" s="61" t="s">
        <v>43</v>
      </c>
      <c r="F67" s="41" t="n">
        <v>617</v>
      </c>
      <c r="G67" s="41" t="n">
        <v>617</v>
      </c>
      <c r="H67" s="58" t="n">
        <v>617</v>
      </c>
      <c r="I67" s="57"/>
      <c r="J67" s="57"/>
      <c r="K67" s="57"/>
      <c r="L67" s="50"/>
      <c r="M67" s="50"/>
      <c r="N67" s="66"/>
      <c r="O67" s="41" t="n">
        <v>617</v>
      </c>
      <c r="P67" s="63"/>
      <c r="Q67" s="58" t="n">
        <v>617</v>
      </c>
      <c r="R67" s="41" t="n">
        <v>617</v>
      </c>
      <c r="S67" s="41" t="n">
        <v>657</v>
      </c>
      <c r="T67" s="50"/>
      <c r="U67" s="41" t="n">
        <v>617</v>
      </c>
      <c r="V67" s="57"/>
      <c r="W67" s="57"/>
      <c r="X67" s="44"/>
      <c r="Y67" s="40" t="n">
        <v>617</v>
      </c>
      <c r="Z67" s="40" t="n">
        <v>657</v>
      </c>
      <c r="AA67" s="45"/>
      <c r="AB67" s="45"/>
      <c r="AC67" s="45"/>
      <c r="AD67" s="45"/>
      <c r="AE67" s="51" t="n">
        <v>657</v>
      </c>
      <c r="AF67" s="52" t="n">
        <v>40</v>
      </c>
      <c r="AG67" s="57"/>
      <c r="AI67" s="47"/>
    </row>
    <row r="68" customFormat="false" ht="13.8" hidden="false" customHeight="false" outlineLevel="0" collapsed="false">
      <c r="A68" s="53" t="n">
        <v>313992</v>
      </c>
      <c r="B68" s="53" t="s">
        <v>123</v>
      </c>
      <c r="C68" s="53" t="s">
        <v>99</v>
      </c>
      <c r="D68" s="53" t="s">
        <v>139</v>
      </c>
      <c r="E68" s="40" t="s">
        <v>43</v>
      </c>
      <c r="F68" s="41" t="n">
        <v>614</v>
      </c>
      <c r="G68" s="41" t="n">
        <v>614</v>
      </c>
      <c r="H68" s="40" t="n">
        <v>614</v>
      </c>
      <c r="I68" s="40"/>
      <c r="J68" s="40"/>
      <c r="K68" s="40"/>
      <c r="L68" s="40"/>
      <c r="M68" s="40"/>
      <c r="N68" s="40"/>
      <c r="O68" s="41" t="n">
        <v>614</v>
      </c>
      <c r="P68" s="43"/>
      <c r="Q68" s="40" t="n">
        <v>614</v>
      </c>
      <c r="R68" s="41" t="n">
        <v>614</v>
      </c>
      <c r="S68" s="41" t="n">
        <v>614</v>
      </c>
      <c r="T68" s="50"/>
      <c r="U68" s="41" t="n">
        <v>614</v>
      </c>
      <c r="V68" s="40"/>
      <c r="W68" s="40"/>
      <c r="X68" s="44"/>
      <c r="Y68" s="40" t="n">
        <v>614</v>
      </c>
      <c r="Z68" s="40" t="n">
        <v>614</v>
      </c>
      <c r="AA68" s="45"/>
      <c r="AB68" s="45"/>
      <c r="AC68" s="45"/>
      <c r="AD68" s="45"/>
      <c r="AE68" s="51" t="n">
        <v>614</v>
      </c>
      <c r="AF68" s="52" t="n">
        <v>0</v>
      </c>
      <c r="AG68" s="40"/>
      <c r="AI68" s="47"/>
    </row>
    <row r="69" s="85" customFormat="true" ht="13.8" hidden="false" customHeight="false" outlineLevel="0" collapsed="false">
      <c r="A69" s="75" t="n">
        <v>301067</v>
      </c>
      <c r="B69" s="75" t="s">
        <v>123</v>
      </c>
      <c r="C69" s="75" t="s">
        <v>91</v>
      </c>
      <c r="D69" s="75" t="s">
        <v>140</v>
      </c>
      <c r="E69" s="76" t="s">
        <v>41</v>
      </c>
      <c r="F69" s="41" t="n">
        <v>776</v>
      </c>
      <c r="G69" s="77" t="n">
        <v>776</v>
      </c>
      <c r="H69" s="77" t="n">
        <v>776</v>
      </c>
      <c r="I69" s="78"/>
      <c r="J69" s="78"/>
      <c r="K69" s="78"/>
      <c r="L69" s="79"/>
      <c r="M69" s="78"/>
      <c r="N69" s="78"/>
      <c r="O69" s="77" t="n">
        <v>776</v>
      </c>
      <c r="P69" s="80"/>
      <c r="Q69" s="77" t="n">
        <v>776</v>
      </c>
      <c r="R69" s="77" t="n">
        <v>776</v>
      </c>
      <c r="S69" s="41" t="n">
        <v>816</v>
      </c>
      <c r="T69" s="78"/>
      <c r="U69" s="77" t="n">
        <v>776</v>
      </c>
      <c r="V69" s="78"/>
      <c r="W69" s="78"/>
      <c r="X69" s="77"/>
      <c r="Y69" s="78" t="n">
        <v>776</v>
      </c>
      <c r="Z69" s="40" t="n">
        <v>816</v>
      </c>
      <c r="AA69" s="81"/>
      <c r="AB69" s="81"/>
      <c r="AC69" s="81"/>
      <c r="AD69" s="81"/>
      <c r="AE69" s="78" t="n">
        <v>816</v>
      </c>
      <c r="AF69" s="82" t="n">
        <v>40</v>
      </c>
      <c r="AG69" s="78"/>
      <c r="AH69" s="83"/>
      <c r="AI69" s="84"/>
      <c r="AMJ69" s="0"/>
    </row>
    <row r="70" customFormat="false" ht="13.8" hidden="false" customHeight="false" outlineLevel="0" collapsed="false">
      <c r="A70" s="53" t="n">
        <v>313997</v>
      </c>
      <c r="B70" s="53" t="s">
        <v>123</v>
      </c>
      <c r="C70" s="53" t="s">
        <v>99</v>
      </c>
      <c r="D70" s="53" t="s">
        <v>141</v>
      </c>
      <c r="E70" s="67" t="s">
        <v>41</v>
      </c>
      <c r="F70" s="41" t="n">
        <v>652</v>
      </c>
      <c r="G70" s="41" t="n">
        <v>652</v>
      </c>
      <c r="H70" s="50" t="n">
        <v>652</v>
      </c>
      <c r="I70" s="66"/>
      <c r="J70" s="66"/>
      <c r="K70" s="66"/>
      <c r="L70" s="66"/>
      <c r="M70" s="50"/>
      <c r="N70" s="66"/>
      <c r="O70" s="41" t="n">
        <v>652</v>
      </c>
      <c r="P70" s="43"/>
      <c r="Q70" s="50" t="n">
        <v>652</v>
      </c>
      <c r="R70" s="41" t="n">
        <v>652</v>
      </c>
      <c r="S70" s="41" t="n">
        <v>652</v>
      </c>
      <c r="T70" s="50"/>
      <c r="U70" s="41" t="n">
        <v>652</v>
      </c>
      <c r="V70" s="66"/>
      <c r="W70" s="66"/>
      <c r="X70" s="44"/>
      <c r="Y70" s="50" t="n">
        <v>652</v>
      </c>
      <c r="Z70" s="40" t="n">
        <v>652</v>
      </c>
      <c r="AA70" s="45"/>
      <c r="AB70" s="45"/>
      <c r="AC70" s="45"/>
      <c r="AD70" s="45"/>
      <c r="AE70" s="51" t="n">
        <v>652</v>
      </c>
      <c r="AF70" s="52" t="n">
        <v>0</v>
      </c>
      <c r="AG70" s="66"/>
      <c r="AI70" s="47"/>
    </row>
    <row r="71" customFormat="false" ht="13.8" hidden="false" customHeight="false" outlineLevel="0" collapsed="false">
      <c r="A71" s="53" t="n">
        <v>314480</v>
      </c>
      <c r="B71" s="53" t="s">
        <v>123</v>
      </c>
      <c r="C71" s="53" t="s">
        <v>91</v>
      </c>
      <c r="D71" s="53" t="s">
        <v>142</v>
      </c>
      <c r="E71" s="41" t="s">
        <v>43</v>
      </c>
      <c r="F71" s="41" t="n">
        <v>536</v>
      </c>
      <c r="G71" s="41" t="n">
        <v>536</v>
      </c>
      <c r="H71" s="50" t="n">
        <v>536</v>
      </c>
      <c r="I71" s="66"/>
      <c r="J71" s="66"/>
      <c r="K71" s="66"/>
      <c r="L71" s="66"/>
      <c r="M71" s="50"/>
      <c r="N71" s="66"/>
      <c r="O71" s="41" t="n">
        <v>536</v>
      </c>
      <c r="P71" s="43"/>
      <c r="Q71" s="50" t="n">
        <v>536</v>
      </c>
      <c r="R71" s="41" t="n">
        <v>536</v>
      </c>
      <c r="S71" s="41" t="n">
        <v>696</v>
      </c>
      <c r="T71" s="50"/>
      <c r="U71" s="41" t="n">
        <v>536</v>
      </c>
      <c r="V71" s="66"/>
      <c r="W71" s="66"/>
      <c r="X71" s="44"/>
      <c r="Y71" s="50" t="n">
        <v>536</v>
      </c>
      <c r="Z71" s="40" t="n">
        <v>696</v>
      </c>
      <c r="AA71" s="45"/>
      <c r="AB71" s="45"/>
      <c r="AC71" s="45"/>
      <c r="AD71" s="45"/>
      <c r="AE71" s="51" t="n">
        <v>696</v>
      </c>
      <c r="AF71" s="52" t="n">
        <v>160</v>
      </c>
      <c r="AG71" s="50"/>
      <c r="AI71" s="47"/>
    </row>
    <row r="72" customFormat="false" ht="13.8" hidden="false" customHeight="false" outlineLevel="0" collapsed="false">
      <c r="A72" s="53" t="n">
        <v>314679</v>
      </c>
      <c r="B72" s="53" t="s">
        <v>123</v>
      </c>
      <c r="C72" s="53" t="s">
        <v>143</v>
      </c>
      <c r="D72" s="53" t="s">
        <v>144</v>
      </c>
      <c r="E72" s="40" t="s">
        <v>43</v>
      </c>
      <c r="F72" s="41" t="n">
        <v>828</v>
      </c>
      <c r="G72" s="41" t="n">
        <v>828</v>
      </c>
      <c r="H72" s="40" t="n">
        <v>828</v>
      </c>
      <c r="I72" s="40"/>
      <c r="J72" s="40"/>
      <c r="K72" s="40"/>
      <c r="L72" s="50"/>
      <c r="M72" s="40"/>
      <c r="N72" s="40"/>
      <c r="O72" s="41" t="n">
        <v>828</v>
      </c>
      <c r="P72" s="43"/>
      <c r="Q72" s="40" t="n">
        <v>828</v>
      </c>
      <c r="R72" s="41" t="n">
        <v>828</v>
      </c>
      <c r="S72" s="41" t="n">
        <v>828</v>
      </c>
      <c r="T72" s="40"/>
      <c r="U72" s="41" t="n">
        <v>828</v>
      </c>
      <c r="V72" s="40"/>
      <c r="W72" s="40"/>
      <c r="X72" s="44"/>
      <c r="Y72" s="40" t="n">
        <v>828</v>
      </c>
      <c r="Z72" s="40" t="n">
        <v>828</v>
      </c>
      <c r="AA72" s="45"/>
      <c r="AB72" s="45"/>
      <c r="AC72" s="45"/>
      <c r="AD72" s="45"/>
      <c r="AE72" s="51" t="n">
        <v>828</v>
      </c>
      <c r="AF72" s="52" t="n">
        <v>0</v>
      </c>
      <c r="AG72" s="40"/>
      <c r="AI72" s="47"/>
    </row>
    <row r="73" customFormat="false" ht="13.8" hidden="false" customHeight="false" outlineLevel="0" collapsed="false">
      <c r="A73" s="53" t="n">
        <v>328581</v>
      </c>
      <c r="B73" s="53" t="s">
        <v>34</v>
      </c>
      <c r="C73" s="53" t="s">
        <v>145</v>
      </c>
      <c r="D73" s="53" t="s">
        <v>146</v>
      </c>
      <c r="E73" s="41" t="s">
        <v>47</v>
      </c>
      <c r="F73" s="41" t="n">
        <v>640</v>
      </c>
      <c r="G73" s="41" t="n">
        <v>640</v>
      </c>
      <c r="H73" s="41" t="n">
        <v>640</v>
      </c>
      <c r="I73" s="57"/>
      <c r="J73" s="57"/>
      <c r="K73" s="57"/>
      <c r="L73" s="57"/>
      <c r="M73" s="57"/>
      <c r="N73" s="57"/>
      <c r="O73" s="41" t="n">
        <v>640</v>
      </c>
      <c r="P73" s="43"/>
      <c r="Q73" s="41" t="n">
        <v>640</v>
      </c>
      <c r="R73" s="41" t="n">
        <v>640</v>
      </c>
      <c r="S73" s="41" t="n">
        <v>680</v>
      </c>
      <c r="T73" s="55"/>
      <c r="U73" s="41" t="n">
        <v>640</v>
      </c>
      <c r="V73" s="57"/>
      <c r="W73" s="57"/>
      <c r="X73" s="44"/>
      <c r="Y73" s="40" t="n">
        <v>640</v>
      </c>
      <c r="Z73" s="40" t="n">
        <v>680</v>
      </c>
      <c r="AA73" s="45"/>
      <c r="AB73" s="45"/>
      <c r="AC73" s="45"/>
      <c r="AD73" s="45"/>
      <c r="AE73" s="41" t="n">
        <v>680</v>
      </c>
      <c r="AF73" s="60" t="n">
        <v>40</v>
      </c>
      <c r="AG73" s="57"/>
      <c r="AI73" s="47"/>
    </row>
    <row r="74" customFormat="false" ht="13.8" hidden="false" customHeight="false" outlineLevel="0" collapsed="false">
      <c r="A74" s="53" t="n">
        <v>314312</v>
      </c>
      <c r="B74" s="53" t="s">
        <v>123</v>
      </c>
      <c r="C74" s="53" t="s">
        <v>99</v>
      </c>
      <c r="D74" s="53" t="s">
        <v>147</v>
      </c>
      <c r="E74" s="40" t="s">
        <v>41</v>
      </c>
      <c r="F74" s="41" t="n">
        <v>546</v>
      </c>
      <c r="G74" s="41" t="n">
        <v>546</v>
      </c>
      <c r="H74" s="40" t="n">
        <v>546</v>
      </c>
      <c r="I74" s="66"/>
      <c r="J74" s="66"/>
      <c r="K74" s="66"/>
      <c r="L74" s="66"/>
      <c r="M74" s="66"/>
      <c r="N74" s="66"/>
      <c r="O74" s="41" t="n">
        <v>546</v>
      </c>
      <c r="P74" s="43"/>
      <c r="Q74" s="40" t="n">
        <v>546</v>
      </c>
      <c r="R74" s="41" t="n">
        <v>546</v>
      </c>
      <c r="S74" s="41" t="n">
        <v>588</v>
      </c>
      <c r="T74" s="50"/>
      <c r="U74" s="41" t="n">
        <v>546</v>
      </c>
      <c r="V74" s="66"/>
      <c r="W74" s="66"/>
      <c r="X74" s="44"/>
      <c r="Y74" s="40" t="n">
        <v>546</v>
      </c>
      <c r="Z74" s="40" t="n">
        <v>588</v>
      </c>
      <c r="AA74" s="45"/>
      <c r="AB74" s="45"/>
      <c r="AC74" s="45"/>
      <c r="AD74" s="45"/>
      <c r="AE74" s="51" t="n">
        <v>588</v>
      </c>
      <c r="AF74" s="52" t="n">
        <v>42</v>
      </c>
      <c r="AG74" s="40"/>
      <c r="AI74" s="47"/>
    </row>
    <row r="75" customFormat="false" ht="13.8" hidden="false" customHeight="false" outlineLevel="0" collapsed="false">
      <c r="A75" s="53" t="n">
        <v>301063</v>
      </c>
      <c r="B75" s="53" t="s">
        <v>54</v>
      </c>
      <c r="C75" s="53" t="s">
        <v>109</v>
      </c>
      <c r="D75" s="53" t="s">
        <v>148</v>
      </c>
      <c r="E75" s="40" t="s">
        <v>37</v>
      </c>
      <c r="F75" s="41" t="n">
        <v>693</v>
      </c>
      <c r="G75" s="41" t="n">
        <v>693</v>
      </c>
      <c r="H75" s="40" t="n">
        <v>693</v>
      </c>
      <c r="I75" s="40"/>
      <c r="J75" s="40"/>
      <c r="K75" s="40"/>
      <c r="L75" s="50"/>
      <c r="M75" s="40"/>
      <c r="N75" s="40"/>
      <c r="O75" s="41" t="n">
        <v>693</v>
      </c>
      <c r="P75" s="43"/>
      <c r="Q75" s="40" t="n">
        <v>693</v>
      </c>
      <c r="R75" s="41" t="n">
        <v>693</v>
      </c>
      <c r="S75" s="41" t="n">
        <v>693</v>
      </c>
      <c r="T75" s="40"/>
      <c r="U75" s="41" t="n">
        <v>693</v>
      </c>
      <c r="V75" s="40"/>
      <c r="W75" s="40"/>
      <c r="X75" s="44"/>
      <c r="Y75" s="40" t="n">
        <v>693</v>
      </c>
      <c r="Z75" s="40" t="n">
        <v>693</v>
      </c>
      <c r="AA75" s="72"/>
      <c r="AB75" s="72"/>
      <c r="AC75" s="72"/>
      <c r="AD75" s="72"/>
      <c r="AE75" s="40" t="n">
        <v>693</v>
      </c>
      <c r="AF75" s="52" t="n">
        <v>0</v>
      </c>
      <c r="AG75" s="40"/>
      <c r="AI75" s="47"/>
    </row>
    <row r="76" customFormat="false" ht="13.8" hidden="false" customHeight="false" outlineLevel="0" collapsed="false">
      <c r="A76" s="53" t="n">
        <v>300724</v>
      </c>
      <c r="B76" s="53" t="s">
        <v>54</v>
      </c>
      <c r="C76" s="53" t="s">
        <v>109</v>
      </c>
      <c r="D76" s="53" t="s">
        <v>149</v>
      </c>
      <c r="E76" s="40" t="s">
        <v>47</v>
      </c>
      <c r="F76" s="41" t="n">
        <v>713</v>
      </c>
      <c r="G76" s="41" t="n">
        <v>713</v>
      </c>
      <c r="H76" s="40" t="n">
        <v>713</v>
      </c>
      <c r="I76" s="40"/>
      <c r="J76" s="40"/>
      <c r="K76" s="40"/>
      <c r="L76" s="40"/>
      <c r="M76" s="40"/>
      <c r="N76" s="40"/>
      <c r="O76" s="41" t="n">
        <v>713</v>
      </c>
      <c r="P76" s="43"/>
      <c r="Q76" s="40" t="n">
        <v>713</v>
      </c>
      <c r="R76" s="41" t="n">
        <v>713</v>
      </c>
      <c r="S76" s="41" t="n">
        <v>713</v>
      </c>
      <c r="T76" s="50"/>
      <c r="U76" s="41" t="n">
        <v>713</v>
      </c>
      <c r="V76" s="40"/>
      <c r="W76" s="40"/>
      <c r="X76" s="44"/>
      <c r="Y76" s="40" t="n">
        <v>713</v>
      </c>
      <c r="Z76" s="40" t="n">
        <v>713</v>
      </c>
      <c r="AA76" s="45"/>
      <c r="AB76" s="45"/>
      <c r="AC76" s="45"/>
      <c r="AD76" s="45"/>
      <c r="AE76" s="40" t="n">
        <v>713</v>
      </c>
      <c r="AF76" s="52" t="n">
        <v>0</v>
      </c>
      <c r="AG76" s="40"/>
      <c r="AI76" s="47"/>
    </row>
    <row r="77" customFormat="false" ht="13.8" hidden="false" customHeight="false" outlineLevel="0" collapsed="false">
      <c r="A77" s="53" t="n">
        <v>300869</v>
      </c>
      <c r="B77" s="53" t="s">
        <v>54</v>
      </c>
      <c r="C77" s="53" t="s">
        <v>150</v>
      </c>
      <c r="D77" s="53" t="s">
        <v>151</v>
      </c>
      <c r="E77" s="40" t="s">
        <v>47</v>
      </c>
      <c r="F77" s="41" t="n">
        <v>689</v>
      </c>
      <c r="G77" s="41" t="n">
        <v>689</v>
      </c>
      <c r="H77" s="41" t="n">
        <v>689</v>
      </c>
      <c r="I77" s="66"/>
      <c r="J77" s="66"/>
      <c r="K77" s="66"/>
      <c r="L77" s="66"/>
      <c r="M77" s="50"/>
      <c r="N77" s="57"/>
      <c r="O77" s="41" t="n">
        <v>689</v>
      </c>
      <c r="P77" s="43"/>
      <c r="Q77" s="41" t="n">
        <v>689</v>
      </c>
      <c r="R77" s="41" t="n">
        <v>689</v>
      </c>
      <c r="S77" s="41" t="n">
        <v>729</v>
      </c>
      <c r="T77" s="50"/>
      <c r="U77" s="41" t="n">
        <v>689</v>
      </c>
      <c r="V77" s="66"/>
      <c r="W77" s="66"/>
      <c r="X77" s="44"/>
      <c r="Y77" s="40" t="n">
        <v>689</v>
      </c>
      <c r="Z77" s="40" t="n">
        <v>729</v>
      </c>
      <c r="AA77" s="45"/>
      <c r="AB77" s="45"/>
      <c r="AC77" s="45"/>
      <c r="AD77" s="45"/>
      <c r="AE77" s="40" t="n">
        <v>729</v>
      </c>
      <c r="AF77" s="46" t="n">
        <v>40</v>
      </c>
      <c r="AG77" s="57"/>
      <c r="AI77" s="47"/>
    </row>
    <row r="78" customFormat="false" ht="13.8" hidden="false" customHeight="false" outlineLevel="0" collapsed="false">
      <c r="A78" s="53" t="n">
        <v>314974</v>
      </c>
      <c r="B78" s="53" t="s">
        <v>123</v>
      </c>
      <c r="C78" s="53" t="s">
        <v>137</v>
      </c>
      <c r="D78" s="53" t="s">
        <v>152</v>
      </c>
      <c r="E78" s="61" t="s">
        <v>43</v>
      </c>
      <c r="F78" s="41" t="n">
        <v>740</v>
      </c>
      <c r="G78" s="41" t="n">
        <v>740</v>
      </c>
      <c r="H78" s="58" t="n">
        <v>740</v>
      </c>
      <c r="I78" s="57"/>
      <c r="J78" s="57"/>
      <c r="K78" s="57"/>
      <c r="L78" s="50"/>
      <c r="M78" s="50"/>
      <c r="N78" s="66"/>
      <c r="O78" s="41" t="n">
        <v>740</v>
      </c>
      <c r="P78" s="43"/>
      <c r="Q78" s="58" t="n">
        <v>740</v>
      </c>
      <c r="R78" s="41" t="n">
        <v>740</v>
      </c>
      <c r="S78" s="41" t="n">
        <v>780</v>
      </c>
      <c r="T78" s="50"/>
      <c r="U78" s="41" t="n">
        <v>740</v>
      </c>
      <c r="V78" s="57"/>
      <c r="W78" s="57"/>
      <c r="X78" s="44"/>
      <c r="Y78" s="40" t="n">
        <v>740</v>
      </c>
      <c r="Z78" s="40" t="n">
        <v>780</v>
      </c>
      <c r="AA78" s="45"/>
      <c r="AB78" s="45"/>
      <c r="AC78" s="45"/>
      <c r="AD78" s="45"/>
      <c r="AE78" s="51" t="n">
        <v>780</v>
      </c>
      <c r="AF78" s="52" t="n">
        <v>40</v>
      </c>
      <c r="AG78" s="57"/>
      <c r="AI78" s="47"/>
    </row>
    <row r="79" customFormat="false" ht="13.8" hidden="false" customHeight="false" outlineLevel="0" collapsed="false">
      <c r="A79" s="53" t="n">
        <v>314975</v>
      </c>
      <c r="B79" s="53" t="s">
        <v>123</v>
      </c>
      <c r="C79" s="53" t="s">
        <v>91</v>
      </c>
      <c r="D79" s="53" t="s">
        <v>153</v>
      </c>
      <c r="E79" s="61" t="s">
        <v>43</v>
      </c>
      <c r="F79" s="41" t="n">
        <v>740</v>
      </c>
      <c r="G79" s="41" t="n">
        <v>740</v>
      </c>
      <c r="H79" s="58" t="n">
        <v>740</v>
      </c>
      <c r="I79" s="57"/>
      <c r="J79" s="57"/>
      <c r="K79" s="57"/>
      <c r="L79" s="50"/>
      <c r="M79" s="50"/>
      <c r="N79" s="66"/>
      <c r="O79" s="41" t="n">
        <v>740</v>
      </c>
      <c r="P79" s="43"/>
      <c r="Q79" s="58" t="n">
        <v>740</v>
      </c>
      <c r="R79" s="41" t="n">
        <v>740</v>
      </c>
      <c r="S79" s="41" t="n">
        <v>780</v>
      </c>
      <c r="T79" s="50"/>
      <c r="U79" s="41" t="n">
        <v>740</v>
      </c>
      <c r="V79" s="57"/>
      <c r="W79" s="57"/>
      <c r="X79" s="44"/>
      <c r="Y79" s="40" t="n">
        <v>740</v>
      </c>
      <c r="Z79" s="40" t="n">
        <v>780</v>
      </c>
      <c r="AA79" s="45"/>
      <c r="AB79" s="45"/>
      <c r="AC79" s="45"/>
      <c r="AD79" s="45"/>
      <c r="AE79" s="51" t="n">
        <v>780</v>
      </c>
      <c r="AF79" s="52" t="n">
        <v>40</v>
      </c>
      <c r="AG79" s="57"/>
      <c r="AI79" s="47"/>
    </row>
    <row r="80" customFormat="false" ht="13.8" hidden="false" customHeight="false" outlineLevel="0" collapsed="false">
      <c r="A80" s="53" t="n">
        <v>314973</v>
      </c>
      <c r="B80" s="53" t="s">
        <v>123</v>
      </c>
      <c r="C80" s="53" t="s">
        <v>137</v>
      </c>
      <c r="D80" s="53" t="s">
        <v>154</v>
      </c>
      <c r="E80" s="61" t="s">
        <v>43</v>
      </c>
      <c r="F80" s="41" t="n">
        <v>730</v>
      </c>
      <c r="G80" s="41" t="n">
        <v>730</v>
      </c>
      <c r="H80" s="58" t="n">
        <v>730</v>
      </c>
      <c r="I80" s="57"/>
      <c r="J80" s="57"/>
      <c r="K80" s="57"/>
      <c r="L80" s="50"/>
      <c r="M80" s="50"/>
      <c r="N80" s="66"/>
      <c r="O80" s="41" t="n">
        <v>730</v>
      </c>
      <c r="P80" s="43"/>
      <c r="Q80" s="58" t="n">
        <v>730</v>
      </c>
      <c r="R80" s="41" t="n">
        <v>730</v>
      </c>
      <c r="S80" s="41" t="n">
        <v>780</v>
      </c>
      <c r="T80" s="50"/>
      <c r="U80" s="41" t="n">
        <v>730</v>
      </c>
      <c r="V80" s="57"/>
      <c r="W80" s="57"/>
      <c r="X80" s="44"/>
      <c r="Y80" s="40" t="n">
        <v>730</v>
      </c>
      <c r="Z80" s="40" t="n">
        <v>780</v>
      </c>
      <c r="AA80" s="45"/>
      <c r="AB80" s="45"/>
      <c r="AC80" s="45"/>
      <c r="AD80" s="45"/>
      <c r="AE80" s="51" t="n">
        <v>780</v>
      </c>
      <c r="AF80" s="52" t="n">
        <v>50</v>
      </c>
      <c r="AG80" s="57"/>
      <c r="AI80" s="47"/>
    </row>
    <row r="81" customFormat="false" ht="13.8" hidden="false" customHeight="false" outlineLevel="0" collapsed="false">
      <c r="A81" s="53" t="n">
        <v>315101</v>
      </c>
      <c r="B81" s="53" t="s">
        <v>123</v>
      </c>
      <c r="C81" s="53" t="s">
        <v>91</v>
      </c>
      <c r="D81" s="53" t="s">
        <v>155</v>
      </c>
      <c r="E81" s="40" t="s">
        <v>43</v>
      </c>
      <c r="F81" s="41" t="n">
        <v>469</v>
      </c>
      <c r="G81" s="41" t="n">
        <v>726</v>
      </c>
      <c r="H81" s="40" t="n">
        <v>469</v>
      </c>
      <c r="I81" s="40"/>
      <c r="J81" s="40"/>
      <c r="K81" s="40"/>
      <c r="L81" s="50"/>
      <c r="M81" s="40"/>
      <c r="N81" s="40"/>
      <c r="O81" s="41" t="n">
        <v>469</v>
      </c>
      <c r="P81" s="63" t="n">
        <v>469</v>
      </c>
      <c r="Q81" s="40" t="n">
        <v>469</v>
      </c>
      <c r="R81" s="41" t="n">
        <v>726</v>
      </c>
      <c r="S81" s="41" t="n">
        <v>776</v>
      </c>
      <c r="T81" s="40"/>
      <c r="U81" s="41" t="n">
        <v>469</v>
      </c>
      <c r="V81" s="40"/>
      <c r="W81" s="40"/>
      <c r="X81" s="44" t="n">
        <v>469</v>
      </c>
      <c r="Y81" s="40" t="n">
        <v>726</v>
      </c>
      <c r="Z81" s="40" t="n">
        <v>776</v>
      </c>
      <c r="AA81" s="45"/>
      <c r="AB81" s="45"/>
      <c r="AC81" s="45"/>
      <c r="AD81" s="45"/>
      <c r="AE81" s="51" t="n">
        <v>776</v>
      </c>
      <c r="AF81" s="52" t="n">
        <v>50</v>
      </c>
      <c r="AG81" s="40"/>
      <c r="AI81" s="47"/>
    </row>
    <row r="82" customFormat="false" ht="13.8" hidden="false" customHeight="false" outlineLevel="0" collapsed="false">
      <c r="A82" s="53" t="n">
        <v>314816</v>
      </c>
      <c r="B82" s="53" t="s">
        <v>123</v>
      </c>
      <c r="C82" s="53" t="s">
        <v>99</v>
      </c>
      <c r="D82" s="53" t="s">
        <v>156</v>
      </c>
      <c r="E82" s="40" t="s">
        <v>47</v>
      </c>
      <c r="F82" s="41" t="n">
        <v>750</v>
      </c>
      <c r="G82" s="41" t="n">
        <v>750</v>
      </c>
      <c r="H82" s="40" t="n">
        <v>750</v>
      </c>
      <c r="I82" s="40"/>
      <c r="J82" s="40"/>
      <c r="K82" s="40"/>
      <c r="L82" s="40"/>
      <c r="M82" s="40"/>
      <c r="N82" s="40"/>
      <c r="O82" s="41" t="n">
        <v>750</v>
      </c>
      <c r="P82" s="43"/>
      <c r="Q82" s="40" t="n">
        <v>750</v>
      </c>
      <c r="R82" s="41" t="n">
        <v>750</v>
      </c>
      <c r="S82" s="41" t="n">
        <v>750</v>
      </c>
      <c r="T82" s="40"/>
      <c r="U82" s="41" t="n">
        <v>750</v>
      </c>
      <c r="V82" s="40"/>
      <c r="W82" s="40"/>
      <c r="X82" s="44"/>
      <c r="Y82" s="40" t="n">
        <v>750</v>
      </c>
      <c r="Z82" s="40" t="n">
        <v>750</v>
      </c>
      <c r="AA82" s="45"/>
      <c r="AB82" s="45"/>
      <c r="AC82" s="45"/>
      <c r="AD82" s="45"/>
      <c r="AE82" s="51" t="n">
        <v>750</v>
      </c>
      <c r="AF82" s="52" t="n">
        <v>0</v>
      </c>
      <c r="AG82" s="40"/>
      <c r="AI82" s="47"/>
    </row>
    <row r="83" customFormat="false" ht="13.8" hidden="false" customHeight="false" outlineLevel="0" collapsed="false">
      <c r="A83" s="53" t="n">
        <v>314818</v>
      </c>
      <c r="B83" s="53" t="s">
        <v>123</v>
      </c>
      <c r="C83" s="53" t="s">
        <v>99</v>
      </c>
      <c r="D83" s="53" t="s">
        <v>157</v>
      </c>
      <c r="E83" s="40" t="s">
        <v>47</v>
      </c>
      <c r="F83" s="41" t="n">
        <v>710</v>
      </c>
      <c r="G83" s="41" t="n">
        <v>710</v>
      </c>
      <c r="H83" s="40" t="n">
        <v>710</v>
      </c>
      <c r="I83" s="40"/>
      <c r="J83" s="40"/>
      <c r="K83" s="40"/>
      <c r="L83" s="40"/>
      <c r="M83" s="40"/>
      <c r="N83" s="40"/>
      <c r="O83" s="41" t="n">
        <v>710</v>
      </c>
      <c r="P83" s="43"/>
      <c r="Q83" s="40" t="n">
        <v>710</v>
      </c>
      <c r="R83" s="41" t="n">
        <v>710</v>
      </c>
      <c r="S83" s="41" t="n">
        <v>750</v>
      </c>
      <c r="T83" s="40"/>
      <c r="U83" s="41" t="n">
        <v>710</v>
      </c>
      <c r="V83" s="40"/>
      <c r="W83" s="40"/>
      <c r="X83" s="44"/>
      <c r="Y83" s="40" t="n">
        <v>710</v>
      </c>
      <c r="Z83" s="40" t="n">
        <v>750</v>
      </c>
      <c r="AA83" s="45"/>
      <c r="AB83" s="45"/>
      <c r="AC83" s="45"/>
      <c r="AD83" s="45"/>
      <c r="AE83" s="51" t="n">
        <v>750</v>
      </c>
      <c r="AF83" s="52" t="n">
        <v>40</v>
      </c>
      <c r="AG83" s="40"/>
      <c r="AI83" s="47"/>
    </row>
    <row r="84" customFormat="false" ht="13.8" hidden="false" customHeight="false" outlineLevel="0" collapsed="false">
      <c r="A84" s="53" t="n">
        <v>314317</v>
      </c>
      <c r="B84" s="53" t="s">
        <v>123</v>
      </c>
      <c r="C84" s="53" t="s">
        <v>99</v>
      </c>
      <c r="D84" s="53" t="s">
        <v>158</v>
      </c>
      <c r="E84" s="40" t="s">
        <v>41</v>
      </c>
      <c r="F84" s="41" t="n">
        <v>696</v>
      </c>
      <c r="G84" s="41" t="n">
        <v>696</v>
      </c>
      <c r="H84" s="40" t="n">
        <v>696</v>
      </c>
      <c r="I84" s="66"/>
      <c r="J84" s="66"/>
      <c r="K84" s="66"/>
      <c r="L84" s="66"/>
      <c r="M84" s="66"/>
      <c r="N84" s="66"/>
      <c r="O84" s="41" t="n">
        <v>696</v>
      </c>
      <c r="P84" s="43"/>
      <c r="Q84" s="40" t="n">
        <v>696</v>
      </c>
      <c r="R84" s="41" t="n">
        <v>696</v>
      </c>
      <c r="S84" s="41" t="n">
        <v>738</v>
      </c>
      <c r="T84" s="50"/>
      <c r="U84" s="41" t="n">
        <v>696</v>
      </c>
      <c r="V84" s="66"/>
      <c r="W84" s="66"/>
      <c r="X84" s="44"/>
      <c r="Y84" s="40" t="n">
        <v>696</v>
      </c>
      <c r="Z84" s="40" t="n">
        <v>738</v>
      </c>
      <c r="AA84" s="45"/>
      <c r="AB84" s="45"/>
      <c r="AC84" s="45"/>
      <c r="AD84" s="45"/>
      <c r="AE84" s="51" t="n">
        <v>738</v>
      </c>
      <c r="AF84" s="45" t="n">
        <v>42</v>
      </c>
      <c r="AG84" s="49"/>
      <c r="AI84" s="47"/>
    </row>
    <row r="85" customFormat="false" ht="13.8" hidden="false" customHeight="false" outlineLevel="0" collapsed="false">
      <c r="A85" s="53" t="n">
        <v>314738</v>
      </c>
      <c r="B85" s="53" t="s">
        <v>123</v>
      </c>
      <c r="C85" s="53" t="s">
        <v>99</v>
      </c>
      <c r="D85" s="53" t="s">
        <v>159</v>
      </c>
      <c r="E85" s="40" t="s">
        <v>43</v>
      </c>
      <c r="F85" s="41" t="n">
        <v>642</v>
      </c>
      <c r="G85" s="41" t="n">
        <v>642</v>
      </c>
      <c r="H85" s="40" t="n">
        <v>642</v>
      </c>
      <c r="I85" s="40"/>
      <c r="J85" s="40"/>
      <c r="K85" s="40"/>
      <c r="L85" s="40"/>
      <c r="M85" s="40"/>
      <c r="N85" s="40"/>
      <c r="O85" s="41" t="n">
        <v>642</v>
      </c>
      <c r="P85" s="43"/>
      <c r="Q85" s="40" t="n">
        <v>642</v>
      </c>
      <c r="R85" s="41" t="n">
        <v>642</v>
      </c>
      <c r="S85" s="41" t="n">
        <v>684</v>
      </c>
      <c r="T85" s="50"/>
      <c r="U85" s="41" t="n">
        <v>642</v>
      </c>
      <c r="V85" s="40"/>
      <c r="W85" s="40"/>
      <c r="X85" s="44"/>
      <c r="Y85" s="40" t="n">
        <v>642</v>
      </c>
      <c r="Z85" s="40" t="n">
        <v>684</v>
      </c>
      <c r="AA85" s="45"/>
      <c r="AB85" s="45"/>
      <c r="AC85" s="45"/>
      <c r="AD85" s="45"/>
      <c r="AE85" s="51" t="n">
        <v>684</v>
      </c>
      <c r="AF85" s="52" t="n">
        <v>42</v>
      </c>
      <c r="AG85" s="40"/>
      <c r="AI85" s="47"/>
    </row>
    <row r="86" customFormat="false" ht="13.8" hidden="false" customHeight="false" outlineLevel="0" collapsed="false">
      <c r="A86" s="53" t="n">
        <v>314713</v>
      </c>
      <c r="B86" s="53" t="s">
        <v>123</v>
      </c>
      <c r="C86" s="53" t="s">
        <v>137</v>
      </c>
      <c r="D86" s="53" t="s">
        <v>160</v>
      </c>
      <c r="E86" s="40" t="s">
        <v>43</v>
      </c>
      <c r="F86" s="41" t="n">
        <v>830</v>
      </c>
      <c r="G86" s="41" t="n">
        <v>830</v>
      </c>
      <c r="H86" s="40" t="n">
        <v>830</v>
      </c>
      <c r="I86" s="40"/>
      <c r="J86" s="40"/>
      <c r="K86" s="40"/>
      <c r="L86" s="40"/>
      <c r="M86" s="40"/>
      <c r="N86" s="40"/>
      <c r="O86" s="41" t="n">
        <v>830</v>
      </c>
      <c r="P86" s="43"/>
      <c r="Q86" s="40" t="n">
        <v>830</v>
      </c>
      <c r="R86" s="41" t="n">
        <v>830</v>
      </c>
      <c r="S86" s="41" t="n">
        <v>900</v>
      </c>
      <c r="T86" s="50"/>
      <c r="U86" s="41" t="n">
        <v>830</v>
      </c>
      <c r="V86" s="40"/>
      <c r="W86" s="40"/>
      <c r="X86" s="44"/>
      <c r="Y86" s="40" t="n">
        <v>830</v>
      </c>
      <c r="Z86" s="40" t="n">
        <v>900</v>
      </c>
      <c r="AA86" s="45"/>
      <c r="AB86" s="45"/>
      <c r="AC86" s="45"/>
      <c r="AD86" s="45"/>
      <c r="AE86" s="51" t="n">
        <v>900</v>
      </c>
      <c r="AF86" s="52" t="n">
        <v>70</v>
      </c>
      <c r="AG86" s="40"/>
      <c r="AI86" s="47"/>
    </row>
    <row r="87" customFormat="false" ht="13.8" hidden="false" customHeight="false" outlineLevel="0" collapsed="false">
      <c r="A87" s="53" t="n">
        <v>300732</v>
      </c>
      <c r="B87" s="53" t="s">
        <v>54</v>
      </c>
      <c r="C87" s="53" t="s">
        <v>109</v>
      </c>
      <c r="D87" s="53" t="s">
        <v>161</v>
      </c>
      <c r="E87" s="41" t="s">
        <v>47</v>
      </c>
      <c r="F87" s="41" t="n">
        <v>873</v>
      </c>
      <c r="G87" s="41" t="n">
        <v>873</v>
      </c>
      <c r="H87" s="41" t="n">
        <v>873</v>
      </c>
      <c r="I87" s="66"/>
      <c r="J87" s="66"/>
      <c r="K87" s="66"/>
      <c r="L87" s="66"/>
      <c r="M87" s="66"/>
      <c r="N87" s="66"/>
      <c r="O87" s="41" t="n">
        <v>873</v>
      </c>
      <c r="P87" s="43"/>
      <c r="Q87" s="41" t="n">
        <v>873</v>
      </c>
      <c r="R87" s="41" t="n">
        <v>873</v>
      </c>
      <c r="S87" s="41" t="n">
        <v>873</v>
      </c>
      <c r="T87" s="55"/>
      <c r="U87" s="41" t="n">
        <v>873</v>
      </c>
      <c r="V87" s="66"/>
      <c r="W87" s="66"/>
      <c r="X87" s="44"/>
      <c r="Y87" s="40" t="n">
        <v>873</v>
      </c>
      <c r="Z87" s="40" t="n">
        <v>873</v>
      </c>
      <c r="AA87" s="45"/>
      <c r="AB87" s="45"/>
      <c r="AC87" s="45"/>
      <c r="AD87" s="45"/>
      <c r="AE87" s="41" t="n">
        <v>873</v>
      </c>
      <c r="AF87" s="52" t="n">
        <v>0</v>
      </c>
      <c r="AG87" s="49"/>
      <c r="AI87" s="47"/>
    </row>
    <row r="88" customFormat="false" ht="13.8" hidden="false" customHeight="false" outlineLevel="0" collapsed="false">
      <c r="A88" s="53" t="n">
        <v>300641</v>
      </c>
      <c r="B88" s="53" t="s">
        <v>44</v>
      </c>
      <c r="C88" s="53" t="s">
        <v>70</v>
      </c>
      <c r="D88" s="53" t="s">
        <v>162</v>
      </c>
      <c r="E88" s="41" t="s">
        <v>47</v>
      </c>
      <c r="F88" s="41" t="n">
        <v>911</v>
      </c>
      <c r="G88" s="41" t="n">
        <v>911</v>
      </c>
      <c r="H88" s="41" t="n">
        <v>911</v>
      </c>
      <c r="I88" s="55"/>
      <c r="J88" s="41"/>
      <c r="K88" s="41"/>
      <c r="L88" s="55"/>
      <c r="M88" s="55"/>
      <c r="N88" s="55"/>
      <c r="O88" s="41" t="n">
        <v>911</v>
      </c>
      <c r="P88" s="43"/>
      <c r="Q88" s="41" t="n">
        <v>911</v>
      </c>
      <c r="R88" s="41" t="n">
        <v>911</v>
      </c>
      <c r="S88" s="41" t="n">
        <v>911</v>
      </c>
      <c r="T88" s="55"/>
      <c r="U88" s="41" t="n">
        <v>911</v>
      </c>
      <c r="V88" s="55"/>
      <c r="W88" s="55"/>
      <c r="X88" s="44"/>
      <c r="Y88" s="40" t="n">
        <v>911</v>
      </c>
      <c r="Z88" s="40" t="n">
        <v>911</v>
      </c>
      <c r="AA88" s="45"/>
      <c r="AB88" s="45"/>
      <c r="AC88" s="45"/>
      <c r="AD88" s="45"/>
      <c r="AE88" s="58" t="n">
        <v>911</v>
      </c>
      <c r="AF88" s="60" t="n">
        <v>0</v>
      </c>
      <c r="AG88" s="49"/>
      <c r="AI88" s="47"/>
    </row>
    <row r="89" customFormat="false" ht="13.8" hidden="false" customHeight="false" outlineLevel="0" collapsed="false">
      <c r="A89" s="53" t="n">
        <v>300669</v>
      </c>
      <c r="B89" s="53" t="s">
        <v>93</v>
      </c>
      <c r="C89" s="53" t="s">
        <v>163</v>
      </c>
      <c r="D89" s="53" t="s">
        <v>164</v>
      </c>
      <c r="E89" s="41" t="s">
        <v>47</v>
      </c>
      <c r="F89" s="41" t="n">
        <v>857</v>
      </c>
      <c r="G89" s="41" t="n">
        <v>857</v>
      </c>
      <c r="H89" s="41" t="n">
        <v>857</v>
      </c>
      <c r="I89" s="55"/>
      <c r="J89" s="41"/>
      <c r="K89" s="41"/>
      <c r="L89" s="55"/>
      <c r="M89" s="55"/>
      <c r="N89" s="55"/>
      <c r="O89" s="41" t="n">
        <v>857</v>
      </c>
      <c r="P89" s="43"/>
      <c r="Q89" s="41" t="n">
        <v>857</v>
      </c>
      <c r="R89" s="41" t="n">
        <v>857</v>
      </c>
      <c r="S89" s="41" t="n">
        <v>937</v>
      </c>
      <c r="T89" s="55"/>
      <c r="U89" s="41" t="n">
        <v>857</v>
      </c>
      <c r="V89" s="55"/>
      <c r="W89" s="55"/>
      <c r="X89" s="44"/>
      <c r="Y89" s="40" t="n">
        <v>857</v>
      </c>
      <c r="Z89" s="40" t="n">
        <v>937</v>
      </c>
      <c r="AA89" s="45"/>
      <c r="AB89" s="45"/>
      <c r="AC89" s="45"/>
      <c r="AD89" s="45"/>
      <c r="AE89" s="58" t="n">
        <v>937</v>
      </c>
      <c r="AF89" s="60" t="n">
        <v>80</v>
      </c>
      <c r="AG89" s="86"/>
      <c r="AI89" s="47"/>
    </row>
    <row r="90" customFormat="false" ht="13.8" hidden="false" customHeight="false" outlineLevel="0" collapsed="false">
      <c r="A90" s="53" t="n">
        <v>314981</v>
      </c>
      <c r="B90" s="53" t="s">
        <v>123</v>
      </c>
      <c r="C90" s="53" t="s">
        <v>137</v>
      </c>
      <c r="D90" s="53" t="s">
        <v>165</v>
      </c>
      <c r="E90" s="61" t="s">
        <v>43</v>
      </c>
      <c r="F90" s="41" t="n">
        <v>985</v>
      </c>
      <c r="G90" s="41" t="n">
        <v>985</v>
      </c>
      <c r="H90" s="58" t="n">
        <v>985</v>
      </c>
      <c r="I90" s="57"/>
      <c r="J90" s="57"/>
      <c r="K90" s="57"/>
      <c r="L90" s="50"/>
      <c r="M90" s="50"/>
      <c r="N90" s="66"/>
      <c r="O90" s="41" t="n">
        <v>985</v>
      </c>
      <c r="P90" s="43"/>
      <c r="Q90" s="58" t="n">
        <v>985</v>
      </c>
      <c r="R90" s="41" t="n">
        <v>985</v>
      </c>
      <c r="S90" s="41" t="n">
        <v>985</v>
      </c>
      <c r="T90" s="50"/>
      <c r="U90" s="41" t="n">
        <v>985</v>
      </c>
      <c r="V90" s="57"/>
      <c r="W90" s="57"/>
      <c r="X90" s="44"/>
      <c r="Y90" s="40" t="n">
        <v>985</v>
      </c>
      <c r="Z90" s="40" t="n">
        <v>985</v>
      </c>
      <c r="AA90" s="45"/>
      <c r="AB90" s="45"/>
      <c r="AC90" s="45"/>
      <c r="AD90" s="45"/>
      <c r="AE90" s="51" t="n">
        <v>985</v>
      </c>
      <c r="AF90" s="52" t="n">
        <v>0</v>
      </c>
      <c r="AG90" s="57"/>
      <c r="AI90" s="47"/>
    </row>
    <row r="91" customFormat="false" ht="13.8" hidden="false" customHeight="false" outlineLevel="0" collapsed="false">
      <c r="A91" s="53" t="n">
        <v>300924</v>
      </c>
      <c r="B91" s="53" t="s">
        <v>54</v>
      </c>
      <c r="C91" s="53" t="s">
        <v>109</v>
      </c>
      <c r="D91" s="53" t="s">
        <v>166</v>
      </c>
      <c r="E91" s="40" t="s">
        <v>47</v>
      </c>
      <c r="F91" s="41" t="n">
        <v>957</v>
      </c>
      <c r="G91" s="41" t="n">
        <v>957</v>
      </c>
      <c r="H91" s="40" t="n">
        <v>957</v>
      </c>
      <c r="I91" s="40"/>
      <c r="J91" s="40"/>
      <c r="K91" s="40"/>
      <c r="L91" s="40"/>
      <c r="M91" s="40"/>
      <c r="N91" s="40"/>
      <c r="O91" s="41" t="n">
        <v>957</v>
      </c>
      <c r="P91" s="43"/>
      <c r="Q91" s="40" t="n">
        <v>957</v>
      </c>
      <c r="R91" s="41" t="n">
        <v>957</v>
      </c>
      <c r="S91" s="41" t="n">
        <v>1037</v>
      </c>
      <c r="T91" s="50"/>
      <c r="U91" s="41" t="n">
        <v>957</v>
      </c>
      <c r="V91" s="40"/>
      <c r="W91" s="40"/>
      <c r="X91" s="44"/>
      <c r="Y91" s="40" t="n">
        <v>957</v>
      </c>
      <c r="Z91" s="40" t="n">
        <v>1037</v>
      </c>
      <c r="AA91" s="45"/>
      <c r="AB91" s="45"/>
      <c r="AC91" s="45"/>
      <c r="AD91" s="45"/>
      <c r="AE91" s="72" t="n">
        <v>1037</v>
      </c>
      <c r="AF91" s="87" t="n">
        <v>80</v>
      </c>
      <c r="AG91" s="40"/>
      <c r="AI91" s="47"/>
    </row>
    <row r="92" customFormat="false" ht="13.8" hidden="false" customHeight="false" outlineLevel="0" collapsed="false">
      <c r="A92" s="53" t="n">
        <v>314984</v>
      </c>
      <c r="B92" s="53" t="s">
        <v>123</v>
      </c>
      <c r="C92" s="53" t="s">
        <v>137</v>
      </c>
      <c r="D92" s="53" t="s">
        <v>167</v>
      </c>
      <c r="E92" s="61" t="s">
        <v>43</v>
      </c>
      <c r="F92" s="41" t="n">
        <v>1019</v>
      </c>
      <c r="G92" s="41" t="n">
        <v>1019</v>
      </c>
      <c r="H92" s="58" t="n">
        <v>1019</v>
      </c>
      <c r="I92" s="57"/>
      <c r="J92" s="57"/>
      <c r="K92" s="57"/>
      <c r="L92" s="50"/>
      <c r="M92" s="50"/>
      <c r="N92" s="66"/>
      <c r="O92" s="41" t="n">
        <v>1019</v>
      </c>
      <c r="P92" s="43"/>
      <c r="Q92" s="58" t="n">
        <v>1019</v>
      </c>
      <c r="R92" s="41" t="n">
        <v>1019</v>
      </c>
      <c r="S92" s="41" t="n">
        <v>1149</v>
      </c>
      <c r="T92" s="50"/>
      <c r="U92" s="41" t="n">
        <v>1019</v>
      </c>
      <c r="V92" s="57"/>
      <c r="W92" s="57"/>
      <c r="X92" s="44"/>
      <c r="Y92" s="40" t="n">
        <v>1019</v>
      </c>
      <c r="Z92" s="40" t="n">
        <v>1149</v>
      </c>
      <c r="AA92" s="88"/>
      <c r="AB92" s="88"/>
      <c r="AC92" s="88"/>
      <c r="AD92" s="88"/>
      <c r="AE92" s="51" t="n">
        <v>1149</v>
      </c>
      <c r="AF92" s="52" t="n">
        <v>130</v>
      </c>
      <c r="AG92" s="57"/>
      <c r="AI92" s="47"/>
    </row>
    <row r="93" customFormat="false" ht="13.8" hidden="false" customHeight="false" outlineLevel="0" collapsed="false">
      <c r="A93" s="53" t="n">
        <v>314983</v>
      </c>
      <c r="B93" s="53" t="s">
        <v>123</v>
      </c>
      <c r="C93" s="53" t="s">
        <v>137</v>
      </c>
      <c r="D93" s="53" t="s">
        <v>168</v>
      </c>
      <c r="E93" s="61" t="s">
        <v>43</v>
      </c>
      <c r="F93" s="41" t="n">
        <v>1019</v>
      </c>
      <c r="G93" s="41" t="n">
        <v>1019</v>
      </c>
      <c r="H93" s="58" t="n">
        <v>1019</v>
      </c>
      <c r="I93" s="57"/>
      <c r="J93" s="57"/>
      <c r="K93" s="57"/>
      <c r="L93" s="50"/>
      <c r="M93" s="50"/>
      <c r="N93" s="66"/>
      <c r="O93" s="41" t="n">
        <v>1019</v>
      </c>
      <c r="P93" s="43"/>
      <c r="Q93" s="58" t="n">
        <v>1019</v>
      </c>
      <c r="R93" s="41" t="n">
        <v>1019</v>
      </c>
      <c r="S93" s="41" t="n">
        <v>1149</v>
      </c>
      <c r="T93" s="50"/>
      <c r="U93" s="41" t="n">
        <v>1019</v>
      </c>
      <c r="V93" s="57"/>
      <c r="W93" s="57"/>
      <c r="X93" s="44"/>
      <c r="Y93" s="40" t="n">
        <v>1019</v>
      </c>
      <c r="Z93" s="40" t="n">
        <v>1149</v>
      </c>
      <c r="AA93" s="88"/>
      <c r="AB93" s="88"/>
      <c r="AC93" s="88"/>
      <c r="AD93" s="88"/>
      <c r="AE93" s="51" t="n">
        <v>1149</v>
      </c>
      <c r="AF93" s="52" t="n">
        <v>130</v>
      </c>
      <c r="AG93" s="57"/>
      <c r="AI93" s="47"/>
    </row>
    <row r="94" customFormat="false" ht="13.8" hidden="false" customHeight="false" outlineLevel="0" collapsed="false">
      <c r="A94" s="53" t="n">
        <v>314200</v>
      </c>
      <c r="B94" s="53" t="s">
        <v>93</v>
      </c>
      <c r="C94" s="53" t="s">
        <v>99</v>
      </c>
      <c r="D94" s="53" t="s">
        <v>169</v>
      </c>
      <c r="E94" s="41" t="s">
        <v>78</v>
      </c>
      <c r="F94" s="41" t="n">
        <v>946</v>
      </c>
      <c r="G94" s="41" t="n">
        <v>946</v>
      </c>
      <c r="H94" s="50" t="n">
        <v>946</v>
      </c>
      <c r="I94" s="66"/>
      <c r="J94" s="66"/>
      <c r="K94" s="66"/>
      <c r="L94" s="66"/>
      <c r="M94" s="50"/>
      <c r="N94" s="66"/>
      <c r="O94" s="41" t="n">
        <v>946</v>
      </c>
      <c r="P94" s="43"/>
      <c r="Q94" s="50" t="n">
        <v>946</v>
      </c>
      <c r="R94" s="41" t="n">
        <v>946</v>
      </c>
      <c r="S94" s="41" t="n">
        <v>1156</v>
      </c>
      <c r="T94" s="50"/>
      <c r="U94" s="41" t="n">
        <v>946</v>
      </c>
      <c r="V94" s="66"/>
      <c r="W94" s="66"/>
      <c r="X94" s="44"/>
      <c r="Y94" s="50" t="n">
        <v>946</v>
      </c>
      <c r="Z94" s="40" t="n">
        <v>1156</v>
      </c>
      <c r="AA94" s="88"/>
      <c r="AB94" s="45"/>
      <c r="AC94" s="45"/>
      <c r="AD94" s="45"/>
      <c r="AE94" s="72" t="n">
        <v>1156</v>
      </c>
      <c r="AF94" s="87" t="n">
        <v>210</v>
      </c>
      <c r="AG94" s="67" t="s">
        <v>76</v>
      </c>
      <c r="AI94" s="47"/>
    </row>
    <row r="95" customFormat="false" ht="13.8" hidden="false" customHeight="false" outlineLevel="0" collapsed="false">
      <c r="A95" s="53" t="n">
        <v>328437</v>
      </c>
      <c r="B95" s="53"/>
      <c r="C95" s="53" t="s">
        <v>131</v>
      </c>
      <c r="D95" s="53" t="s">
        <v>170</v>
      </c>
      <c r="E95" s="89" t="s">
        <v>171</v>
      </c>
      <c r="F95" s="61"/>
      <c r="G95" s="61"/>
      <c r="H95" s="61"/>
      <c r="I95" s="68" t="n">
        <v>211</v>
      </c>
      <c r="J95" s="68"/>
      <c r="K95" s="68"/>
      <c r="L95" s="55"/>
      <c r="M95" s="68"/>
      <c r="N95" s="68"/>
      <c r="O95" s="61"/>
      <c r="P95" s="63"/>
      <c r="Q95" s="61"/>
      <c r="R95" s="41"/>
      <c r="S95" s="61"/>
      <c r="T95" s="68"/>
      <c r="U95" s="61"/>
      <c r="V95" s="68"/>
      <c r="W95" s="68"/>
      <c r="X95" s="44"/>
      <c r="Y95" s="40"/>
      <c r="Z95" s="40"/>
      <c r="AA95" s="45"/>
      <c r="AB95" s="45"/>
      <c r="AC95" s="45"/>
      <c r="AD95" s="45"/>
      <c r="AE95" s="68" t="n">
        <v>211</v>
      </c>
      <c r="AF95" s="90" t="n">
        <v>20</v>
      </c>
      <c r="AG95" s="68"/>
      <c r="AI95" s="47"/>
    </row>
    <row r="96" customFormat="false" ht="13.8" hidden="false" customHeight="false" outlineLevel="0" collapsed="false">
      <c r="A96" s="53" t="n">
        <v>315105</v>
      </c>
      <c r="B96" s="53" t="s">
        <v>123</v>
      </c>
      <c r="C96" s="53" t="s">
        <v>172</v>
      </c>
      <c r="D96" s="53" t="s">
        <v>173</v>
      </c>
      <c r="E96" s="89" t="s">
        <v>43</v>
      </c>
      <c r="F96" s="61" t="n">
        <v>744</v>
      </c>
      <c r="G96" s="61" t="n">
        <v>744</v>
      </c>
      <c r="H96" s="50" t="n">
        <v>744</v>
      </c>
      <c r="I96" s="68"/>
      <c r="J96" s="68"/>
      <c r="K96" s="68"/>
      <c r="L96" s="55"/>
      <c r="M96" s="68"/>
      <c r="N96" s="68"/>
      <c r="O96" s="61" t="n">
        <v>744</v>
      </c>
      <c r="P96" s="63"/>
      <c r="Q96" s="61" t="n">
        <v>744</v>
      </c>
      <c r="R96" s="41" t="n">
        <v>744</v>
      </c>
      <c r="S96" s="61" t="n">
        <v>914</v>
      </c>
      <c r="T96" s="68"/>
      <c r="U96" s="61" t="n">
        <v>744</v>
      </c>
      <c r="V96" s="68"/>
      <c r="W96" s="68"/>
      <c r="X96" s="44"/>
      <c r="Y96" s="40" t="n">
        <v>744</v>
      </c>
      <c r="Z96" s="40" t="n">
        <v>914</v>
      </c>
      <c r="AA96" s="45"/>
      <c r="AB96" s="45"/>
      <c r="AC96" s="45"/>
      <c r="AD96" s="45"/>
      <c r="AE96" s="68" t="n">
        <v>914</v>
      </c>
      <c r="AF96" s="90" t="n">
        <v>170</v>
      </c>
      <c r="AG96" s="68"/>
      <c r="AI96" s="47"/>
    </row>
    <row r="97" customFormat="false" ht="13.8" hidden="false" customHeight="false" outlineLevel="0" collapsed="false">
      <c r="A97" s="53" t="n">
        <v>315421</v>
      </c>
      <c r="B97" s="53" t="s">
        <v>83</v>
      </c>
      <c r="C97" s="53" t="s">
        <v>172</v>
      </c>
      <c r="D97" s="53" t="s">
        <v>174</v>
      </c>
      <c r="E97" s="89" t="s">
        <v>43</v>
      </c>
      <c r="F97" s="61" t="n">
        <v>60</v>
      </c>
      <c r="G97" s="61" t="n">
        <v>150</v>
      </c>
      <c r="H97" s="50" t="n">
        <v>85</v>
      </c>
      <c r="I97" s="68"/>
      <c r="J97" s="68"/>
      <c r="K97" s="68"/>
      <c r="L97" s="55"/>
      <c r="M97" s="68"/>
      <c r="N97" s="68"/>
      <c r="O97" s="61" t="n">
        <v>60</v>
      </c>
      <c r="P97" s="63" t="n">
        <v>85</v>
      </c>
      <c r="Q97" s="61" t="n">
        <v>85</v>
      </c>
      <c r="R97" s="41" t="n">
        <v>150</v>
      </c>
      <c r="S97" s="61" t="n">
        <v>175</v>
      </c>
      <c r="T97" s="68"/>
      <c r="U97" s="61" t="n">
        <v>85</v>
      </c>
      <c r="V97" s="68"/>
      <c r="W97" s="68"/>
      <c r="X97" s="44" t="n">
        <v>85</v>
      </c>
      <c r="Y97" s="40" t="n">
        <v>150</v>
      </c>
      <c r="Z97" s="40" t="n">
        <v>175</v>
      </c>
      <c r="AA97" s="45" t="s">
        <v>175</v>
      </c>
      <c r="AB97" s="45"/>
      <c r="AC97" s="45"/>
      <c r="AD97" s="45"/>
      <c r="AE97" s="68" t="n">
        <v>175</v>
      </c>
      <c r="AF97" s="90" t="n">
        <v>25</v>
      </c>
      <c r="AG97" s="68"/>
      <c r="AI97" s="47" t="n">
        <v>65</v>
      </c>
    </row>
    <row r="98" customFormat="false" ht="13.8" hidden="false" customHeight="false" outlineLevel="0" collapsed="false">
      <c r="A98" s="53" t="n">
        <v>315126</v>
      </c>
      <c r="B98" s="53" t="s">
        <v>176</v>
      </c>
      <c r="C98" s="53" t="s">
        <v>35</v>
      </c>
      <c r="D98" s="53" t="s">
        <v>177</v>
      </c>
      <c r="E98" s="89" t="s">
        <v>43</v>
      </c>
      <c r="F98" s="91" t="n">
        <v>31</v>
      </c>
      <c r="G98" s="61" t="n">
        <v>70</v>
      </c>
      <c r="H98" s="61"/>
      <c r="I98" s="68"/>
      <c r="J98" s="68"/>
      <c r="K98" s="68"/>
      <c r="L98" s="55"/>
      <c r="M98" s="68"/>
      <c r="N98" s="68"/>
      <c r="O98" s="61" t="n">
        <v>31</v>
      </c>
      <c r="P98" s="63" t="n">
        <v>31</v>
      </c>
      <c r="Q98" s="61" t="n">
        <v>31</v>
      </c>
      <c r="R98" s="41" t="n">
        <v>70</v>
      </c>
      <c r="S98" s="61" t="n">
        <v>83</v>
      </c>
      <c r="T98" s="68"/>
      <c r="U98" s="61" t="n">
        <v>31</v>
      </c>
      <c r="V98" s="68"/>
      <c r="W98" s="68"/>
      <c r="X98" s="44" t="n">
        <v>31</v>
      </c>
      <c r="Y98" s="40" t="n">
        <v>70</v>
      </c>
      <c r="Z98" s="40" t="n">
        <v>83</v>
      </c>
      <c r="AA98" s="45"/>
      <c r="AB98" s="45"/>
      <c r="AC98" s="45"/>
      <c r="AD98" s="45"/>
      <c r="AE98" s="68" t="n">
        <v>83</v>
      </c>
      <c r="AF98" s="90" t="n">
        <v>13</v>
      </c>
      <c r="AG98" s="68"/>
      <c r="AI98" s="47"/>
    </row>
    <row r="99" customFormat="false" ht="13.8" hidden="false" customHeight="false" outlineLevel="0" collapsed="false">
      <c r="A99" s="53" t="n">
        <v>315146</v>
      </c>
      <c r="B99" s="53" t="s">
        <v>90</v>
      </c>
      <c r="C99" s="53" t="s">
        <v>178</v>
      </c>
      <c r="D99" s="53" t="s">
        <v>179</v>
      </c>
      <c r="E99" s="89" t="s">
        <v>43</v>
      </c>
      <c r="F99" s="61" t="n">
        <v>312</v>
      </c>
      <c r="G99" s="61" t="n">
        <v>312</v>
      </c>
      <c r="H99" s="61"/>
      <c r="I99" s="68"/>
      <c r="J99" s="68"/>
      <c r="K99" s="68"/>
      <c r="L99" s="55"/>
      <c r="M99" s="68"/>
      <c r="N99" s="68" t="n">
        <v>0</v>
      </c>
      <c r="O99" s="61" t="n">
        <v>312</v>
      </c>
      <c r="P99" s="63"/>
      <c r="Q99" s="61" t="n">
        <v>312</v>
      </c>
      <c r="R99" s="41" t="n">
        <v>312</v>
      </c>
      <c r="S99" s="61" t="n">
        <v>446</v>
      </c>
      <c r="T99" s="68"/>
      <c r="U99" s="61" t="n">
        <v>312</v>
      </c>
      <c r="V99" s="68"/>
      <c r="W99" s="68"/>
      <c r="X99" s="44"/>
      <c r="Y99" s="40" t="n">
        <v>312</v>
      </c>
      <c r="Z99" s="40" t="n">
        <v>446</v>
      </c>
      <c r="AA99" s="45"/>
      <c r="AB99" s="45"/>
      <c r="AC99" s="45"/>
      <c r="AD99" s="45"/>
      <c r="AE99" s="68" t="n">
        <v>446</v>
      </c>
      <c r="AF99" s="90" t="n">
        <v>134</v>
      </c>
      <c r="AG99" s="68"/>
      <c r="AI99" s="47"/>
    </row>
    <row r="100" customFormat="false" ht="13.8" hidden="false" customHeight="false" outlineLevel="0" collapsed="false">
      <c r="A100" s="53" t="n">
        <v>315097</v>
      </c>
      <c r="B100" s="53" t="s">
        <v>54</v>
      </c>
      <c r="C100" s="53" t="s">
        <v>91</v>
      </c>
      <c r="D100" s="53" t="s">
        <v>180</v>
      </c>
      <c r="E100" s="89" t="s">
        <v>47</v>
      </c>
      <c r="F100" s="61" t="n">
        <v>451</v>
      </c>
      <c r="G100" s="61" t="n">
        <v>451</v>
      </c>
      <c r="H100" s="61" t="n">
        <v>451</v>
      </c>
      <c r="I100" s="68"/>
      <c r="J100" s="68"/>
      <c r="K100" s="68"/>
      <c r="L100" s="55"/>
      <c r="M100" s="68"/>
      <c r="N100" s="68"/>
      <c r="O100" s="61" t="n">
        <v>451</v>
      </c>
      <c r="P100" s="63"/>
      <c r="Q100" s="61" t="n">
        <v>451</v>
      </c>
      <c r="R100" s="41" t="n">
        <v>451</v>
      </c>
      <c r="S100" s="61" t="n">
        <v>521</v>
      </c>
      <c r="T100" s="68"/>
      <c r="U100" s="61" t="n">
        <v>451</v>
      </c>
      <c r="V100" s="68"/>
      <c r="W100" s="68"/>
      <c r="X100" s="44"/>
      <c r="Y100" s="40" t="n">
        <v>451</v>
      </c>
      <c r="Z100" s="40" t="n">
        <v>521</v>
      </c>
      <c r="AA100" s="45"/>
      <c r="AB100" s="45"/>
      <c r="AC100" s="45"/>
      <c r="AD100" s="45"/>
      <c r="AE100" s="68" t="n">
        <v>521</v>
      </c>
      <c r="AF100" s="90" t="n">
        <v>70</v>
      </c>
      <c r="AG100" s="68"/>
      <c r="AI100" s="47"/>
    </row>
    <row r="101" customFormat="false" ht="13.8" hidden="false" customHeight="false" outlineLevel="0" collapsed="false">
      <c r="A101" s="53" t="n">
        <v>315155</v>
      </c>
      <c r="B101" s="53" t="s">
        <v>123</v>
      </c>
      <c r="C101" s="53" t="s">
        <v>91</v>
      </c>
      <c r="D101" s="53" t="s">
        <v>181</v>
      </c>
      <c r="E101" s="89" t="s">
        <v>41</v>
      </c>
      <c r="F101" s="61" t="n">
        <v>1596</v>
      </c>
      <c r="G101" s="61" t="n">
        <v>1596</v>
      </c>
      <c r="H101" s="61" t="n">
        <v>1596</v>
      </c>
      <c r="I101" s="68"/>
      <c r="J101" s="68"/>
      <c r="K101" s="68"/>
      <c r="L101" s="55"/>
      <c r="M101" s="68"/>
      <c r="N101" s="68"/>
      <c r="O101" s="61" t="n">
        <v>1596</v>
      </c>
      <c r="P101" s="63"/>
      <c r="Q101" s="61" t="n">
        <v>1596</v>
      </c>
      <c r="R101" s="41" t="n">
        <v>1596</v>
      </c>
      <c r="S101" s="61" t="n">
        <v>1666</v>
      </c>
      <c r="T101" s="68"/>
      <c r="U101" s="61" t="n">
        <v>1596</v>
      </c>
      <c r="V101" s="68"/>
      <c r="W101" s="68"/>
      <c r="X101" s="44"/>
      <c r="Y101" s="40" t="n">
        <v>1596</v>
      </c>
      <c r="Z101" s="40" t="n">
        <v>1666</v>
      </c>
      <c r="AA101" s="45"/>
      <c r="AB101" s="45"/>
      <c r="AC101" s="45"/>
      <c r="AD101" s="45"/>
      <c r="AE101" s="68" t="n">
        <v>1666</v>
      </c>
      <c r="AF101" s="90" t="n">
        <v>70</v>
      </c>
      <c r="AG101" s="68"/>
      <c r="AI101" s="47"/>
    </row>
    <row r="102" customFormat="false" ht="13.8" hidden="false" customHeight="false" outlineLevel="0" collapsed="false">
      <c r="A102" s="53" t="n">
        <v>315162</v>
      </c>
      <c r="B102" s="53" t="s">
        <v>90</v>
      </c>
      <c r="C102" s="53" t="s">
        <v>91</v>
      </c>
      <c r="D102" s="53" t="s">
        <v>182</v>
      </c>
      <c r="E102" s="89" t="s">
        <v>41</v>
      </c>
      <c r="F102" s="62" t="n">
        <v>176</v>
      </c>
      <c r="G102" s="61" t="n">
        <v>296.1235</v>
      </c>
      <c r="H102" s="62" t="n">
        <v>176</v>
      </c>
      <c r="I102" s="68"/>
      <c r="J102" s="68"/>
      <c r="K102" s="68"/>
      <c r="L102" s="55"/>
      <c r="M102" s="68"/>
      <c r="N102" s="68"/>
      <c r="O102" s="61" t="n">
        <v>176</v>
      </c>
      <c r="P102" s="63" t="n">
        <v>176.1235</v>
      </c>
      <c r="Q102" s="61" t="n">
        <v>176</v>
      </c>
      <c r="R102" s="41" t="n">
        <v>296.1235</v>
      </c>
      <c r="S102" s="61" t="n">
        <v>316.1235</v>
      </c>
      <c r="T102" s="68"/>
      <c r="U102" s="61" t="n">
        <v>176</v>
      </c>
      <c r="V102" s="68"/>
      <c r="W102" s="68"/>
      <c r="X102" s="44" t="n">
        <v>176.1235</v>
      </c>
      <c r="Y102" s="40" t="n">
        <v>296.1235</v>
      </c>
      <c r="Z102" s="40" t="n">
        <v>316.1235</v>
      </c>
      <c r="AA102" s="45"/>
      <c r="AB102" s="45"/>
      <c r="AC102" s="45"/>
      <c r="AD102" s="45"/>
      <c r="AE102" s="68" t="n">
        <v>316.1235</v>
      </c>
      <c r="AF102" s="90" t="n">
        <v>20</v>
      </c>
      <c r="AG102" s="68"/>
      <c r="AI102" s="47"/>
    </row>
    <row r="103" customFormat="false" ht="13.8" hidden="false" customHeight="false" outlineLevel="0" collapsed="false">
      <c r="A103" s="53" t="n">
        <v>315161</v>
      </c>
      <c r="B103" s="53" t="s">
        <v>90</v>
      </c>
      <c r="C103" s="53" t="s">
        <v>91</v>
      </c>
      <c r="D103" s="53" t="s">
        <v>183</v>
      </c>
      <c r="E103" s="89" t="s">
        <v>41</v>
      </c>
      <c r="F103" s="61" t="n">
        <v>287</v>
      </c>
      <c r="G103" s="61" t="n">
        <v>287</v>
      </c>
      <c r="H103" s="61" t="n">
        <v>287</v>
      </c>
      <c r="I103" s="68"/>
      <c r="J103" s="68"/>
      <c r="K103" s="68"/>
      <c r="L103" s="55"/>
      <c r="M103" s="68"/>
      <c r="N103" s="68"/>
      <c r="O103" s="62" t="n">
        <v>176</v>
      </c>
      <c r="P103" s="63"/>
      <c r="Q103" s="62" t="n">
        <v>176</v>
      </c>
      <c r="R103" s="41" t="n">
        <v>287</v>
      </c>
      <c r="S103" s="61" t="n">
        <v>307</v>
      </c>
      <c r="T103" s="68"/>
      <c r="U103" s="62" t="n">
        <v>176</v>
      </c>
      <c r="V103" s="68"/>
      <c r="W103" s="68"/>
      <c r="X103" s="44"/>
      <c r="Y103" s="40" t="n">
        <v>287</v>
      </c>
      <c r="Z103" s="40" t="n">
        <v>307</v>
      </c>
      <c r="AA103" s="45"/>
      <c r="AB103" s="45"/>
      <c r="AC103" s="45"/>
      <c r="AD103" s="45"/>
      <c r="AE103" s="68" t="n">
        <v>307</v>
      </c>
      <c r="AF103" s="90" t="n">
        <v>20</v>
      </c>
      <c r="AG103" s="68"/>
      <c r="AI103" s="47"/>
    </row>
    <row r="104" customFormat="false" ht="13.8" hidden="false" customHeight="false" outlineLevel="0" collapsed="false">
      <c r="A104" s="53" t="n">
        <v>315163</v>
      </c>
      <c r="B104" s="53" t="s">
        <v>90</v>
      </c>
      <c r="C104" s="53" t="s">
        <v>91</v>
      </c>
      <c r="D104" s="53" t="s">
        <v>184</v>
      </c>
      <c r="E104" s="89" t="s">
        <v>41</v>
      </c>
      <c r="F104" s="61" t="n">
        <v>375</v>
      </c>
      <c r="G104" s="61" t="n">
        <v>375</v>
      </c>
      <c r="H104" s="61" t="n">
        <v>375</v>
      </c>
      <c r="I104" s="68"/>
      <c r="J104" s="68"/>
      <c r="K104" s="68"/>
      <c r="L104" s="55"/>
      <c r="M104" s="68"/>
      <c r="N104" s="68"/>
      <c r="O104" s="61" t="n">
        <v>375</v>
      </c>
      <c r="P104" s="63"/>
      <c r="Q104" s="61" t="n">
        <v>375</v>
      </c>
      <c r="R104" s="41" t="n">
        <v>375</v>
      </c>
      <c r="S104" s="61" t="n">
        <v>395</v>
      </c>
      <c r="T104" s="68"/>
      <c r="U104" s="61" t="n">
        <v>375</v>
      </c>
      <c r="V104" s="68"/>
      <c r="W104" s="68"/>
      <c r="X104" s="44"/>
      <c r="Y104" s="40" t="n">
        <v>375</v>
      </c>
      <c r="Z104" s="40" t="n">
        <v>395</v>
      </c>
      <c r="AA104" s="45"/>
      <c r="AB104" s="45"/>
      <c r="AC104" s="45"/>
      <c r="AD104" s="45"/>
      <c r="AE104" s="68" t="n">
        <v>395</v>
      </c>
      <c r="AF104" s="90" t="n">
        <v>20</v>
      </c>
      <c r="AG104" s="68"/>
      <c r="AI104" s="47"/>
    </row>
    <row r="105" customFormat="false" ht="13.8" hidden="false" customHeight="false" outlineLevel="0" collapsed="false">
      <c r="A105" s="53" t="n">
        <v>315164</v>
      </c>
      <c r="B105" s="53" t="s">
        <v>90</v>
      </c>
      <c r="C105" s="53" t="s">
        <v>91</v>
      </c>
      <c r="D105" s="53" t="s">
        <v>185</v>
      </c>
      <c r="E105" s="89" t="s">
        <v>41</v>
      </c>
      <c r="F105" s="61" t="n">
        <v>351</v>
      </c>
      <c r="G105" s="61" t="n">
        <v>351</v>
      </c>
      <c r="H105" s="61" t="n">
        <v>351</v>
      </c>
      <c r="I105" s="68"/>
      <c r="J105" s="68"/>
      <c r="K105" s="68"/>
      <c r="L105" s="55"/>
      <c r="M105" s="68"/>
      <c r="N105" s="68"/>
      <c r="O105" s="61" t="n">
        <v>351</v>
      </c>
      <c r="P105" s="63"/>
      <c r="Q105" s="61" t="n">
        <v>351</v>
      </c>
      <c r="R105" s="41" t="n">
        <v>351</v>
      </c>
      <c r="S105" s="61" t="n">
        <v>371</v>
      </c>
      <c r="T105" s="68"/>
      <c r="U105" s="61" t="n">
        <v>351</v>
      </c>
      <c r="V105" s="68"/>
      <c r="W105" s="68"/>
      <c r="X105" s="44"/>
      <c r="Y105" s="40" t="n">
        <v>351</v>
      </c>
      <c r="Z105" s="40" t="n">
        <v>371</v>
      </c>
      <c r="AA105" s="45"/>
      <c r="AB105" s="45"/>
      <c r="AC105" s="45"/>
      <c r="AD105" s="45"/>
      <c r="AE105" s="68" t="n">
        <v>371</v>
      </c>
      <c r="AF105" s="90" t="n">
        <v>20</v>
      </c>
      <c r="AG105" s="68"/>
      <c r="AI105" s="47"/>
    </row>
    <row r="106" customFormat="false" ht="13.8" hidden="false" customHeight="false" outlineLevel="0" collapsed="false">
      <c r="A106" s="53" t="n">
        <v>315144</v>
      </c>
      <c r="B106" s="53" t="s">
        <v>90</v>
      </c>
      <c r="C106" s="53" t="s">
        <v>186</v>
      </c>
      <c r="D106" s="53" t="s">
        <v>187</v>
      </c>
      <c r="E106" s="89" t="s">
        <v>41</v>
      </c>
      <c r="F106" s="61" t="n">
        <v>341</v>
      </c>
      <c r="G106" s="61" t="n">
        <v>341</v>
      </c>
      <c r="H106" s="61" t="n">
        <v>341</v>
      </c>
      <c r="I106" s="68"/>
      <c r="J106" s="68"/>
      <c r="K106" s="68"/>
      <c r="L106" s="55"/>
      <c r="M106" s="68"/>
      <c r="N106" s="68"/>
      <c r="O106" s="61" t="n">
        <v>341</v>
      </c>
      <c r="P106" s="63"/>
      <c r="Q106" s="61" t="n">
        <v>341</v>
      </c>
      <c r="R106" s="41" t="n">
        <v>341</v>
      </c>
      <c r="S106" s="61" t="n">
        <v>461</v>
      </c>
      <c r="T106" s="68"/>
      <c r="U106" s="61" t="n">
        <v>341</v>
      </c>
      <c r="V106" s="68"/>
      <c r="W106" s="68"/>
      <c r="X106" s="44"/>
      <c r="Y106" s="40" t="n">
        <v>341</v>
      </c>
      <c r="Z106" s="40" t="n">
        <v>461</v>
      </c>
      <c r="AA106" s="45"/>
      <c r="AB106" s="45"/>
      <c r="AC106" s="45"/>
      <c r="AD106" s="45"/>
      <c r="AE106" s="68" t="n">
        <v>461</v>
      </c>
      <c r="AF106" s="90" t="n">
        <v>120</v>
      </c>
      <c r="AG106" s="68"/>
      <c r="AI106" s="47"/>
    </row>
    <row r="107" customFormat="false" ht="13.8" hidden="false" customHeight="false" outlineLevel="0" collapsed="false">
      <c r="A107" s="53" t="n">
        <v>315042</v>
      </c>
      <c r="B107" s="53" t="s">
        <v>83</v>
      </c>
      <c r="C107" s="53" t="s">
        <v>84</v>
      </c>
      <c r="D107" s="53" t="s">
        <v>188</v>
      </c>
      <c r="E107" s="89" t="s">
        <v>41</v>
      </c>
      <c r="F107" s="61" t="n">
        <v>104</v>
      </c>
      <c r="G107" s="61" t="n">
        <v>104</v>
      </c>
      <c r="H107" s="61" t="n">
        <v>104</v>
      </c>
      <c r="I107" s="68"/>
      <c r="J107" s="68"/>
      <c r="K107" s="68"/>
      <c r="L107" s="55"/>
      <c r="M107" s="68"/>
      <c r="N107" s="68"/>
      <c r="O107" s="61" t="n">
        <v>104</v>
      </c>
      <c r="P107" s="63"/>
      <c r="Q107" s="61" t="n">
        <v>104</v>
      </c>
      <c r="R107" s="41" t="n">
        <v>104</v>
      </c>
      <c r="S107" s="61" t="n">
        <v>114</v>
      </c>
      <c r="T107" s="68"/>
      <c r="U107" s="61" t="n">
        <v>104</v>
      </c>
      <c r="V107" s="68"/>
      <c r="W107" s="68"/>
      <c r="X107" s="44"/>
      <c r="Y107" s="40" t="n">
        <v>104</v>
      </c>
      <c r="Z107" s="40" t="n">
        <v>114</v>
      </c>
      <c r="AA107" s="45"/>
      <c r="AB107" s="45"/>
      <c r="AC107" s="45"/>
      <c r="AD107" s="45"/>
      <c r="AE107" s="68" t="n">
        <v>114</v>
      </c>
      <c r="AF107" s="90" t="n">
        <v>10</v>
      </c>
      <c r="AG107" s="68"/>
      <c r="AI107" s="47"/>
    </row>
    <row r="108" customFormat="false" ht="13.8" hidden="false" customHeight="false" outlineLevel="0" collapsed="false">
      <c r="A108" s="53" t="n">
        <v>301094</v>
      </c>
      <c r="B108" s="53" t="s">
        <v>54</v>
      </c>
      <c r="C108" s="53" t="s">
        <v>91</v>
      </c>
      <c r="D108" s="53" t="s">
        <v>189</v>
      </c>
      <c r="E108" s="89" t="s">
        <v>41</v>
      </c>
      <c r="F108" s="61" t="n">
        <v>317</v>
      </c>
      <c r="G108" s="61" t="n">
        <v>317</v>
      </c>
      <c r="H108" s="61" t="n">
        <v>317</v>
      </c>
      <c r="I108" s="68"/>
      <c r="J108" s="68"/>
      <c r="K108" s="68"/>
      <c r="L108" s="55"/>
      <c r="M108" s="68"/>
      <c r="N108" s="68"/>
      <c r="O108" s="61" t="n">
        <v>317</v>
      </c>
      <c r="P108" s="63"/>
      <c r="Q108" s="61" t="n">
        <v>317</v>
      </c>
      <c r="R108" s="41" t="n">
        <v>317</v>
      </c>
      <c r="S108" s="61" t="n">
        <v>447</v>
      </c>
      <c r="T108" s="68"/>
      <c r="U108" s="61" t="n">
        <v>317</v>
      </c>
      <c r="V108" s="68"/>
      <c r="W108" s="68"/>
      <c r="X108" s="44"/>
      <c r="Y108" s="40" t="n">
        <v>317</v>
      </c>
      <c r="Z108" s="40" t="n">
        <v>447</v>
      </c>
      <c r="AA108" s="45"/>
      <c r="AB108" s="45"/>
      <c r="AC108" s="45"/>
      <c r="AD108" s="45"/>
      <c r="AE108" s="68" t="n">
        <v>447</v>
      </c>
      <c r="AF108" s="90" t="n">
        <v>130</v>
      </c>
      <c r="AG108" s="68"/>
      <c r="AI108" s="47"/>
    </row>
    <row r="109" customFormat="false" ht="13.8" hidden="false" customHeight="false" outlineLevel="0" collapsed="false">
      <c r="A109" s="53" t="n">
        <v>315151</v>
      </c>
      <c r="B109" s="53" t="s">
        <v>123</v>
      </c>
      <c r="C109" s="53" t="s">
        <v>91</v>
      </c>
      <c r="D109" s="53" t="s">
        <v>190</v>
      </c>
      <c r="E109" s="89" t="s">
        <v>41</v>
      </c>
      <c r="F109" s="61" t="n">
        <v>724</v>
      </c>
      <c r="G109" s="61" t="n">
        <v>724</v>
      </c>
      <c r="H109" s="61" t="n">
        <v>724</v>
      </c>
      <c r="I109" s="68"/>
      <c r="J109" s="68"/>
      <c r="K109" s="68"/>
      <c r="L109" s="55"/>
      <c r="M109" s="68"/>
      <c r="N109" s="68"/>
      <c r="O109" s="61" t="n">
        <v>724</v>
      </c>
      <c r="P109" s="63"/>
      <c r="Q109" s="61" t="n">
        <v>724</v>
      </c>
      <c r="R109" s="41" t="n">
        <v>724</v>
      </c>
      <c r="S109" s="61" t="n">
        <v>984</v>
      </c>
      <c r="T109" s="68"/>
      <c r="U109" s="61" t="n">
        <v>724</v>
      </c>
      <c r="V109" s="68"/>
      <c r="W109" s="68"/>
      <c r="X109" s="44"/>
      <c r="Y109" s="40" t="n">
        <v>724</v>
      </c>
      <c r="Z109" s="40" t="n">
        <v>984</v>
      </c>
      <c r="AA109" s="45"/>
      <c r="AB109" s="45"/>
      <c r="AC109" s="45"/>
      <c r="AD109" s="45"/>
      <c r="AE109" s="68" t="n">
        <v>984</v>
      </c>
      <c r="AF109" s="90" t="n">
        <v>260</v>
      </c>
      <c r="AG109" s="68"/>
      <c r="AI109" s="47"/>
    </row>
    <row r="110" customFormat="false" ht="13.8" hidden="false" customHeight="false" outlineLevel="0" collapsed="false">
      <c r="A110" s="53" t="n">
        <v>315154</v>
      </c>
      <c r="B110" s="53" t="s">
        <v>123</v>
      </c>
      <c r="C110" s="53" t="s">
        <v>91</v>
      </c>
      <c r="D110" s="53" t="s">
        <v>191</v>
      </c>
      <c r="E110" s="89" t="s">
        <v>41</v>
      </c>
      <c r="F110" s="61" t="n">
        <v>724</v>
      </c>
      <c r="G110" s="61" t="n">
        <v>724</v>
      </c>
      <c r="H110" s="61" t="n">
        <v>724</v>
      </c>
      <c r="I110" s="68"/>
      <c r="J110" s="68"/>
      <c r="K110" s="68"/>
      <c r="L110" s="55"/>
      <c r="M110" s="68"/>
      <c r="N110" s="68"/>
      <c r="O110" s="61" t="n">
        <v>724</v>
      </c>
      <c r="P110" s="63"/>
      <c r="Q110" s="61" t="n">
        <v>724</v>
      </c>
      <c r="R110" s="41" t="n">
        <v>724</v>
      </c>
      <c r="S110" s="61" t="n">
        <v>984</v>
      </c>
      <c r="T110" s="68"/>
      <c r="U110" s="61" t="n">
        <v>724</v>
      </c>
      <c r="V110" s="68"/>
      <c r="W110" s="68"/>
      <c r="X110" s="44"/>
      <c r="Y110" s="40" t="n">
        <v>724</v>
      </c>
      <c r="Z110" s="40" t="n">
        <v>984</v>
      </c>
      <c r="AA110" s="45"/>
      <c r="AB110" s="45"/>
      <c r="AC110" s="45"/>
      <c r="AD110" s="45"/>
      <c r="AE110" s="68" t="n">
        <v>984</v>
      </c>
      <c r="AF110" s="90" t="n">
        <v>260</v>
      </c>
      <c r="AG110" s="68"/>
      <c r="AI110" s="47"/>
    </row>
    <row r="111" customFormat="false" ht="13.8" hidden="false" customHeight="false" outlineLevel="0" collapsed="false">
      <c r="A111" s="53" t="n">
        <v>315153</v>
      </c>
      <c r="B111" s="53" t="s">
        <v>123</v>
      </c>
      <c r="C111" s="53" t="s">
        <v>91</v>
      </c>
      <c r="D111" s="53" t="s">
        <v>192</v>
      </c>
      <c r="E111" s="89" t="s">
        <v>41</v>
      </c>
      <c r="F111" s="61" t="n">
        <v>724</v>
      </c>
      <c r="G111" s="61" t="n">
        <v>724</v>
      </c>
      <c r="H111" s="61" t="n">
        <v>724</v>
      </c>
      <c r="I111" s="68"/>
      <c r="J111" s="68"/>
      <c r="K111" s="68"/>
      <c r="L111" s="55"/>
      <c r="M111" s="68"/>
      <c r="N111" s="68"/>
      <c r="O111" s="61" t="n">
        <v>724</v>
      </c>
      <c r="P111" s="63"/>
      <c r="Q111" s="61" t="n">
        <v>724</v>
      </c>
      <c r="R111" s="41" t="n">
        <v>724</v>
      </c>
      <c r="S111" s="61" t="n">
        <v>984</v>
      </c>
      <c r="T111" s="68"/>
      <c r="U111" s="61" t="n">
        <v>724</v>
      </c>
      <c r="V111" s="68"/>
      <c r="W111" s="68"/>
      <c r="X111" s="44"/>
      <c r="Y111" s="40" t="n">
        <v>724</v>
      </c>
      <c r="Z111" s="40" t="n">
        <v>984</v>
      </c>
      <c r="AA111" s="45"/>
      <c r="AB111" s="45"/>
      <c r="AC111" s="45"/>
      <c r="AD111" s="45"/>
      <c r="AE111" s="68" t="n">
        <v>984</v>
      </c>
      <c r="AF111" s="90" t="n">
        <v>260</v>
      </c>
      <c r="AG111" s="68"/>
      <c r="AI111" s="47"/>
    </row>
    <row r="112" customFormat="false" ht="13.8" hidden="false" customHeight="false" outlineLevel="0" collapsed="false">
      <c r="A112" s="53" t="n">
        <v>315156</v>
      </c>
      <c r="B112" s="53" t="s">
        <v>123</v>
      </c>
      <c r="C112" s="53" t="s">
        <v>91</v>
      </c>
      <c r="D112" s="53" t="s">
        <v>193</v>
      </c>
      <c r="E112" s="89" t="s">
        <v>41</v>
      </c>
      <c r="F112" s="61" t="n">
        <v>1296</v>
      </c>
      <c r="G112" s="61" t="n">
        <v>1296</v>
      </c>
      <c r="H112" s="61" t="n">
        <v>1296</v>
      </c>
      <c r="I112" s="68"/>
      <c r="J112" s="68"/>
      <c r="K112" s="68"/>
      <c r="L112" s="55"/>
      <c r="M112" s="68"/>
      <c r="N112" s="68"/>
      <c r="O112" s="61" t="n">
        <v>1296</v>
      </c>
      <c r="P112" s="63"/>
      <c r="Q112" s="61" t="n">
        <v>1296</v>
      </c>
      <c r="R112" s="41" t="n">
        <v>1296</v>
      </c>
      <c r="S112" s="61" t="n">
        <v>1556</v>
      </c>
      <c r="T112" s="68"/>
      <c r="U112" s="61" t="n">
        <v>1296</v>
      </c>
      <c r="V112" s="68"/>
      <c r="W112" s="68"/>
      <c r="X112" s="44"/>
      <c r="Y112" s="40" t="n">
        <v>1296</v>
      </c>
      <c r="Z112" s="40" t="n">
        <v>1556</v>
      </c>
      <c r="AA112" s="45"/>
      <c r="AB112" s="45"/>
      <c r="AC112" s="45"/>
      <c r="AD112" s="45"/>
      <c r="AE112" s="68" t="n">
        <v>1556</v>
      </c>
      <c r="AF112" s="90" t="n">
        <v>260</v>
      </c>
      <c r="AG112" s="68"/>
      <c r="AI112" s="47"/>
    </row>
    <row r="113" customFormat="false" ht="13.8" hidden="false" customHeight="false" outlineLevel="0" collapsed="false">
      <c r="A113" s="53" t="n">
        <v>315201</v>
      </c>
      <c r="B113" s="53" t="s">
        <v>123</v>
      </c>
      <c r="C113" s="53" t="s">
        <v>99</v>
      </c>
      <c r="D113" s="53" t="s">
        <v>194</v>
      </c>
      <c r="E113" s="89" t="s">
        <v>41</v>
      </c>
      <c r="F113" s="61" t="n">
        <v>683</v>
      </c>
      <c r="G113" s="61" t="n">
        <v>683</v>
      </c>
      <c r="H113" s="61" t="n">
        <v>683</v>
      </c>
      <c r="I113" s="68"/>
      <c r="J113" s="68"/>
      <c r="K113" s="68"/>
      <c r="L113" s="55"/>
      <c r="M113" s="68"/>
      <c r="N113" s="68"/>
      <c r="O113" s="61" t="n">
        <v>683</v>
      </c>
      <c r="P113" s="63"/>
      <c r="Q113" s="61" t="n">
        <v>683</v>
      </c>
      <c r="R113" s="41" t="n">
        <v>683</v>
      </c>
      <c r="S113" s="61" t="n">
        <v>765</v>
      </c>
      <c r="T113" s="68"/>
      <c r="U113" s="61" t="n">
        <v>683</v>
      </c>
      <c r="V113" s="68"/>
      <c r="W113" s="68"/>
      <c r="X113" s="44"/>
      <c r="Y113" s="40" t="n">
        <v>683</v>
      </c>
      <c r="Z113" s="40" t="n">
        <v>765</v>
      </c>
      <c r="AA113" s="45" t="s">
        <v>195</v>
      </c>
      <c r="AB113" s="45"/>
      <c r="AC113" s="45"/>
      <c r="AD113" s="45"/>
      <c r="AE113" s="68" t="n">
        <v>765</v>
      </c>
      <c r="AF113" s="90" t="n">
        <v>82</v>
      </c>
      <c r="AG113" s="68"/>
      <c r="AI113" s="47"/>
    </row>
    <row r="114" customFormat="false" ht="13.8" hidden="false" customHeight="false" outlineLevel="0" collapsed="false">
      <c r="A114" s="53" t="n">
        <v>315202</v>
      </c>
      <c r="B114" s="53" t="s">
        <v>123</v>
      </c>
      <c r="C114" s="53" t="s">
        <v>99</v>
      </c>
      <c r="D114" s="53" t="s">
        <v>196</v>
      </c>
      <c r="E114" s="89" t="s">
        <v>41</v>
      </c>
      <c r="F114" s="61" t="n">
        <v>683</v>
      </c>
      <c r="G114" s="61" t="n">
        <v>683</v>
      </c>
      <c r="H114" s="61" t="n">
        <v>683</v>
      </c>
      <c r="I114" s="68"/>
      <c r="J114" s="68"/>
      <c r="K114" s="68"/>
      <c r="L114" s="55"/>
      <c r="M114" s="68"/>
      <c r="N114" s="68"/>
      <c r="O114" s="61" t="n">
        <v>683</v>
      </c>
      <c r="P114" s="63"/>
      <c r="Q114" s="61" t="n">
        <v>683</v>
      </c>
      <c r="R114" s="41" t="n">
        <v>683</v>
      </c>
      <c r="S114" s="61" t="n">
        <v>765</v>
      </c>
      <c r="T114" s="68"/>
      <c r="U114" s="61" t="n">
        <v>683</v>
      </c>
      <c r="V114" s="68"/>
      <c r="W114" s="68"/>
      <c r="X114" s="44"/>
      <c r="Y114" s="40" t="n">
        <v>683</v>
      </c>
      <c r="Z114" s="40" t="n">
        <v>765</v>
      </c>
      <c r="AA114" s="45" t="s">
        <v>195</v>
      </c>
      <c r="AB114" s="45"/>
      <c r="AC114" s="45"/>
      <c r="AD114" s="45"/>
      <c r="AE114" s="68" t="n">
        <v>765</v>
      </c>
      <c r="AF114" s="90" t="n">
        <v>82</v>
      </c>
      <c r="AG114" s="68"/>
      <c r="AI114" s="47"/>
    </row>
    <row r="115" customFormat="false" ht="13.8" hidden="false" customHeight="false" outlineLevel="0" collapsed="false">
      <c r="A115" s="53" t="n">
        <v>315204</v>
      </c>
      <c r="B115" s="53" t="s">
        <v>123</v>
      </c>
      <c r="C115" s="53" t="s">
        <v>99</v>
      </c>
      <c r="D115" s="53" t="s">
        <v>197</v>
      </c>
      <c r="E115" s="89" t="s">
        <v>41</v>
      </c>
      <c r="F115" s="61" t="n">
        <v>683</v>
      </c>
      <c r="G115" s="61" t="n">
        <v>683</v>
      </c>
      <c r="H115" s="61" t="n">
        <v>683</v>
      </c>
      <c r="I115" s="68"/>
      <c r="J115" s="68"/>
      <c r="K115" s="68"/>
      <c r="L115" s="55"/>
      <c r="M115" s="68"/>
      <c r="N115" s="68"/>
      <c r="O115" s="61" t="n">
        <v>683</v>
      </c>
      <c r="P115" s="63"/>
      <c r="Q115" s="61" t="n">
        <v>683</v>
      </c>
      <c r="R115" s="41" t="n">
        <v>683</v>
      </c>
      <c r="S115" s="61" t="n">
        <v>765</v>
      </c>
      <c r="T115" s="68"/>
      <c r="U115" s="61" t="n">
        <v>683</v>
      </c>
      <c r="V115" s="68"/>
      <c r="W115" s="68"/>
      <c r="X115" s="44"/>
      <c r="Y115" s="40" t="n">
        <v>683</v>
      </c>
      <c r="Z115" s="40" t="n">
        <v>765</v>
      </c>
      <c r="AA115" s="45" t="s">
        <v>195</v>
      </c>
      <c r="AB115" s="45"/>
      <c r="AC115" s="45"/>
      <c r="AD115" s="45"/>
      <c r="AE115" s="68" t="n">
        <v>765</v>
      </c>
      <c r="AF115" s="90" t="n">
        <v>82</v>
      </c>
      <c r="AG115" s="68"/>
      <c r="AI115" s="47"/>
    </row>
    <row r="116" customFormat="false" ht="13.8" hidden="false" customHeight="false" outlineLevel="0" collapsed="false">
      <c r="A116" s="53" t="n">
        <v>315205</v>
      </c>
      <c r="B116" s="53" t="s">
        <v>123</v>
      </c>
      <c r="C116" s="53" t="s">
        <v>99</v>
      </c>
      <c r="D116" s="53" t="s">
        <v>198</v>
      </c>
      <c r="E116" s="89" t="s">
        <v>41</v>
      </c>
      <c r="F116" s="61" t="n">
        <v>683</v>
      </c>
      <c r="G116" s="61" t="n">
        <v>683</v>
      </c>
      <c r="H116" s="61" t="n">
        <v>683</v>
      </c>
      <c r="I116" s="68"/>
      <c r="J116" s="68"/>
      <c r="K116" s="68"/>
      <c r="L116" s="55"/>
      <c r="M116" s="68"/>
      <c r="N116" s="68"/>
      <c r="O116" s="61" t="n">
        <v>683</v>
      </c>
      <c r="P116" s="63"/>
      <c r="Q116" s="61" t="n">
        <v>683</v>
      </c>
      <c r="R116" s="41" t="n">
        <v>683</v>
      </c>
      <c r="S116" s="61" t="n">
        <v>765</v>
      </c>
      <c r="T116" s="68"/>
      <c r="U116" s="61" t="n">
        <v>683</v>
      </c>
      <c r="V116" s="68"/>
      <c r="W116" s="68"/>
      <c r="X116" s="44"/>
      <c r="Y116" s="40" t="n">
        <v>683</v>
      </c>
      <c r="Z116" s="40" t="n">
        <v>765</v>
      </c>
      <c r="AA116" s="45"/>
      <c r="AB116" s="45"/>
      <c r="AC116" s="45"/>
      <c r="AD116" s="45"/>
      <c r="AE116" s="68" t="n">
        <v>765</v>
      </c>
      <c r="AF116" s="90" t="n">
        <v>82</v>
      </c>
      <c r="AG116" s="68"/>
      <c r="AI116" s="47"/>
    </row>
    <row r="117" customFormat="false" ht="13.8" hidden="false" customHeight="false" outlineLevel="0" collapsed="false">
      <c r="A117" s="53" t="n">
        <v>315206</v>
      </c>
      <c r="B117" s="53" t="s">
        <v>123</v>
      </c>
      <c r="C117" s="53" t="s">
        <v>99</v>
      </c>
      <c r="D117" s="53" t="s">
        <v>199</v>
      </c>
      <c r="E117" s="89" t="s">
        <v>41</v>
      </c>
      <c r="F117" s="61" t="n">
        <v>789</v>
      </c>
      <c r="G117" s="61" t="n">
        <v>789</v>
      </c>
      <c r="H117" s="61" t="n">
        <v>789</v>
      </c>
      <c r="I117" s="68"/>
      <c r="J117" s="68"/>
      <c r="K117" s="68"/>
      <c r="L117" s="55"/>
      <c r="M117" s="68"/>
      <c r="N117" s="68"/>
      <c r="O117" s="61" t="n">
        <v>789</v>
      </c>
      <c r="P117" s="63"/>
      <c r="Q117" s="61" t="n">
        <v>789</v>
      </c>
      <c r="R117" s="41" t="n">
        <v>789</v>
      </c>
      <c r="S117" s="61" t="n">
        <v>871</v>
      </c>
      <c r="T117" s="68"/>
      <c r="U117" s="61" t="n">
        <v>789</v>
      </c>
      <c r="V117" s="68"/>
      <c r="W117" s="68"/>
      <c r="X117" s="44"/>
      <c r="Y117" s="40" t="n">
        <v>789</v>
      </c>
      <c r="Z117" s="40" t="n">
        <v>871</v>
      </c>
      <c r="AA117" s="45" t="s">
        <v>195</v>
      </c>
      <c r="AB117" s="45"/>
      <c r="AC117" s="45"/>
      <c r="AD117" s="45"/>
      <c r="AE117" s="68" t="n">
        <v>871</v>
      </c>
      <c r="AF117" s="90" t="n">
        <v>82</v>
      </c>
      <c r="AG117" s="68"/>
      <c r="AI117" s="47"/>
    </row>
    <row r="118" customFormat="false" ht="13.8" hidden="false" customHeight="false" outlineLevel="0" collapsed="false">
      <c r="A118" s="53" t="n">
        <v>315238</v>
      </c>
      <c r="B118" s="53" t="s">
        <v>123</v>
      </c>
      <c r="C118" s="53" t="s">
        <v>99</v>
      </c>
      <c r="D118" s="53" t="s">
        <v>200</v>
      </c>
      <c r="E118" s="89" t="s">
        <v>41</v>
      </c>
      <c r="F118" s="61" t="n">
        <v>805</v>
      </c>
      <c r="G118" s="61" t="n">
        <v>805</v>
      </c>
      <c r="H118" s="61" t="n">
        <v>805</v>
      </c>
      <c r="I118" s="68"/>
      <c r="J118" s="68"/>
      <c r="K118" s="68"/>
      <c r="L118" s="55"/>
      <c r="M118" s="68"/>
      <c r="N118" s="68"/>
      <c r="O118" s="61" t="n">
        <v>805</v>
      </c>
      <c r="P118" s="63"/>
      <c r="Q118" s="61" t="n">
        <v>805</v>
      </c>
      <c r="R118" s="41" t="n">
        <v>805</v>
      </c>
      <c r="S118" s="61" t="n">
        <v>887</v>
      </c>
      <c r="T118" s="68"/>
      <c r="U118" s="61" t="n">
        <v>805</v>
      </c>
      <c r="V118" s="68"/>
      <c r="W118" s="68"/>
      <c r="X118" s="44"/>
      <c r="Y118" s="40" t="n">
        <v>805</v>
      </c>
      <c r="Z118" s="40" t="n">
        <v>887</v>
      </c>
      <c r="AA118" s="45"/>
      <c r="AB118" s="45"/>
      <c r="AC118" s="45"/>
      <c r="AD118" s="45"/>
      <c r="AE118" s="68" t="n">
        <v>887</v>
      </c>
      <c r="AF118" s="90" t="n">
        <v>82</v>
      </c>
      <c r="AG118" s="68"/>
      <c r="AI118" s="47"/>
    </row>
    <row r="119" customFormat="false" ht="13.8" hidden="false" customHeight="false" outlineLevel="0" collapsed="false">
      <c r="A119" s="53" t="n">
        <v>315248</v>
      </c>
      <c r="B119" s="53" t="s">
        <v>123</v>
      </c>
      <c r="C119" s="53" t="s">
        <v>99</v>
      </c>
      <c r="D119" s="53" t="s">
        <v>201</v>
      </c>
      <c r="E119" s="89" t="s">
        <v>41</v>
      </c>
      <c r="F119" s="61" t="n">
        <v>910</v>
      </c>
      <c r="G119" s="61" t="n">
        <v>910</v>
      </c>
      <c r="H119" s="61" t="n">
        <v>910</v>
      </c>
      <c r="I119" s="68"/>
      <c r="J119" s="68"/>
      <c r="K119" s="68"/>
      <c r="L119" s="55"/>
      <c r="M119" s="68"/>
      <c r="N119" s="68"/>
      <c r="O119" s="61" t="n">
        <v>910</v>
      </c>
      <c r="P119" s="63"/>
      <c r="Q119" s="61" t="n">
        <v>910</v>
      </c>
      <c r="R119" s="41" t="n">
        <v>910</v>
      </c>
      <c r="S119" s="61" t="n">
        <v>992</v>
      </c>
      <c r="T119" s="68"/>
      <c r="U119" s="61" t="n">
        <v>910</v>
      </c>
      <c r="V119" s="68"/>
      <c r="W119" s="68"/>
      <c r="X119" s="44"/>
      <c r="Y119" s="40" t="n">
        <v>910</v>
      </c>
      <c r="Z119" s="40" t="n">
        <v>992</v>
      </c>
      <c r="AA119" s="45" t="s">
        <v>195</v>
      </c>
      <c r="AB119" s="45"/>
      <c r="AC119" s="45"/>
      <c r="AD119" s="45"/>
      <c r="AE119" s="68" t="n">
        <v>992</v>
      </c>
      <c r="AF119" s="90" t="n">
        <v>82</v>
      </c>
      <c r="AG119" s="68"/>
      <c r="AI119" s="47"/>
    </row>
    <row r="120" customFormat="false" ht="13.8" hidden="false" customHeight="false" outlineLevel="0" collapsed="false">
      <c r="A120" s="53" t="n">
        <v>315221</v>
      </c>
      <c r="B120" s="53" t="s">
        <v>123</v>
      </c>
      <c r="C120" s="53" t="s">
        <v>99</v>
      </c>
      <c r="D120" s="53" t="s">
        <v>202</v>
      </c>
      <c r="E120" s="89" t="s">
        <v>41</v>
      </c>
      <c r="F120" s="61" t="n">
        <v>968</v>
      </c>
      <c r="G120" s="61" t="n">
        <v>968</v>
      </c>
      <c r="H120" s="61" t="n">
        <v>968</v>
      </c>
      <c r="I120" s="68"/>
      <c r="J120" s="68"/>
      <c r="K120" s="68"/>
      <c r="L120" s="55"/>
      <c r="M120" s="68"/>
      <c r="N120" s="68"/>
      <c r="O120" s="61" t="n">
        <v>968</v>
      </c>
      <c r="P120" s="63"/>
      <c r="Q120" s="61" t="n">
        <v>968</v>
      </c>
      <c r="R120" s="41" t="n">
        <v>968</v>
      </c>
      <c r="S120" s="61" t="n">
        <v>968</v>
      </c>
      <c r="T120" s="68"/>
      <c r="U120" s="61" t="n">
        <v>968</v>
      </c>
      <c r="V120" s="68"/>
      <c r="W120" s="68"/>
      <c r="X120" s="44"/>
      <c r="Y120" s="40" t="n">
        <v>968</v>
      </c>
      <c r="Z120" s="40" t="n">
        <v>968</v>
      </c>
      <c r="AA120" s="45"/>
      <c r="AB120" s="45"/>
      <c r="AC120" s="45"/>
      <c r="AD120" s="45"/>
      <c r="AE120" s="68" t="n">
        <v>968</v>
      </c>
      <c r="AF120" s="90" t="n">
        <v>0</v>
      </c>
      <c r="AG120" s="68"/>
      <c r="AI120" s="47"/>
    </row>
    <row r="121" customFormat="false" ht="13.8" hidden="false" customHeight="false" outlineLevel="0" collapsed="false">
      <c r="A121" s="53" t="n">
        <v>315222</v>
      </c>
      <c r="B121" s="53" t="s">
        <v>123</v>
      </c>
      <c r="C121" s="53" t="s">
        <v>99</v>
      </c>
      <c r="D121" s="53" t="s">
        <v>203</v>
      </c>
      <c r="E121" s="89" t="s">
        <v>41</v>
      </c>
      <c r="F121" s="61" t="n">
        <v>968</v>
      </c>
      <c r="G121" s="61" t="n">
        <v>968</v>
      </c>
      <c r="H121" s="61" t="n">
        <v>968</v>
      </c>
      <c r="I121" s="68"/>
      <c r="J121" s="68"/>
      <c r="K121" s="68"/>
      <c r="L121" s="55"/>
      <c r="M121" s="68"/>
      <c r="N121" s="68"/>
      <c r="O121" s="61" t="n">
        <v>968</v>
      </c>
      <c r="P121" s="63"/>
      <c r="Q121" s="61" t="n">
        <v>968</v>
      </c>
      <c r="R121" s="41" t="n">
        <v>968</v>
      </c>
      <c r="S121" s="61" t="n">
        <v>968</v>
      </c>
      <c r="T121" s="68"/>
      <c r="U121" s="61" t="n">
        <v>968</v>
      </c>
      <c r="V121" s="68"/>
      <c r="W121" s="68"/>
      <c r="X121" s="44"/>
      <c r="Y121" s="40" t="n">
        <v>968</v>
      </c>
      <c r="Z121" s="40" t="n">
        <v>968</v>
      </c>
      <c r="AA121" s="45"/>
      <c r="AB121" s="45"/>
      <c r="AC121" s="45"/>
      <c r="AD121" s="45"/>
      <c r="AE121" s="68" t="n">
        <v>968</v>
      </c>
      <c r="AF121" s="90" t="n">
        <v>0</v>
      </c>
      <c r="AG121" s="68"/>
      <c r="AI121" s="47"/>
    </row>
    <row r="122" customFormat="false" ht="13.8" hidden="false" customHeight="false" outlineLevel="0" collapsed="false">
      <c r="A122" s="53" t="n">
        <v>315226</v>
      </c>
      <c r="B122" s="53" t="s">
        <v>123</v>
      </c>
      <c r="C122" s="53" t="s">
        <v>99</v>
      </c>
      <c r="D122" s="53" t="s">
        <v>204</v>
      </c>
      <c r="E122" s="89" t="s">
        <v>41</v>
      </c>
      <c r="F122" s="61" t="n">
        <v>1074</v>
      </c>
      <c r="G122" s="61" t="n">
        <v>1074</v>
      </c>
      <c r="H122" s="61" t="n">
        <v>1074</v>
      </c>
      <c r="I122" s="68"/>
      <c r="J122" s="68"/>
      <c r="K122" s="68"/>
      <c r="L122" s="55"/>
      <c r="M122" s="68"/>
      <c r="N122" s="68"/>
      <c r="O122" s="61" t="n">
        <v>1074</v>
      </c>
      <c r="P122" s="63"/>
      <c r="Q122" s="61" t="n">
        <v>1074</v>
      </c>
      <c r="R122" s="41" t="n">
        <v>1074</v>
      </c>
      <c r="S122" s="61" t="n">
        <v>1074</v>
      </c>
      <c r="T122" s="68"/>
      <c r="U122" s="61" t="n">
        <v>1074</v>
      </c>
      <c r="V122" s="68"/>
      <c r="W122" s="68"/>
      <c r="X122" s="44"/>
      <c r="Y122" s="40" t="n">
        <v>1074</v>
      </c>
      <c r="Z122" s="40" t="n">
        <v>1074</v>
      </c>
      <c r="AA122" s="45"/>
      <c r="AB122" s="45"/>
      <c r="AC122" s="45"/>
      <c r="AD122" s="45"/>
      <c r="AE122" s="68" t="n">
        <v>1074</v>
      </c>
      <c r="AF122" s="90" t="n">
        <v>0</v>
      </c>
      <c r="AG122" s="68"/>
      <c r="AI122" s="47"/>
    </row>
    <row r="123" customFormat="false" ht="13.8" hidden="false" customHeight="false" outlineLevel="0" collapsed="false">
      <c r="A123" s="53" t="n">
        <v>315227</v>
      </c>
      <c r="B123" s="53" t="s">
        <v>123</v>
      </c>
      <c r="C123" s="53" t="s">
        <v>99</v>
      </c>
      <c r="D123" s="53" t="s">
        <v>205</v>
      </c>
      <c r="E123" s="89" t="s">
        <v>41</v>
      </c>
      <c r="F123" s="61" t="n">
        <v>1074</v>
      </c>
      <c r="G123" s="61" t="n">
        <v>1074</v>
      </c>
      <c r="H123" s="61" t="n">
        <v>1074</v>
      </c>
      <c r="I123" s="68"/>
      <c r="J123" s="68"/>
      <c r="K123" s="68"/>
      <c r="L123" s="55"/>
      <c r="M123" s="68"/>
      <c r="N123" s="68"/>
      <c r="O123" s="61" t="n">
        <v>1074</v>
      </c>
      <c r="P123" s="63"/>
      <c r="Q123" s="61" t="n">
        <v>1074</v>
      </c>
      <c r="R123" s="41" t="n">
        <v>1074</v>
      </c>
      <c r="S123" s="61" t="n">
        <v>1074</v>
      </c>
      <c r="T123" s="68"/>
      <c r="U123" s="61" t="n">
        <v>1074</v>
      </c>
      <c r="V123" s="68"/>
      <c r="W123" s="68"/>
      <c r="X123" s="44"/>
      <c r="Y123" s="40" t="n">
        <v>1074</v>
      </c>
      <c r="Z123" s="40" t="n">
        <v>1074</v>
      </c>
      <c r="AA123" s="45"/>
      <c r="AB123" s="45"/>
      <c r="AC123" s="45"/>
      <c r="AD123" s="45"/>
      <c r="AE123" s="68" t="n">
        <v>1074</v>
      </c>
      <c r="AF123" s="90" t="n">
        <v>0</v>
      </c>
      <c r="AG123" s="68"/>
      <c r="AI123" s="47"/>
    </row>
    <row r="124" customFormat="false" ht="13.8" hidden="false" customHeight="false" outlineLevel="0" collapsed="false">
      <c r="A124" s="53" t="n">
        <v>315231</v>
      </c>
      <c r="B124" s="53" t="s">
        <v>123</v>
      </c>
      <c r="C124" s="53" t="s">
        <v>99</v>
      </c>
      <c r="D124" s="53" t="s">
        <v>206</v>
      </c>
      <c r="E124" s="89" t="s">
        <v>41</v>
      </c>
      <c r="F124" s="61" t="n">
        <v>1277</v>
      </c>
      <c r="G124" s="61" t="n">
        <v>1277</v>
      </c>
      <c r="H124" s="61" t="n">
        <v>1277</v>
      </c>
      <c r="I124" s="68"/>
      <c r="J124" s="68"/>
      <c r="K124" s="68"/>
      <c r="L124" s="55"/>
      <c r="M124" s="68"/>
      <c r="N124" s="68"/>
      <c r="O124" s="61" t="n">
        <v>1277</v>
      </c>
      <c r="P124" s="63"/>
      <c r="Q124" s="61" t="n">
        <v>1277</v>
      </c>
      <c r="R124" s="41" t="n">
        <v>1277</v>
      </c>
      <c r="S124" s="61" t="n">
        <v>1277</v>
      </c>
      <c r="T124" s="68"/>
      <c r="U124" s="61" t="n">
        <v>1277</v>
      </c>
      <c r="V124" s="68"/>
      <c r="W124" s="68"/>
      <c r="X124" s="44"/>
      <c r="Y124" s="40" t="n">
        <v>1277</v>
      </c>
      <c r="Z124" s="40" t="n">
        <v>1277</v>
      </c>
      <c r="AA124" s="45"/>
      <c r="AB124" s="45"/>
      <c r="AC124" s="45"/>
      <c r="AD124" s="45"/>
      <c r="AE124" s="68" t="n">
        <v>1277</v>
      </c>
      <c r="AF124" s="90" t="n">
        <v>0</v>
      </c>
      <c r="AG124" s="68"/>
      <c r="AI124" s="47"/>
    </row>
    <row r="125" customFormat="false" ht="13.8" hidden="false" customHeight="false" outlineLevel="0" collapsed="false">
      <c r="A125" s="53" t="n">
        <v>315232</v>
      </c>
      <c r="B125" s="53" t="s">
        <v>123</v>
      </c>
      <c r="C125" s="53" t="s">
        <v>99</v>
      </c>
      <c r="D125" s="53" t="s">
        <v>207</v>
      </c>
      <c r="E125" s="89" t="s">
        <v>41</v>
      </c>
      <c r="F125" s="61" t="n">
        <v>1277</v>
      </c>
      <c r="G125" s="61" t="n">
        <v>1277</v>
      </c>
      <c r="H125" s="61" t="n">
        <v>1277</v>
      </c>
      <c r="I125" s="68"/>
      <c r="J125" s="68"/>
      <c r="K125" s="68"/>
      <c r="L125" s="55"/>
      <c r="M125" s="68"/>
      <c r="N125" s="68"/>
      <c r="O125" s="61" t="n">
        <v>1277</v>
      </c>
      <c r="P125" s="63"/>
      <c r="Q125" s="61" t="n">
        <v>1277</v>
      </c>
      <c r="R125" s="41" t="n">
        <v>1277</v>
      </c>
      <c r="S125" s="61" t="n">
        <v>1277</v>
      </c>
      <c r="T125" s="68"/>
      <c r="U125" s="61" t="n">
        <v>1277</v>
      </c>
      <c r="V125" s="68"/>
      <c r="W125" s="68"/>
      <c r="X125" s="44"/>
      <c r="Y125" s="40" t="n">
        <v>1277</v>
      </c>
      <c r="Z125" s="40" t="n">
        <v>1277</v>
      </c>
      <c r="AA125" s="45"/>
      <c r="AB125" s="45"/>
      <c r="AC125" s="45"/>
      <c r="AD125" s="45"/>
      <c r="AE125" s="68" t="n">
        <v>1277</v>
      </c>
      <c r="AF125" s="90" t="n">
        <v>0</v>
      </c>
      <c r="AG125" s="68"/>
      <c r="AI125" s="47"/>
    </row>
    <row r="126" customFormat="false" ht="13.8" hidden="false" customHeight="false" outlineLevel="0" collapsed="false">
      <c r="A126" s="53" t="n">
        <v>315235</v>
      </c>
      <c r="B126" s="53" t="s">
        <v>123</v>
      </c>
      <c r="C126" s="53" t="s">
        <v>99</v>
      </c>
      <c r="D126" s="53" t="s">
        <v>208</v>
      </c>
      <c r="E126" s="89" t="s">
        <v>41</v>
      </c>
      <c r="F126" s="61" t="n">
        <v>1480</v>
      </c>
      <c r="G126" s="61" t="n">
        <v>1480</v>
      </c>
      <c r="H126" s="61" t="n">
        <v>1480</v>
      </c>
      <c r="I126" s="68"/>
      <c r="J126" s="68"/>
      <c r="K126" s="68"/>
      <c r="L126" s="55"/>
      <c r="M126" s="68"/>
      <c r="N126" s="68"/>
      <c r="O126" s="61" t="n">
        <v>1480</v>
      </c>
      <c r="P126" s="63"/>
      <c r="Q126" s="61" t="n">
        <v>1480</v>
      </c>
      <c r="R126" s="41" t="n">
        <v>1480</v>
      </c>
      <c r="S126" s="61" t="n">
        <v>1480</v>
      </c>
      <c r="T126" s="68"/>
      <c r="U126" s="61" t="n">
        <v>1480</v>
      </c>
      <c r="V126" s="68"/>
      <c r="W126" s="68"/>
      <c r="X126" s="44"/>
      <c r="Y126" s="40" t="n">
        <v>1480</v>
      </c>
      <c r="Z126" s="40" t="n">
        <v>1480</v>
      </c>
      <c r="AA126" s="45"/>
      <c r="AB126" s="45"/>
      <c r="AC126" s="45"/>
      <c r="AD126" s="45"/>
      <c r="AE126" s="68" t="n">
        <v>1480</v>
      </c>
      <c r="AF126" s="90" t="n">
        <v>0</v>
      </c>
      <c r="AG126" s="68"/>
      <c r="AI126" s="47"/>
    </row>
    <row r="127" customFormat="false" ht="13.8" hidden="false" customHeight="false" outlineLevel="0" collapsed="false">
      <c r="A127" s="53" t="n">
        <v>315264</v>
      </c>
      <c r="B127" s="53" t="s">
        <v>123</v>
      </c>
      <c r="C127" s="53" t="s">
        <v>99</v>
      </c>
      <c r="D127" s="53" t="s">
        <v>209</v>
      </c>
      <c r="E127" s="89" t="s">
        <v>41</v>
      </c>
      <c r="F127" s="61" t="n">
        <v>1171</v>
      </c>
      <c r="G127" s="61" t="n">
        <v>1171</v>
      </c>
      <c r="H127" s="61" t="n">
        <v>1171</v>
      </c>
      <c r="I127" s="68"/>
      <c r="J127" s="68"/>
      <c r="K127" s="68"/>
      <c r="L127" s="55"/>
      <c r="M127" s="68"/>
      <c r="N127" s="68"/>
      <c r="O127" s="61" t="n">
        <v>1171</v>
      </c>
      <c r="P127" s="63"/>
      <c r="Q127" s="61" t="n">
        <v>1171</v>
      </c>
      <c r="R127" s="41" t="n">
        <v>1171</v>
      </c>
      <c r="S127" s="61" t="n">
        <v>1171</v>
      </c>
      <c r="T127" s="68"/>
      <c r="U127" s="61" t="n">
        <v>1171</v>
      </c>
      <c r="V127" s="68"/>
      <c r="W127" s="68"/>
      <c r="X127" s="44"/>
      <c r="Y127" s="40" t="n">
        <v>1171</v>
      </c>
      <c r="Z127" s="40" t="n">
        <v>1171</v>
      </c>
      <c r="AA127" s="45"/>
      <c r="AB127" s="45"/>
      <c r="AC127" s="45"/>
      <c r="AD127" s="45"/>
      <c r="AE127" s="68" t="n">
        <v>1171</v>
      </c>
      <c r="AF127" s="90" t="n">
        <v>0</v>
      </c>
      <c r="AG127" s="68"/>
      <c r="AI127" s="47"/>
    </row>
    <row r="128" customFormat="false" ht="13.8" hidden="false" customHeight="false" outlineLevel="0" collapsed="false">
      <c r="A128" s="53" t="n">
        <v>315265</v>
      </c>
      <c r="B128" s="53" t="s">
        <v>123</v>
      </c>
      <c r="C128" s="53" t="s">
        <v>99</v>
      </c>
      <c r="D128" s="53" t="s">
        <v>210</v>
      </c>
      <c r="E128" s="89" t="s">
        <v>41</v>
      </c>
      <c r="F128" s="61" t="n">
        <v>1171</v>
      </c>
      <c r="G128" s="61" t="n">
        <v>1171</v>
      </c>
      <c r="H128" s="61" t="n">
        <v>1171</v>
      </c>
      <c r="I128" s="68"/>
      <c r="J128" s="68"/>
      <c r="K128" s="68"/>
      <c r="L128" s="55"/>
      <c r="M128" s="68"/>
      <c r="N128" s="68"/>
      <c r="O128" s="61" t="n">
        <v>1171</v>
      </c>
      <c r="P128" s="63"/>
      <c r="Q128" s="61" t="n">
        <v>1171</v>
      </c>
      <c r="R128" s="41" t="n">
        <v>1171</v>
      </c>
      <c r="S128" s="61" t="n">
        <v>1171</v>
      </c>
      <c r="T128" s="68"/>
      <c r="U128" s="61" t="n">
        <v>1171</v>
      </c>
      <c r="V128" s="68"/>
      <c r="W128" s="68"/>
      <c r="X128" s="44"/>
      <c r="Y128" s="40" t="n">
        <v>1171</v>
      </c>
      <c r="Z128" s="40" t="n">
        <v>1171</v>
      </c>
      <c r="AA128" s="45"/>
      <c r="AB128" s="45"/>
      <c r="AC128" s="45"/>
      <c r="AD128" s="45"/>
      <c r="AE128" s="68" t="n">
        <v>1171</v>
      </c>
      <c r="AF128" s="90" t="n">
        <v>0</v>
      </c>
      <c r="AG128" s="68"/>
      <c r="AI128" s="47"/>
    </row>
    <row r="129" customFormat="false" ht="13.8" hidden="false" customHeight="false" outlineLevel="0" collapsed="false">
      <c r="A129" s="53" t="n">
        <v>315268</v>
      </c>
      <c r="B129" s="53" t="s">
        <v>123</v>
      </c>
      <c r="C129" s="53" t="s">
        <v>99</v>
      </c>
      <c r="D129" s="53" t="s">
        <v>211</v>
      </c>
      <c r="E129" s="89" t="s">
        <v>41</v>
      </c>
      <c r="F129" s="61" t="n">
        <v>1374</v>
      </c>
      <c r="G129" s="61" t="n">
        <v>1374</v>
      </c>
      <c r="H129" s="61" t="n">
        <v>1374</v>
      </c>
      <c r="I129" s="68"/>
      <c r="J129" s="68"/>
      <c r="K129" s="68"/>
      <c r="L129" s="55"/>
      <c r="M129" s="68"/>
      <c r="N129" s="68"/>
      <c r="O129" s="61" t="n">
        <v>1374</v>
      </c>
      <c r="P129" s="63"/>
      <c r="Q129" s="61" t="n">
        <v>1374</v>
      </c>
      <c r="R129" s="41" t="n">
        <v>1374</v>
      </c>
      <c r="S129" s="61" t="n">
        <v>1374</v>
      </c>
      <c r="T129" s="68"/>
      <c r="U129" s="61" t="n">
        <v>1374</v>
      </c>
      <c r="V129" s="68"/>
      <c r="W129" s="68"/>
      <c r="X129" s="44"/>
      <c r="Y129" s="40" t="n">
        <v>1374</v>
      </c>
      <c r="Z129" s="40" t="n">
        <v>1374</v>
      </c>
      <c r="AA129" s="45"/>
      <c r="AB129" s="45"/>
      <c r="AC129" s="45"/>
      <c r="AD129" s="45"/>
      <c r="AE129" s="68" t="n">
        <v>1374</v>
      </c>
      <c r="AF129" s="90" t="n">
        <v>0</v>
      </c>
      <c r="AG129" s="68"/>
      <c r="AI129" s="47"/>
    </row>
    <row r="130" customFormat="false" ht="13.8" hidden="false" customHeight="false" outlineLevel="0" collapsed="false">
      <c r="A130" s="53" t="n">
        <v>315271</v>
      </c>
      <c r="B130" s="53" t="s">
        <v>123</v>
      </c>
      <c r="C130" s="53" t="s">
        <v>99</v>
      </c>
      <c r="D130" s="53" t="s">
        <v>212</v>
      </c>
      <c r="E130" s="89" t="s">
        <v>41</v>
      </c>
      <c r="F130" s="61" t="n">
        <v>1374</v>
      </c>
      <c r="G130" s="61" t="n">
        <v>1374</v>
      </c>
      <c r="H130" s="61" t="n">
        <v>1374</v>
      </c>
      <c r="I130" s="68"/>
      <c r="J130" s="68"/>
      <c r="K130" s="68"/>
      <c r="L130" s="55"/>
      <c r="M130" s="68"/>
      <c r="N130" s="68"/>
      <c r="O130" s="61" t="n">
        <v>1374</v>
      </c>
      <c r="P130" s="63"/>
      <c r="Q130" s="61" t="n">
        <v>1374</v>
      </c>
      <c r="R130" s="41" t="n">
        <v>1374</v>
      </c>
      <c r="S130" s="61" t="n">
        <v>1374</v>
      </c>
      <c r="T130" s="68"/>
      <c r="U130" s="61" t="n">
        <v>1374</v>
      </c>
      <c r="V130" s="68"/>
      <c r="W130" s="68"/>
      <c r="X130" s="44"/>
      <c r="Y130" s="40" t="n">
        <v>1374</v>
      </c>
      <c r="Z130" s="40" t="n">
        <v>1374</v>
      </c>
      <c r="AA130" s="45"/>
      <c r="AB130" s="45"/>
      <c r="AC130" s="45"/>
      <c r="AD130" s="45"/>
      <c r="AE130" s="68" t="n">
        <v>1374</v>
      </c>
      <c r="AF130" s="90" t="n">
        <v>0</v>
      </c>
      <c r="AG130" s="68"/>
      <c r="AI130" s="47"/>
    </row>
    <row r="131" customFormat="false" ht="13.8" hidden="false" customHeight="false" outlineLevel="0" collapsed="false">
      <c r="A131" s="53" t="n">
        <v>315274</v>
      </c>
      <c r="B131" s="53" t="s">
        <v>123</v>
      </c>
      <c r="C131" s="53" t="s">
        <v>99</v>
      </c>
      <c r="D131" s="53" t="s">
        <v>213</v>
      </c>
      <c r="E131" s="89" t="s">
        <v>41</v>
      </c>
      <c r="F131" s="61" t="n">
        <v>1577</v>
      </c>
      <c r="G131" s="61" t="n">
        <v>1577</v>
      </c>
      <c r="H131" s="61" t="n">
        <v>1577</v>
      </c>
      <c r="I131" s="68"/>
      <c r="J131" s="68"/>
      <c r="K131" s="68"/>
      <c r="L131" s="55"/>
      <c r="M131" s="68"/>
      <c r="N131" s="68"/>
      <c r="O131" s="61" t="n">
        <v>1577</v>
      </c>
      <c r="P131" s="63"/>
      <c r="Q131" s="61" t="n">
        <v>1577</v>
      </c>
      <c r="R131" s="41" t="n">
        <v>1577</v>
      </c>
      <c r="S131" s="61" t="n">
        <v>1577</v>
      </c>
      <c r="T131" s="68"/>
      <c r="U131" s="61" t="n">
        <v>1577</v>
      </c>
      <c r="V131" s="68"/>
      <c r="W131" s="68"/>
      <c r="X131" s="44"/>
      <c r="Y131" s="40" t="n">
        <v>1577</v>
      </c>
      <c r="Z131" s="40" t="n">
        <v>1577</v>
      </c>
      <c r="AA131" s="45"/>
      <c r="AB131" s="45"/>
      <c r="AC131" s="45"/>
      <c r="AD131" s="45"/>
      <c r="AE131" s="68" t="n">
        <v>1577</v>
      </c>
      <c r="AF131" s="90" t="n">
        <v>0</v>
      </c>
      <c r="AG131" s="68"/>
      <c r="AI131" s="47"/>
    </row>
    <row r="132" customFormat="false" ht="13.8" hidden="false" customHeight="false" outlineLevel="0" collapsed="false">
      <c r="A132" s="53" t="n">
        <v>315278</v>
      </c>
      <c r="B132" s="53" t="s">
        <v>123</v>
      </c>
      <c r="C132" s="53" t="s">
        <v>99</v>
      </c>
      <c r="D132" s="53" t="s">
        <v>214</v>
      </c>
      <c r="E132" s="89" t="s">
        <v>41</v>
      </c>
      <c r="F132" s="61" t="n">
        <v>673</v>
      </c>
      <c r="G132" s="61" t="n">
        <v>673</v>
      </c>
      <c r="H132" s="61" t="n">
        <v>673</v>
      </c>
      <c r="I132" s="68"/>
      <c r="J132" s="68"/>
      <c r="K132" s="68"/>
      <c r="L132" s="55"/>
      <c r="M132" s="68"/>
      <c r="N132" s="68"/>
      <c r="O132" s="61" t="n">
        <v>673</v>
      </c>
      <c r="P132" s="63"/>
      <c r="Q132" s="61" t="n">
        <v>673</v>
      </c>
      <c r="R132" s="41" t="n">
        <v>673</v>
      </c>
      <c r="S132" s="61" t="n">
        <v>673</v>
      </c>
      <c r="T132" s="68"/>
      <c r="U132" s="61" t="n">
        <v>673</v>
      </c>
      <c r="V132" s="68"/>
      <c r="W132" s="68"/>
      <c r="X132" s="44"/>
      <c r="Y132" s="40" t="n">
        <v>673</v>
      </c>
      <c r="Z132" s="40" t="n">
        <v>673</v>
      </c>
      <c r="AA132" s="45"/>
      <c r="AB132" s="45"/>
      <c r="AC132" s="45"/>
      <c r="AD132" s="45"/>
      <c r="AE132" s="68" t="n">
        <v>673</v>
      </c>
      <c r="AF132" s="90" t="n">
        <v>0</v>
      </c>
      <c r="AG132" s="68"/>
      <c r="AI132" s="47"/>
    </row>
    <row r="133" customFormat="false" ht="13.8" hidden="false" customHeight="false" outlineLevel="0" collapsed="false">
      <c r="A133" s="53" t="n">
        <v>315279</v>
      </c>
      <c r="B133" s="53" t="s">
        <v>123</v>
      </c>
      <c r="C133" s="53" t="s">
        <v>99</v>
      </c>
      <c r="D133" s="53" t="s">
        <v>215</v>
      </c>
      <c r="E133" s="89" t="s">
        <v>41</v>
      </c>
      <c r="F133" s="61" t="n">
        <v>673</v>
      </c>
      <c r="G133" s="61" t="n">
        <v>673</v>
      </c>
      <c r="H133" s="61" t="n">
        <v>673</v>
      </c>
      <c r="I133" s="68"/>
      <c r="J133" s="68"/>
      <c r="K133" s="68"/>
      <c r="L133" s="55"/>
      <c r="M133" s="68"/>
      <c r="N133" s="68"/>
      <c r="O133" s="61" t="n">
        <v>673</v>
      </c>
      <c r="P133" s="63"/>
      <c r="Q133" s="61" t="n">
        <v>673</v>
      </c>
      <c r="R133" s="41" t="n">
        <v>673</v>
      </c>
      <c r="S133" s="61" t="n">
        <v>673</v>
      </c>
      <c r="T133" s="68"/>
      <c r="U133" s="61" t="n">
        <v>673</v>
      </c>
      <c r="V133" s="68"/>
      <c r="W133" s="68"/>
      <c r="X133" s="44"/>
      <c r="Y133" s="40" t="n">
        <v>673</v>
      </c>
      <c r="Z133" s="40" t="n">
        <v>673</v>
      </c>
      <c r="AA133" s="45"/>
      <c r="AB133" s="45"/>
      <c r="AC133" s="45"/>
      <c r="AD133" s="45"/>
      <c r="AE133" s="68" t="n">
        <v>673</v>
      </c>
      <c r="AF133" s="90" t="n">
        <v>0</v>
      </c>
      <c r="AG133" s="68"/>
      <c r="AI133" s="47"/>
    </row>
    <row r="134" customFormat="false" ht="13.8" hidden="false" customHeight="false" outlineLevel="0" collapsed="false">
      <c r="A134" s="53" t="n">
        <v>315281</v>
      </c>
      <c r="B134" s="53" t="s">
        <v>90</v>
      </c>
      <c r="C134" s="53" t="s">
        <v>99</v>
      </c>
      <c r="D134" s="53" t="s">
        <v>216</v>
      </c>
      <c r="E134" s="89" t="s">
        <v>41</v>
      </c>
      <c r="F134" s="61" t="n">
        <v>474</v>
      </c>
      <c r="G134" s="61" t="n">
        <v>474</v>
      </c>
      <c r="H134" s="61" t="n">
        <v>474</v>
      </c>
      <c r="I134" s="68"/>
      <c r="J134" s="68"/>
      <c r="K134" s="68"/>
      <c r="L134" s="55"/>
      <c r="M134" s="68"/>
      <c r="N134" s="68"/>
      <c r="O134" s="61" t="n">
        <v>474</v>
      </c>
      <c r="P134" s="63"/>
      <c r="Q134" s="61" t="n">
        <v>474</v>
      </c>
      <c r="R134" s="41" t="n">
        <v>474</v>
      </c>
      <c r="S134" s="61" t="n">
        <v>474</v>
      </c>
      <c r="T134" s="68"/>
      <c r="U134" s="61" t="n">
        <v>474</v>
      </c>
      <c r="V134" s="68"/>
      <c r="W134" s="68"/>
      <c r="X134" s="44"/>
      <c r="Y134" s="40" t="n">
        <v>474</v>
      </c>
      <c r="Z134" s="40" t="n">
        <v>474</v>
      </c>
      <c r="AA134" s="45"/>
      <c r="AB134" s="45"/>
      <c r="AC134" s="45"/>
      <c r="AD134" s="45"/>
      <c r="AE134" s="68" t="n">
        <v>474</v>
      </c>
      <c r="AF134" s="90" t="n">
        <v>0</v>
      </c>
      <c r="AG134" s="68"/>
      <c r="AI134" s="47"/>
    </row>
    <row r="135" customFormat="false" ht="13.8" hidden="false" customHeight="false" outlineLevel="0" collapsed="false">
      <c r="A135" s="53" t="n">
        <v>315282</v>
      </c>
      <c r="B135" s="53" t="s">
        <v>90</v>
      </c>
      <c r="C135" s="53" t="s">
        <v>99</v>
      </c>
      <c r="D135" s="53" t="s">
        <v>217</v>
      </c>
      <c r="E135" s="89" t="s">
        <v>41</v>
      </c>
      <c r="F135" s="61" t="n">
        <v>474</v>
      </c>
      <c r="G135" s="61" t="n">
        <v>474</v>
      </c>
      <c r="H135" s="61" t="n">
        <v>474</v>
      </c>
      <c r="I135" s="68"/>
      <c r="J135" s="68"/>
      <c r="K135" s="68"/>
      <c r="L135" s="55"/>
      <c r="M135" s="68"/>
      <c r="N135" s="68"/>
      <c r="O135" s="61" t="n">
        <v>474</v>
      </c>
      <c r="P135" s="63"/>
      <c r="Q135" s="61" t="n">
        <v>474</v>
      </c>
      <c r="R135" s="41" t="n">
        <v>474</v>
      </c>
      <c r="S135" s="61" t="n">
        <v>474</v>
      </c>
      <c r="T135" s="68"/>
      <c r="U135" s="61" t="n">
        <v>474</v>
      </c>
      <c r="V135" s="68"/>
      <c r="W135" s="68"/>
      <c r="X135" s="44"/>
      <c r="Y135" s="40" t="n">
        <v>474</v>
      </c>
      <c r="Z135" s="40" t="n">
        <v>474</v>
      </c>
      <c r="AA135" s="45"/>
      <c r="AB135" s="45"/>
      <c r="AC135" s="45"/>
      <c r="AD135" s="45"/>
      <c r="AE135" s="68" t="n">
        <v>474</v>
      </c>
      <c r="AF135" s="90" t="n">
        <v>0</v>
      </c>
      <c r="AG135" s="68"/>
      <c r="AI135" s="47"/>
    </row>
    <row r="136" customFormat="false" ht="13.8" hidden="false" customHeight="false" outlineLevel="0" collapsed="false">
      <c r="A136" s="53" t="n">
        <v>315283</v>
      </c>
      <c r="B136" s="53" t="s">
        <v>90</v>
      </c>
      <c r="C136" s="53" t="s">
        <v>99</v>
      </c>
      <c r="D136" s="53" t="s">
        <v>218</v>
      </c>
      <c r="E136" s="89" t="s">
        <v>41</v>
      </c>
      <c r="F136" s="61" t="n">
        <v>474</v>
      </c>
      <c r="G136" s="61" t="n">
        <v>474</v>
      </c>
      <c r="H136" s="61" t="n">
        <v>474</v>
      </c>
      <c r="I136" s="68"/>
      <c r="J136" s="68"/>
      <c r="K136" s="68"/>
      <c r="L136" s="55"/>
      <c r="M136" s="68"/>
      <c r="N136" s="68"/>
      <c r="O136" s="61" t="n">
        <v>474</v>
      </c>
      <c r="P136" s="63"/>
      <c r="Q136" s="61" t="n">
        <v>474</v>
      </c>
      <c r="R136" s="41" t="n">
        <v>474</v>
      </c>
      <c r="S136" s="61" t="n">
        <v>474</v>
      </c>
      <c r="T136" s="68"/>
      <c r="U136" s="61" t="n">
        <v>474</v>
      </c>
      <c r="V136" s="68"/>
      <c r="W136" s="68"/>
      <c r="X136" s="44"/>
      <c r="Y136" s="40" t="n">
        <v>474</v>
      </c>
      <c r="Z136" s="40" t="n">
        <v>474</v>
      </c>
      <c r="AA136" s="45"/>
      <c r="AB136" s="45"/>
      <c r="AC136" s="45"/>
      <c r="AD136" s="45"/>
      <c r="AE136" s="68" t="n">
        <v>474</v>
      </c>
      <c r="AF136" s="90" t="n">
        <v>0</v>
      </c>
      <c r="AG136" s="68"/>
      <c r="AI136" s="47"/>
    </row>
    <row r="137" customFormat="false" ht="13.8" hidden="false" customHeight="false" outlineLevel="0" collapsed="false">
      <c r="A137" s="53" t="n">
        <v>315284</v>
      </c>
      <c r="B137" s="53" t="s">
        <v>90</v>
      </c>
      <c r="C137" s="53" t="s">
        <v>99</v>
      </c>
      <c r="D137" s="53" t="s">
        <v>219</v>
      </c>
      <c r="E137" s="89" t="s">
        <v>41</v>
      </c>
      <c r="F137" s="61" t="n">
        <v>450</v>
      </c>
      <c r="G137" s="61" t="n">
        <v>450</v>
      </c>
      <c r="H137" s="61" t="n">
        <v>450</v>
      </c>
      <c r="I137" s="68"/>
      <c r="J137" s="68"/>
      <c r="K137" s="68"/>
      <c r="L137" s="55"/>
      <c r="M137" s="68"/>
      <c r="N137" s="68"/>
      <c r="O137" s="61" t="n">
        <v>450</v>
      </c>
      <c r="P137" s="63"/>
      <c r="Q137" s="61" t="n">
        <v>450</v>
      </c>
      <c r="R137" s="41" t="n">
        <v>450</v>
      </c>
      <c r="S137" s="61" t="n">
        <v>450</v>
      </c>
      <c r="T137" s="68"/>
      <c r="U137" s="61" t="n">
        <v>450</v>
      </c>
      <c r="V137" s="68"/>
      <c r="W137" s="68"/>
      <c r="X137" s="44"/>
      <c r="Y137" s="40" t="n">
        <v>450</v>
      </c>
      <c r="Z137" s="40" t="n">
        <v>450</v>
      </c>
      <c r="AA137" s="45"/>
      <c r="AB137" s="45"/>
      <c r="AC137" s="45"/>
      <c r="AD137" s="45"/>
      <c r="AE137" s="68" t="n">
        <v>450</v>
      </c>
      <c r="AF137" s="90" t="n">
        <v>0</v>
      </c>
      <c r="AG137" s="68"/>
      <c r="AI137" s="47"/>
    </row>
    <row r="138" customFormat="false" ht="13.8" hidden="false" customHeight="false" outlineLevel="0" collapsed="false">
      <c r="A138" s="53" t="n">
        <v>315285</v>
      </c>
      <c r="B138" s="53" t="s">
        <v>90</v>
      </c>
      <c r="C138" s="53" t="s">
        <v>99</v>
      </c>
      <c r="D138" s="53" t="s">
        <v>220</v>
      </c>
      <c r="E138" s="89" t="s">
        <v>41</v>
      </c>
      <c r="F138" s="61" t="n">
        <v>450</v>
      </c>
      <c r="G138" s="61" t="n">
        <v>450</v>
      </c>
      <c r="H138" s="61" t="n">
        <v>450</v>
      </c>
      <c r="I138" s="68"/>
      <c r="J138" s="68"/>
      <c r="K138" s="68"/>
      <c r="L138" s="55"/>
      <c r="M138" s="68"/>
      <c r="N138" s="68"/>
      <c r="O138" s="61" t="n">
        <v>450</v>
      </c>
      <c r="P138" s="63"/>
      <c r="Q138" s="61" t="n">
        <v>450</v>
      </c>
      <c r="R138" s="41" t="n">
        <v>450</v>
      </c>
      <c r="S138" s="61" t="n">
        <v>450</v>
      </c>
      <c r="T138" s="68"/>
      <c r="U138" s="61" t="n">
        <v>450</v>
      </c>
      <c r="V138" s="68"/>
      <c r="W138" s="68"/>
      <c r="X138" s="44"/>
      <c r="Y138" s="40" t="n">
        <v>450</v>
      </c>
      <c r="Z138" s="40" t="n">
        <v>450</v>
      </c>
      <c r="AA138" s="45"/>
      <c r="AB138" s="45"/>
      <c r="AC138" s="45"/>
      <c r="AD138" s="45"/>
      <c r="AE138" s="68" t="n">
        <v>450</v>
      </c>
      <c r="AF138" s="90" t="n">
        <v>0</v>
      </c>
      <c r="AG138" s="68"/>
      <c r="AI138" s="47"/>
    </row>
    <row r="139" customFormat="false" ht="13.8" hidden="false" customHeight="false" outlineLevel="0" collapsed="false">
      <c r="A139" s="53" t="n">
        <v>315286</v>
      </c>
      <c r="B139" s="53" t="s">
        <v>90</v>
      </c>
      <c r="C139" s="53" t="s">
        <v>99</v>
      </c>
      <c r="D139" s="53" t="s">
        <v>221</v>
      </c>
      <c r="E139" s="89" t="s">
        <v>41</v>
      </c>
      <c r="F139" s="61" t="n">
        <v>450</v>
      </c>
      <c r="G139" s="61" t="n">
        <v>450</v>
      </c>
      <c r="H139" s="61" t="n">
        <v>450</v>
      </c>
      <c r="I139" s="68"/>
      <c r="J139" s="68"/>
      <c r="K139" s="68"/>
      <c r="L139" s="55"/>
      <c r="M139" s="68"/>
      <c r="N139" s="68"/>
      <c r="O139" s="61" t="n">
        <v>450</v>
      </c>
      <c r="P139" s="63"/>
      <c r="Q139" s="61" t="n">
        <v>450</v>
      </c>
      <c r="R139" s="41" t="n">
        <v>450</v>
      </c>
      <c r="S139" s="61" t="n">
        <v>450</v>
      </c>
      <c r="T139" s="68"/>
      <c r="U139" s="61" t="n">
        <v>450</v>
      </c>
      <c r="V139" s="68"/>
      <c r="W139" s="68"/>
      <c r="X139" s="44"/>
      <c r="Y139" s="40" t="n">
        <v>450</v>
      </c>
      <c r="Z139" s="40" t="n">
        <v>450</v>
      </c>
      <c r="AA139" s="45"/>
      <c r="AB139" s="45"/>
      <c r="AC139" s="45"/>
      <c r="AD139" s="45"/>
      <c r="AE139" s="68" t="n">
        <v>450</v>
      </c>
      <c r="AF139" s="90" t="n">
        <v>0</v>
      </c>
      <c r="AG139" s="68"/>
      <c r="AI139" s="47"/>
    </row>
    <row r="140" customFormat="false" ht="13.8" hidden="false" customHeight="false" outlineLevel="0" collapsed="false">
      <c r="A140" s="53" t="n">
        <v>315287</v>
      </c>
      <c r="B140" s="53" t="s">
        <v>90</v>
      </c>
      <c r="C140" s="53" t="s">
        <v>99</v>
      </c>
      <c r="D140" s="53" t="s">
        <v>222</v>
      </c>
      <c r="E140" s="89" t="s">
        <v>41</v>
      </c>
      <c r="F140" s="61" t="n">
        <v>296</v>
      </c>
      <c r="G140" s="61" t="n">
        <v>296</v>
      </c>
      <c r="H140" s="61" t="n">
        <v>296</v>
      </c>
      <c r="I140" s="68"/>
      <c r="J140" s="68"/>
      <c r="K140" s="68"/>
      <c r="L140" s="55"/>
      <c r="M140" s="68"/>
      <c r="N140" s="68"/>
      <c r="O140" s="61" t="n">
        <v>296</v>
      </c>
      <c r="P140" s="63"/>
      <c r="Q140" s="61" t="n">
        <v>296</v>
      </c>
      <c r="R140" s="41" t="n">
        <v>296</v>
      </c>
      <c r="S140" s="61" t="n">
        <v>296</v>
      </c>
      <c r="T140" s="68"/>
      <c r="U140" s="61" t="n">
        <v>296</v>
      </c>
      <c r="V140" s="68"/>
      <c r="W140" s="68"/>
      <c r="X140" s="44"/>
      <c r="Y140" s="40" t="n">
        <v>296</v>
      </c>
      <c r="Z140" s="40" t="n">
        <v>296</v>
      </c>
      <c r="AA140" s="45"/>
      <c r="AB140" s="45"/>
      <c r="AC140" s="45"/>
      <c r="AD140" s="45"/>
      <c r="AE140" s="68" t="n">
        <v>296</v>
      </c>
      <c r="AF140" s="90" t="n">
        <v>0</v>
      </c>
      <c r="AG140" s="68"/>
      <c r="AI140" s="47"/>
    </row>
    <row r="141" customFormat="false" ht="13.8" hidden="false" customHeight="false" outlineLevel="0" collapsed="false">
      <c r="A141" s="53" t="n">
        <v>315288</v>
      </c>
      <c r="B141" s="53" t="s">
        <v>90</v>
      </c>
      <c r="C141" s="53" t="s">
        <v>99</v>
      </c>
      <c r="D141" s="53" t="s">
        <v>223</v>
      </c>
      <c r="E141" s="89" t="s">
        <v>41</v>
      </c>
      <c r="F141" s="61" t="n">
        <v>296</v>
      </c>
      <c r="G141" s="61" t="n">
        <v>296</v>
      </c>
      <c r="H141" s="61" t="n">
        <v>296</v>
      </c>
      <c r="I141" s="68"/>
      <c r="J141" s="68"/>
      <c r="K141" s="68"/>
      <c r="L141" s="55"/>
      <c r="M141" s="68"/>
      <c r="N141" s="68"/>
      <c r="O141" s="61" t="n">
        <v>296</v>
      </c>
      <c r="P141" s="63"/>
      <c r="Q141" s="61" t="n">
        <v>296</v>
      </c>
      <c r="R141" s="41" t="n">
        <v>296</v>
      </c>
      <c r="S141" s="61" t="n">
        <v>296</v>
      </c>
      <c r="T141" s="68"/>
      <c r="U141" s="61" t="n">
        <v>296</v>
      </c>
      <c r="V141" s="68"/>
      <c r="W141" s="68"/>
      <c r="X141" s="44"/>
      <c r="Y141" s="40" t="n">
        <v>296</v>
      </c>
      <c r="Z141" s="40" t="n">
        <v>296</v>
      </c>
      <c r="AA141" s="45"/>
      <c r="AB141" s="45"/>
      <c r="AC141" s="45"/>
      <c r="AD141" s="45"/>
      <c r="AE141" s="68" t="n">
        <v>296</v>
      </c>
      <c r="AF141" s="90" t="n">
        <v>0</v>
      </c>
      <c r="AG141" s="68"/>
      <c r="AI141" s="47"/>
    </row>
    <row r="142" customFormat="false" ht="13.8" hidden="false" customHeight="false" outlineLevel="0" collapsed="false">
      <c r="A142" s="53" t="n">
        <v>315291</v>
      </c>
      <c r="B142" s="53" t="s">
        <v>90</v>
      </c>
      <c r="C142" s="53" t="s">
        <v>99</v>
      </c>
      <c r="D142" s="53" t="s">
        <v>224</v>
      </c>
      <c r="E142" s="89" t="s">
        <v>41</v>
      </c>
      <c r="F142" s="61" t="n">
        <v>271</v>
      </c>
      <c r="G142" s="61" t="n">
        <v>271</v>
      </c>
      <c r="H142" s="61" t="n">
        <v>271</v>
      </c>
      <c r="I142" s="68"/>
      <c r="J142" s="68"/>
      <c r="K142" s="68"/>
      <c r="L142" s="55"/>
      <c r="M142" s="68"/>
      <c r="N142" s="68"/>
      <c r="O142" s="61" t="n">
        <v>271</v>
      </c>
      <c r="P142" s="63"/>
      <c r="Q142" s="61" t="n">
        <v>271</v>
      </c>
      <c r="R142" s="41" t="n">
        <v>271</v>
      </c>
      <c r="S142" s="61" t="n">
        <v>271</v>
      </c>
      <c r="T142" s="68"/>
      <c r="U142" s="61" t="n">
        <v>271</v>
      </c>
      <c r="V142" s="68"/>
      <c r="W142" s="68"/>
      <c r="X142" s="44"/>
      <c r="Y142" s="40" t="n">
        <v>271</v>
      </c>
      <c r="Z142" s="40" t="n">
        <v>271</v>
      </c>
      <c r="AA142" s="45"/>
      <c r="AB142" s="45"/>
      <c r="AC142" s="45"/>
      <c r="AD142" s="45"/>
      <c r="AE142" s="68" t="n">
        <v>271</v>
      </c>
      <c r="AF142" s="90" t="n">
        <v>0</v>
      </c>
      <c r="AG142" s="68"/>
      <c r="AI142" s="47"/>
    </row>
    <row r="143" customFormat="false" ht="13.8" hidden="false" customHeight="false" outlineLevel="0" collapsed="false">
      <c r="A143" s="53" t="n">
        <v>315292</v>
      </c>
      <c r="B143" s="53" t="s">
        <v>90</v>
      </c>
      <c r="C143" s="53" t="s">
        <v>99</v>
      </c>
      <c r="D143" s="53" t="s">
        <v>225</v>
      </c>
      <c r="E143" s="89" t="s">
        <v>41</v>
      </c>
      <c r="F143" s="61" t="n">
        <v>271</v>
      </c>
      <c r="G143" s="61" t="n">
        <v>271</v>
      </c>
      <c r="H143" s="61" t="n">
        <v>271</v>
      </c>
      <c r="I143" s="68"/>
      <c r="J143" s="68"/>
      <c r="K143" s="68"/>
      <c r="L143" s="55"/>
      <c r="M143" s="68"/>
      <c r="N143" s="68"/>
      <c r="O143" s="61" t="n">
        <v>271</v>
      </c>
      <c r="P143" s="63"/>
      <c r="Q143" s="61" t="n">
        <v>271</v>
      </c>
      <c r="R143" s="41" t="n">
        <v>271</v>
      </c>
      <c r="S143" s="61" t="n">
        <v>271</v>
      </c>
      <c r="T143" s="68"/>
      <c r="U143" s="61" t="n">
        <v>271</v>
      </c>
      <c r="V143" s="68"/>
      <c r="W143" s="68"/>
      <c r="X143" s="44"/>
      <c r="Y143" s="40" t="n">
        <v>271</v>
      </c>
      <c r="Z143" s="40" t="n">
        <v>271</v>
      </c>
      <c r="AA143" s="45"/>
      <c r="AB143" s="45"/>
      <c r="AC143" s="45"/>
      <c r="AD143" s="45"/>
      <c r="AE143" s="68" t="n">
        <v>271</v>
      </c>
      <c r="AF143" s="90" t="n">
        <v>0</v>
      </c>
      <c r="AG143" s="68"/>
      <c r="AI143" s="47"/>
    </row>
    <row r="144" s="92" customFormat="true" ht="13.8" hidden="false" customHeight="false" outlineLevel="0" collapsed="false">
      <c r="A144" s="53" t="n">
        <v>315297</v>
      </c>
      <c r="B144" s="53" t="s">
        <v>83</v>
      </c>
      <c r="C144" s="53" t="s">
        <v>178</v>
      </c>
      <c r="D144" s="53" t="s">
        <v>226</v>
      </c>
      <c r="E144" s="89" t="s">
        <v>41</v>
      </c>
      <c r="F144" s="61" t="n">
        <v>65</v>
      </c>
      <c r="G144" s="61" t="n">
        <v>127</v>
      </c>
      <c r="H144" s="61" t="n">
        <v>65</v>
      </c>
      <c r="I144" s="68"/>
      <c r="J144" s="68"/>
      <c r="K144" s="68"/>
      <c r="L144" s="55"/>
      <c r="M144" s="68"/>
      <c r="N144" s="68"/>
      <c r="O144" s="61" t="n">
        <v>65</v>
      </c>
      <c r="P144" s="63" t="n">
        <v>65</v>
      </c>
      <c r="Q144" s="61" t="n">
        <v>65</v>
      </c>
      <c r="R144" s="41" t="n">
        <v>127</v>
      </c>
      <c r="S144" s="61" t="n">
        <v>187</v>
      </c>
      <c r="T144" s="68"/>
      <c r="U144" s="61" t="n">
        <v>65</v>
      </c>
      <c r="V144" s="68"/>
      <c r="W144" s="68"/>
      <c r="X144" s="44" t="n">
        <v>65</v>
      </c>
      <c r="Y144" s="40" t="n">
        <v>127</v>
      </c>
      <c r="Z144" s="40" t="n">
        <v>187</v>
      </c>
      <c r="AA144" s="40"/>
      <c r="AB144" s="40"/>
      <c r="AC144" s="40"/>
      <c r="AD144" s="40"/>
      <c r="AE144" s="40" t="n">
        <v>187</v>
      </c>
      <c r="AF144" s="40" t="n">
        <v>60</v>
      </c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MJ144" s="0"/>
    </row>
    <row r="145" customFormat="false" ht="13.8" hidden="false" customHeight="false" outlineLevel="0" collapsed="false">
      <c r="A145" s="53" t="n">
        <v>315185</v>
      </c>
      <c r="B145" s="53" t="s">
        <v>123</v>
      </c>
      <c r="C145" s="53" t="s">
        <v>84</v>
      </c>
      <c r="D145" s="53" t="s">
        <v>227</v>
      </c>
      <c r="E145" s="89" t="s">
        <v>41</v>
      </c>
      <c r="F145" s="61" t="n">
        <v>365</v>
      </c>
      <c r="G145" s="61" t="n">
        <v>476</v>
      </c>
      <c r="H145" s="61" t="n">
        <v>365</v>
      </c>
      <c r="I145" s="68"/>
      <c r="J145" s="68"/>
      <c r="K145" s="68"/>
      <c r="L145" s="55"/>
      <c r="M145" s="68"/>
      <c r="N145" s="68"/>
      <c r="O145" s="61" t="n">
        <v>365</v>
      </c>
      <c r="P145" s="63" t="n">
        <v>365</v>
      </c>
      <c r="Q145" s="61" t="n">
        <v>365</v>
      </c>
      <c r="R145" s="41" t="n">
        <v>476</v>
      </c>
      <c r="S145" s="61" t="n">
        <v>576</v>
      </c>
      <c r="T145" s="68"/>
      <c r="U145" s="61" t="n">
        <v>365</v>
      </c>
      <c r="V145" s="68"/>
      <c r="W145" s="68"/>
      <c r="X145" s="44" t="n">
        <v>365</v>
      </c>
      <c r="Y145" s="40" t="n">
        <v>476</v>
      </c>
      <c r="Z145" s="40" t="n">
        <v>576</v>
      </c>
      <c r="AA145" s="4" t="s">
        <v>195</v>
      </c>
      <c r="AE145" s="40" t="n">
        <v>576</v>
      </c>
      <c r="AF145" s="40" t="n">
        <v>100</v>
      </c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</row>
    <row r="146" customFormat="false" ht="13.8" hidden="false" customHeight="false" outlineLevel="0" collapsed="false">
      <c r="A146" s="53" t="n">
        <v>315186</v>
      </c>
      <c r="B146" s="53" t="s">
        <v>123</v>
      </c>
      <c r="C146" s="53" t="s">
        <v>84</v>
      </c>
      <c r="D146" s="53" t="s">
        <v>228</v>
      </c>
      <c r="E146" s="89" t="s">
        <v>41</v>
      </c>
      <c r="F146" s="61" t="n">
        <v>666</v>
      </c>
      <c r="G146" s="61" t="n">
        <v>666</v>
      </c>
      <c r="H146" s="61" t="n">
        <v>666</v>
      </c>
      <c r="I146" s="68"/>
      <c r="J146" s="68"/>
      <c r="K146" s="68"/>
      <c r="L146" s="55"/>
      <c r="M146" s="68"/>
      <c r="N146" s="68"/>
      <c r="O146" s="61" t="n">
        <v>666</v>
      </c>
      <c r="P146" s="63"/>
      <c r="Q146" s="61" t="n">
        <v>666</v>
      </c>
      <c r="R146" s="41" t="n">
        <v>666</v>
      </c>
      <c r="S146" s="61" t="n">
        <v>796</v>
      </c>
      <c r="T146" s="68"/>
      <c r="U146" s="61" t="n">
        <v>666</v>
      </c>
      <c r="V146" s="68"/>
      <c r="W146" s="68"/>
      <c r="X146" s="44"/>
      <c r="Y146" s="40" t="n">
        <v>666</v>
      </c>
      <c r="Z146" s="40" t="n">
        <v>796</v>
      </c>
      <c r="AA146" s="40"/>
      <c r="AB146" s="40"/>
      <c r="AC146" s="40"/>
      <c r="AD146" s="40"/>
      <c r="AE146" s="40" t="n">
        <v>796</v>
      </c>
      <c r="AF146" s="40" t="n">
        <v>130</v>
      </c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</row>
    <row r="147" customFormat="false" ht="13.8" hidden="false" customHeight="false" outlineLevel="0" collapsed="false">
      <c r="A147" s="53" t="n">
        <v>315177</v>
      </c>
      <c r="B147" s="53" t="s">
        <v>90</v>
      </c>
      <c r="C147" s="53" t="s">
        <v>84</v>
      </c>
      <c r="D147" s="53" t="s">
        <v>229</v>
      </c>
      <c r="E147" s="89" t="s">
        <v>41</v>
      </c>
      <c r="F147" s="61" t="n">
        <v>206</v>
      </c>
      <c r="G147" s="61" t="n">
        <v>206</v>
      </c>
      <c r="H147" s="61" t="n">
        <v>206</v>
      </c>
      <c r="I147" s="68"/>
      <c r="J147" s="68"/>
      <c r="K147" s="68"/>
      <c r="L147" s="55"/>
      <c r="M147" s="68"/>
      <c r="N147" s="68"/>
      <c r="O147" s="61" t="n">
        <v>206</v>
      </c>
      <c r="P147" s="63"/>
      <c r="Q147" s="61" t="n">
        <v>206</v>
      </c>
      <c r="R147" s="41" t="n">
        <v>206</v>
      </c>
      <c r="S147" s="61" t="n">
        <v>306</v>
      </c>
      <c r="T147" s="68"/>
      <c r="U147" s="61" t="n">
        <v>206</v>
      </c>
      <c r="V147" s="68"/>
      <c r="W147" s="68"/>
      <c r="X147" s="44"/>
      <c r="Y147" s="40" t="n">
        <v>206</v>
      </c>
      <c r="Z147" s="40" t="n">
        <v>306</v>
      </c>
      <c r="AA147" s="40"/>
      <c r="AB147" s="40"/>
      <c r="AC147" s="40"/>
      <c r="AD147" s="40"/>
      <c r="AE147" s="40" t="n">
        <v>306</v>
      </c>
      <c r="AF147" s="40" t="n">
        <v>100</v>
      </c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</row>
    <row r="148" customFormat="false" ht="13.8" hidden="false" customHeight="false" outlineLevel="0" collapsed="false">
      <c r="A148" s="53" t="n">
        <v>314744</v>
      </c>
      <c r="B148" s="53" t="s">
        <v>123</v>
      </c>
      <c r="C148" s="53" t="s">
        <v>99</v>
      </c>
      <c r="D148" s="53" t="s">
        <v>230</v>
      </c>
      <c r="E148" s="40" t="s">
        <v>43</v>
      </c>
      <c r="F148" s="41" t="n">
        <v>684</v>
      </c>
      <c r="G148" s="41" t="n">
        <v>684</v>
      </c>
      <c r="H148" s="40" t="n">
        <v>684</v>
      </c>
      <c r="I148" s="40"/>
      <c r="J148" s="40"/>
      <c r="K148" s="40"/>
      <c r="L148" s="40"/>
      <c r="M148" s="40"/>
      <c r="N148" s="40"/>
      <c r="O148" s="41" t="n">
        <v>684</v>
      </c>
      <c r="P148" s="63"/>
      <c r="Q148" s="40" t="n">
        <v>684</v>
      </c>
      <c r="R148" s="41" t="n">
        <v>684</v>
      </c>
      <c r="S148" s="61" t="n">
        <v>684</v>
      </c>
      <c r="T148" s="50"/>
      <c r="U148" s="41" t="n">
        <v>684</v>
      </c>
      <c r="V148" s="40"/>
      <c r="W148" s="40"/>
      <c r="X148" s="44"/>
      <c r="Y148" s="40" t="n">
        <v>684</v>
      </c>
      <c r="Z148" s="40" t="n">
        <v>684</v>
      </c>
      <c r="AA148" s="40"/>
      <c r="AB148" s="40"/>
      <c r="AC148" s="40"/>
      <c r="AD148" s="40"/>
      <c r="AE148" s="40" t="n">
        <v>684</v>
      </c>
      <c r="AF148" s="40" t="n">
        <v>0</v>
      </c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</row>
    <row r="149" customFormat="false" ht="13.8" hidden="false" customHeight="false" outlineLevel="0" collapsed="false">
      <c r="A149" s="53" t="n">
        <v>314746</v>
      </c>
      <c r="B149" s="53" t="s">
        <v>123</v>
      </c>
      <c r="C149" s="53" t="s">
        <v>99</v>
      </c>
      <c r="D149" s="53" t="s">
        <v>231</v>
      </c>
      <c r="E149" s="40" t="s">
        <v>43</v>
      </c>
      <c r="F149" s="41" t="n">
        <v>684</v>
      </c>
      <c r="G149" s="41" t="n">
        <v>684</v>
      </c>
      <c r="H149" s="40" t="n">
        <v>684</v>
      </c>
      <c r="I149" s="40"/>
      <c r="J149" s="40"/>
      <c r="K149" s="40"/>
      <c r="L149" s="40"/>
      <c r="M149" s="40"/>
      <c r="N149" s="40"/>
      <c r="O149" s="41" t="n">
        <v>684</v>
      </c>
      <c r="P149" s="63"/>
      <c r="Q149" s="40" t="n">
        <v>684</v>
      </c>
      <c r="R149" s="41" t="n">
        <v>684</v>
      </c>
      <c r="S149" s="61" t="n">
        <v>684</v>
      </c>
      <c r="T149" s="50"/>
      <c r="U149" s="41" t="n">
        <v>684</v>
      </c>
      <c r="V149" s="40"/>
      <c r="W149" s="40"/>
      <c r="X149" s="44"/>
      <c r="Y149" s="40" t="n">
        <v>684</v>
      </c>
      <c r="Z149" s="40" t="n">
        <v>684</v>
      </c>
      <c r="AA149" s="40"/>
      <c r="AB149" s="40"/>
      <c r="AC149" s="40"/>
      <c r="AD149" s="40"/>
      <c r="AE149" s="40" t="n">
        <v>684</v>
      </c>
      <c r="AF149" s="40" t="n">
        <v>0</v>
      </c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</row>
    <row r="150" customFormat="false" ht="13.8" hidden="false" customHeight="false" outlineLevel="0" collapsed="false">
      <c r="A150" s="53" t="n">
        <v>314752</v>
      </c>
      <c r="B150" s="53" t="s">
        <v>123</v>
      </c>
      <c r="C150" s="53" t="s">
        <v>99</v>
      </c>
      <c r="D150" s="53" t="s">
        <v>232</v>
      </c>
      <c r="E150" s="40" t="s">
        <v>43</v>
      </c>
      <c r="F150" s="41" t="n">
        <v>684</v>
      </c>
      <c r="G150" s="41" t="n">
        <v>684</v>
      </c>
      <c r="H150" s="40" t="n">
        <v>684</v>
      </c>
      <c r="I150" s="40"/>
      <c r="J150" s="40"/>
      <c r="K150" s="40"/>
      <c r="L150" s="40"/>
      <c r="M150" s="40"/>
      <c r="N150" s="40"/>
      <c r="O150" s="41" t="n">
        <v>684</v>
      </c>
      <c r="P150" s="63"/>
      <c r="Q150" s="40" t="n">
        <v>684</v>
      </c>
      <c r="R150" s="41" t="n">
        <v>684</v>
      </c>
      <c r="S150" s="61" t="n">
        <v>684</v>
      </c>
      <c r="T150" s="50"/>
      <c r="U150" s="41" t="n">
        <v>684</v>
      </c>
      <c r="V150" s="40"/>
      <c r="W150" s="40"/>
      <c r="X150" s="44"/>
      <c r="Y150" s="40" t="n">
        <v>684</v>
      </c>
      <c r="Z150" s="40" t="n">
        <v>684</v>
      </c>
      <c r="AA150" s="40"/>
      <c r="AB150" s="40"/>
      <c r="AC150" s="40"/>
      <c r="AD150" s="40"/>
      <c r="AE150" s="40" t="n">
        <v>684</v>
      </c>
      <c r="AF150" s="40" t="n">
        <v>0</v>
      </c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</row>
    <row r="151" customFormat="false" ht="13.8" hidden="false" customHeight="false" outlineLevel="0" collapsed="false">
      <c r="A151" s="53" t="n">
        <v>313818</v>
      </c>
      <c r="B151" s="53" t="s">
        <v>50</v>
      </c>
      <c r="C151" s="53" t="s">
        <v>233</v>
      </c>
      <c r="D151" s="53" t="s">
        <v>234</v>
      </c>
      <c r="E151" s="40" t="s">
        <v>43</v>
      </c>
      <c r="F151" s="41" t="n">
        <v>48</v>
      </c>
      <c r="G151" s="41" t="n">
        <v>48</v>
      </c>
      <c r="H151" s="40" t="n">
        <v>48</v>
      </c>
      <c r="I151" s="40"/>
      <c r="J151" s="40"/>
      <c r="K151" s="40"/>
      <c r="L151" s="40"/>
      <c r="M151" s="40"/>
      <c r="N151" s="40"/>
      <c r="O151" s="41" t="n">
        <v>48</v>
      </c>
      <c r="P151" s="63"/>
      <c r="Q151" s="40" t="n">
        <v>48</v>
      </c>
      <c r="R151" s="41" t="n">
        <v>48</v>
      </c>
      <c r="S151" s="61" t="n">
        <v>48</v>
      </c>
      <c r="T151" s="50"/>
      <c r="U151" s="41" t="n">
        <v>48</v>
      </c>
      <c r="V151" s="40"/>
      <c r="W151" s="40"/>
      <c r="X151" s="44"/>
      <c r="Y151" s="40" t="n">
        <v>48</v>
      </c>
      <c r="Z151" s="40" t="n">
        <v>48</v>
      </c>
      <c r="AA151" s="40"/>
      <c r="AB151" s="40"/>
      <c r="AC151" s="40"/>
      <c r="AD151" s="40"/>
      <c r="AE151" s="40" t="n">
        <v>48</v>
      </c>
      <c r="AF151" s="40" t="n">
        <v>0</v>
      </c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</row>
    <row r="152" customFormat="false" ht="13.8" hidden="false" customHeight="false" outlineLevel="0" collapsed="false">
      <c r="A152" s="53" t="n">
        <v>315193</v>
      </c>
      <c r="B152" s="53" t="s">
        <v>39</v>
      </c>
      <c r="C152" s="53" t="s">
        <v>235</v>
      </c>
      <c r="D152" s="53" t="s">
        <v>236</v>
      </c>
      <c r="E152" s="40" t="s">
        <v>43</v>
      </c>
      <c r="F152" s="41" t="n">
        <v>33</v>
      </c>
      <c r="G152" s="41" t="n">
        <v>33</v>
      </c>
      <c r="H152" s="40" t="n">
        <v>33</v>
      </c>
      <c r="I152" s="40"/>
      <c r="J152" s="40"/>
      <c r="K152" s="40"/>
      <c r="L152" s="40"/>
      <c r="M152" s="40"/>
      <c r="N152" s="40"/>
      <c r="O152" s="41" t="n">
        <v>33</v>
      </c>
      <c r="P152" s="63"/>
      <c r="Q152" s="40" t="n">
        <v>33</v>
      </c>
      <c r="R152" s="41" t="n">
        <v>33</v>
      </c>
      <c r="S152" s="61" t="n">
        <v>33</v>
      </c>
      <c r="T152" s="50"/>
      <c r="U152" s="41" t="n">
        <v>33</v>
      </c>
      <c r="V152" s="40"/>
      <c r="W152" s="40"/>
      <c r="X152" s="44"/>
      <c r="Y152" s="40" t="n">
        <v>33</v>
      </c>
      <c r="Z152" s="40" t="n">
        <v>33</v>
      </c>
      <c r="AA152" s="40"/>
      <c r="AB152" s="40"/>
      <c r="AC152" s="40"/>
      <c r="AD152" s="40"/>
      <c r="AE152" s="40" t="n">
        <v>33</v>
      </c>
      <c r="AF152" s="40" t="n">
        <v>0</v>
      </c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</row>
    <row r="153" customFormat="false" ht="13.8" hidden="false" customHeight="false" outlineLevel="0" collapsed="false">
      <c r="A153" s="53" t="n">
        <v>315187</v>
      </c>
      <c r="B153" s="53" t="s">
        <v>50</v>
      </c>
      <c r="C153" s="53" t="s">
        <v>67</v>
      </c>
      <c r="D153" s="53" t="s">
        <v>237</v>
      </c>
      <c r="E153" s="40" t="s">
        <v>43</v>
      </c>
      <c r="F153" s="41" t="n">
        <v>49</v>
      </c>
      <c r="G153" s="41" t="n">
        <v>49</v>
      </c>
      <c r="H153" s="40" t="n">
        <v>49</v>
      </c>
      <c r="I153" s="40"/>
      <c r="J153" s="40" t="n">
        <v>49</v>
      </c>
      <c r="K153" s="40" t="n">
        <v>49</v>
      </c>
      <c r="L153" s="40"/>
      <c r="M153" s="40"/>
      <c r="N153" s="40"/>
      <c r="O153" s="41" t="n">
        <v>49</v>
      </c>
      <c r="P153" s="63"/>
      <c r="Q153" s="40" t="n">
        <v>49</v>
      </c>
      <c r="R153" s="41" t="n">
        <v>49</v>
      </c>
      <c r="S153" s="61" t="n">
        <v>49</v>
      </c>
      <c r="T153" s="50"/>
      <c r="U153" s="41" t="n">
        <v>49</v>
      </c>
      <c r="V153" s="40"/>
      <c r="W153" s="40" t="n">
        <v>49</v>
      </c>
      <c r="X153" s="44"/>
      <c r="Y153" s="40" t="n">
        <v>49</v>
      </c>
      <c r="Z153" s="40" t="n">
        <v>49</v>
      </c>
      <c r="AA153" s="40"/>
      <c r="AB153" s="40"/>
      <c r="AC153" s="40"/>
      <c r="AD153" s="40"/>
      <c r="AE153" s="40" t="n">
        <v>49</v>
      </c>
      <c r="AF153" s="40" t="n">
        <v>0</v>
      </c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</row>
    <row r="154" customFormat="false" ht="13.8" hidden="false" customHeight="false" outlineLevel="0" collapsed="false">
      <c r="A154" s="53" t="n">
        <v>315080</v>
      </c>
      <c r="B154" s="53" t="s">
        <v>90</v>
      </c>
      <c r="C154" s="53" t="s">
        <v>186</v>
      </c>
      <c r="D154" s="53" t="s">
        <v>238</v>
      </c>
      <c r="E154" s="40" t="s">
        <v>43</v>
      </c>
      <c r="F154" s="41" t="n">
        <v>127</v>
      </c>
      <c r="G154" s="41" t="n">
        <v>127</v>
      </c>
      <c r="H154" s="40" t="n">
        <v>127</v>
      </c>
      <c r="I154" s="40"/>
      <c r="J154" s="40"/>
      <c r="K154" s="40"/>
      <c r="L154" s="40"/>
      <c r="M154" s="40"/>
      <c r="N154" s="40"/>
      <c r="O154" s="41" t="n">
        <v>127</v>
      </c>
      <c r="P154" s="63"/>
      <c r="Q154" s="40" t="n">
        <v>127</v>
      </c>
      <c r="R154" s="41" t="n">
        <v>127</v>
      </c>
      <c r="S154" s="61" t="n">
        <v>167</v>
      </c>
      <c r="T154" s="50"/>
      <c r="U154" s="41" t="n">
        <v>127</v>
      </c>
      <c r="V154" s="40"/>
      <c r="W154" s="40"/>
      <c r="X154" s="44"/>
      <c r="Y154" s="40" t="n">
        <v>127</v>
      </c>
      <c r="Z154" s="40" t="n">
        <v>167</v>
      </c>
      <c r="AA154" s="40"/>
      <c r="AB154" s="40"/>
      <c r="AC154" s="40"/>
      <c r="AD154" s="40"/>
      <c r="AE154" s="40" t="n">
        <v>167</v>
      </c>
      <c r="AF154" s="40" t="n">
        <v>40</v>
      </c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</row>
    <row r="155" customFormat="false" ht="13.8" hidden="false" customHeight="false" outlineLevel="0" collapsed="false">
      <c r="A155" s="53" t="n">
        <v>315195</v>
      </c>
      <c r="B155" s="53" t="s">
        <v>123</v>
      </c>
      <c r="C155" s="53" t="s">
        <v>235</v>
      </c>
      <c r="D155" s="53" t="s">
        <v>239</v>
      </c>
      <c r="E155" s="40" t="s">
        <v>43</v>
      </c>
      <c r="F155" s="41" t="n">
        <v>166</v>
      </c>
      <c r="G155" s="41" t="n">
        <v>166</v>
      </c>
      <c r="H155" s="40" t="n">
        <v>166</v>
      </c>
      <c r="I155" s="40"/>
      <c r="J155" s="40"/>
      <c r="K155" s="40"/>
      <c r="L155" s="40"/>
      <c r="M155" s="40"/>
      <c r="N155" s="40"/>
      <c r="O155" s="41" t="n">
        <v>166</v>
      </c>
      <c r="P155" s="63"/>
      <c r="Q155" s="40" t="n">
        <v>166</v>
      </c>
      <c r="R155" s="41" t="n">
        <v>166</v>
      </c>
      <c r="S155" s="61" t="n">
        <v>186</v>
      </c>
      <c r="T155" s="50"/>
      <c r="U155" s="41" t="n">
        <v>166</v>
      </c>
      <c r="V155" s="40"/>
      <c r="W155" s="40"/>
      <c r="X155" s="44"/>
      <c r="Y155" s="40" t="n">
        <v>166</v>
      </c>
      <c r="Z155" s="40" t="n">
        <v>186</v>
      </c>
      <c r="AA155" s="40"/>
      <c r="AB155" s="40"/>
      <c r="AC155" s="40"/>
      <c r="AD155" s="40"/>
      <c r="AE155" s="40" t="n">
        <v>186</v>
      </c>
      <c r="AF155" s="40" t="n">
        <v>20</v>
      </c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</row>
    <row r="156" customFormat="false" ht="13.8" hidden="false" customHeight="false" outlineLevel="0" collapsed="false">
      <c r="A156" s="53" t="n">
        <v>315145</v>
      </c>
      <c r="B156" s="53" t="s">
        <v>90</v>
      </c>
      <c r="C156" s="53" t="s">
        <v>186</v>
      </c>
      <c r="D156" s="53" t="s">
        <v>240</v>
      </c>
      <c r="E156" s="40" t="s">
        <v>43</v>
      </c>
      <c r="F156" s="41" t="n">
        <v>221</v>
      </c>
      <c r="G156" s="41" t="n">
        <v>221</v>
      </c>
      <c r="H156" s="40" t="n">
        <v>221</v>
      </c>
      <c r="I156" s="40"/>
      <c r="J156" s="40"/>
      <c r="K156" s="40"/>
      <c r="L156" s="40"/>
      <c r="M156" s="40"/>
      <c r="N156" s="40"/>
      <c r="O156" s="41" t="n">
        <v>221</v>
      </c>
      <c r="P156" s="63"/>
      <c r="Q156" s="40" t="n">
        <v>221</v>
      </c>
      <c r="R156" s="41" t="n">
        <v>221</v>
      </c>
      <c r="S156" s="61" t="n">
        <v>256</v>
      </c>
      <c r="T156" s="50"/>
      <c r="U156" s="41" t="n">
        <v>221</v>
      </c>
      <c r="V156" s="40"/>
      <c r="W156" s="40"/>
      <c r="X156" s="44"/>
      <c r="Y156" s="40" t="n">
        <v>221</v>
      </c>
      <c r="Z156" s="40" t="n">
        <v>256</v>
      </c>
      <c r="AA156" s="40" t="s">
        <v>195</v>
      </c>
      <c r="AB156" s="40"/>
      <c r="AC156" s="40"/>
      <c r="AD156" s="40"/>
      <c r="AE156" s="40" t="n">
        <v>256</v>
      </c>
      <c r="AF156" s="40" t="n">
        <v>35</v>
      </c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</row>
    <row r="157" s="92" customFormat="true" ht="13.8" hidden="false" customHeight="false" outlineLevel="0" collapsed="false">
      <c r="A157" s="53" t="n">
        <v>315298</v>
      </c>
      <c r="B157" s="53" t="s">
        <v>83</v>
      </c>
      <c r="C157" s="53" t="s">
        <v>178</v>
      </c>
      <c r="D157" s="53" t="s">
        <v>241</v>
      </c>
      <c r="E157" s="40" t="s">
        <v>43</v>
      </c>
      <c r="F157" s="61" t="n">
        <v>85</v>
      </c>
      <c r="G157" s="41" t="n">
        <v>170</v>
      </c>
      <c r="H157" s="40" t="n">
        <v>85</v>
      </c>
      <c r="I157" s="40"/>
      <c r="J157" s="40"/>
      <c r="K157" s="40"/>
      <c r="L157" s="40"/>
      <c r="M157" s="40"/>
      <c r="N157" s="40"/>
      <c r="O157" s="41" t="n">
        <v>85</v>
      </c>
      <c r="P157" s="63" t="n">
        <v>85</v>
      </c>
      <c r="Q157" s="40" t="n">
        <v>85</v>
      </c>
      <c r="R157" s="41" t="n">
        <v>170</v>
      </c>
      <c r="S157" s="61" t="n">
        <v>224</v>
      </c>
      <c r="T157" s="50"/>
      <c r="U157" s="41" t="n">
        <v>85</v>
      </c>
      <c r="V157" s="40"/>
      <c r="W157" s="40"/>
      <c r="X157" s="44" t="n">
        <v>85</v>
      </c>
      <c r="Y157" s="40" t="n">
        <v>170</v>
      </c>
      <c r="Z157" s="40" t="n">
        <v>224</v>
      </c>
      <c r="AA157" s="40"/>
      <c r="AB157" s="40"/>
      <c r="AC157" s="40"/>
      <c r="AD157" s="40"/>
      <c r="AE157" s="40" t="n">
        <v>224</v>
      </c>
      <c r="AF157" s="40" t="n">
        <v>54</v>
      </c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MJ157" s="0"/>
    </row>
    <row r="158" customFormat="false" ht="13.8" hidden="false" customHeight="false" outlineLevel="0" collapsed="false">
      <c r="A158" s="53" t="n">
        <v>315178</v>
      </c>
      <c r="B158" s="53" t="s">
        <v>83</v>
      </c>
      <c r="C158" s="53" t="s">
        <v>84</v>
      </c>
      <c r="D158" s="53" t="s">
        <v>242</v>
      </c>
      <c r="E158" s="40" t="s">
        <v>43</v>
      </c>
      <c r="F158" s="41" t="n">
        <v>101</v>
      </c>
      <c r="G158" s="41" t="n">
        <v>151</v>
      </c>
      <c r="H158" s="40" t="n">
        <v>101</v>
      </c>
      <c r="I158" s="40"/>
      <c r="J158" s="40"/>
      <c r="K158" s="40"/>
      <c r="L158" s="40"/>
      <c r="M158" s="40"/>
      <c r="N158" s="40"/>
      <c r="O158" s="41" t="n">
        <v>101</v>
      </c>
      <c r="P158" s="63" t="n">
        <v>101</v>
      </c>
      <c r="Q158" s="40" t="n">
        <v>101</v>
      </c>
      <c r="R158" s="41" t="n">
        <v>151</v>
      </c>
      <c r="S158" s="61" t="n">
        <v>219</v>
      </c>
      <c r="T158" s="50"/>
      <c r="U158" s="41" t="n">
        <v>101</v>
      </c>
      <c r="V158" s="40"/>
      <c r="W158" s="40"/>
      <c r="X158" s="44" t="n">
        <v>101</v>
      </c>
      <c r="Y158" s="40" t="n">
        <v>151</v>
      </c>
      <c r="Z158" s="40" t="n">
        <v>219</v>
      </c>
      <c r="AA158" s="45"/>
      <c r="AB158" s="45"/>
      <c r="AC158" s="45"/>
      <c r="AD158" s="45"/>
      <c r="AE158" s="51" t="n">
        <v>219</v>
      </c>
      <c r="AF158" s="52" t="n">
        <v>68</v>
      </c>
      <c r="AG158" s="40"/>
    </row>
    <row r="159" customFormat="false" ht="13.8" hidden="false" customHeight="false" outlineLevel="0" collapsed="false">
      <c r="A159" s="53" t="n">
        <v>314942</v>
      </c>
      <c r="B159" s="53" t="s">
        <v>90</v>
      </c>
      <c r="C159" s="53" t="s">
        <v>91</v>
      </c>
      <c r="D159" s="53" t="s">
        <v>243</v>
      </c>
      <c r="E159" s="40" t="s">
        <v>43</v>
      </c>
      <c r="F159" s="41" t="n">
        <v>143</v>
      </c>
      <c r="G159" s="41" t="n">
        <v>232</v>
      </c>
      <c r="H159" s="40" t="n">
        <v>143</v>
      </c>
      <c r="I159" s="40"/>
      <c r="J159" s="40"/>
      <c r="K159" s="40"/>
      <c r="L159" s="40"/>
      <c r="M159" s="40"/>
      <c r="N159" s="40"/>
      <c r="O159" s="41" t="n">
        <v>143</v>
      </c>
      <c r="P159" s="63" t="n">
        <v>143</v>
      </c>
      <c r="Q159" s="40" t="n">
        <v>143</v>
      </c>
      <c r="R159" s="41" t="n">
        <v>232</v>
      </c>
      <c r="S159" s="61" t="n">
        <v>252</v>
      </c>
      <c r="T159" s="50"/>
      <c r="U159" s="41" t="n">
        <v>143</v>
      </c>
      <c r="V159" s="40"/>
      <c r="W159" s="40"/>
      <c r="X159" s="44" t="n">
        <v>143</v>
      </c>
      <c r="Y159" s="40" t="n">
        <v>232</v>
      </c>
      <c r="Z159" s="40" t="n">
        <v>252</v>
      </c>
      <c r="AA159" s="45"/>
      <c r="AB159" s="45"/>
      <c r="AC159" s="45"/>
      <c r="AD159" s="45"/>
      <c r="AE159" s="51" t="n">
        <v>252</v>
      </c>
      <c r="AF159" s="52" t="n">
        <v>20</v>
      </c>
      <c r="AG159" s="40"/>
    </row>
    <row r="160" customFormat="false" ht="13.8" hidden="false" customHeight="false" outlineLevel="0" collapsed="false">
      <c r="A160" s="48" t="n">
        <v>315102</v>
      </c>
      <c r="B160" s="48" t="s">
        <v>90</v>
      </c>
      <c r="C160" s="48" t="s">
        <v>178</v>
      </c>
      <c r="D160" s="48" t="s">
        <v>244</v>
      </c>
      <c r="E160" s="40" t="s">
        <v>43</v>
      </c>
      <c r="F160" s="61" t="n">
        <v>170</v>
      </c>
      <c r="G160" s="41" t="n">
        <v>292</v>
      </c>
      <c r="H160" s="40" t="n">
        <v>170</v>
      </c>
      <c r="I160" s="40"/>
      <c r="J160" s="40"/>
      <c r="K160" s="40"/>
      <c r="L160" s="40"/>
      <c r="M160" s="40"/>
      <c r="N160" s="40"/>
      <c r="O160" s="41" t="n">
        <v>170</v>
      </c>
      <c r="P160" s="63" t="n">
        <v>170</v>
      </c>
      <c r="Q160" s="40" t="n">
        <v>170</v>
      </c>
      <c r="R160" s="41" t="n">
        <v>292</v>
      </c>
      <c r="S160" s="61" t="n">
        <v>356</v>
      </c>
      <c r="T160" s="50"/>
      <c r="U160" s="41" t="n">
        <v>170</v>
      </c>
      <c r="V160" s="40"/>
      <c r="W160" s="40"/>
      <c r="X160" s="44" t="n">
        <v>170</v>
      </c>
      <c r="Y160" s="40" t="n">
        <v>292</v>
      </c>
      <c r="Z160" s="40" t="n">
        <v>356</v>
      </c>
      <c r="AA160" s="45"/>
      <c r="AB160" s="45"/>
      <c r="AC160" s="45"/>
      <c r="AD160" s="45"/>
      <c r="AE160" s="51" t="n">
        <v>356</v>
      </c>
      <c r="AF160" s="52" t="n">
        <v>64</v>
      </c>
      <c r="AG160" s="40"/>
    </row>
    <row r="161" customFormat="false" ht="13.8" hidden="false" customHeight="false" outlineLevel="0" collapsed="false">
      <c r="A161" s="48" t="n">
        <v>315401</v>
      </c>
      <c r="B161" s="48" t="s">
        <v>90</v>
      </c>
      <c r="C161" s="48" t="s">
        <v>84</v>
      </c>
      <c r="D161" s="48" t="s">
        <v>245</v>
      </c>
      <c r="E161" s="40" t="s">
        <v>43</v>
      </c>
      <c r="F161" s="61" t="n">
        <v>375</v>
      </c>
      <c r="G161" s="41" t="n">
        <v>375</v>
      </c>
      <c r="H161" s="40" t="n">
        <v>375</v>
      </c>
      <c r="I161" s="40"/>
      <c r="J161" s="40"/>
      <c r="K161" s="40"/>
      <c r="L161" s="40"/>
      <c r="M161" s="40"/>
      <c r="N161" s="40"/>
      <c r="O161" s="41" t="n">
        <v>375</v>
      </c>
      <c r="P161" s="63" t="n">
        <v>275</v>
      </c>
      <c r="Q161" s="40" t="n">
        <v>375</v>
      </c>
      <c r="R161" s="41" t="n">
        <v>375</v>
      </c>
      <c r="S161" s="61" t="n">
        <v>443</v>
      </c>
      <c r="T161" s="50"/>
      <c r="U161" s="41" t="n">
        <v>375</v>
      </c>
      <c r="V161" s="40"/>
      <c r="W161" s="40"/>
      <c r="X161" s="44" t="n">
        <v>275</v>
      </c>
      <c r="Y161" s="40" t="n">
        <v>375</v>
      </c>
      <c r="Z161" s="40" t="n">
        <v>443</v>
      </c>
      <c r="AA161" s="45"/>
      <c r="AB161" s="45"/>
      <c r="AC161" s="45"/>
      <c r="AD161" s="45"/>
      <c r="AE161" s="51" t="n">
        <v>443</v>
      </c>
      <c r="AF161" s="52" t="n">
        <v>68</v>
      </c>
      <c r="AG161" s="40"/>
    </row>
    <row r="162" customFormat="false" ht="13.8" hidden="false" customHeight="false" outlineLevel="0" collapsed="false">
      <c r="A162" s="48" t="n">
        <v>315400</v>
      </c>
      <c r="B162" s="48" t="s">
        <v>90</v>
      </c>
      <c r="C162" s="48" t="s">
        <v>84</v>
      </c>
      <c r="D162" s="48" t="s">
        <v>246</v>
      </c>
      <c r="E162" s="40" t="s">
        <v>43</v>
      </c>
      <c r="F162" s="61" t="n">
        <v>267</v>
      </c>
      <c r="G162" s="41" t="n">
        <v>267</v>
      </c>
      <c r="H162" s="40" t="n">
        <v>267</v>
      </c>
      <c r="I162" s="40"/>
      <c r="J162" s="40"/>
      <c r="K162" s="40"/>
      <c r="L162" s="40"/>
      <c r="M162" s="40"/>
      <c r="N162" s="40" t="n">
        <v>0</v>
      </c>
      <c r="O162" s="41" t="n">
        <v>267</v>
      </c>
      <c r="P162" s="63"/>
      <c r="Q162" s="40" t="n">
        <v>267</v>
      </c>
      <c r="R162" s="41" t="n">
        <v>267</v>
      </c>
      <c r="S162" s="61" t="n">
        <v>355</v>
      </c>
      <c r="T162" s="50"/>
      <c r="U162" s="41" t="n">
        <v>267</v>
      </c>
      <c r="V162" s="40"/>
      <c r="W162" s="40"/>
      <c r="X162" s="44"/>
      <c r="Y162" s="40" t="n">
        <v>267</v>
      </c>
      <c r="Z162" s="40" t="n">
        <v>355</v>
      </c>
      <c r="AA162" s="45"/>
      <c r="AB162" s="45"/>
      <c r="AC162" s="45"/>
      <c r="AD162" s="45"/>
      <c r="AE162" s="51" t="n">
        <v>355</v>
      </c>
      <c r="AF162" s="52" t="n">
        <v>88</v>
      </c>
      <c r="AG162" s="40"/>
    </row>
    <row r="163" customFormat="false" ht="13.8" hidden="false" customHeight="false" outlineLevel="0" collapsed="false">
      <c r="A163" s="48" t="n">
        <v>315388</v>
      </c>
      <c r="B163" s="48" t="s">
        <v>90</v>
      </c>
      <c r="C163" s="48" t="s">
        <v>84</v>
      </c>
      <c r="D163" s="48" t="s">
        <v>247</v>
      </c>
      <c r="E163" s="40" t="s">
        <v>43</v>
      </c>
      <c r="F163" s="61" t="n">
        <v>152</v>
      </c>
      <c r="G163" s="41" t="n">
        <v>230</v>
      </c>
      <c r="H163" s="40" t="n">
        <v>152</v>
      </c>
      <c r="I163" s="40"/>
      <c r="J163" s="40"/>
      <c r="K163" s="40"/>
      <c r="L163" s="40"/>
      <c r="M163" s="40"/>
      <c r="N163" s="40"/>
      <c r="O163" s="41" t="n">
        <v>152</v>
      </c>
      <c r="P163" s="63" t="n">
        <v>152</v>
      </c>
      <c r="Q163" s="40" t="n">
        <v>152</v>
      </c>
      <c r="R163" s="41" t="n">
        <v>230</v>
      </c>
      <c r="S163" s="61" t="n">
        <v>280</v>
      </c>
      <c r="T163" s="50"/>
      <c r="U163" s="41" t="n">
        <v>152</v>
      </c>
      <c r="V163" s="40"/>
      <c r="W163" s="40"/>
      <c r="X163" s="44" t="n">
        <v>152</v>
      </c>
      <c r="Y163" s="40" t="n">
        <v>230</v>
      </c>
      <c r="Z163" s="40" t="n">
        <v>280</v>
      </c>
      <c r="AA163" s="45"/>
      <c r="AB163" s="45"/>
      <c r="AC163" s="45"/>
      <c r="AD163" s="45"/>
      <c r="AE163" s="51" t="n">
        <v>280</v>
      </c>
      <c r="AF163" s="52" t="n">
        <v>50</v>
      </c>
      <c r="AG163" s="40"/>
    </row>
    <row r="164" customFormat="false" ht="13.8" hidden="false" customHeight="false" outlineLevel="0" collapsed="false">
      <c r="A164" s="48" t="n">
        <v>315387</v>
      </c>
      <c r="B164" s="48" t="s">
        <v>83</v>
      </c>
      <c r="C164" s="48" t="s">
        <v>84</v>
      </c>
      <c r="D164" s="48" t="s">
        <v>248</v>
      </c>
      <c r="E164" s="40" t="s">
        <v>43</v>
      </c>
      <c r="F164" s="61" t="n">
        <v>84</v>
      </c>
      <c r="G164" s="41" t="n">
        <v>161</v>
      </c>
      <c r="H164" s="40" t="n">
        <v>84</v>
      </c>
      <c r="I164" s="40"/>
      <c r="J164" s="40"/>
      <c r="K164" s="40"/>
      <c r="L164" s="40"/>
      <c r="M164" s="40"/>
      <c r="N164" s="40"/>
      <c r="O164" s="41" t="n">
        <v>84</v>
      </c>
      <c r="P164" s="63" t="n">
        <v>84</v>
      </c>
      <c r="Q164" s="40" t="n">
        <v>84</v>
      </c>
      <c r="R164" s="41" t="n">
        <v>161</v>
      </c>
      <c r="S164" s="61" t="n">
        <v>187</v>
      </c>
      <c r="T164" s="50"/>
      <c r="U164" s="41" t="n">
        <v>84</v>
      </c>
      <c r="V164" s="40"/>
      <c r="W164" s="40"/>
      <c r="X164" s="44" t="n">
        <v>84</v>
      </c>
      <c r="Y164" s="40" t="n">
        <v>161</v>
      </c>
      <c r="Z164" s="40" t="n">
        <v>187</v>
      </c>
      <c r="AA164" s="45"/>
      <c r="AB164" s="45"/>
      <c r="AC164" s="45"/>
      <c r="AD164" s="45"/>
      <c r="AE164" s="51" t="n">
        <v>187</v>
      </c>
      <c r="AF164" s="52" t="n">
        <v>26</v>
      </c>
      <c r="AG164" s="40"/>
    </row>
    <row r="165" customFormat="false" ht="13.8" hidden="false" customHeight="false" outlineLevel="0" collapsed="false">
      <c r="A165" s="93" t="n">
        <v>315386</v>
      </c>
      <c r="B165" s="93" t="s">
        <v>83</v>
      </c>
      <c r="C165" s="93" t="s">
        <v>84</v>
      </c>
      <c r="D165" s="93" t="s">
        <v>249</v>
      </c>
      <c r="E165" s="40" t="s">
        <v>43</v>
      </c>
      <c r="F165" s="61" t="n">
        <v>39</v>
      </c>
      <c r="G165" s="41" t="n">
        <v>113</v>
      </c>
      <c r="H165" s="40" t="n">
        <v>59</v>
      </c>
      <c r="I165" s="40"/>
      <c r="J165" s="40"/>
      <c r="K165" s="40"/>
      <c r="L165" s="40"/>
      <c r="M165" s="40"/>
      <c r="N165" s="40"/>
      <c r="O165" s="41" t="n">
        <v>39</v>
      </c>
      <c r="P165" s="63" t="n">
        <v>59</v>
      </c>
      <c r="Q165" s="40" t="n">
        <v>59</v>
      </c>
      <c r="R165" s="41" t="n">
        <v>113</v>
      </c>
      <c r="S165" s="61" t="n">
        <v>141</v>
      </c>
      <c r="T165" s="50"/>
      <c r="U165" s="41" t="n">
        <v>59</v>
      </c>
      <c r="V165" s="40"/>
      <c r="W165" s="40"/>
      <c r="X165" s="44" t="n">
        <v>59</v>
      </c>
      <c r="Y165" s="40" t="n">
        <v>113</v>
      </c>
      <c r="Z165" s="40" t="n">
        <v>141</v>
      </c>
      <c r="AA165" s="45" t="s">
        <v>175</v>
      </c>
      <c r="AB165" s="45"/>
      <c r="AC165" s="45"/>
      <c r="AD165" s="45"/>
      <c r="AE165" s="51" t="n">
        <v>141</v>
      </c>
      <c r="AF165" s="52" t="n">
        <v>28</v>
      </c>
      <c r="AG165" s="40"/>
    </row>
    <row r="166" customFormat="false" ht="13.8" hidden="false" customHeight="false" outlineLevel="0" collapsed="false">
      <c r="A166" s="48" t="n">
        <v>315329</v>
      </c>
      <c r="B166" s="48" t="s">
        <v>123</v>
      </c>
      <c r="C166" s="48" t="s">
        <v>91</v>
      </c>
      <c r="D166" s="48" t="s">
        <v>250</v>
      </c>
      <c r="E166" s="40" t="s">
        <v>43</v>
      </c>
      <c r="F166" s="61" t="n">
        <v>546</v>
      </c>
      <c r="G166" s="41" t="n">
        <v>546</v>
      </c>
      <c r="H166" s="40" t="n">
        <v>546</v>
      </c>
      <c r="I166" s="40"/>
      <c r="J166" s="40"/>
      <c r="K166" s="40"/>
      <c r="L166" s="40"/>
      <c r="M166" s="40"/>
      <c r="N166" s="40"/>
      <c r="O166" s="41" t="n">
        <v>546</v>
      </c>
      <c r="P166" s="63"/>
      <c r="Q166" s="40" t="n">
        <v>546</v>
      </c>
      <c r="R166" s="41" t="n">
        <v>546</v>
      </c>
      <c r="S166" s="61" t="n">
        <v>576</v>
      </c>
      <c r="T166" s="50"/>
      <c r="U166" s="41" t="n">
        <v>546</v>
      </c>
      <c r="V166" s="40"/>
      <c r="W166" s="40"/>
      <c r="X166" s="44"/>
      <c r="Y166" s="40" t="n">
        <v>546</v>
      </c>
      <c r="Z166" s="40" t="n">
        <v>576</v>
      </c>
      <c r="AA166" s="45" t="s">
        <v>195</v>
      </c>
      <c r="AB166" s="45"/>
      <c r="AC166" s="45"/>
      <c r="AD166" s="45"/>
      <c r="AE166" s="51" t="n">
        <v>576</v>
      </c>
      <c r="AF166" s="52" t="n">
        <v>30</v>
      </c>
      <c r="AG166" s="40"/>
    </row>
    <row r="167" customFormat="false" ht="13.8" hidden="false" customHeight="false" outlineLevel="0" collapsed="false">
      <c r="A167" s="48" t="n">
        <v>315420</v>
      </c>
      <c r="B167" s="48" t="s">
        <v>90</v>
      </c>
      <c r="C167" s="48" t="s">
        <v>172</v>
      </c>
      <c r="D167" s="48" t="s">
        <v>251</v>
      </c>
      <c r="E167" s="40" t="s">
        <v>43</v>
      </c>
      <c r="F167" s="61" t="n">
        <v>147</v>
      </c>
      <c r="G167" s="41" t="n">
        <v>192</v>
      </c>
      <c r="H167" s="40" t="n">
        <v>147</v>
      </c>
      <c r="I167" s="40"/>
      <c r="J167" s="40"/>
      <c r="K167" s="40"/>
      <c r="L167" s="40"/>
      <c r="M167" s="40" t="n">
        <v>0</v>
      </c>
      <c r="N167" s="40"/>
      <c r="O167" s="41" t="n">
        <v>147</v>
      </c>
      <c r="P167" s="63" t="n">
        <v>147</v>
      </c>
      <c r="Q167" s="40" t="n">
        <v>147</v>
      </c>
      <c r="R167" s="41" t="n">
        <v>192</v>
      </c>
      <c r="S167" s="61" t="n">
        <v>232</v>
      </c>
      <c r="T167" s="50"/>
      <c r="U167" s="41" t="n">
        <v>147</v>
      </c>
      <c r="V167" s="40"/>
      <c r="W167" s="40"/>
      <c r="X167" s="44" t="n">
        <v>147</v>
      </c>
      <c r="Y167" s="40" t="n">
        <v>192</v>
      </c>
      <c r="Z167" s="40" t="n">
        <v>232</v>
      </c>
      <c r="AA167" s="45"/>
      <c r="AB167" s="45"/>
      <c r="AC167" s="45"/>
      <c r="AD167" s="45"/>
      <c r="AE167" s="51" t="n">
        <v>232</v>
      </c>
      <c r="AF167" s="52" t="n">
        <v>40</v>
      </c>
      <c r="AG167" s="40"/>
    </row>
    <row r="168" customFormat="false" ht="13.8" hidden="false" customHeight="false" outlineLevel="0" collapsed="false">
      <c r="A168" s="48" t="n">
        <v>315418</v>
      </c>
      <c r="B168" s="48" t="s">
        <v>90</v>
      </c>
      <c r="C168" s="48" t="s">
        <v>178</v>
      </c>
      <c r="D168" s="48" t="s">
        <v>252</v>
      </c>
      <c r="E168" s="40" t="s">
        <v>43</v>
      </c>
      <c r="F168" s="61" t="n">
        <v>156</v>
      </c>
      <c r="G168" s="41" t="n">
        <v>204</v>
      </c>
      <c r="H168" s="40" t="n">
        <v>156</v>
      </c>
      <c r="I168" s="40"/>
      <c r="J168" s="40"/>
      <c r="K168" s="40"/>
      <c r="L168" s="40"/>
      <c r="M168" s="40"/>
      <c r="N168" s="40"/>
      <c r="O168" s="41" t="n">
        <v>156</v>
      </c>
      <c r="P168" s="63" t="n">
        <v>156</v>
      </c>
      <c r="Q168" s="40" t="n">
        <v>156</v>
      </c>
      <c r="R168" s="41" t="n">
        <v>204</v>
      </c>
      <c r="S168" s="61" t="n">
        <v>281</v>
      </c>
      <c r="T168" s="50"/>
      <c r="U168" s="41" t="n">
        <v>156</v>
      </c>
      <c r="V168" s="40"/>
      <c r="W168" s="40"/>
      <c r="X168" s="44" t="n">
        <v>156</v>
      </c>
      <c r="Y168" s="40" t="n">
        <v>204</v>
      </c>
      <c r="Z168" s="40" t="n">
        <v>281</v>
      </c>
      <c r="AA168" s="45"/>
      <c r="AB168" s="45"/>
      <c r="AC168" s="45"/>
      <c r="AD168" s="45"/>
      <c r="AE168" s="51" t="n">
        <v>281</v>
      </c>
      <c r="AF168" s="52" t="n">
        <v>77</v>
      </c>
      <c r="AG168" s="40"/>
    </row>
    <row r="169" customFormat="false" ht="13.8" hidden="false" customHeight="false" outlineLevel="0" collapsed="false">
      <c r="A169" s="48" t="n">
        <v>315431</v>
      </c>
      <c r="B169" s="48" t="s">
        <v>123</v>
      </c>
      <c r="C169" s="48" t="s">
        <v>91</v>
      </c>
      <c r="D169" s="48" t="s">
        <v>253</v>
      </c>
      <c r="E169" s="40" t="s">
        <v>43</v>
      </c>
      <c r="F169" s="61" t="n">
        <v>909</v>
      </c>
      <c r="G169" s="41" t="n">
        <v>909</v>
      </c>
      <c r="H169" s="40" t="n">
        <v>909</v>
      </c>
      <c r="I169" s="40"/>
      <c r="J169" s="40"/>
      <c r="K169" s="40"/>
      <c r="L169" s="40"/>
      <c r="M169" s="40"/>
      <c r="N169" s="40"/>
      <c r="O169" s="41" t="n">
        <v>909</v>
      </c>
      <c r="P169" s="63"/>
      <c r="Q169" s="40" t="n">
        <v>909</v>
      </c>
      <c r="R169" s="41" t="n">
        <v>909</v>
      </c>
      <c r="S169" s="61" t="n">
        <v>1042</v>
      </c>
      <c r="T169" s="50"/>
      <c r="U169" s="41" t="n">
        <v>909</v>
      </c>
      <c r="V169" s="40"/>
      <c r="W169" s="40"/>
      <c r="X169" s="44"/>
      <c r="Y169" s="40" t="n">
        <v>909</v>
      </c>
      <c r="Z169" s="40" t="n">
        <v>1042</v>
      </c>
      <c r="AA169" s="45"/>
      <c r="AB169" s="45"/>
      <c r="AC169" s="45"/>
      <c r="AD169" s="45"/>
      <c r="AE169" s="51" t="n">
        <v>1042</v>
      </c>
      <c r="AF169" s="52" t="n">
        <v>133</v>
      </c>
      <c r="AG169" s="40"/>
    </row>
    <row r="170" customFormat="false" ht="13.8" hidden="false" customHeight="false" outlineLevel="0" collapsed="false">
      <c r="A170" s="48" t="n">
        <v>315432</v>
      </c>
      <c r="B170" s="48" t="s">
        <v>123</v>
      </c>
      <c r="C170" s="48" t="s">
        <v>91</v>
      </c>
      <c r="D170" s="48" t="s">
        <v>254</v>
      </c>
      <c r="E170" s="40" t="s">
        <v>43</v>
      </c>
      <c r="F170" s="61" t="n">
        <v>749</v>
      </c>
      <c r="G170" s="41" t="n">
        <v>749</v>
      </c>
      <c r="H170" s="40" t="n">
        <v>749</v>
      </c>
      <c r="I170" s="40"/>
      <c r="J170" s="40"/>
      <c r="K170" s="40"/>
      <c r="L170" s="40"/>
      <c r="M170" s="40"/>
      <c r="N170" s="40"/>
      <c r="O170" s="41" t="n">
        <v>749</v>
      </c>
      <c r="P170" s="63"/>
      <c r="Q170" s="40" t="n">
        <v>749</v>
      </c>
      <c r="R170" s="41" t="n">
        <v>749</v>
      </c>
      <c r="S170" s="61" t="n">
        <v>789</v>
      </c>
      <c r="T170" s="50"/>
      <c r="U170" s="41" t="n">
        <v>749</v>
      </c>
      <c r="V170" s="40"/>
      <c r="W170" s="40"/>
      <c r="X170" s="44"/>
      <c r="Y170" s="40" t="n">
        <v>749</v>
      </c>
      <c r="Z170" s="40" t="n">
        <v>789</v>
      </c>
      <c r="AA170" s="45"/>
      <c r="AB170" s="45"/>
      <c r="AC170" s="45"/>
      <c r="AD170" s="45"/>
      <c r="AE170" s="51" t="n">
        <v>789</v>
      </c>
      <c r="AF170" s="52" t="n">
        <v>40</v>
      </c>
      <c r="AG170" s="40"/>
    </row>
    <row r="171" customFormat="false" ht="13.8" hidden="false" customHeight="false" outlineLevel="0" collapsed="false">
      <c r="A171" s="48" t="n">
        <v>315435</v>
      </c>
      <c r="B171" s="48" t="s">
        <v>123</v>
      </c>
      <c r="C171" s="48" t="s">
        <v>91</v>
      </c>
      <c r="D171" s="48" t="s">
        <v>255</v>
      </c>
      <c r="E171" s="40" t="s">
        <v>43</v>
      </c>
      <c r="F171" s="61" t="n">
        <v>1057</v>
      </c>
      <c r="G171" s="41" t="n">
        <v>1157</v>
      </c>
      <c r="H171" s="40" t="n">
        <v>1057</v>
      </c>
      <c r="I171" s="40"/>
      <c r="J171" s="40"/>
      <c r="K171" s="40"/>
      <c r="L171" s="40"/>
      <c r="M171" s="40"/>
      <c r="N171" s="40"/>
      <c r="O171" s="41" t="n">
        <v>1057</v>
      </c>
      <c r="P171" s="63" t="n">
        <v>1057</v>
      </c>
      <c r="Q171" s="40" t="n">
        <v>1057</v>
      </c>
      <c r="R171" s="41" t="n">
        <v>1157</v>
      </c>
      <c r="S171" s="61" t="n">
        <v>1287</v>
      </c>
      <c r="T171" s="50"/>
      <c r="U171" s="41" t="n">
        <v>1057</v>
      </c>
      <c r="V171" s="40"/>
      <c r="W171" s="40"/>
      <c r="X171" s="44"/>
      <c r="Y171" s="40" t="n">
        <v>1157</v>
      </c>
      <c r="Z171" s="40" t="n">
        <v>1287</v>
      </c>
      <c r="AA171" s="45"/>
      <c r="AB171" s="45"/>
      <c r="AC171" s="45"/>
      <c r="AD171" s="45"/>
      <c r="AE171" s="51" t="n">
        <v>1287</v>
      </c>
      <c r="AF171" s="52" t="n">
        <v>130</v>
      </c>
      <c r="AG171" s="40"/>
    </row>
    <row r="172" customFormat="false" ht="13.8" hidden="false" customHeight="false" outlineLevel="0" collapsed="false">
      <c r="A172" s="48" t="n">
        <v>315437</v>
      </c>
      <c r="B172" s="48" t="s">
        <v>123</v>
      </c>
      <c r="C172" s="48" t="s">
        <v>91</v>
      </c>
      <c r="D172" s="48" t="s">
        <v>256</v>
      </c>
      <c r="E172" s="40" t="s">
        <v>43</v>
      </c>
      <c r="F172" s="61" t="n">
        <v>1157</v>
      </c>
      <c r="G172" s="41" t="n">
        <v>1157</v>
      </c>
      <c r="H172" s="40" t="n">
        <v>1157</v>
      </c>
      <c r="I172" s="40"/>
      <c r="J172" s="40"/>
      <c r="K172" s="40"/>
      <c r="L172" s="40"/>
      <c r="M172" s="40"/>
      <c r="N172" s="40"/>
      <c r="O172" s="41" t="n">
        <v>1157</v>
      </c>
      <c r="P172" s="63"/>
      <c r="Q172" s="40" t="n">
        <v>1157</v>
      </c>
      <c r="R172" s="41" t="n">
        <v>1157</v>
      </c>
      <c r="S172" s="61" t="n">
        <v>1287</v>
      </c>
      <c r="T172" s="50"/>
      <c r="U172" s="41" t="n">
        <v>1157</v>
      </c>
      <c r="V172" s="40"/>
      <c r="W172" s="40"/>
      <c r="X172" s="44"/>
      <c r="Y172" s="40" t="n">
        <v>1157</v>
      </c>
      <c r="Z172" s="40" t="n">
        <v>1287</v>
      </c>
      <c r="AA172" s="45"/>
      <c r="AB172" s="45"/>
      <c r="AC172" s="45"/>
      <c r="AD172" s="45"/>
      <c r="AE172" s="51" t="n">
        <v>1287</v>
      </c>
      <c r="AF172" s="52" t="n">
        <v>130</v>
      </c>
      <c r="AG172" s="40"/>
    </row>
    <row r="173" customFormat="false" ht="13.8" hidden="false" customHeight="false" outlineLevel="0" collapsed="false">
      <c r="A173" s="48" t="n">
        <v>315438</v>
      </c>
      <c r="B173" s="48" t="s">
        <v>123</v>
      </c>
      <c r="C173" s="48" t="s">
        <v>91</v>
      </c>
      <c r="D173" s="48" t="s">
        <v>257</v>
      </c>
      <c r="E173" s="40" t="s">
        <v>43</v>
      </c>
      <c r="F173" s="61" t="n">
        <v>1157</v>
      </c>
      <c r="G173" s="41" t="n">
        <v>1157</v>
      </c>
      <c r="H173" s="40" t="n">
        <v>1157</v>
      </c>
      <c r="I173" s="40"/>
      <c r="J173" s="40"/>
      <c r="K173" s="40"/>
      <c r="L173" s="40"/>
      <c r="M173" s="40"/>
      <c r="N173" s="40"/>
      <c r="O173" s="41" t="n">
        <v>1157</v>
      </c>
      <c r="P173" s="63"/>
      <c r="Q173" s="40" t="n">
        <v>1157</v>
      </c>
      <c r="R173" s="41" t="n">
        <v>1157</v>
      </c>
      <c r="S173" s="61" t="n">
        <v>1287</v>
      </c>
      <c r="T173" s="50"/>
      <c r="U173" s="41" t="n">
        <v>1157</v>
      </c>
      <c r="V173" s="40"/>
      <c r="W173" s="40"/>
      <c r="X173" s="44"/>
      <c r="Y173" s="40" t="n">
        <v>1157</v>
      </c>
      <c r="Z173" s="40" t="n">
        <v>1287</v>
      </c>
      <c r="AA173" s="45"/>
      <c r="AB173" s="45"/>
      <c r="AC173" s="45"/>
      <c r="AD173" s="45"/>
      <c r="AE173" s="51" t="n">
        <v>1287</v>
      </c>
      <c r="AF173" s="52" t="n">
        <v>130</v>
      </c>
      <c r="AG173" s="40"/>
    </row>
    <row r="174" customFormat="false" ht="13.8" hidden="false" customHeight="false" outlineLevel="0" collapsed="false">
      <c r="A174" s="48" t="n">
        <v>315428</v>
      </c>
      <c r="B174" s="48" t="s">
        <v>90</v>
      </c>
      <c r="C174" s="48" t="s">
        <v>91</v>
      </c>
      <c r="D174" s="48" t="s">
        <v>258</v>
      </c>
      <c r="E174" s="40" t="s">
        <v>43</v>
      </c>
      <c r="F174" s="61" t="n">
        <v>225</v>
      </c>
      <c r="G174" s="41" t="n">
        <v>225</v>
      </c>
      <c r="H174" s="40" t="n">
        <v>225</v>
      </c>
      <c r="I174" s="40"/>
      <c r="J174" s="40"/>
      <c r="K174" s="40"/>
      <c r="L174" s="40"/>
      <c r="M174" s="40"/>
      <c r="N174" s="40"/>
      <c r="O174" s="41" t="n">
        <v>225</v>
      </c>
      <c r="P174" s="63"/>
      <c r="Q174" s="40" t="n">
        <v>225</v>
      </c>
      <c r="R174" s="41" t="n">
        <v>225</v>
      </c>
      <c r="S174" s="61" t="n">
        <v>245</v>
      </c>
      <c r="T174" s="50"/>
      <c r="U174" s="41" t="n">
        <v>225</v>
      </c>
      <c r="V174" s="40"/>
      <c r="W174" s="40"/>
      <c r="X174" s="44"/>
      <c r="Y174" s="40" t="n">
        <v>225</v>
      </c>
      <c r="Z174" s="40" t="n">
        <v>245</v>
      </c>
      <c r="AA174" s="45"/>
      <c r="AB174" s="45"/>
      <c r="AC174" s="45"/>
      <c r="AD174" s="45"/>
      <c r="AE174" s="51" t="n">
        <v>245</v>
      </c>
      <c r="AF174" s="52" t="n">
        <v>20</v>
      </c>
      <c r="AG174" s="40"/>
    </row>
    <row r="175" customFormat="false" ht="13.8" hidden="false" customHeight="false" outlineLevel="0" collapsed="false">
      <c r="A175" s="48" t="n">
        <v>301084</v>
      </c>
      <c r="B175" s="48" t="s">
        <v>54</v>
      </c>
      <c r="C175" s="48" t="s">
        <v>81</v>
      </c>
      <c r="D175" s="48" t="s">
        <v>259</v>
      </c>
      <c r="E175" s="40" t="s">
        <v>47</v>
      </c>
      <c r="F175" s="61" t="n">
        <v>399</v>
      </c>
      <c r="G175" s="41" t="n">
        <v>399</v>
      </c>
      <c r="H175" s="40" t="n">
        <v>399</v>
      </c>
      <c r="I175" s="40"/>
      <c r="J175" s="40"/>
      <c r="K175" s="40"/>
      <c r="L175" s="40"/>
      <c r="M175" s="40"/>
      <c r="N175" s="40"/>
      <c r="O175" s="41" t="n">
        <v>399</v>
      </c>
      <c r="P175" s="63"/>
      <c r="Q175" s="40" t="n">
        <v>399</v>
      </c>
      <c r="R175" s="41" t="n">
        <v>399</v>
      </c>
      <c r="S175" s="61" t="n">
        <v>399</v>
      </c>
      <c r="T175" s="50"/>
      <c r="U175" s="41" t="n">
        <v>399</v>
      </c>
      <c r="V175" s="40"/>
      <c r="W175" s="40"/>
      <c r="X175" s="44"/>
      <c r="Y175" s="40" t="n">
        <v>399</v>
      </c>
      <c r="Z175" s="40" t="n">
        <v>399</v>
      </c>
      <c r="AA175" s="45"/>
      <c r="AB175" s="45"/>
      <c r="AC175" s="45"/>
      <c r="AD175" s="45"/>
      <c r="AE175" s="51" t="n">
        <v>399</v>
      </c>
      <c r="AF175" s="52" t="n">
        <v>0</v>
      </c>
      <c r="AG175" s="40"/>
    </row>
    <row r="176" customFormat="false" ht="13.8" hidden="false" customHeight="false" outlineLevel="0" collapsed="false">
      <c r="A176" s="48" t="n">
        <v>315188</v>
      </c>
      <c r="B176" s="48" t="s">
        <v>50</v>
      </c>
      <c r="C176" s="48" t="s">
        <v>67</v>
      </c>
      <c r="D176" s="48" t="s">
        <v>260</v>
      </c>
      <c r="E176" s="40" t="s">
        <v>43</v>
      </c>
      <c r="F176" s="61" t="n">
        <v>64</v>
      </c>
      <c r="G176" s="41" t="n">
        <v>64</v>
      </c>
      <c r="H176" s="40" t="n">
        <v>64</v>
      </c>
      <c r="I176" s="40"/>
      <c r="J176" s="40" t="n">
        <v>64</v>
      </c>
      <c r="K176" s="40" t="n">
        <v>64</v>
      </c>
      <c r="L176" s="40"/>
      <c r="M176" s="40"/>
      <c r="N176" s="40"/>
      <c r="O176" s="41" t="n">
        <v>64</v>
      </c>
      <c r="P176" s="63"/>
      <c r="Q176" s="40" t="n">
        <v>64</v>
      </c>
      <c r="R176" s="41" t="n">
        <v>64</v>
      </c>
      <c r="S176" s="61" t="n">
        <v>64</v>
      </c>
      <c r="T176" s="50"/>
      <c r="U176" s="41" t="n">
        <v>64</v>
      </c>
      <c r="V176" s="40"/>
      <c r="W176" s="40" t="n">
        <v>64</v>
      </c>
      <c r="X176" s="44"/>
      <c r="Y176" s="40" t="n">
        <v>64</v>
      </c>
      <c r="Z176" s="40" t="n">
        <v>64</v>
      </c>
      <c r="AA176" s="45"/>
      <c r="AB176" s="45"/>
      <c r="AC176" s="45"/>
      <c r="AD176" s="45"/>
      <c r="AE176" s="51" t="n">
        <v>64</v>
      </c>
      <c r="AF176" s="52" t="n">
        <v>0</v>
      </c>
      <c r="AG176" s="40"/>
    </row>
    <row r="177" customFormat="false" ht="13.8" hidden="false" customHeight="false" outlineLevel="0" collapsed="false">
      <c r="A177" s="48" t="n">
        <v>315424</v>
      </c>
      <c r="B177" s="48" t="s">
        <v>50</v>
      </c>
      <c r="C177" s="48" t="s">
        <v>67</v>
      </c>
      <c r="D177" s="48" t="s">
        <v>261</v>
      </c>
      <c r="E177" s="40" t="s">
        <v>43</v>
      </c>
      <c r="F177" s="61" t="n">
        <v>193</v>
      </c>
      <c r="G177" s="41" t="n">
        <v>193</v>
      </c>
      <c r="H177" s="40" t="n">
        <v>193</v>
      </c>
      <c r="I177" s="40"/>
      <c r="J177" s="40" t="n">
        <v>193</v>
      </c>
      <c r="K177" s="40" t="n">
        <v>193</v>
      </c>
      <c r="L177" s="40"/>
      <c r="M177" s="40"/>
      <c r="N177" s="40"/>
      <c r="O177" s="41" t="n">
        <v>193</v>
      </c>
      <c r="P177" s="63"/>
      <c r="Q177" s="40" t="n">
        <v>193</v>
      </c>
      <c r="R177" s="41" t="n">
        <v>193</v>
      </c>
      <c r="S177" s="61" t="n">
        <v>193</v>
      </c>
      <c r="T177" s="50"/>
      <c r="U177" s="41" t="n">
        <v>193</v>
      </c>
      <c r="V177" s="40"/>
      <c r="W177" s="40" t="n">
        <v>193</v>
      </c>
      <c r="X177" s="44"/>
      <c r="Y177" s="40" t="n">
        <v>193</v>
      </c>
      <c r="Z177" s="40" t="n">
        <v>193</v>
      </c>
      <c r="AA177" s="45"/>
      <c r="AB177" s="45"/>
      <c r="AC177" s="45"/>
      <c r="AD177" s="45"/>
      <c r="AE177" s="51" t="n">
        <v>193</v>
      </c>
      <c r="AF177" s="52" t="n">
        <v>0</v>
      </c>
      <c r="AG177" s="40"/>
    </row>
    <row r="178" customFormat="false" ht="13.8" hidden="false" customHeight="false" outlineLevel="0" collapsed="false">
      <c r="A178" s="48" t="n">
        <v>315332</v>
      </c>
      <c r="B178" s="48" t="s">
        <v>93</v>
      </c>
      <c r="C178" s="48" t="s">
        <v>91</v>
      </c>
      <c r="D178" s="48" t="s">
        <v>262</v>
      </c>
      <c r="E178" s="40" t="s">
        <v>78</v>
      </c>
      <c r="F178" s="61" t="n">
        <v>274</v>
      </c>
      <c r="G178" s="41" t="n">
        <v>274</v>
      </c>
      <c r="H178" s="40" t="n">
        <v>274</v>
      </c>
      <c r="I178" s="40"/>
      <c r="J178" s="40"/>
      <c r="K178" s="40"/>
      <c r="L178" s="40"/>
      <c r="M178" s="40"/>
      <c r="N178" s="40"/>
      <c r="O178" s="41" t="n">
        <v>274</v>
      </c>
      <c r="P178" s="63"/>
      <c r="Q178" s="40" t="n">
        <v>274</v>
      </c>
      <c r="R178" s="41" t="n">
        <v>274</v>
      </c>
      <c r="S178" s="61" t="n">
        <v>274</v>
      </c>
      <c r="T178" s="50"/>
      <c r="U178" s="41" t="n">
        <v>274</v>
      </c>
      <c r="V178" s="40"/>
      <c r="W178" s="40"/>
      <c r="X178" s="44"/>
      <c r="Y178" s="40" t="n">
        <v>274</v>
      </c>
      <c r="Z178" s="40" t="n">
        <v>274</v>
      </c>
      <c r="AA178" s="45"/>
      <c r="AB178" s="45"/>
      <c r="AC178" s="45"/>
      <c r="AD178" s="45"/>
      <c r="AE178" s="51" t="n">
        <v>304</v>
      </c>
      <c r="AF178" s="52" t="n">
        <v>30</v>
      </c>
      <c r="AG178" s="40"/>
    </row>
    <row r="179" customFormat="false" ht="13.8" hidden="false" customHeight="false" outlineLevel="0" collapsed="false">
      <c r="A179" s="48" t="n">
        <v>315331</v>
      </c>
      <c r="B179" s="48" t="s">
        <v>93</v>
      </c>
      <c r="C179" s="48" t="s">
        <v>91</v>
      </c>
      <c r="D179" s="48" t="s">
        <v>263</v>
      </c>
      <c r="E179" s="40" t="s">
        <v>78</v>
      </c>
      <c r="F179" s="61" t="n">
        <v>177</v>
      </c>
      <c r="G179" s="41" t="n">
        <v>177</v>
      </c>
      <c r="H179" s="40" t="n">
        <v>177</v>
      </c>
      <c r="I179" s="40"/>
      <c r="J179" s="40"/>
      <c r="K179" s="40"/>
      <c r="L179" s="40"/>
      <c r="M179" s="40"/>
      <c r="N179" s="40"/>
      <c r="O179" s="41" t="n">
        <v>177</v>
      </c>
      <c r="P179" s="63"/>
      <c r="Q179" s="40" t="n">
        <v>177</v>
      </c>
      <c r="R179" s="41" t="n">
        <v>177</v>
      </c>
      <c r="S179" s="61" t="n">
        <v>177</v>
      </c>
      <c r="T179" s="50"/>
      <c r="U179" s="41" t="n">
        <v>177</v>
      </c>
      <c r="V179" s="40"/>
      <c r="W179" s="40"/>
      <c r="X179" s="44"/>
      <c r="Y179" s="40" t="n">
        <v>177</v>
      </c>
      <c r="Z179" s="40" t="n">
        <v>177</v>
      </c>
      <c r="AA179" s="45"/>
      <c r="AB179" s="45"/>
      <c r="AC179" s="45"/>
      <c r="AD179" s="45"/>
      <c r="AE179" s="51" t="n">
        <v>192</v>
      </c>
      <c r="AF179" s="52" t="n">
        <v>15</v>
      </c>
      <c r="AG179" s="40"/>
    </row>
    <row r="180" customFormat="false" ht="13.8" hidden="false" customHeight="false" outlineLevel="0" collapsed="false">
      <c r="A180" s="48" t="n">
        <v>315443</v>
      </c>
      <c r="B180" s="48" t="s">
        <v>50</v>
      </c>
      <c r="C180" s="48" t="s">
        <v>48</v>
      </c>
      <c r="D180" s="48" t="s">
        <v>264</v>
      </c>
      <c r="E180" s="40" t="s">
        <v>43</v>
      </c>
      <c r="F180" s="61" t="n">
        <v>50</v>
      </c>
      <c r="G180" s="41" t="n">
        <v>101</v>
      </c>
      <c r="H180" s="40" t="n">
        <v>50</v>
      </c>
      <c r="I180" s="40"/>
      <c r="J180" s="40" t="n">
        <v>50</v>
      </c>
      <c r="K180" s="40" t="n">
        <v>50</v>
      </c>
      <c r="L180" s="40"/>
      <c r="M180" s="40"/>
      <c r="N180" s="40"/>
      <c r="O180" s="41" t="n">
        <v>50</v>
      </c>
      <c r="P180" s="63" t="n">
        <v>55</v>
      </c>
      <c r="Q180" s="40" t="n">
        <v>55</v>
      </c>
      <c r="R180" s="41" t="n">
        <v>101</v>
      </c>
      <c r="S180" s="61" t="n">
        <v>101</v>
      </c>
      <c r="T180" s="50"/>
      <c r="U180" s="41" t="n">
        <v>55</v>
      </c>
      <c r="V180" s="40"/>
      <c r="W180" s="40" t="n">
        <v>50</v>
      </c>
      <c r="X180" s="44" t="n">
        <v>55</v>
      </c>
      <c r="Y180" s="40" t="n">
        <v>101</v>
      </c>
      <c r="Z180" s="40" t="n">
        <v>101</v>
      </c>
      <c r="AA180" s="45" t="s">
        <v>175</v>
      </c>
      <c r="AB180" s="45"/>
      <c r="AC180" s="45"/>
      <c r="AD180" s="45"/>
      <c r="AE180" s="51" t="n">
        <v>101</v>
      </c>
      <c r="AF180" s="52" t="n">
        <v>0</v>
      </c>
      <c r="AG180" s="40"/>
    </row>
    <row r="181" customFormat="false" ht="13.8" hidden="false" customHeight="false" outlineLevel="0" collapsed="false">
      <c r="A181" s="48" t="n">
        <v>315176</v>
      </c>
      <c r="B181" s="48" t="s">
        <v>39</v>
      </c>
      <c r="C181" s="48" t="s">
        <v>48</v>
      </c>
      <c r="D181" s="48" t="s">
        <v>265</v>
      </c>
      <c r="E181" s="40" t="s">
        <v>43</v>
      </c>
      <c r="F181" s="61" t="n">
        <v>51</v>
      </c>
      <c r="G181" s="41" t="n">
        <v>51</v>
      </c>
      <c r="H181" s="40" t="n">
        <v>51</v>
      </c>
      <c r="I181" s="40"/>
      <c r="J181" s="40" t="n">
        <v>51</v>
      </c>
      <c r="K181" s="40" t="n">
        <v>51</v>
      </c>
      <c r="L181" s="40"/>
      <c r="M181" s="40"/>
      <c r="N181" s="40"/>
      <c r="O181" s="41" t="n">
        <v>51</v>
      </c>
      <c r="P181" s="63"/>
      <c r="Q181" s="40" t="n">
        <v>51</v>
      </c>
      <c r="R181" s="41" t="n">
        <v>51</v>
      </c>
      <c r="S181" s="61" t="n">
        <v>51</v>
      </c>
      <c r="T181" s="50"/>
      <c r="U181" s="41" t="n">
        <v>51</v>
      </c>
      <c r="V181" s="40"/>
      <c r="W181" s="40" t="n">
        <v>51</v>
      </c>
      <c r="X181" s="44"/>
      <c r="Y181" s="40" t="n">
        <v>51</v>
      </c>
      <c r="Z181" s="40" t="n">
        <v>51</v>
      </c>
      <c r="AA181" s="45"/>
      <c r="AB181" s="45"/>
      <c r="AC181" s="45"/>
      <c r="AD181" s="45"/>
      <c r="AE181" s="51" t="n">
        <v>51</v>
      </c>
      <c r="AF181" s="52" t="n">
        <v>0</v>
      </c>
      <c r="AG181" s="40"/>
    </row>
    <row r="182" customFormat="false" ht="13.8" hidden="false" customHeight="false" outlineLevel="0" collapsed="false">
      <c r="A182" s="48" t="n">
        <v>315425</v>
      </c>
      <c r="B182" s="48" t="s">
        <v>83</v>
      </c>
      <c r="C182" s="48" t="s">
        <v>91</v>
      </c>
      <c r="D182" s="48" t="s">
        <v>266</v>
      </c>
      <c r="E182" s="40" t="s">
        <v>43</v>
      </c>
      <c r="F182" s="61" t="n">
        <v>120</v>
      </c>
      <c r="G182" s="41" t="n">
        <v>120</v>
      </c>
      <c r="H182" s="40" t="n">
        <v>120</v>
      </c>
      <c r="I182" s="40"/>
      <c r="J182" s="40"/>
      <c r="K182" s="40"/>
      <c r="L182" s="40"/>
      <c r="M182" s="40"/>
      <c r="N182" s="40"/>
      <c r="O182" s="41" t="n">
        <v>120</v>
      </c>
      <c r="P182" s="63"/>
      <c r="Q182" s="40" t="n">
        <v>120</v>
      </c>
      <c r="R182" s="41" t="n">
        <v>120</v>
      </c>
      <c r="S182" s="61" t="n">
        <v>148</v>
      </c>
      <c r="T182" s="50"/>
      <c r="U182" s="41" t="n">
        <v>120</v>
      </c>
      <c r="V182" s="40"/>
      <c r="W182" s="40"/>
      <c r="X182" s="44"/>
      <c r="Y182" s="40" t="n">
        <v>120</v>
      </c>
      <c r="Z182" s="40" t="n">
        <v>148</v>
      </c>
      <c r="AA182" s="45"/>
      <c r="AB182" s="45"/>
      <c r="AC182" s="45"/>
      <c r="AD182" s="45"/>
      <c r="AE182" s="51" t="n">
        <v>148</v>
      </c>
      <c r="AF182" s="52" t="n">
        <v>28</v>
      </c>
      <c r="AG182" s="40"/>
    </row>
    <row r="183" customFormat="false" ht="13.8" hidden="false" customHeight="false" outlineLevel="0" collapsed="false">
      <c r="A183" s="48" t="n">
        <v>315426</v>
      </c>
      <c r="B183" s="48" t="s">
        <v>83</v>
      </c>
      <c r="C183" s="48" t="s">
        <v>91</v>
      </c>
      <c r="D183" s="48" t="s">
        <v>267</v>
      </c>
      <c r="E183" s="40" t="s">
        <v>43</v>
      </c>
      <c r="F183" s="61" t="n">
        <v>83</v>
      </c>
      <c r="G183" s="41" t="n">
        <v>144</v>
      </c>
      <c r="H183" s="40" t="n">
        <v>83</v>
      </c>
      <c r="I183" s="40"/>
      <c r="J183" s="40"/>
      <c r="K183" s="40"/>
      <c r="L183" s="40"/>
      <c r="M183" s="40"/>
      <c r="N183" s="40"/>
      <c r="O183" s="41" t="n">
        <v>83</v>
      </c>
      <c r="P183" s="63" t="n">
        <v>83</v>
      </c>
      <c r="Q183" s="40" t="n">
        <v>83</v>
      </c>
      <c r="R183" s="41" t="n">
        <v>144</v>
      </c>
      <c r="S183" s="61" t="n">
        <v>164</v>
      </c>
      <c r="T183" s="50"/>
      <c r="U183" s="41" t="n">
        <v>83</v>
      </c>
      <c r="V183" s="40"/>
      <c r="W183" s="40"/>
      <c r="X183" s="44" t="n">
        <v>83</v>
      </c>
      <c r="Y183" s="40" t="n">
        <v>144</v>
      </c>
      <c r="Z183" s="40" t="n">
        <v>164</v>
      </c>
      <c r="AA183" s="45"/>
      <c r="AB183" s="45"/>
      <c r="AC183" s="45"/>
      <c r="AD183" s="45"/>
      <c r="AE183" s="51" t="n">
        <v>164</v>
      </c>
      <c r="AF183" s="52" t="n">
        <v>20</v>
      </c>
      <c r="AG183" s="40"/>
    </row>
    <row r="184" customFormat="false" ht="13.8" hidden="false" customHeight="false" outlineLevel="0" collapsed="false">
      <c r="A184" s="48" t="n">
        <v>315427</v>
      </c>
      <c r="B184" s="48" t="s">
        <v>83</v>
      </c>
      <c r="C184" s="48" t="s">
        <v>91</v>
      </c>
      <c r="D184" s="48" t="s">
        <v>268</v>
      </c>
      <c r="E184" s="40" t="s">
        <v>43</v>
      </c>
      <c r="F184" s="61" t="n">
        <v>60</v>
      </c>
      <c r="G184" s="41" t="n">
        <v>168</v>
      </c>
      <c r="H184" s="40" t="n">
        <v>60</v>
      </c>
      <c r="I184" s="40"/>
      <c r="J184" s="40"/>
      <c r="K184" s="40"/>
      <c r="L184" s="40"/>
      <c r="M184" s="40"/>
      <c r="N184" s="40"/>
      <c r="O184" s="41" t="n">
        <v>60</v>
      </c>
      <c r="P184" s="63" t="n">
        <v>86</v>
      </c>
      <c r="Q184" s="40" t="n">
        <v>86</v>
      </c>
      <c r="R184" s="41" t="n">
        <v>168</v>
      </c>
      <c r="S184" s="61" t="n">
        <v>188</v>
      </c>
      <c r="T184" s="50"/>
      <c r="U184" s="41" t="n">
        <v>86</v>
      </c>
      <c r="V184" s="40"/>
      <c r="W184" s="40"/>
      <c r="X184" s="44" t="n">
        <v>86</v>
      </c>
      <c r="Y184" s="40" t="n">
        <v>168</v>
      </c>
      <c r="Z184" s="40" t="n">
        <v>188</v>
      </c>
      <c r="AA184" s="45" t="s">
        <v>175</v>
      </c>
      <c r="AB184" s="45"/>
      <c r="AC184" s="45"/>
      <c r="AD184" s="45"/>
      <c r="AE184" s="51" t="n">
        <v>188</v>
      </c>
      <c r="AF184" s="52" t="n">
        <v>20</v>
      </c>
      <c r="AG184" s="40"/>
    </row>
    <row r="185" customFormat="false" ht="13.8" hidden="false" customHeight="false" outlineLevel="0" collapsed="false">
      <c r="A185" s="48" t="n">
        <v>315446</v>
      </c>
      <c r="B185" s="48" t="s">
        <v>90</v>
      </c>
      <c r="C185" s="48" t="s">
        <v>91</v>
      </c>
      <c r="D185" s="48" t="s">
        <v>269</v>
      </c>
      <c r="E185" s="40" t="s">
        <v>43</v>
      </c>
      <c r="F185" s="61" t="n">
        <v>198</v>
      </c>
      <c r="G185" s="41" t="n">
        <v>278</v>
      </c>
      <c r="H185" s="40" t="n">
        <v>198</v>
      </c>
      <c r="I185" s="40"/>
      <c r="J185" s="40"/>
      <c r="K185" s="40"/>
      <c r="L185" s="40"/>
      <c r="M185" s="40"/>
      <c r="N185" s="40"/>
      <c r="O185" s="41" t="n">
        <v>198</v>
      </c>
      <c r="P185" s="63" t="n">
        <v>198</v>
      </c>
      <c r="Q185" s="40" t="n">
        <v>198</v>
      </c>
      <c r="R185" s="41" t="n">
        <v>278</v>
      </c>
      <c r="S185" s="61" t="n">
        <v>298</v>
      </c>
      <c r="T185" s="50"/>
      <c r="U185" s="41" t="n">
        <v>198</v>
      </c>
      <c r="V185" s="40"/>
      <c r="W185" s="40"/>
      <c r="X185" s="44"/>
      <c r="Y185" s="40" t="n">
        <v>278</v>
      </c>
      <c r="Z185" s="40" t="n">
        <v>298</v>
      </c>
      <c r="AA185" s="45"/>
      <c r="AB185" s="45"/>
      <c r="AC185" s="45"/>
      <c r="AD185" s="45"/>
      <c r="AE185" s="51" t="n">
        <v>298</v>
      </c>
      <c r="AF185" s="52" t="n">
        <v>20</v>
      </c>
      <c r="AG185" s="40"/>
    </row>
    <row r="186" customFormat="false" ht="13.8" hidden="false" customHeight="false" outlineLevel="0" collapsed="false">
      <c r="A186" s="48" t="n">
        <v>315433</v>
      </c>
      <c r="B186" s="48" t="s">
        <v>123</v>
      </c>
      <c r="C186" s="48" t="s">
        <v>91</v>
      </c>
      <c r="D186" s="48" t="s">
        <v>270</v>
      </c>
      <c r="E186" s="40" t="s">
        <v>43</v>
      </c>
      <c r="F186" s="61" t="n">
        <v>856</v>
      </c>
      <c r="G186" s="41" t="n">
        <v>856</v>
      </c>
      <c r="H186" s="40" t="n">
        <v>856</v>
      </c>
      <c r="I186" s="40"/>
      <c r="J186" s="40"/>
      <c r="K186" s="40"/>
      <c r="L186" s="40"/>
      <c r="M186" s="40"/>
      <c r="N186" s="40"/>
      <c r="O186" s="41" t="n">
        <v>856</v>
      </c>
      <c r="P186" s="63"/>
      <c r="Q186" s="40" t="n">
        <v>856</v>
      </c>
      <c r="R186" s="41" t="n">
        <v>856</v>
      </c>
      <c r="S186" s="61" t="n">
        <v>896</v>
      </c>
      <c r="T186" s="50"/>
      <c r="U186" s="41" t="n">
        <v>856</v>
      </c>
      <c r="V186" s="40"/>
      <c r="W186" s="40"/>
      <c r="X186" s="44"/>
      <c r="Y186" s="40" t="n">
        <v>856</v>
      </c>
      <c r="Z186" s="40" t="n">
        <v>896</v>
      </c>
      <c r="AA186" s="45"/>
      <c r="AB186" s="45"/>
      <c r="AC186" s="45"/>
      <c r="AD186" s="45"/>
      <c r="AE186" s="51" t="n">
        <v>896</v>
      </c>
      <c r="AF186" s="52" t="n">
        <v>40</v>
      </c>
      <c r="AG186" s="40"/>
    </row>
    <row r="187" customFormat="false" ht="13.8" hidden="false" customHeight="false" outlineLevel="0" collapsed="false">
      <c r="A187" s="48" t="n">
        <v>315422</v>
      </c>
      <c r="B187" s="48" t="s">
        <v>83</v>
      </c>
      <c r="C187" s="48" t="s">
        <v>172</v>
      </c>
      <c r="D187" s="48" t="s">
        <v>271</v>
      </c>
      <c r="E187" s="40" t="s">
        <v>43</v>
      </c>
      <c r="F187" s="61" t="n">
        <v>119</v>
      </c>
      <c r="G187" s="41" t="n">
        <v>119</v>
      </c>
      <c r="H187" s="40" t="n">
        <v>119</v>
      </c>
      <c r="I187" s="40"/>
      <c r="J187" s="40"/>
      <c r="K187" s="40"/>
      <c r="L187" s="40"/>
      <c r="M187" s="40"/>
      <c r="N187" s="40"/>
      <c r="O187" s="41" t="n">
        <v>119</v>
      </c>
      <c r="P187" s="63"/>
      <c r="Q187" s="40" t="n">
        <v>119</v>
      </c>
      <c r="R187" s="41" t="n">
        <v>119</v>
      </c>
      <c r="S187" s="61" t="n">
        <v>132</v>
      </c>
      <c r="T187" s="50"/>
      <c r="U187" s="41" t="n">
        <v>119</v>
      </c>
      <c r="V187" s="40"/>
      <c r="W187" s="40"/>
      <c r="X187" s="44"/>
      <c r="Y187" s="40" t="n">
        <v>119</v>
      </c>
      <c r="Z187" s="40" t="n">
        <v>132</v>
      </c>
      <c r="AA187" s="45"/>
      <c r="AB187" s="45"/>
      <c r="AC187" s="45"/>
      <c r="AD187" s="45"/>
      <c r="AE187" s="51" t="n">
        <v>132</v>
      </c>
      <c r="AF187" s="52" t="n">
        <v>13</v>
      </c>
      <c r="AG187" s="40"/>
    </row>
    <row r="188" customFormat="false" ht="13.8" hidden="false" customHeight="false" outlineLevel="0" collapsed="false">
      <c r="A188" s="48" t="n">
        <v>315423</v>
      </c>
      <c r="B188" s="48" t="s">
        <v>176</v>
      </c>
      <c r="C188" s="48" t="s">
        <v>172</v>
      </c>
      <c r="D188" s="48" t="s">
        <v>272</v>
      </c>
      <c r="E188" s="40" t="s">
        <v>43</v>
      </c>
      <c r="F188" s="61" t="n">
        <v>76</v>
      </c>
      <c r="G188" s="41" t="n">
        <v>76</v>
      </c>
      <c r="H188" s="40" t="n">
        <v>76</v>
      </c>
      <c r="I188" s="40"/>
      <c r="J188" s="40"/>
      <c r="K188" s="40"/>
      <c r="L188" s="40"/>
      <c r="M188" s="40"/>
      <c r="N188" s="40"/>
      <c r="O188" s="41" t="n">
        <v>76</v>
      </c>
      <c r="P188" s="63"/>
      <c r="Q188" s="40" t="n">
        <v>76</v>
      </c>
      <c r="R188" s="41" t="n">
        <v>76</v>
      </c>
      <c r="S188" s="61" t="n">
        <v>99</v>
      </c>
      <c r="T188" s="50"/>
      <c r="U188" s="41" t="n">
        <v>76</v>
      </c>
      <c r="V188" s="40"/>
      <c r="W188" s="40"/>
      <c r="X188" s="44"/>
      <c r="Y188" s="40" t="n">
        <v>76</v>
      </c>
      <c r="Z188" s="40" t="n">
        <v>99</v>
      </c>
      <c r="AA188" s="45"/>
      <c r="AB188" s="45"/>
      <c r="AC188" s="45"/>
      <c r="AD188" s="45"/>
      <c r="AE188" s="51" t="n">
        <v>99</v>
      </c>
      <c r="AF188" s="52" t="n">
        <v>23</v>
      </c>
      <c r="AG188" s="40"/>
    </row>
    <row r="189" customFormat="false" ht="13.8" hidden="false" customHeight="false" outlineLevel="0" collapsed="false">
      <c r="A189" s="53" t="n">
        <v>315463</v>
      </c>
      <c r="B189" s="53" t="s">
        <v>50</v>
      </c>
      <c r="C189" s="53" t="s">
        <v>67</v>
      </c>
      <c r="D189" s="53" t="s">
        <v>273</v>
      </c>
      <c r="E189" s="61" t="s">
        <v>52</v>
      </c>
      <c r="F189" s="61" t="n">
        <v>54</v>
      </c>
      <c r="G189" s="41" t="n">
        <v>119</v>
      </c>
      <c r="H189" s="61" t="n">
        <v>54</v>
      </c>
      <c r="I189" s="61"/>
      <c r="J189" s="61" t="n">
        <v>54</v>
      </c>
      <c r="K189" s="40" t="n">
        <v>54</v>
      </c>
      <c r="L189" s="61"/>
      <c r="M189" s="61"/>
      <c r="N189" s="61"/>
      <c r="O189" s="41" t="n">
        <v>54</v>
      </c>
      <c r="P189" s="63" t="n">
        <v>54</v>
      </c>
      <c r="Q189" s="41" t="n">
        <v>54</v>
      </c>
      <c r="R189" s="41" t="n">
        <v>119</v>
      </c>
      <c r="S189" s="41" t="n">
        <v>119</v>
      </c>
      <c r="T189" s="61"/>
      <c r="U189" s="41" t="n">
        <v>54</v>
      </c>
      <c r="V189" s="61"/>
      <c r="W189" s="40" t="n">
        <v>54</v>
      </c>
      <c r="X189" s="44" t="n">
        <v>54</v>
      </c>
      <c r="Y189" s="40" t="n">
        <v>119</v>
      </c>
      <c r="Z189" s="40" t="n">
        <v>119</v>
      </c>
      <c r="AA189" s="45"/>
      <c r="AB189" s="45"/>
      <c r="AC189" s="45"/>
      <c r="AD189" s="45"/>
      <c r="AE189" s="51" t="n">
        <v>119</v>
      </c>
      <c r="AF189" s="52" t="n">
        <v>0</v>
      </c>
      <c r="AG189" s="65"/>
      <c r="AI189" s="47"/>
    </row>
    <row r="190" customFormat="false" ht="13.8" hidden="false" customHeight="false" outlineLevel="0" collapsed="false">
      <c r="A190" s="53" t="n">
        <v>315157</v>
      </c>
      <c r="B190" s="53" t="s">
        <v>93</v>
      </c>
      <c r="C190" s="53" t="s">
        <v>91</v>
      </c>
      <c r="D190" s="53" t="s">
        <v>274</v>
      </c>
      <c r="E190" s="61" t="s">
        <v>52</v>
      </c>
      <c r="F190" s="61" t="n">
        <v>563</v>
      </c>
      <c r="G190" s="41" t="n">
        <v>563</v>
      </c>
      <c r="H190" s="61" t="n">
        <v>563</v>
      </c>
      <c r="I190" s="61"/>
      <c r="J190" s="61" t="n">
        <v>563</v>
      </c>
      <c r="K190" s="61"/>
      <c r="L190" s="61"/>
      <c r="M190" s="61"/>
      <c r="N190" s="61"/>
      <c r="O190" s="41" t="n">
        <v>563</v>
      </c>
      <c r="P190" s="63" t="n">
        <v>563</v>
      </c>
      <c r="Q190" s="41" t="n">
        <v>563</v>
      </c>
      <c r="R190" s="41" t="n">
        <v>563</v>
      </c>
      <c r="S190" s="41" t="n">
        <v>563</v>
      </c>
      <c r="T190" s="61"/>
      <c r="U190" s="41" t="n">
        <v>563</v>
      </c>
      <c r="V190" s="61"/>
      <c r="W190" s="40" t="n">
        <v>563</v>
      </c>
      <c r="X190" s="44" t="n">
        <v>563</v>
      </c>
      <c r="Y190" s="40" t="n">
        <v>563</v>
      </c>
      <c r="Z190" s="40" t="n">
        <v>563</v>
      </c>
      <c r="AA190" s="94"/>
      <c r="AB190" s="94"/>
      <c r="AC190" s="94"/>
      <c r="AD190" s="94"/>
      <c r="AE190" s="51" t="n">
        <v>863</v>
      </c>
      <c r="AF190" s="52" t="n">
        <v>200</v>
      </c>
      <c r="AG190" s="65"/>
      <c r="AI190" s="47"/>
    </row>
    <row r="191" s="103" customFormat="true" ht="13.8" hidden="false" customHeight="false" outlineLevel="0" collapsed="false">
      <c r="A191" s="95" t="n">
        <v>300712</v>
      </c>
      <c r="B191" s="95" t="s">
        <v>275</v>
      </c>
      <c r="C191" s="95" t="s">
        <v>84</v>
      </c>
      <c r="D191" s="95" t="s">
        <v>276</v>
      </c>
      <c r="E191" s="96" t="s">
        <v>47</v>
      </c>
      <c r="F191" s="97" t="n">
        <v>250</v>
      </c>
      <c r="G191" s="97" t="n">
        <v>250</v>
      </c>
      <c r="H191" s="97" t="n">
        <v>250</v>
      </c>
      <c r="I191" s="96"/>
      <c r="J191" s="97"/>
      <c r="K191" s="96"/>
      <c r="L191" s="96"/>
      <c r="M191" s="96"/>
      <c r="N191" s="96"/>
      <c r="O191" s="97" t="n">
        <v>250</v>
      </c>
      <c r="P191" s="97"/>
      <c r="Q191" s="97" t="n">
        <v>250</v>
      </c>
      <c r="R191" s="97" t="n">
        <v>250</v>
      </c>
      <c r="S191" s="97" t="n">
        <v>250</v>
      </c>
      <c r="T191" s="98"/>
      <c r="U191" s="97" t="n">
        <v>250</v>
      </c>
      <c r="V191" s="96"/>
      <c r="W191" s="97" t="n">
        <v>250</v>
      </c>
      <c r="X191" s="97"/>
      <c r="Y191" s="97" t="n">
        <v>250</v>
      </c>
      <c r="Z191" s="97" t="n">
        <v>250</v>
      </c>
      <c r="AA191" s="99" t="s">
        <v>277</v>
      </c>
      <c r="AB191" s="99"/>
      <c r="AC191" s="99"/>
      <c r="AD191" s="99"/>
      <c r="AE191" s="100" t="n">
        <v>484</v>
      </c>
      <c r="AF191" s="101" t="n">
        <v>234</v>
      </c>
      <c r="AG191" s="96"/>
      <c r="AH191" s="102"/>
      <c r="AMJ191" s="0"/>
    </row>
    <row r="192" customFormat="false" ht="13.8" hidden="false" customHeight="false" outlineLevel="0" collapsed="false">
      <c r="A192" s="104" t="n">
        <v>301085</v>
      </c>
      <c r="B192" s="104" t="s">
        <v>275</v>
      </c>
      <c r="C192" s="104" t="s">
        <v>278</v>
      </c>
      <c r="D192" s="104" t="s">
        <v>279</v>
      </c>
      <c r="E192" s="96" t="s">
        <v>47</v>
      </c>
      <c r="F192" s="97" t="n">
        <v>408</v>
      </c>
      <c r="G192" s="97" t="n">
        <v>408</v>
      </c>
      <c r="H192" s="97" t="n">
        <v>408</v>
      </c>
      <c r="J192" s="97"/>
      <c r="O192" s="97" t="n">
        <v>408</v>
      </c>
      <c r="Q192" s="97" t="n">
        <v>408</v>
      </c>
      <c r="R192" s="97" t="n">
        <v>408</v>
      </c>
      <c r="S192" s="97" t="n">
        <v>408</v>
      </c>
      <c r="U192" s="97" t="n">
        <v>408</v>
      </c>
      <c r="W192" s="97" t="n">
        <v>408</v>
      </c>
      <c r="X192" s="97"/>
      <c r="Y192" s="97" t="n">
        <v>408</v>
      </c>
      <c r="Z192" s="97" t="n">
        <v>408</v>
      </c>
      <c r="AA192" s="99" t="s">
        <v>277</v>
      </c>
      <c r="AB192" s="105"/>
      <c r="AC192" s="105"/>
      <c r="AD192" s="105"/>
      <c r="AE192" s="106" t="n">
        <v>521</v>
      </c>
      <c r="AF192" s="101" t="n">
        <v>0</v>
      </c>
    </row>
    <row r="193" customFormat="false" ht="13.8" hidden="false" customHeight="false" outlineLevel="0" collapsed="false">
      <c r="A193" s="107" t="n">
        <v>315442</v>
      </c>
      <c r="B193" s="48" t="s">
        <v>123</v>
      </c>
      <c r="C193" s="107" t="s">
        <v>186</v>
      </c>
      <c r="D193" s="107" t="s">
        <v>280</v>
      </c>
      <c r="E193" s="40" t="s">
        <v>43</v>
      </c>
      <c r="F193" s="61" t="n">
        <v>1294</v>
      </c>
      <c r="G193" s="41" t="n">
        <v>1294</v>
      </c>
      <c r="H193" s="40" t="n">
        <v>1294</v>
      </c>
      <c r="I193" s="40"/>
      <c r="J193" s="40"/>
      <c r="K193" s="40"/>
      <c r="L193" s="40"/>
      <c r="M193" s="40"/>
      <c r="N193" s="40"/>
      <c r="O193" s="41" t="n">
        <v>1294</v>
      </c>
      <c r="P193" s="63"/>
      <c r="Q193" s="40" t="n">
        <v>1294</v>
      </c>
      <c r="R193" s="41" t="n">
        <v>1294</v>
      </c>
      <c r="S193" s="61" t="n">
        <v>1594</v>
      </c>
      <c r="T193" s="50"/>
      <c r="U193" s="41" t="n">
        <v>1294</v>
      </c>
      <c r="V193" s="40"/>
      <c r="W193" s="40"/>
      <c r="X193" s="44"/>
      <c r="Y193" s="40" t="n">
        <v>1294</v>
      </c>
      <c r="Z193" s="40" t="n">
        <v>1594</v>
      </c>
      <c r="AA193" s="45" t="s">
        <v>281</v>
      </c>
      <c r="AB193" s="45"/>
      <c r="AC193" s="45"/>
      <c r="AD193" s="45"/>
      <c r="AE193" s="51" t="n">
        <v>1594</v>
      </c>
      <c r="AF193" s="52" t="n">
        <v>300</v>
      </c>
      <c r="AG193" s="40"/>
    </row>
    <row r="194" customFormat="false" ht="13.8" hidden="false" customHeight="false" outlineLevel="0" collapsed="false">
      <c r="A194" s="107" t="n">
        <v>315466</v>
      </c>
      <c r="B194" s="48" t="s">
        <v>123</v>
      </c>
      <c r="C194" s="107" t="s">
        <v>84</v>
      </c>
      <c r="D194" s="107" t="s">
        <v>282</v>
      </c>
      <c r="E194" s="40" t="s">
        <v>43</v>
      </c>
      <c r="F194" s="61" t="n">
        <v>776</v>
      </c>
      <c r="G194" s="41" t="n">
        <v>776</v>
      </c>
      <c r="H194" s="40" t="n">
        <v>776</v>
      </c>
      <c r="I194" s="40"/>
      <c r="J194" s="40"/>
      <c r="K194" s="40"/>
      <c r="L194" s="40"/>
      <c r="M194" s="40"/>
      <c r="N194" s="40"/>
      <c r="O194" s="41" t="n">
        <v>776</v>
      </c>
      <c r="P194" s="63"/>
      <c r="Q194" s="40" t="n">
        <v>776</v>
      </c>
      <c r="R194" s="41" t="n">
        <v>776</v>
      </c>
      <c r="S194" s="61" t="n">
        <v>976</v>
      </c>
      <c r="T194" s="50"/>
      <c r="U194" s="41" t="n">
        <v>776</v>
      </c>
      <c r="V194" s="40"/>
      <c r="W194" s="40"/>
      <c r="X194" s="44"/>
      <c r="Y194" s="40" t="n">
        <v>776</v>
      </c>
      <c r="Z194" s="40" t="n">
        <v>976</v>
      </c>
      <c r="AA194" s="45" t="s">
        <v>281</v>
      </c>
      <c r="AB194" s="45"/>
      <c r="AC194" s="45"/>
      <c r="AD194" s="45"/>
      <c r="AE194" s="51" t="n">
        <v>976</v>
      </c>
      <c r="AF194" s="52" t="n">
        <v>200</v>
      </c>
      <c r="AG194" s="40"/>
    </row>
    <row r="195" customFormat="false" ht="13.8" hidden="false" customHeight="false" outlineLevel="0" collapsed="false">
      <c r="A195" s="107" t="n">
        <v>315485</v>
      </c>
      <c r="B195" s="48" t="s">
        <v>123</v>
      </c>
      <c r="C195" s="107" t="s">
        <v>84</v>
      </c>
      <c r="D195" s="107" t="s">
        <v>283</v>
      </c>
      <c r="E195" s="40" t="s">
        <v>43</v>
      </c>
      <c r="F195" s="61" t="n">
        <v>1126</v>
      </c>
      <c r="G195" s="41" t="n">
        <v>1126</v>
      </c>
      <c r="H195" s="40" t="n">
        <v>1126</v>
      </c>
      <c r="I195" s="40"/>
      <c r="J195" s="40"/>
      <c r="K195" s="40"/>
      <c r="L195" s="40"/>
      <c r="M195" s="40"/>
      <c r="N195" s="40"/>
      <c r="O195" s="41" t="n">
        <v>1126</v>
      </c>
      <c r="P195" s="63"/>
      <c r="Q195" s="40" t="n">
        <v>1126</v>
      </c>
      <c r="R195" s="41" t="n">
        <v>1126</v>
      </c>
      <c r="S195" s="61" t="n">
        <v>1326</v>
      </c>
      <c r="T195" s="50"/>
      <c r="U195" s="41" t="n">
        <v>1126</v>
      </c>
      <c r="V195" s="40"/>
      <c r="W195" s="40"/>
      <c r="X195" s="44"/>
      <c r="Y195" s="40" t="n">
        <v>1126</v>
      </c>
      <c r="Z195" s="40" t="n">
        <v>1326</v>
      </c>
      <c r="AA195" s="45" t="s">
        <v>281</v>
      </c>
      <c r="AB195" s="45"/>
      <c r="AC195" s="45"/>
      <c r="AD195" s="45"/>
      <c r="AE195" s="51" t="n">
        <v>1326</v>
      </c>
      <c r="AF195" s="52" t="n">
        <v>200</v>
      </c>
      <c r="AG195" s="40"/>
    </row>
    <row r="199" customFormat="false" ht="13.8" hidden="false" customHeight="false" outlineLevel="0" collapsed="false">
      <c r="Q199" s="47"/>
    </row>
  </sheetData>
  <autoFilter ref="A2:AI195"/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&amp;L&amp;1#&amp;7C1 Public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70"/>
  <sheetViews>
    <sheetView showFormulas="false" showGridLines="false" showRowColHeaders="true" showZeros="true" rightToLeft="false" tabSelected="false" showOutlineSymbols="true" defaultGridColor="true" view="normal" topLeftCell="J1" colorId="64" zoomScale="80" zoomScaleNormal="80" zoomScalePageLayoutView="100" workbookViewId="0">
      <selection pane="topLeft" activeCell="A3" activeCellId="0" sqref="A3"/>
    </sheetView>
  </sheetViews>
  <sheetFormatPr defaultColWidth="11.45703125" defaultRowHeight="14.25" zeroHeight="false" outlineLevelRow="0" outlineLevelCol="0"/>
  <cols>
    <col collapsed="false" customWidth="true" hidden="false" outlineLevel="0" max="2" min="2" style="0" width="18.45"/>
    <col collapsed="false" customWidth="true" hidden="false" outlineLevel="0" max="3" min="3" style="0" width="17.17"/>
    <col collapsed="false" customWidth="true" hidden="false" outlineLevel="0" max="4" min="4" style="0" width="30.18"/>
    <col collapsed="false" customWidth="true" hidden="false" outlineLevel="0" max="5" min="5" style="0" width="16.17"/>
    <col collapsed="false" customWidth="true" hidden="false" outlineLevel="0" max="6" min="6" style="0" width="13.54"/>
    <col collapsed="false" customWidth="true" hidden="false" outlineLevel="0" max="20" min="20" style="0" width="14.54"/>
    <col collapsed="false" customWidth="true" hidden="false" outlineLevel="0" max="21" min="21" style="0" width="29.18"/>
    <col collapsed="false" customWidth="true" hidden="false" outlineLevel="0" max="24" min="24" style="47" width="10.72"/>
  </cols>
  <sheetData>
    <row r="1" customFormat="false" ht="15" hidden="false" customHeight="true" outlineLevel="0" collapsed="false">
      <c r="A1" s="108" t="s">
        <v>284</v>
      </c>
      <c r="B1" s="108"/>
      <c r="C1" s="108"/>
      <c r="D1" s="108"/>
      <c r="E1" s="109"/>
      <c r="F1" s="110" t="s">
        <v>1</v>
      </c>
      <c r="G1" s="110"/>
      <c r="H1" s="11"/>
      <c r="I1" s="11"/>
      <c r="J1" s="9" t="s">
        <v>2</v>
      </c>
      <c r="K1" s="9"/>
      <c r="L1" s="9"/>
      <c r="M1" s="9"/>
      <c r="N1" s="10"/>
      <c r="S1" s="111" t="s">
        <v>3</v>
      </c>
      <c r="T1" s="111"/>
    </row>
    <row r="2" customFormat="false" ht="42" hidden="false" customHeight="false" outlineLevel="0" collapsed="false">
      <c r="A2" s="17" t="s">
        <v>4</v>
      </c>
      <c r="B2" s="112" t="s">
        <v>5</v>
      </c>
      <c r="C2" s="18" t="s">
        <v>6</v>
      </c>
      <c r="D2" s="113" t="s">
        <v>7</v>
      </c>
      <c r="E2" s="114" t="s">
        <v>8</v>
      </c>
      <c r="F2" s="115" t="s">
        <v>285</v>
      </c>
      <c r="G2" s="116" t="s">
        <v>286</v>
      </c>
      <c r="H2" s="117" t="s">
        <v>287</v>
      </c>
      <c r="I2" s="117" t="s">
        <v>288</v>
      </c>
      <c r="J2" s="29" t="s">
        <v>289</v>
      </c>
      <c r="K2" s="31" t="s">
        <v>21</v>
      </c>
      <c r="L2" s="31" t="s">
        <v>22</v>
      </c>
      <c r="M2" s="31" t="n">
        <v>10001</v>
      </c>
      <c r="N2" s="33" t="s">
        <v>25</v>
      </c>
      <c r="O2" s="118" t="s">
        <v>290</v>
      </c>
      <c r="P2" s="118" t="s">
        <v>291</v>
      </c>
      <c r="Q2" s="119" t="s">
        <v>292</v>
      </c>
      <c r="R2" s="120" t="s">
        <v>293</v>
      </c>
      <c r="S2" s="30" t="s">
        <v>21</v>
      </c>
      <c r="T2" s="30" t="s">
        <v>22</v>
      </c>
      <c r="U2" s="120" t="s">
        <v>26</v>
      </c>
      <c r="V2" s="121" t="s">
        <v>294</v>
      </c>
      <c r="W2" s="38" t="s">
        <v>295</v>
      </c>
      <c r="X2" s="122" t="s">
        <v>30</v>
      </c>
      <c r="Y2" s="38" t="s">
        <v>31</v>
      </c>
    </row>
    <row r="3" customFormat="false" ht="14.25" hidden="false" customHeight="false" outlineLevel="0" collapsed="false">
      <c r="A3" s="41" t="n">
        <v>313156</v>
      </c>
      <c r="B3" s="48" t="s">
        <v>296</v>
      </c>
      <c r="C3" s="48" t="s">
        <v>297</v>
      </c>
      <c r="D3" s="123" t="s">
        <v>297</v>
      </c>
      <c r="E3" s="41" t="s">
        <v>44</v>
      </c>
      <c r="F3" s="41"/>
      <c r="G3" s="41"/>
      <c r="H3" s="41"/>
      <c r="I3" s="41" t="n">
        <v>93</v>
      </c>
      <c r="J3" s="41" t="s">
        <v>298</v>
      </c>
      <c r="K3" s="41" t="s">
        <v>298</v>
      </c>
      <c r="L3" s="41" t="s">
        <v>298</v>
      </c>
      <c r="M3" s="41"/>
      <c r="N3" s="41"/>
      <c r="O3" s="41" t="s">
        <v>298</v>
      </c>
      <c r="P3" s="41"/>
      <c r="Q3" s="41"/>
      <c r="R3" s="41" t="s">
        <v>298</v>
      </c>
      <c r="S3" s="41" t="s">
        <v>298</v>
      </c>
      <c r="T3" s="41" t="s">
        <v>298</v>
      </c>
      <c r="U3" s="120"/>
      <c r="V3" s="41" t="n">
        <v>93</v>
      </c>
      <c r="X3" s="41" t="n">
        <v>93</v>
      </c>
      <c r="Y3" s="41" t="n">
        <v>0</v>
      </c>
    </row>
    <row r="4" customFormat="false" ht="14.25" hidden="false" customHeight="false" outlineLevel="0" collapsed="false">
      <c r="A4" s="41" t="n">
        <v>312027</v>
      </c>
      <c r="B4" s="48" t="s">
        <v>296</v>
      </c>
      <c r="C4" s="48" t="s">
        <v>299</v>
      </c>
      <c r="D4" s="123" t="s">
        <v>299</v>
      </c>
      <c r="E4" s="41" t="s">
        <v>44</v>
      </c>
      <c r="F4" s="41"/>
      <c r="G4" s="41"/>
      <c r="H4" s="41"/>
      <c r="I4" s="41" t="n">
        <v>80</v>
      </c>
      <c r="J4" s="41" t="s">
        <v>298</v>
      </c>
      <c r="K4" s="41" t="s">
        <v>298</v>
      </c>
      <c r="L4" s="41" t="s">
        <v>298</v>
      </c>
      <c r="M4" s="41"/>
      <c r="N4" s="41"/>
      <c r="O4" s="41" t="s">
        <v>298</v>
      </c>
      <c r="P4" s="41"/>
      <c r="Q4" s="41"/>
      <c r="R4" s="41" t="s">
        <v>298</v>
      </c>
      <c r="S4" s="41" t="s">
        <v>298</v>
      </c>
      <c r="T4" s="41" t="s">
        <v>298</v>
      </c>
      <c r="U4" s="120"/>
      <c r="V4" s="41" t="n">
        <f aca="false">X4-Y4</f>
        <v>80</v>
      </c>
      <c r="X4" s="41" t="n">
        <v>80</v>
      </c>
      <c r="Y4" s="41" t="n">
        <v>0</v>
      </c>
    </row>
    <row r="5" customFormat="false" ht="14.25" hidden="false" customHeight="false" outlineLevel="0" collapsed="false">
      <c r="A5" s="41" t="n">
        <v>312756</v>
      </c>
      <c r="B5" s="48" t="s">
        <v>296</v>
      </c>
      <c r="C5" s="48" t="s">
        <v>300</v>
      </c>
      <c r="D5" s="123" t="s">
        <v>300</v>
      </c>
      <c r="E5" s="41" t="s">
        <v>44</v>
      </c>
      <c r="F5" s="41"/>
      <c r="G5" s="41"/>
      <c r="H5" s="41"/>
      <c r="I5" s="41" t="n">
        <v>70</v>
      </c>
      <c r="J5" s="41" t="s">
        <v>298</v>
      </c>
      <c r="K5" s="41" t="s">
        <v>298</v>
      </c>
      <c r="L5" s="41" t="s">
        <v>298</v>
      </c>
      <c r="M5" s="41"/>
      <c r="N5" s="41"/>
      <c r="O5" s="41" t="s">
        <v>298</v>
      </c>
      <c r="P5" s="41"/>
      <c r="Q5" s="41"/>
      <c r="R5" s="41" t="s">
        <v>298</v>
      </c>
      <c r="S5" s="41" t="s">
        <v>298</v>
      </c>
      <c r="T5" s="41" t="s">
        <v>298</v>
      </c>
      <c r="U5" s="120"/>
      <c r="V5" s="41" t="n">
        <f aca="false">X5-Y5</f>
        <v>70</v>
      </c>
      <c r="X5" s="41" t="n">
        <v>70</v>
      </c>
      <c r="Y5" s="41" t="n">
        <v>0</v>
      </c>
    </row>
    <row r="6" customFormat="false" ht="14.25" hidden="false" customHeight="false" outlineLevel="0" collapsed="false">
      <c r="A6" s="41" t="n">
        <v>312762</v>
      </c>
      <c r="B6" s="48" t="s">
        <v>296</v>
      </c>
      <c r="C6" s="48" t="s">
        <v>301</v>
      </c>
      <c r="D6" s="123" t="s">
        <v>301</v>
      </c>
      <c r="E6" s="41" t="s">
        <v>44</v>
      </c>
      <c r="F6" s="41"/>
      <c r="G6" s="41"/>
      <c r="H6" s="41"/>
      <c r="I6" s="41" t="n">
        <v>150</v>
      </c>
      <c r="J6" s="41" t="s">
        <v>298</v>
      </c>
      <c r="K6" s="41" t="s">
        <v>298</v>
      </c>
      <c r="L6" s="41" t="s">
        <v>298</v>
      </c>
      <c r="M6" s="41"/>
      <c r="N6" s="41"/>
      <c r="O6" s="41" t="s">
        <v>298</v>
      </c>
      <c r="P6" s="41"/>
      <c r="Q6" s="41"/>
      <c r="R6" s="41" t="s">
        <v>298</v>
      </c>
      <c r="S6" s="41" t="s">
        <v>298</v>
      </c>
      <c r="T6" s="41" t="s">
        <v>298</v>
      </c>
      <c r="U6" s="120"/>
      <c r="V6" s="41" t="n">
        <f aca="false">X6-Y6</f>
        <v>150</v>
      </c>
      <c r="X6" s="41" t="n">
        <v>150</v>
      </c>
      <c r="Y6" s="41" t="n">
        <v>0</v>
      </c>
    </row>
    <row r="7" customFormat="false" ht="14.25" hidden="false" customHeight="false" outlineLevel="0" collapsed="false">
      <c r="A7" s="41" t="n">
        <v>311660</v>
      </c>
      <c r="B7" s="48" t="s">
        <v>296</v>
      </c>
      <c r="C7" s="48" t="s">
        <v>302</v>
      </c>
      <c r="D7" s="123" t="s">
        <v>302</v>
      </c>
      <c r="E7" s="41" t="s">
        <v>44</v>
      </c>
      <c r="F7" s="41"/>
      <c r="G7" s="41"/>
      <c r="H7" s="41"/>
      <c r="I7" s="41" t="n">
        <v>60</v>
      </c>
      <c r="J7" s="41" t="s">
        <v>298</v>
      </c>
      <c r="K7" s="41" t="s">
        <v>298</v>
      </c>
      <c r="L7" s="41" t="s">
        <v>298</v>
      </c>
      <c r="M7" s="41"/>
      <c r="N7" s="41"/>
      <c r="O7" s="41" t="s">
        <v>298</v>
      </c>
      <c r="P7" s="41"/>
      <c r="Q7" s="41"/>
      <c r="R7" s="41" t="s">
        <v>298</v>
      </c>
      <c r="S7" s="41" t="s">
        <v>298</v>
      </c>
      <c r="T7" s="41" t="s">
        <v>298</v>
      </c>
      <c r="U7" s="120"/>
      <c r="V7" s="41" t="n">
        <f aca="false">X7-Y7</f>
        <v>132</v>
      </c>
      <c r="X7" s="41" t="n">
        <v>132</v>
      </c>
      <c r="Y7" s="41" t="n">
        <f aca="false">VLOOKUP(A7,'[1]Terminales Datos'!$B$1:$G$1048576,6,FALSE())</f>
        <v>0</v>
      </c>
      <c r="AA7" s="47"/>
    </row>
    <row r="8" customFormat="false" ht="14.25" hidden="false" customHeight="false" outlineLevel="0" collapsed="false">
      <c r="A8" s="41" t="n">
        <v>313180</v>
      </c>
      <c r="B8" s="48" t="s">
        <v>296</v>
      </c>
      <c r="C8" s="48" t="s">
        <v>303</v>
      </c>
      <c r="D8" s="123" t="s">
        <v>303</v>
      </c>
      <c r="E8" s="41" t="s">
        <v>44</v>
      </c>
      <c r="F8" s="41"/>
      <c r="G8" s="41"/>
      <c r="H8" s="41"/>
      <c r="I8" s="41" t="n">
        <v>75</v>
      </c>
      <c r="J8" s="41" t="s">
        <v>298</v>
      </c>
      <c r="K8" s="41" t="s">
        <v>298</v>
      </c>
      <c r="L8" s="41" t="s">
        <v>298</v>
      </c>
      <c r="M8" s="41"/>
      <c r="N8" s="41"/>
      <c r="O8" s="41" t="s">
        <v>298</v>
      </c>
      <c r="P8" s="41"/>
      <c r="Q8" s="41"/>
      <c r="R8" s="41" t="s">
        <v>298</v>
      </c>
      <c r="S8" s="41" t="s">
        <v>298</v>
      </c>
      <c r="T8" s="41" t="s">
        <v>298</v>
      </c>
      <c r="U8" s="120"/>
      <c r="V8" s="41" t="n">
        <f aca="false">X8-Y8</f>
        <v>75</v>
      </c>
      <c r="X8" s="41" t="n">
        <v>75</v>
      </c>
      <c r="Y8" s="41" t="n">
        <v>0</v>
      </c>
    </row>
    <row r="9" customFormat="false" ht="14.25" hidden="false" customHeight="false" outlineLevel="0" collapsed="false">
      <c r="A9" s="41" t="n">
        <v>328600</v>
      </c>
      <c r="B9" s="48" t="s">
        <v>296</v>
      </c>
      <c r="C9" s="48" t="s">
        <v>303</v>
      </c>
      <c r="D9" s="123" t="s">
        <v>304</v>
      </c>
      <c r="E9" s="41" t="s">
        <v>44</v>
      </c>
      <c r="F9" s="41"/>
      <c r="G9" s="41"/>
      <c r="H9" s="41"/>
      <c r="I9" s="41" t="n">
        <v>16</v>
      </c>
      <c r="J9" s="41" t="s">
        <v>298</v>
      </c>
      <c r="K9" s="41" t="s">
        <v>298</v>
      </c>
      <c r="L9" s="41" t="s">
        <v>298</v>
      </c>
      <c r="M9" s="41"/>
      <c r="N9" s="41"/>
      <c r="O9" s="41" t="s">
        <v>298</v>
      </c>
      <c r="P9" s="41"/>
      <c r="Q9" s="41"/>
      <c r="R9" s="41" t="s">
        <v>298</v>
      </c>
      <c r="S9" s="41" t="s">
        <v>298</v>
      </c>
      <c r="T9" s="41" t="s">
        <v>298</v>
      </c>
      <c r="U9" s="120"/>
      <c r="V9" s="41" t="n">
        <f aca="false">X9-Y9</f>
        <v>16</v>
      </c>
      <c r="X9" s="41" t="n">
        <v>16</v>
      </c>
      <c r="Y9" s="41" t="n">
        <v>0</v>
      </c>
    </row>
    <row r="10" customFormat="false" ht="14.25" hidden="false" customHeight="false" outlineLevel="0" collapsed="false">
      <c r="A10" s="41" t="n">
        <v>313677</v>
      </c>
      <c r="B10" s="48" t="s">
        <v>296</v>
      </c>
      <c r="C10" s="48" t="s">
        <v>305</v>
      </c>
      <c r="D10" s="123" t="s">
        <v>306</v>
      </c>
      <c r="E10" s="41" t="s">
        <v>44</v>
      </c>
      <c r="F10" s="41"/>
      <c r="G10" s="41"/>
      <c r="H10" s="41"/>
      <c r="I10" s="41" t="n">
        <v>36</v>
      </c>
      <c r="J10" s="41" t="s">
        <v>298</v>
      </c>
      <c r="K10" s="41" t="s">
        <v>298</v>
      </c>
      <c r="L10" s="41" t="s">
        <v>298</v>
      </c>
      <c r="M10" s="41"/>
      <c r="N10" s="41"/>
      <c r="O10" s="41" t="s">
        <v>298</v>
      </c>
      <c r="P10" s="41"/>
      <c r="Q10" s="41"/>
      <c r="R10" s="41" t="s">
        <v>298</v>
      </c>
      <c r="S10" s="41" t="s">
        <v>298</v>
      </c>
      <c r="T10" s="41" t="s">
        <v>298</v>
      </c>
      <c r="U10" s="120"/>
      <c r="V10" s="41" t="n">
        <f aca="false">X10-Y10</f>
        <v>36</v>
      </c>
      <c r="X10" s="41" t="n">
        <v>36</v>
      </c>
      <c r="Y10" s="41" t="n">
        <v>0</v>
      </c>
    </row>
    <row r="11" customFormat="false" ht="14.25" hidden="false" customHeight="false" outlineLevel="0" collapsed="false">
      <c r="A11" s="41" t="n">
        <v>313768</v>
      </c>
      <c r="B11" s="48" t="s">
        <v>296</v>
      </c>
      <c r="C11" s="48" t="s">
        <v>307</v>
      </c>
      <c r="D11" s="123" t="s">
        <v>308</v>
      </c>
      <c r="E11" s="41" t="s">
        <v>44</v>
      </c>
      <c r="F11" s="41"/>
      <c r="G11" s="41"/>
      <c r="H11" s="41"/>
      <c r="I11" s="41" t="n">
        <v>86</v>
      </c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120"/>
      <c r="V11" s="41" t="n">
        <f aca="false">X11-Y11</f>
        <v>86</v>
      </c>
      <c r="X11" s="41" t="n">
        <v>86</v>
      </c>
      <c r="Y11" s="41" t="n">
        <f aca="false">VLOOKUP(A11,'[1]Terminales Datos'!$B$1:$G$1048576,6,FALSE())</f>
        <v>0</v>
      </c>
      <c r="AA11" s="47"/>
    </row>
    <row r="12" customFormat="false" ht="14.25" hidden="false" customHeight="false" outlineLevel="0" collapsed="false">
      <c r="A12" s="61" t="n">
        <v>313830</v>
      </c>
      <c r="B12" s="53" t="s">
        <v>34</v>
      </c>
      <c r="C12" s="53" t="s">
        <v>309</v>
      </c>
      <c r="D12" s="53" t="s">
        <v>310</v>
      </c>
      <c r="E12" s="61" t="s">
        <v>311</v>
      </c>
      <c r="F12" s="61" t="n">
        <v>22</v>
      </c>
      <c r="G12" s="61" t="n">
        <v>22</v>
      </c>
      <c r="H12" s="61"/>
      <c r="I12" s="61"/>
      <c r="J12" s="61" t="n">
        <v>22</v>
      </c>
      <c r="K12" s="61" t="n">
        <v>22</v>
      </c>
      <c r="L12" s="61" t="n">
        <v>22</v>
      </c>
      <c r="M12" s="61"/>
      <c r="N12" s="61"/>
      <c r="O12" s="61" t="n">
        <v>0</v>
      </c>
      <c r="P12" s="61" t="n">
        <v>22</v>
      </c>
      <c r="Q12" s="61" t="n">
        <f aca="false">F12</f>
        <v>22</v>
      </c>
      <c r="R12" s="61"/>
      <c r="S12" s="61" t="n">
        <v>22</v>
      </c>
      <c r="T12" s="61" t="n">
        <v>22</v>
      </c>
      <c r="U12" s="61"/>
      <c r="V12" s="41" t="n">
        <f aca="false">X12-Y12</f>
        <v>21.703</v>
      </c>
      <c r="X12" s="41" t="n">
        <f aca="false">VLOOKUP(A12,'[2]Terminales Datos'!$B$1:$F$1048576,5,FALSE())</f>
        <v>21.703</v>
      </c>
      <c r="Y12" s="41" t="n">
        <f aca="false">VLOOKUP(A12,'[1]Terminales Datos'!$B$1:$G$1048576,6,FALSE())</f>
        <v>0</v>
      </c>
      <c r="AA12" s="47"/>
    </row>
    <row r="13" customFormat="false" ht="14.25" hidden="false" customHeight="false" outlineLevel="0" collapsed="false">
      <c r="A13" s="41" t="n">
        <v>314183</v>
      </c>
      <c r="B13" s="48" t="s">
        <v>296</v>
      </c>
      <c r="C13" s="123" t="s">
        <v>309</v>
      </c>
      <c r="D13" s="49" t="s">
        <v>312</v>
      </c>
      <c r="E13" s="61" t="s">
        <v>44</v>
      </c>
      <c r="F13" s="61"/>
      <c r="G13" s="61"/>
      <c r="H13" s="57"/>
      <c r="I13" s="41" t="n">
        <v>58</v>
      </c>
      <c r="J13" s="41"/>
      <c r="K13" s="41"/>
      <c r="L13" s="61"/>
      <c r="M13" s="57"/>
      <c r="N13" s="57"/>
      <c r="O13" s="61"/>
      <c r="P13" s="57"/>
      <c r="Q13" s="57"/>
      <c r="R13" s="57"/>
      <c r="S13" s="57"/>
      <c r="T13" s="57"/>
      <c r="U13" s="57"/>
      <c r="V13" s="41" t="n">
        <f aca="false">X13-Y13</f>
        <v>58</v>
      </c>
      <c r="X13" s="61" t="n">
        <v>58</v>
      </c>
      <c r="Y13" s="41" t="n">
        <v>0</v>
      </c>
    </row>
    <row r="14" customFormat="false" ht="14.25" hidden="false" customHeight="false" outlineLevel="0" collapsed="false">
      <c r="A14" s="40" t="n">
        <v>314363</v>
      </c>
      <c r="B14" s="124" t="s">
        <v>76</v>
      </c>
      <c r="C14" s="124" t="s">
        <v>99</v>
      </c>
      <c r="D14" s="49" t="s">
        <v>115</v>
      </c>
      <c r="E14" s="41" t="s">
        <v>311</v>
      </c>
      <c r="F14" s="40" t="n">
        <v>466</v>
      </c>
      <c r="G14" s="40" t="n">
        <v>466</v>
      </c>
      <c r="H14" s="41"/>
      <c r="I14" s="40"/>
      <c r="J14" s="41" t="n">
        <f aca="false">F14</f>
        <v>466</v>
      </c>
      <c r="K14" s="41" t="n">
        <f aca="false">F14</f>
        <v>466</v>
      </c>
      <c r="L14" s="61" t="n">
        <f aca="false">F14</f>
        <v>466</v>
      </c>
      <c r="M14" s="41"/>
      <c r="N14" s="41"/>
      <c r="O14" s="41"/>
      <c r="P14" s="41"/>
      <c r="Q14" s="61" t="n">
        <f aca="false">F14</f>
        <v>466</v>
      </c>
      <c r="R14" s="41"/>
      <c r="S14" s="41"/>
      <c r="T14" s="41"/>
      <c r="U14" s="41"/>
      <c r="V14" s="41" t="n">
        <f aca="false">X14-Y14</f>
        <v>466.494</v>
      </c>
      <c r="W14" s="64"/>
      <c r="X14" s="41" t="n">
        <f aca="false">VLOOKUP(A14,'[2]Terminales Datos'!$B$1:$F$1048576,5,FALSE())</f>
        <v>466.494</v>
      </c>
      <c r="Y14" s="41" t="n">
        <f aca="false">VLOOKUP(A14,'[1]Terminales Datos'!$B$1:$G$1048576,6,FALSE())</f>
        <v>0</v>
      </c>
      <c r="AA14" s="47"/>
    </row>
    <row r="15" customFormat="false" ht="14.25" hidden="false" customHeight="false" outlineLevel="0" collapsed="false">
      <c r="A15" s="40" t="n">
        <v>314364</v>
      </c>
      <c r="B15" s="124" t="s">
        <v>76</v>
      </c>
      <c r="C15" s="124" t="s">
        <v>99</v>
      </c>
      <c r="D15" s="49" t="s">
        <v>133</v>
      </c>
      <c r="E15" s="41" t="s">
        <v>311</v>
      </c>
      <c r="F15" s="40" t="n">
        <v>623</v>
      </c>
      <c r="G15" s="40" t="n">
        <v>623</v>
      </c>
      <c r="H15" s="41"/>
      <c r="I15" s="40"/>
      <c r="J15" s="41" t="n">
        <f aca="false">F15</f>
        <v>623</v>
      </c>
      <c r="K15" s="41" t="n">
        <f aca="false">F15</f>
        <v>623</v>
      </c>
      <c r="L15" s="61" t="n">
        <f aca="false">F15</f>
        <v>623</v>
      </c>
      <c r="M15" s="41"/>
      <c r="N15" s="41"/>
      <c r="O15" s="41"/>
      <c r="P15" s="41"/>
      <c r="Q15" s="61" t="n">
        <f aca="false">F15</f>
        <v>623</v>
      </c>
      <c r="R15" s="41"/>
      <c r="S15" s="41"/>
      <c r="T15" s="41"/>
      <c r="U15" s="41"/>
      <c r="V15" s="41" t="n">
        <f aca="false">X15-Y15</f>
        <v>622.6815</v>
      </c>
      <c r="W15" s="64"/>
      <c r="X15" s="41" t="n">
        <f aca="false">VLOOKUP(A15,'[2]Terminales Datos'!$B$1:$F$1048576,5,FALSE())</f>
        <v>622.6815</v>
      </c>
      <c r="Y15" s="41" t="n">
        <f aca="false">VLOOKUP(A15,'[1]Terminales Datos'!$B$1:$G$1048576,6,FALSE())</f>
        <v>0</v>
      </c>
      <c r="AA15" s="47"/>
    </row>
    <row r="16" customFormat="false" ht="14.25" hidden="false" customHeight="false" outlineLevel="0" collapsed="false">
      <c r="A16" s="40" t="n">
        <v>314177</v>
      </c>
      <c r="B16" s="40" t="s">
        <v>76</v>
      </c>
      <c r="C16" s="40" t="s">
        <v>48</v>
      </c>
      <c r="D16" s="40" t="s">
        <v>313</v>
      </c>
      <c r="E16" s="40" t="s">
        <v>311</v>
      </c>
      <c r="F16" s="40" t="n">
        <v>100</v>
      </c>
      <c r="G16" s="40" t="n">
        <v>100</v>
      </c>
      <c r="H16" s="40"/>
      <c r="I16" s="40"/>
      <c r="J16" s="41" t="n">
        <f aca="false">F16</f>
        <v>100</v>
      </c>
      <c r="K16" s="41" t="n">
        <f aca="false">F16</f>
        <v>100</v>
      </c>
      <c r="L16" s="61" t="n">
        <f aca="false">F16</f>
        <v>100</v>
      </c>
      <c r="M16" s="40"/>
      <c r="N16" s="40"/>
      <c r="O16" s="40"/>
      <c r="P16" s="40"/>
      <c r="Q16" s="61" t="n">
        <f aca="false">F16</f>
        <v>100</v>
      </c>
      <c r="R16" s="40"/>
      <c r="S16" s="40"/>
      <c r="T16" s="40"/>
      <c r="U16" s="40"/>
      <c r="V16" s="41" t="n">
        <f aca="false">X16-Y16</f>
        <v>149.402</v>
      </c>
      <c r="X16" s="41" t="n">
        <f aca="false">VLOOKUP(A16,'[2]Terminales Datos'!$B$1:$F$1048576,5,FALSE())</f>
        <v>149.402</v>
      </c>
      <c r="Y16" s="41" t="n">
        <f aca="false">VLOOKUP(A16,'[1]Terminales Datos'!$B$1:$G$1048576,6,FALSE())</f>
        <v>0</v>
      </c>
      <c r="AA16" s="47"/>
    </row>
    <row r="17" customFormat="false" ht="14.25" hidden="false" customHeight="false" outlineLevel="0" collapsed="false">
      <c r="A17" s="68" t="n">
        <v>314888</v>
      </c>
      <c r="B17" s="124" t="s">
        <v>76</v>
      </c>
      <c r="C17" s="124" t="s">
        <v>99</v>
      </c>
      <c r="D17" s="49" t="s">
        <v>314</v>
      </c>
      <c r="E17" s="40" t="s">
        <v>311</v>
      </c>
      <c r="F17" s="40" t="n">
        <v>607.572</v>
      </c>
      <c r="G17" s="40"/>
      <c r="H17" s="40"/>
      <c r="I17" s="41" t="n">
        <v>608</v>
      </c>
      <c r="J17" s="41" t="n">
        <f aca="false">F17</f>
        <v>607.572</v>
      </c>
      <c r="K17" s="41" t="n">
        <f aca="false">F17</f>
        <v>607.572</v>
      </c>
      <c r="L17" s="61" t="n">
        <f aca="false">F17</f>
        <v>607.572</v>
      </c>
      <c r="M17" s="40"/>
      <c r="N17" s="40"/>
      <c r="O17" s="40"/>
      <c r="P17" s="40"/>
      <c r="Q17" s="61" t="n">
        <f aca="false">F17</f>
        <v>607.572</v>
      </c>
      <c r="R17" s="40"/>
      <c r="S17" s="41" t="n">
        <v>607.572</v>
      </c>
      <c r="T17" s="41" t="n">
        <v>607.572</v>
      </c>
      <c r="U17" s="40"/>
      <c r="V17" s="41" t="n">
        <f aca="false">X17-Y17</f>
        <v>607.572</v>
      </c>
      <c r="X17" s="41" t="n">
        <f aca="false">VLOOKUP(A17,'[2]Terminales Datos'!$B$1:$F$1048576,5,FALSE())</f>
        <v>607.572</v>
      </c>
      <c r="Y17" s="41" t="n">
        <f aca="false">VLOOKUP(A17,'[1]Terminales Datos'!$B$1:$G$1048576,6,FALSE())</f>
        <v>0</v>
      </c>
      <c r="AA17" s="47"/>
    </row>
    <row r="18" customFormat="false" ht="14.25" hidden="false" customHeight="false" outlineLevel="0" collapsed="false">
      <c r="A18" s="68" t="n">
        <v>314891</v>
      </c>
      <c r="B18" s="124" t="s">
        <v>76</v>
      </c>
      <c r="C18" s="124" t="s">
        <v>99</v>
      </c>
      <c r="D18" s="49" t="s">
        <v>315</v>
      </c>
      <c r="E18" s="40" t="s">
        <v>311</v>
      </c>
      <c r="F18" s="40" t="n">
        <v>1077.8355</v>
      </c>
      <c r="G18" s="40"/>
      <c r="H18" s="40"/>
      <c r="I18" s="41" t="n">
        <v>1077.8355</v>
      </c>
      <c r="J18" s="41" t="n">
        <f aca="false">F18</f>
        <v>1077.8355</v>
      </c>
      <c r="K18" s="41" t="n">
        <f aca="false">F18</f>
        <v>1077.8355</v>
      </c>
      <c r="L18" s="61" t="n">
        <f aca="false">F18</f>
        <v>1077.8355</v>
      </c>
      <c r="M18" s="40"/>
      <c r="N18" s="40"/>
      <c r="O18" s="40"/>
      <c r="P18" s="40"/>
      <c r="Q18" s="61" t="n">
        <f aca="false">F18</f>
        <v>1077.8355</v>
      </c>
      <c r="R18" s="40"/>
      <c r="S18" s="41" t="n">
        <v>1077.8355</v>
      </c>
      <c r="T18" s="41" t="n">
        <v>1077.8355</v>
      </c>
      <c r="U18" s="40"/>
      <c r="V18" s="41" t="n">
        <f aca="false">X18-Y18</f>
        <v>1077.8355</v>
      </c>
      <c r="X18" s="41" t="n">
        <f aca="false">VLOOKUP(A18,'[2]Terminales Datos'!$B$1:$F$1048576,5,FALSE())</f>
        <v>1077.8355</v>
      </c>
      <c r="Y18" s="41" t="n">
        <f aca="false">VLOOKUP(A18,'[1]Terminales Datos'!$B$1:$G$1048576,6,FALSE())</f>
        <v>0</v>
      </c>
      <c r="AA18" s="47"/>
    </row>
    <row r="19" customFormat="false" ht="14.25" hidden="false" customHeight="false" outlineLevel="0" collapsed="false">
      <c r="A19" s="61" t="n">
        <v>314892</v>
      </c>
      <c r="B19" s="48" t="s">
        <v>76</v>
      </c>
      <c r="C19" s="123" t="s">
        <v>99</v>
      </c>
      <c r="D19" s="49" t="s">
        <v>316</v>
      </c>
      <c r="E19" s="40" t="s">
        <v>311</v>
      </c>
      <c r="F19" s="40" t="n">
        <v>1391.355</v>
      </c>
      <c r="G19" s="40"/>
      <c r="H19" s="40"/>
      <c r="I19" s="41" t="n">
        <v>1391.355</v>
      </c>
      <c r="J19" s="41" t="n">
        <f aca="false">F19</f>
        <v>1391.355</v>
      </c>
      <c r="K19" s="41" t="n">
        <f aca="false">F19</f>
        <v>1391.355</v>
      </c>
      <c r="L19" s="61" t="n">
        <f aca="false">F19</f>
        <v>1391.355</v>
      </c>
      <c r="M19" s="40"/>
      <c r="N19" s="40"/>
      <c r="O19" s="40"/>
      <c r="P19" s="40"/>
      <c r="Q19" s="61" t="n">
        <f aca="false">F19</f>
        <v>1391.355</v>
      </c>
      <c r="R19" s="40"/>
      <c r="S19" s="41" t="n">
        <v>1391.355</v>
      </c>
      <c r="T19" s="41" t="n">
        <v>1391.355</v>
      </c>
      <c r="U19" s="40"/>
      <c r="V19" s="41" t="n">
        <f aca="false">X19-Y19</f>
        <v>1391.355</v>
      </c>
      <c r="X19" s="41" t="n">
        <f aca="false">VLOOKUP(A19,'[2]Terminales Datos'!$B$1:$F$1048576,5,FALSE())</f>
        <v>1391.355</v>
      </c>
      <c r="Y19" s="41" t="n">
        <f aca="false">VLOOKUP(A19,'[1]Terminales Datos'!$B$1:$G$1048576,6,FALSE())</f>
        <v>0</v>
      </c>
      <c r="AA19" s="47"/>
    </row>
    <row r="20" customFormat="false" ht="14.25" hidden="false" customHeight="false" outlineLevel="0" collapsed="false">
      <c r="A20" s="61" t="n">
        <v>314697</v>
      </c>
      <c r="B20" s="48" t="s">
        <v>34</v>
      </c>
      <c r="C20" s="123" t="s">
        <v>35</v>
      </c>
      <c r="D20" s="49" t="s">
        <v>36</v>
      </c>
      <c r="E20" s="40" t="s">
        <v>37</v>
      </c>
      <c r="F20" s="40" t="n">
        <v>26.158</v>
      </c>
      <c r="G20" s="40" t="n">
        <v>26.158</v>
      </c>
      <c r="H20" s="40"/>
      <c r="I20" s="41" t="n">
        <v>26.158</v>
      </c>
      <c r="J20" s="41" t="n">
        <f aca="false">F20</f>
        <v>26.158</v>
      </c>
      <c r="K20" s="41" t="n">
        <f aca="false">F20</f>
        <v>26.158</v>
      </c>
      <c r="L20" s="61" t="n">
        <f aca="false">F20</f>
        <v>26.158</v>
      </c>
      <c r="M20" s="40"/>
      <c r="N20" s="40"/>
      <c r="O20" s="40" t="n">
        <v>0</v>
      </c>
      <c r="P20" s="40"/>
      <c r="Q20" s="61" t="n">
        <f aca="false">F20</f>
        <v>26.158</v>
      </c>
      <c r="R20" s="40"/>
      <c r="S20" s="41" t="n">
        <v>26.158</v>
      </c>
      <c r="T20" s="41" t="n">
        <v>26.158</v>
      </c>
      <c r="U20" s="40"/>
      <c r="V20" s="41" t="n">
        <v>26</v>
      </c>
      <c r="X20" s="41" t="n">
        <v>26</v>
      </c>
      <c r="Y20" s="41" t="n">
        <f aca="false">VLOOKUP(A20,'[1]Terminales Datos'!$B$1:$G$1048576,6,FALSE())</f>
        <v>0</v>
      </c>
      <c r="AA20" s="47"/>
    </row>
    <row r="21" customFormat="false" ht="14.25" hidden="false" customHeight="false" outlineLevel="0" collapsed="false">
      <c r="A21" s="68" t="n">
        <v>314691</v>
      </c>
      <c r="B21" s="124" t="s">
        <v>34</v>
      </c>
      <c r="C21" s="124" t="s">
        <v>35</v>
      </c>
      <c r="D21" s="49" t="s">
        <v>317</v>
      </c>
      <c r="E21" s="40" t="s">
        <v>37</v>
      </c>
      <c r="F21" s="40" t="n">
        <v>63.338</v>
      </c>
      <c r="G21" s="40" t="n">
        <v>63.338</v>
      </c>
      <c r="H21" s="40"/>
      <c r="I21" s="40" t="n">
        <v>63.338</v>
      </c>
      <c r="J21" s="41" t="n">
        <f aca="false">F21</f>
        <v>63.338</v>
      </c>
      <c r="K21" s="41" t="n">
        <f aca="false">F21</f>
        <v>63.338</v>
      </c>
      <c r="L21" s="61" t="n">
        <f aca="false">F21</f>
        <v>63.338</v>
      </c>
      <c r="M21" s="40"/>
      <c r="N21" s="40"/>
      <c r="O21" s="40"/>
      <c r="P21" s="40"/>
      <c r="Q21" s="61" t="n">
        <f aca="false">F21</f>
        <v>63.338</v>
      </c>
      <c r="R21" s="40"/>
      <c r="S21" s="40" t="n">
        <v>63.338</v>
      </c>
      <c r="T21" s="40" t="n">
        <v>63.338</v>
      </c>
      <c r="U21" s="40"/>
      <c r="V21" s="41" t="n">
        <f aca="false">X21-Y21</f>
        <v>63.338</v>
      </c>
      <c r="X21" s="41" t="n">
        <f aca="false">VLOOKUP(A21,'[2]Terminales Datos'!$B$1:$F$1048576,5,FALSE())</f>
        <v>63.338</v>
      </c>
      <c r="Y21" s="41" t="n">
        <f aca="false">VLOOKUP(A21,'[1]Terminales Datos'!$B$1:$G$1048576,6,FALSE())</f>
        <v>0</v>
      </c>
      <c r="AA21" s="47"/>
    </row>
    <row r="22" customFormat="false" ht="14.25" hidden="false" customHeight="false" outlineLevel="0" collapsed="false">
      <c r="A22" s="68" t="n">
        <v>314890</v>
      </c>
      <c r="B22" s="124" t="s">
        <v>93</v>
      </c>
      <c r="C22" s="124" t="s">
        <v>99</v>
      </c>
      <c r="D22" s="49" t="s">
        <v>318</v>
      </c>
      <c r="E22" s="40" t="s">
        <v>311</v>
      </c>
      <c r="F22" s="40" t="n">
        <f aca="false">V22</f>
        <v>529.3265</v>
      </c>
      <c r="G22" s="40" t="n">
        <f aca="false">V22</f>
        <v>529.3265</v>
      </c>
      <c r="H22" s="40"/>
      <c r="I22" s="40" t="n">
        <f aca="false">V22</f>
        <v>529.3265</v>
      </c>
      <c r="J22" s="41" t="n">
        <f aca="false">F22</f>
        <v>529.3265</v>
      </c>
      <c r="K22" s="41" t="n">
        <f aca="false">F22</f>
        <v>529.3265</v>
      </c>
      <c r="L22" s="61" t="n">
        <f aca="false">X22</f>
        <v>764.3265</v>
      </c>
      <c r="M22" s="40"/>
      <c r="N22" s="40"/>
      <c r="O22" s="40"/>
      <c r="P22" s="40"/>
      <c r="Q22" s="61" t="n">
        <f aca="false">F22</f>
        <v>529.3265</v>
      </c>
      <c r="R22" s="40"/>
      <c r="S22" s="40" t="n">
        <f aca="false">V22</f>
        <v>529.3265</v>
      </c>
      <c r="T22" s="40" t="n">
        <v>764</v>
      </c>
      <c r="U22" s="40" t="s">
        <v>319</v>
      </c>
      <c r="V22" s="41" t="n">
        <f aca="false">X22-Y22</f>
        <v>529.3265</v>
      </c>
      <c r="X22" s="41" t="n">
        <f aca="false">VLOOKUP(A22,'[2]Terminales Datos'!$B$1:$F$1048576,5,FALSE())</f>
        <v>764.3265</v>
      </c>
      <c r="Y22" s="41" t="n">
        <v>235</v>
      </c>
      <c r="AA22" s="47"/>
    </row>
    <row r="23" customFormat="false" ht="14.25" hidden="false" customHeight="false" outlineLevel="0" collapsed="false">
      <c r="A23" s="68" t="n">
        <v>315048</v>
      </c>
      <c r="B23" s="124" t="s">
        <v>76</v>
      </c>
      <c r="C23" s="124" t="s">
        <v>91</v>
      </c>
      <c r="D23" s="49" t="s">
        <v>320</v>
      </c>
      <c r="E23" s="40" t="s">
        <v>311</v>
      </c>
      <c r="F23" s="40" t="n">
        <v>684</v>
      </c>
      <c r="G23" s="40" t="n">
        <v>684</v>
      </c>
      <c r="H23" s="40"/>
      <c r="I23" s="40" t="n">
        <v>684</v>
      </c>
      <c r="J23" s="41" t="n">
        <f aca="false">F23</f>
        <v>684</v>
      </c>
      <c r="K23" s="41" t="n">
        <f aca="false">F23</f>
        <v>684</v>
      </c>
      <c r="L23" s="61" t="n">
        <f aca="false">F23</f>
        <v>684</v>
      </c>
      <c r="M23" s="40"/>
      <c r="N23" s="40"/>
      <c r="O23" s="40"/>
      <c r="P23" s="40"/>
      <c r="Q23" s="61" t="n">
        <f aca="false">F23</f>
        <v>684</v>
      </c>
      <c r="R23" s="40"/>
      <c r="S23" s="40" t="n">
        <v>684</v>
      </c>
      <c r="T23" s="40"/>
      <c r="U23" s="40"/>
      <c r="V23" s="41" t="n">
        <v>684</v>
      </c>
      <c r="X23" s="41" t="n">
        <f aca="false">VLOOKUP(A23,'[2]Terminales Datos'!$B$1:$F$1048576,5,FALSE())</f>
        <v>684.474</v>
      </c>
      <c r="Y23" s="41" t="n">
        <f aca="false">VLOOKUP(A23,'[1]Terminales Datos'!$B$1:$G$1048576,6,FALSE())</f>
        <v>0</v>
      </c>
      <c r="AA23" s="47"/>
    </row>
    <row r="24" customFormat="false" ht="14.25" hidden="false" customHeight="false" outlineLevel="0" collapsed="false">
      <c r="A24" s="68" t="n">
        <v>301046</v>
      </c>
      <c r="B24" s="124" t="s">
        <v>93</v>
      </c>
      <c r="C24" s="124" t="s">
        <v>235</v>
      </c>
      <c r="D24" s="49" t="s">
        <v>321</v>
      </c>
      <c r="E24" s="40" t="s">
        <v>311</v>
      </c>
      <c r="F24" s="40" t="n">
        <f aca="false">V24</f>
        <v>192</v>
      </c>
      <c r="G24" s="40" t="n">
        <f aca="false">V24</f>
        <v>192</v>
      </c>
      <c r="H24" s="40"/>
      <c r="I24" s="40" t="n">
        <f aca="false">V24</f>
        <v>192</v>
      </c>
      <c r="J24" s="41" t="n">
        <f aca="false">F24</f>
        <v>192</v>
      </c>
      <c r="K24" s="41" t="n">
        <f aca="false">G24</f>
        <v>192</v>
      </c>
      <c r="L24" s="41" t="n">
        <v>192</v>
      </c>
      <c r="M24" s="40"/>
      <c r="N24" s="40"/>
      <c r="O24" s="40"/>
      <c r="P24" s="40"/>
      <c r="Q24" s="61" t="n">
        <f aca="false">F24</f>
        <v>192</v>
      </c>
      <c r="R24" s="40"/>
      <c r="S24" s="40" t="n">
        <v>192</v>
      </c>
      <c r="T24" s="40" t="n">
        <v>192</v>
      </c>
      <c r="U24" s="40"/>
      <c r="V24" s="41" t="n">
        <v>192</v>
      </c>
      <c r="X24" s="41" t="n">
        <f aca="false">VLOOKUP(A24,'[2]Terminales Datos'!$B$1:$F$1048576,5,FALSE())</f>
        <v>207.317</v>
      </c>
      <c r="Y24" s="41" t="n">
        <f aca="false">VLOOKUP(A24,'[1]Terminales Datos'!$B$1:$G$1048576,6,FALSE())</f>
        <v>0</v>
      </c>
      <c r="AA24" s="47"/>
    </row>
    <row r="25" customFormat="false" ht="14.25" hidden="false" customHeight="false" outlineLevel="0" collapsed="false">
      <c r="A25" s="68" t="n">
        <v>314901</v>
      </c>
      <c r="B25" s="124" t="s">
        <v>34</v>
      </c>
      <c r="C25" s="124" t="s">
        <v>35</v>
      </c>
      <c r="D25" s="49" t="s">
        <v>322</v>
      </c>
      <c r="E25" s="40" t="s">
        <v>37</v>
      </c>
      <c r="F25" s="40" t="n">
        <f aca="false">V25</f>
        <v>185</v>
      </c>
      <c r="G25" s="40" t="n">
        <f aca="false">V25</f>
        <v>185</v>
      </c>
      <c r="H25" s="40"/>
      <c r="I25" s="40" t="n">
        <f aca="false">V25</f>
        <v>185</v>
      </c>
      <c r="J25" s="41" t="n">
        <f aca="false">F25</f>
        <v>185</v>
      </c>
      <c r="K25" s="41" t="n">
        <f aca="false">G25</f>
        <v>185</v>
      </c>
      <c r="L25" s="41" t="n">
        <v>185</v>
      </c>
      <c r="M25" s="40"/>
      <c r="N25" s="40"/>
      <c r="O25" s="40" t="n">
        <v>0</v>
      </c>
      <c r="P25" s="40"/>
      <c r="Q25" s="61" t="n">
        <f aca="false">F25</f>
        <v>185</v>
      </c>
      <c r="R25" s="40"/>
      <c r="S25" s="40" t="n">
        <v>185</v>
      </c>
      <c r="T25" s="40" t="n">
        <v>185</v>
      </c>
      <c r="U25" s="40"/>
      <c r="V25" s="41" t="n">
        <v>185</v>
      </c>
      <c r="X25" s="41" t="n">
        <v>185</v>
      </c>
      <c r="Y25" s="41" t="n">
        <f aca="false">VLOOKUP(A25,'[1]Terminales Datos'!$B$1:$G$1048576,6,FALSE())</f>
        <v>0</v>
      </c>
      <c r="AA25" s="47"/>
    </row>
    <row r="26" customFormat="false" ht="14.25" hidden="false" customHeight="false" outlineLevel="0" collapsed="false">
      <c r="A26" s="68" t="n">
        <v>312876</v>
      </c>
      <c r="B26" s="124" t="s">
        <v>323</v>
      </c>
      <c r="C26" s="124" t="s">
        <v>324</v>
      </c>
      <c r="D26" s="49" t="s">
        <v>325</v>
      </c>
      <c r="E26" s="40" t="s">
        <v>37</v>
      </c>
      <c r="F26" s="40" t="n">
        <f aca="false">V26</f>
        <v>99</v>
      </c>
      <c r="G26" s="40" t="n">
        <f aca="false">V26</f>
        <v>99</v>
      </c>
      <c r="H26" s="40"/>
      <c r="I26" s="40" t="n">
        <f aca="false">V26</f>
        <v>99</v>
      </c>
      <c r="J26" s="41" t="n">
        <f aca="false">F26</f>
        <v>99</v>
      </c>
      <c r="K26" s="41" t="n">
        <f aca="false">G26</f>
        <v>99</v>
      </c>
      <c r="L26" s="41" t="n">
        <f aca="false">V26</f>
        <v>99</v>
      </c>
      <c r="M26" s="40"/>
      <c r="N26" s="40"/>
      <c r="O26" s="40"/>
      <c r="P26" s="40"/>
      <c r="Q26" s="61"/>
      <c r="R26" s="40"/>
      <c r="S26" s="40" t="n">
        <f aca="false">V26</f>
        <v>99</v>
      </c>
      <c r="T26" s="40" t="n">
        <f aca="false">V26</f>
        <v>99</v>
      </c>
      <c r="U26" s="40"/>
      <c r="V26" s="41" t="n">
        <v>99</v>
      </c>
      <c r="X26" s="41" t="n">
        <v>99</v>
      </c>
      <c r="Y26" s="41" t="n">
        <f aca="false">VLOOKUP(A26,'[1]Terminales Datos'!$B$1:$G$1048576,6,FALSE())</f>
        <v>0</v>
      </c>
      <c r="AA26" s="47"/>
    </row>
    <row r="27" customFormat="false" ht="14.25" hidden="false" customHeight="false" outlineLevel="0" collapsed="false">
      <c r="A27" s="68" t="n">
        <v>312950</v>
      </c>
      <c r="B27" s="124" t="s">
        <v>323</v>
      </c>
      <c r="C27" s="124" t="s">
        <v>324</v>
      </c>
      <c r="D27" s="49" t="s">
        <v>326</v>
      </c>
      <c r="E27" s="40" t="s">
        <v>37</v>
      </c>
      <c r="F27" s="40" t="n">
        <f aca="false">V27</f>
        <v>99</v>
      </c>
      <c r="G27" s="40" t="n">
        <f aca="false">V27</f>
        <v>99</v>
      </c>
      <c r="H27" s="40"/>
      <c r="I27" s="40" t="n">
        <f aca="false">V27</f>
        <v>99</v>
      </c>
      <c r="J27" s="41" t="n">
        <f aca="false">F27</f>
        <v>99</v>
      </c>
      <c r="K27" s="41" t="n">
        <f aca="false">G27</f>
        <v>99</v>
      </c>
      <c r="L27" s="41" t="n">
        <f aca="false">V27</f>
        <v>99</v>
      </c>
      <c r="M27" s="40"/>
      <c r="N27" s="40"/>
      <c r="O27" s="40"/>
      <c r="P27" s="40"/>
      <c r="Q27" s="61"/>
      <c r="R27" s="40"/>
      <c r="S27" s="40" t="n">
        <f aca="false">V27</f>
        <v>99</v>
      </c>
      <c r="T27" s="40" t="n">
        <f aca="false">V27</f>
        <v>99</v>
      </c>
      <c r="U27" s="40"/>
      <c r="V27" s="41" t="n">
        <v>99</v>
      </c>
      <c r="X27" s="41" t="n">
        <v>99</v>
      </c>
      <c r="Y27" s="41" t="n">
        <f aca="false">VLOOKUP(A27,'[1]Terminales Datos'!$B$1:$G$1048576,6,FALSE())</f>
        <v>0</v>
      </c>
      <c r="AA27" s="47"/>
    </row>
    <row r="28" customFormat="false" ht="14.25" hidden="false" customHeight="false" outlineLevel="0" collapsed="false">
      <c r="A28" s="68" t="n">
        <v>315157</v>
      </c>
      <c r="B28" s="124" t="s">
        <v>76</v>
      </c>
      <c r="C28" s="124" t="s">
        <v>91</v>
      </c>
      <c r="D28" s="49" t="s">
        <v>327</v>
      </c>
      <c r="E28" s="40" t="s">
        <v>311</v>
      </c>
      <c r="F28" s="40" t="n">
        <v>563</v>
      </c>
      <c r="G28" s="40" t="n">
        <v>563</v>
      </c>
      <c r="H28" s="40"/>
      <c r="I28" s="40" t="n">
        <v>563</v>
      </c>
      <c r="J28" s="41" t="n">
        <f aca="false">F28</f>
        <v>563</v>
      </c>
      <c r="K28" s="41" t="n">
        <f aca="false">G28</f>
        <v>563</v>
      </c>
      <c r="L28" s="41" t="n">
        <v>563</v>
      </c>
      <c r="M28" s="40"/>
      <c r="N28" s="40"/>
      <c r="O28" s="40"/>
      <c r="P28" s="40"/>
      <c r="Q28" s="61" t="n">
        <v>563</v>
      </c>
      <c r="R28" s="40"/>
      <c r="S28" s="40" t="n">
        <v>563</v>
      </c>
      <c r="T28" s="40" t="n">
        <v>563</v>
      </c>
      <c r="U28" s="40"/>
      <c r="V28" s="41" t="n">
        <v>643</v>
      </c>
      <c r="X28" s="41" t="n">
        <v>863</v>
      </c>
      <c r="Y28" s="41" t="n">
        <f aca="false">X28-V28</f>
        <v>220</v>
      </c>
      <c r="AA28" s="47"/>
    </row>
    <row r="29" customFormat="false" ht="14.25" hidden="false" customHeight="false" outlineLevel="0" collapsed="false">
      <c r="A29" s="68" t="n">
        <v>315158</v>
      </c>
      <c r="B29" s="124" t="s">
        <v>76</v>
      </c>
      <c r="C29" s="124" t="s">
        <v>91</v>
      </c>
      <c r="D29" s="49" t="s">
        <v>328</v>
      </c>
      <c r="E29" s="40" t="s">
        <v>311</v>
      </c>
      <c r="F29" s="40" t="n">
        <f aca="false">V29</f>
        <v>1223</v>
      </c>
      <c r="G29" s="40" t="n">
        <f aca="false">V29</f>
        <v>1223</v>
      </c>
      <c r="H29" s="40"/>
      <c r="I29" s="40" t="n">
        <f aca="false">V29</f>
        <v>1223</v>
      </c>
      <c r="J29" s="41" t="n">
        <f aca="false">F29</f>
        <v>1223</v>
      </c>
      <c r="K29" s="41" t="n">
        <f aca="false">G29</f>
        <v>1223</v>
      </c>
      <c r="L29" s="41" t="n">
        <f aca="false">V29</f>
        <v>1223</v>
      </c>
      <c r="M29" s="40"/>
      <c r="N29" s="40"/>
      <c r="O29" s="40"/>
      <c r="P29" s="40"/>
      <c r="Q29" s="61" t="n">
        <f aca="false">F29</f>
        <v>1223</v>
      </c>
      <c r="R29" s="40"/>
      <c r="S29" s="40" t="n">
        <f aca="false">V29</f>
        <v>1223</v>
      </c>
      <c r="T29" s="40" t="n">
        <f aca="false">V29</f>
        <v>1223</v>
      </c>
      <c r="U29" s="40"/>
      <c r="V29" s="41" t="n">
        <v>1223</v>
      </c>
      <c r="X29" s="41" t="n">
        <v>1223</v>
      </c>
      <c r="Y29" s="41" t="n">
        <f aca="false">VLOOKUP(A29,'[1]Terminales Datos'!$B$1:$G$1048576,6,FALSE())</f>
        <v>0</v>
      </c>
      <c r="AA29" s="47"/>
    </row>
    <row r="30" customFormat="false" ht="14.25" hidden="false" customHeight="false" outlineLevel="0" collapsed="false">
      <c r="A30" s="68" t="n">
        <v>315175</v>
      </c>
      <c r="B30" s="124" t="s">
        <v>34</v>
      </c>
      <c r="C30" s="124" t="s">
        <v>35</v>
      </c>
      <c r="D30" s="49" t="s">
        <v>329</v>
      </c>
      <c r="E30" s="40" t="s">
        <v>311</v>
      </c>
      <c r="F30" s="72" t="n">
        <f aca="false">V30</f>
        <v>200</v>
      </c>
      <c r="G30" s="72" t="n">
        <f aca="false">V30</f>
        <v>200</v>
      </c>
      <c r="H30" s="72"/>
      <c r="I30" s="72" t="n">
        <f aca="false">V30</f>
        <v>200</v>
      </c>
      <c r="J30" s="73" t="n">
        <f aca="false">F30</f>
        <v>200</v>
      </c>
      <c r="K30" s="73" t="n">
        <f aca="false">G30</f>
        <v>200</v>
      </c>
      <c r="L30" s="73" t="n">
        <f aca="false">V30</f>
        <v>200</v>
      </c>
      <c r="M30" s="72"/>
      <c r="N30" s="72"/>
      <c r="O30" s="72"/>
      <c r="P30" s="72"/>
      <c r="Q30" s="125" t="n">
        <f aca="false">F30</f>
        <v>200</v>
      </c>
      <c r="R30" s="72"/>
      <c r="S30" s="72" t="n">
        <f aca="false">V30</f>
        <v>200</v>
      </c>
      <c r="T30" s="72" t="n">
        <f aca="false">V30</f>
        <v>200</v>
      </c>
      <c r="U30" s="72"/>
      <c r="V30" s="73" t="n">
        <v>200</v>
      </c>
      <c r="X30" s="73" t="n">
        <v>200</v>
      </c>
      <c r="Y30" s="73" t="n">
        <f aca="false">VLOOKUP(A30,'[1]Terminales Datos'!$B$1:$G$1048576,6,FALSE())</f>
        <v>0</v>
      </c>
      <c r="AA30" s="47"/>
    </row>
    <row r="31" customFormat="false" ht="14.25" hidden="false" customHeight="false" outlineLevel="0" collapsed="false">
      <c r="A31" s="68" t="n">
        <v>314492</v>
      </c>
      <c r="B31" s="124" t="s">
        <v>34</v>
      </c>
      <c r="C31" s="124" t="s">
        <v>48</v>
      </c>
      <c r="D31" s="49" t="s">
        <v>49</v>
      </c>
      <c r="E31" s="40" t="s">
        <v>37</v>
      </c>
      <c r="F31" s="72" t="n">
        <f aca="false">V31</f>
        <v>60</v>
      </c>
      <c r="G31" s="72" t="n">
        <f aca="false">V31</f>
        <v>60</v>
      </c>
      <c r="H31" s="72"/>
      <c r="I31" s="72" t="n">
        <f aca="false">V31</f>
        <v>60</v>
      </c>
      <c r="J31" s="73" t="n">
        <f aca="false">F31</f>
        <v>60</v>
      </c>
      <c r="K31" s="73" t="n">
        <f aca="false">G31</f>
        <v>60</v>
      </c>
      <c r="L31" s="73" t="n">
        <f aca="false">V31</f>
        <v>60</v>
      </c>
      <c r="M31" s="72"/>
      <c r="N31" s="72"/>
      <c r="O31" s="72" t="n">
        <v>0</v>
      </c>
      <c r="P31" s="72"/>
      <c r="Q31" s="125" t="n">
        <f aca="false">V31</f>
        <v>60</v>
      </c>
      <c r="R31" s="72"/>
      <c r="S31" s="72" t="n">
        <f aca="false">V31</f>
        <v>60</v>
      </c>
      <c r="T31" s="72" t="n">
        <f aca="false">V31</f>
        <v>60</v>
      </c>
      <c r="U31" s="72"/>
      <c r="V31" s="73" t="n">
        <v>60</v>
      </c>
      <c r="X31" s="73" t="n">
        <v>60</v>
      </c>
      <c r="Y31" s="73"/>
      <c r="AA31" s="47"/>
    </row>
    <row r="32" customFormat="false" ht="14.25" hidden="false" customHeight="false" outlineLevel="0" collapsed="false">
      <c r="A32" s="126" t="n">
        <v>315332</v>
      </c>
      <c r="B32" s="127" t="s">
        <v>93</v>
      </c>
      <c r="C32" s="127" t="s">
        <v>91</v>
      </c>
      <c r="D32" s="126" t="s">
        <v>262</v>
      </c>
      <c r="E32" s="127" t="s">
        <v>311</v>
      </c>
      <c r="F32" s="127" t="n">
        <f aca="false">V32</f>
        <v>274</v>
      </c>
      <c r="G32" s="127"/>
      <c r="H32" s="127"/>
      <c r="I32" s="127" t="n">
        <f aca="false">V32</f>
        <v>274</v>
      </c>
      <c r="J32" s="127" t="n">
        <f aca="false">F32</f>
        <v>274</v>
      </c>
      <c r="K32" s="127" t="n">
        <f aca="false">F32</f>
        <v>274</v>
      </c>
      <c r="L32" s="127" t="n">
        <f aca="false">F32</f>
        <v>274</v>
      </c>
      <c r="M32" s="127"/>
      <c r="N32" s="127"/>
      <c r="O32" s="127"/>
      <c r="P32" s="127"/>
      <c r="Q32" s="127" t="n">
        <f aca="false">F32</f>
        <v>274</v>
      </c>
      <c r="R32" s="127"/>
      <c r="S32" s="127" t="n">
        <f aca="false">V32</f>
        <v>274</v>
      </c>
      <c r="T32" s="127" t="n">
        <f aca="false">V32</f>
        <v>274</v>
      </c>
      <c r="U32" s="127"/>
      <c r="V32" s="127" t="n">
        <v>274</v>
      </c>
      <c r="W32" s="127"/>
      <c r="X32" s="127" t="n">
        <v>304</v>
      </c>
      <c r="Y32" s="127" t="n">
        <v>30</v>
      </c>
    </row>
    <row r="33" customFormat="false" ht="14.25" hidden="false" customHeight="false" outlineLevel="0" collapsed="false">
      <c r="A33" s="126" t="n">
        <v>315331</v>
      </c>
      <c r="B33" s="127" t="s">
        <v>93</v>
      </c>
      <c r="C33" s="127" t="s">
        <v>91</v>
      </c>
      <c r="D33" s="126" t="s">
        <v>263</v>
      </c>
      <c r="E33" s="127" t="s">
        <v>311</v>
      </c>
      <c r="F33" s="127" t="n">
        <f aca="false">V33</f>
        <v>177</v>
      </c>
      <c r="G33" s="127"/>
      <c r="H33" s="127"/>
      <c r="I33" s="127" t="n">
        <f aca="false">V33</f>
        <v>177</v>
      </c>
      <c r="J33" s="127" t="n">
        <f aca="false">F33</f>
        <v>177</v>
      </c>
      <c r="K33" s="127" t="n">
        <f aca="false">F33</f>
        <v>177</v>
      </c>
      <c r="L33" s="127" t="n">
        <f aca="false">F33</f>
        <v>177</v>
      </c>
      <c r="M33" s="127"/>
      <c r="N33" s="127"/>
      <c r="O33" s="127"/>
      <c r="P33" s="127"/>
      <c r="Q33" s="127" t="n">
        <f aca="false">F33</f>
        <v>177</v>
      </c>
      <c r="R33" s="127"/>
      <c r="S33" s="127" t="n">
        <f aca="false">V33</f>
        <v>177</v>
      </c>
      <c r="T33" s="127" t="n">
        <f aca="false">V33</f>
        <v>177</v>
      </c>
      <c r="U33" s="127"/>
      <c r="V33" s="127" t="n">
        <v>177</v>
      </c>
      <c r="W33" s="127"/>
      <c r="X33" s="127" t="n">
        <v>192</v>
      </c>
      <c r="Y33" s="127" t="n">
        <v>15</v>
      </c>
    </row>
    <row r="34" customFormat="false" ht="14.25" hidden="false" customHeight="false" outlineLevel="0" collapsed="false">
      <c r="A34" s="126" t="n">
        <v>315445</v>
      </c>
      <c r="B34" s="127" t="s">
        <v>76</v>
      </c>
      <c r="C34" s="127" t="s">
        <v>91</v>
      </c>
      <c r="D34" s="126" t="s">
        <v>330</v>
      </c>
      <c r="E34" s="127" t="s">
        <v>311</v>
      </c>
      <c r="F34" s="127" t="n">
        <f aca="false">V34</f>
        <v>465</v>
      </c>
      <c r="G34" s="127"/>
      <c r="H34" s="127"/>
      <c r="I34" s="127" t="n">
        <f aca="false">V34</f>
        <v>465</v>
      </c>
      <c r="J34" s="127" t="n">
        <f aca="false">F34</f>
        <v>465</v>
      </c>
      <c r="K34" s="127" t="n">
        <f aca="false">F34</f>
        <v>465</v>
      </c>
      <c r="L34" s="127" t="n">
        <f aca="false">F34</f>
        <v>465</v>
      </c>
      <c r="M34" s="127"/>
      <c r="N34" s="127"/>
      <c r="O34" s="127"/>
      <c r="P34" s="127"/>
      <c r="Q34" s="127" t="n">
        <f aca="false">F34</f>
        <v>465</v>
      </c>
      <c r="R34" s="127"/>
      <c r="S34" s="127" t="n">
        <f aca="false">V34</f>
        <v>465</v>
      </c>
      <c r="T34" s="127" t="n">
        <f aca="false">V34</f>
        <v>465</v>
      </c>
      <c r="U34" s="127"/>
      <c r="V34" s="127" t="n">
        <f aca="false">X34-Y34</f>
        <v>465</v>
      </c>
      <c r="W34" s="127"/>
      <c r="X34" s="127" t="n">
        <v>465</v>
      </c>
      <c r="Y34" s="127" t="n">
        <v>0</v>
      </c>
    </row>
    <row r="35" customFormat="false" ht="14.25" hidden="false" customHeight="false" outlineLevel="0" collapsed="false">
      <c r="F35" s="128"/>
      <c r="G35" s="128"/>
      <c r="H35" s="128"/>
      <c r="I35" s="128"/>
      <c r="J35" s="129"/>
      <c r="K35" s="129"/>
      <c r="L35" s="129"/>
      <c r="M35" s="128"/>
      <c r="N35" s="128"/>
      <c r="O35" s="128"/>
      <c r="P35" s="128"/>
      <c r="Q35" s="130"/>
      <c r="R35" s="128"/>
      <c r="S35" s="128"/>
      <c r="T35" s="128"/>
      <c r="U35" s="128"/>
      <c r="V35" s="129"/>
      <c r="X35" s="129"/>
      <c r="Y35" s="129"/>
    </row>
    <row r="36" customFormat="false" ht="14.25" hidden="false" customHeight="false" outlineLevel="0" collapsed="false">
      <c r="F36" s="128"/>
      <c r="G36" s="128"/>
      <c r="H36" s="128"/>
      <c r="I36" s="128"/>
      <c r="J36" s="129"/>
      <c r="K36" s="129"/>
      <c r="L36" s="129"/>
      <c r="M36" s="128"/>
      <c r="N36" s="128"/>
      <c r="O36" s="128"/>
      <c r="P36" s="128"/>
      <c r="Q36" s="130"/>
      <c r="R36" s="128"/>
      <c r="S36" s="128"/>
      <c r="T36" s="128"/>
      <c r="U36" s="128"/>
      <c r="V36" s="129"/>
      <c r="X36" s="129"/>
      <c r="Y36" s="129"/>
    </row>
    <row r="37" customFormat="false" ht="14.25" hidden="false" customHeight="false" outlineLevel="0" collapsed="false">
      <c r="F37" s="128"/>
      <c r="G37" s="128"/>
      <c r="H37" s="128"/>
      <c r="I37" s="128"/>
      <c r="J37" s="129"/>
      <c r="K37" s="129"/>
      <c r="L37" s="129"/>
      <c r="M37" s="128"/>
      <c r="N37" s="128"/>
      <c r="O37" s="128"/>
      <c r="P37" s="128"/>
      <c r="Q37" s="130"/>
      <c r="R37" s="128"/>
      <c r="S37" s="128"/>
      <c r="T37" s="128"/>
      <c r="U37" s="128"/>
      <c r="V37" s="129"/>
      <c r="X37" s="129"/>
      <c r="Y37" s="129"/>
    </row>
    <row r="38" customFormat="false" ht="14.25" hidden="false" customHeight="false" outlineLevel="0" collapsed="false">
      <c r="F38" s="128"/>
      <c r="G38" s="128"/>
      <c r="H38" s="128"/>
      <c r="I38" s="128"/>
      <c r="J38" s="129"/>
      <c r="K38" s="129"/>
      <c r="L38" s="129"/>
      <c r="M38" s="128"/>
      <c r="N38" s="128"/>
      <c r="O38" s="128"/>
      <c r="P38" s="128"/>
      <c r="Q38" s="130"/>
      <c r="R38" s="128"/>
      <c r="S38" s="128"/>
      <c r="T38" s="128"/>
      <c r="U38" s="128"/>
      <c r="V38" s="129"/>
      <c r="X38" s="129"/>
      <c r="Y38" s="129"/>
    </row>
    <row r="39" customFormat="false" ht="14.25" hidden="false" customHeight="false" outlineLevel="0" collapsed="false">
      <c r="F39" s="128"/>
      <c r="G39" s="128"/>
      <c r="H39" s="128"/>
      <c r="I39" s="128"/>
      <c r="J39" s="129"/>
      <c r="K39" s="129"/>
      <c r="L39" s="129"/>
      <c r="M39" s="128"/>
      <c r="N39" s="128"/>
      <c r="O39" s="128"/>
      <c r="P39" s="128"/>
      <c r="Q39" s="130"/>
      <c r="R39" s="128"/>
      <c r="S39" s="128"/>
      <c r="T39" s="128"/>
      <c r="U39" s="128"/>
      <c r="V39" s="129"/>
      <c r="X39" s="129"/>
      <c r="Y39" s="129"/>
    </row>
    <row r="40" customFormat="false" ht="14.25" hidden="false" customHeight="false" outlineLevel="0" collapsed="false">
      <c r="F40" s="128"/>
      <c r="G40" s="128"/>
      <c r="H40" s="128"/>
      <c r="I40" s="128"/>
      <c r="J40" s="129"/>
      <c r="K40" s="129"/>
      <c r="L40" s="129"/>
      <c r="M40" s="128"/>
      <c r="N40" s="128"/>
      <c r="O40" s="128"/>
      <c r="P40" s="128"/>
      <c r="Q40" s="130"/>
      <c r="R40" s="128"/>
      <c r="S40" s="128"/>
      <c r="T40" s="128"/>
      <c r="U40" s="128"/>
      <c r="V40" s="129"/>
      <c r="X40" s="129"/>
      <c r="Y40" s="129"/>
    </row>
    <row r="41" customFormat="false" ht="14.25" hidden="false" customHeight="false" outlineLevel="0" collapsed="false">
      <c r="F41" s="128"/>
      <c r="G41" s="128"/>
      <c r="H41" s="128"/>
      <c r="I41" s="128"/>
      <c r="J41" s="129"/>
      <c r="K41" s="129"/>
      <c r="L41" s="129"/>
      <c r="M41" s="128"/>
      <c r="N41" s="128"/>
      <c r="O41" s="128"/>
      <c r="P41" s="128"/>
      <c r="Q41" s="130"/>
      <c r="R41" s="128"/>
      <c r="S41" s="128"/>
      <c r="T41" s="128"/>
      <c r="U41" s="128"/>
      <c r="V41" s="129"/>
      <c r="X41" s="129"/>
      <c r="Y41" s="129"/>
    </row>
    <row r="42" customFormat="false" ht="14.25" hidden="false" customHeight="false" outlineLevel="0" collapsed="false">
      <c r="F42" s="128"/>
      <c r="G42" s="128"/>
      <c r="H42" s="128"/>
      <c r="I42" s="128"/>
      <c r="J42" s="129"/>
      <c r="K42" s="129"/>
      <c r="L42" s="129"/>
      <c r="M42" s="128"/>
      <c r="N42" s="128"/>
      <c r="O42" s="128"/>
      <c r="P42" s="128"/>
      <c r="Q42" s="130"/>
      <c r="R42" s="128"/>
      <c r="S42" s="128"/>
      <c r="T42" s="128"/>
      <c r="U42" s="128"/>
      <c r="V42" s="129"/>
      <c r="X42" s="129"/>
      <c r="Y42" s="129"/>
    </row>
    <row r="43" customFormat="false" ht="14.25" hidden="false" customHeight="false" outlineLevel="0" collapsed="false">
      <c r="F43" s="128"/>
      <c r="G43" s="128"/>
      <c r="H43" s="128"/>
      <c r="I43" s="128"/>
      <c r="J43" s="129"/>
      <c r="K43" s="129"/>
      <c r="L43" s="129"/>
      <c r="M43" s="128"/>
      <c r="N43" s="128"/>
      <c r="O43" s="128"/>
      <c r="P43" s="128"/>
      <c r="Q43" s="130"/>
      <c r="R43" s="128"/>
      <c r="S43" s="128"/>
      <c r="T43" s="128"/>
      <c r="U43" s="128"/>
      <c r="V43" s="129"/>
      <c r="X43" s="129"/>
      <c r="Y43" s="129"/>
    </row>
    <row r="44" customFormat="false" ht="14.25" hidden="false" customHeight="false" outlineLevel="0" collapsed="false">
      <c r="F44" s="128"/>
      <c r="G44" s="128"/>
      <c r="H44" s="128"/>
      <c r="I44" s="128"/>
      <c r="J44" s="129"/>
      <c r="K44" s="129"/>
      <c r="L44" s="129"/>
      <c r="M44" s="128"/>
      <c r="N44" s="128"/>
      <c r="O44" s="128"/>
      <c r="P44" s="128"/>
      <c r="Q44" s="130"/>
      <c r="R44" s="128"/>
      <c r="S44" s="128"/>
      <c r="T44" s="128"/>
      <c r="U44" s="128"/>
      <c r="V44" s="129"/>
      <c r="X44" s="129"/>
      <c r="Y44" s="129"/>
    </row>
    <row r="45" customFormat="false" ht="14.25" hidden="false" customHeight="false" outlineLevel="0" collapsed="false">
      <c r="F45" s="128"/>
      <c r="G45" s="128"/>
      <c r="H45" s="128"/>
      <c r="I45" s="128"/>
      <c r="J45" s="129"/>
      <c r="K45" s="129"/>
      <c r="L45" s="129"/>
      <c r="M45" s="128"/>
      <c r="N45" s="128"/>
      <c r="O45" s="128"/>
      <c r="P45" s="128"/>
      <c r="Q45" s="130"/>
      <c r="R45" s="128"/>
      <c r="S45" s="128"/>
      <c r="T45" s="128"/>
      <c r="U45" s="128"/>
      <c r="V45" s="129"/>
      <c r="X45" s="129"/>
      <c r="Y45" s="129"/>
    </row>
    <row r="46" customFormat="false" ht="14.25" hidden="false" customHeight="false" outlineLevel="0" collapsed="false">
      <c r="F46" s="128"/>
      <c r="G46" s="128"/>
      <c r="H46" s="128"/>
      <c r="I46" s="128"/>
      <c r="J46" s="129"/>
      <c r="K46" s="129"/>
      <c r="L46" s="129"/>
      <c r="M46" s="128"/>
      <c r="N46" s="128"/>
      <c r="O46" s="128"/>
      <c r="P46" s="128"/>
      <c r="Q46" s="130"/>
      <c r="R46" s="128"/>
      <c r="S46" s="128"/>
      <c r="T46" s="128"/>
      <c r="U46" s="128"/>
      <c r="V46" s="129"/>
      <c r="X46" s="129"/>
      <c r="Y46" s="129"/>
    </row>
    <row r="47" customFormat="false" ht="14.25" hidden="false" customHeight="false" outlineLevel="0" collapsed="false">
      <c r="F47" s="128"/>
      <c r="G47" s="128"/>
      <c r="H47" s="128"/>
      <c r="I47" s="128"/>
      <c r="J47" s="129"/>
      <c r="K47" s="129"/>
      <c r="L47" s="129"/>
      <c r="M47" s="128"/>
      <c r="N47" s="128"/>
      <c r="O47" s="128"/>
      <c r="P47" s="128"/>
      <c r="Q47" s="130"/>
      <c r="R47" s="128"/>
      <c r="S47" s="128"/>
      <c r="T47" s="128"/>
      <c r="U47" s="128"/>
      <c r="V47" s="129"/>
      <c r="X47" s="129"/>
      <c r="Y47" s="129"/>
    </row>
    <row r="48" customFormat="false" ht="14.25" hidden="false" customHeight="false" outlineLevel="0" collapsed="false">
      <c r="F48" s="128"/>
      <c r="G48" s="128"/>
      <c r="H48" s="128"/>
      <c r="I48" s="128"/>
      <c r="J48" s="129"/>
      <c r="K48" s="129"/>
      <c r="L48" s="129"/>
      <c r="M48" s="128"/>
      <c r="N48" s="128"/>
      <c r="O48" s="128"/>
      <c r="P48" s="128"/>
      <c r="Q48" s="130"/>
      <c r="R48" s="128"/>
      <c r="S48" s="128"/>
      <c r="T48" s="128"/>
      <c r="U48" s="128"/>
      <c r="V48" s="129"/>
      <c r="X48" s="129"/>
      <c r="Y48" s="129"/>
    </row>
    <row r="49" customFormat="false" ht="14.25" hidden="false" customHeight="false" outlineLevel="0" collapsed="false">
      <c r="F49" s="128"/>
      <c r="G49" s="128"/>
      <c r="H49" s="128"/>
      <c r="I49" s="128"/>
      <c r="J49" s="129"/>
      <c r="K49" s="129"/>
      <c r="L49" s="129"/>
      <c r="M49" s="128"/>
      <c r="N49" s="128"/>
      <c r="O49" s="128"/>
      <c r="P49" s="128"/>
      <c r="Q49" s="130"/>
      <c r="R49" s="128"/>
      <c r="S49" s="128"/>
      <c r="T49" s="128"/>
      <c r="U49" s="128"/>
      <c r="V49" s="129"/>
      <c r="X49" s="129"/>
      <c r="Y49" s="129"/>
    </row>
    <row r="50" customFormat="false" ht="14.25" hidden="false" customHeight="false" outlineLevel="0" collapsed="false">
      <c r="F50" s="128"/>
      <c r="G50" s="128"/>
      <c r="H50" s="128"/>
      <c r="I50" s="128"/>
      <c r="J50" s="129"/>
      <c r="K50" s="129"/>
      <c r="L50" s="129"/>
      <c r="M50" s="128"/>
      <c r="N50" s="128"/>
      <c r="O50" s="128"/>
      <c r="P50" s="128"/>
      <c r="Q50" s="130"/>
      <c r="R50" s="128"/>
      <c r="S50" s="128"/>
      <c r="T50" s="128"/>
      <c r="U50" s="128"/>
      <c r="V50" s="129"/>
      <c r="X50" s="129"/>
      <c r="Y50" s="129"/>
    </row>
    <row r="51" customFormat="false" ht="14.25" hidden="false" customHeight="false" outlineLevel="0" collapsed="false">
      <c r="F51" s="128"/>
      <c r="G51" s="128"/>
      <c r="H51" s="128"/>
      <c r="I51" s="128"/>
      <c r="J51" s="129"/>
      <c r="K51" s="129"/>
      <c r="L51" s="129"/>
      <c r="M51" s="128"/>
      <c r="N51" s="128"/>
      <c r="O51" s="128"/>
      <c r="P51" s="128"/>
      <c r="Q51" s="130"/>
      <c r="R51" s="128"/>
      <c r="S51" s="128"/>
      <c r="T51" s="128"/>
      <c r="U51" s="128"/>
      <c r="V51" s="129"/>
      <c r="X51" s="129"/>
      <c r="Y51" s="129"/>
    </row>
    <row r="52" customFormat="false" ht="14.25" hidden="false" customHeight="false" outlineLevel="0" collapsed="false">
      <c r="F52" s="128"/>
      <c r="G52" s="128"/>
      <c r="H52" s="128"/>
      <c r="I52" s="128"/>
      <c r="J52" s="129"/>
      <c r="K52" s="129"/>
      <c r="L52" s="129"/>
      <c r="M52" s="128"/>
      <c r="N52" s="128"/>
      <c r="O52" s="128"/>
      <c r="P52" s="128"/>
      <c r="Q52" s="130"/>
      <c r="R52" s="128"/>
      <c r="S52" s="128"/>
      <c r="T52" s="128"/>
      <c r="U52" s="128"/>
      <c r="V52" s="129"/>
      <c r="X52" s="129"/>
      <c r="Y52" s="129"/>
    </row>
    <row r="53" customFormat="false" ht="14.25" hidden="false" customHeight="false" outlineLevel="0" collapsed="false">
      <c r="F53" s="128"/>
      <c r="G53" s="128"/>
      <c r="H53" s="128"/>
      <c r="I53" s="128"/>
      <c r="J53" s="129"/>
      <c r="K53" s="129"/>
      <c r="L53" s="129"/>
      <c r="M53" s="128"/>
      <c r="N53" s="128"/>
      <c r="O53" s="128"/>
      <c r="P53" s="128"/>
      <c r="Q53" s="130"/>
      <c r="R53" s="128"/>
      <c r="S53" s="128"/>
      <c r="T53" s="128"/>
      <c r="U53" s="128"/>
      <c r="V53" s="129"/>
      <c r="X53" s="129"/>
      <c r="Y53" s="129"/>
    </row>
    <row r="54" customFormat="false" ht="14.25" hidden="false" customHeight="false" outlineLevel="0" collapsed="false">
      <c r="F54" s="128"/>
      <c r="G54" s="128"/>
      <c r="H54" s="128"/>
      <c r="I54" s="128"/>
      <c r="J54" s="129"/>
      <c r="K54" s="129"/>
      <c r="L54" s="129"/>
      <c r="M54" s="128"/>
      <c r="N54" s="128"/>
      <c r="O54" s="128"/>
      <c r="P54" s="128"/>
      <c r="Q54" s="130"/>
      <c r="R54" s="128"/>
      <c r="S54" s="128"/>
      <c r="T54" s="128"/>
      <c r="U54" s="128"/>
      <c r="V54" s="129"/>
      <c r="X54" s="129"/>
      <c r="Y54" s="129"/>
    </row>
    <row r="55" customFormat="false" ht="14.25" hidden="false" customHeight="false" outlineLevel="0" collapsed="false">
      <c r="F55" s="128"/>
      <c r="G55" s="128"/>
      <c r="H55" s="128"/>
      <c r="I55" s="128"/>
      <c r="J55" s="129"/>
      <c r="K55" s="129"/>
      <c r="L55" s="129"/>
      <c r="M55" s="128"/>
      <c r="N55" s="128"/>
      <c r="O55" s="128"/>
      <c r="P55" s="128"/>
      <c r="Q55" s="130"/>
      <c r="R55" s="128"/>
      <c r="S55" s="128"/>
      <c r="T55" s="128"/>
      <c r="U55" s="128"/>
      <c r="V55" s="129"/>
      <c r="X55" s="129"/>
      <c r="Y55" s="129"/>
    </row>
    <row r="56" customFormat="false" ht="14.25" hidden="false" customHeight="false" outlineLevel="0" collapsed="false">
      <c r="F56" s="128"/>
      <c r="G56" s="128"/>
      <c r="H56" s="128"/>
      <c r="I56" s="128"/>
      <c r="J56" s="129"/>
      <c r="K56" s="129"/>
      <c r="L56" s="129"/>
      <c r="M56" s="128"/>
      <c r="N56" s="128"/>
      <c r="O56" s="128"/>
      <c r="P56" s="128"/>
      <c r="Q56" s="130"/>
      <c r="R56" s="128"/>
      <c r="S56" s="128"/>
      <c r="T56" s="128"/>
      <c r="U56" s="128"/>
      <c r="V56" s="129"/>
      <c r="X56" s="129"/>
      <c r="Y56" s="129"/>
    </row>
    <row r="57" customFormat="false" ht="14.25" hidden="false" customHeight="false" outlineLevel="0" collapsed="false">
      <c r="F57" s="128"/>
      <c r="G57" s="128"/>
      <c r="H57" s="128"/>
      <c r="I57" s="128"/>
      <c r="J57" s="129"/>
      <c r="K57" s="129"/>
      <c r="L57" s="129"/>
      <c r="M57" s="128"/>
      <c r="N57" s="128"/>
      <c r="O57" s="128"/>
      <c r="P57" s="128"/>
      <c r="Q57" s="130"/>
      <c r="R57" s="128"/>
      <c r="S57" s="128"/>
      <c r="T57" s="128"/>
      <c r="U57" s="128"/>
      <c r="V57" s="129"/>
      <c r="X57" s="129"/>
      <c r="Y57" s="129"/>
    </row>
    <row r="58" customFormat="false" ht="14.25" hidden="false" customHeight="false" outlineLevel="0" collapsed="false">
      <c r="F58" s="128"/>
      <c r="G58" s="128"/>
      <c r="H58" s="128"/>
      <c r="I58" s="128"/>
      <c r="J58" s="129"/>
      <c r="K58" s="129"/>
      <c r="L58" s="129"/>
      <c r="M58" s="128"/>
      <c r="N58" s="128"/>
      <c r="O58" s="128"/>
      <c r="P58" s="128"/>
      <c r="Q58" s="130"/>
      <c r="R58" s="128"/>
      <c r="S58" s="128"/>
      <c r="T58" s="128"/>
      <c r="U58" s="128"/>
      <c r="V58" s="129"/>
      <c r="X58" s="129"/>
      <c r="Y58" s="129"/>
    </row>
    <row r="59" customFormat="false" ht="14.25" hidden="false" customHeight="false" outlineLevel="0" collapsed="false">
      <c r="F59" s="128"/>
      <c r="G59" s="128"/>
      <c r="H59" s="128"/>
      <c r="I59" s="128"/>
      <c r="J59" s="129"/>
      <c r="K59" s="129"/>
      <c r="L59" s="129"/>
      <c r="M59" s="128"/>
      <c r="N59" s="128"/>
      <c r="O59" s="128"/>
      <c r="P59" s="128"/>
      <c r="Q59" s="130"/>
      <c r="R59" s="128"/>
      <c r="S59" s="128"/>
      <c r="T59" s="128"/>
      <c r="U59" s="128"/>
      <c r="V59" s="129"/>
      <c r="X59" s="129"/>
      <c r="Y59" s="129"/>
    </row>
    <row r="60" customFormat="false" ht="14.25" hidden="false" customHeight="false" outlineLevel="0" collapsed="false">
      <c r="F60" s="128"/>
      <c r="G60" s="128"/>
      <c r="H60" s="128"/>
      <c r="I60" s="128"/>
      <c r="J60" s="129"/>
      <c r="K60" s="129"/>
      <c r="L60" s="129"/>
      <c r="M60" s="128"/>
      <c r="N60" s="128"/>
      <c r="O60" s="128"/>
      <c r="P60" s="128"/>
      <c r="Q60" s="130"/>
      <c r="R60" s="128"/>
      <c r="S60" s="128"/>
      <c r="T60" s="128"/>
      <c r="U60" s="128"/>
      <c r="V60" s="129"/>
      <c r="X60" s="129"/>
      <c r="Y60" s="129"/>
    </row>
    <row r="61" customFormat="false" ht="14.25" hidden="false" customHeight="false" outlineLevel="0" collapsed="false">
      <c r="F61" s="128"/>
      <c r="G61" s="128"/>
      <c r="H61" s="128"/>
      <c r="I61" s="128"/>
      <c r="J61" s="129"/>
      <c r="K61" s="129"/>
      <c r="L61" s="129"/>
      <c r="M61" s="128"/>
      <c r="N61" s="128"/>
      <c r="O61" s="128"/>
      <c r="P61" s="128"/>
      <c r="Q61" s="130"/>
      <c r="R61" s="128"/>
      <c r="S61" s="128"/>
      <c r="T61" s="128"/>
      <c r="U61" s="128"/>
      <c r="V61" s="129"/>
      <c r="X61" s="129"/>
      <c r="Y61" s="129"/>
    </row>
    <row r="62" customFormat="false" ht="14.25" hidden="false" customHeight="false" outlineLevel="0" collapsed="false">
      <c r="F62" s="128"/>
      <c r="G62" s="128"/>
      <c r="H62" s="128"/>
      <c r="I62" s="128"/>
      <c r="J62" s="129"/>
      <c r="K62" s="129"/>
      <c r="L62" s="129"/>
      <c r="M62" s="128"/>
      <c r="N62" s="128"/>
      <c r="O62" s="128"/>
      <c r="P62" s="128"/>
      <c r="Q62" s="130"/>
      <c r="R62" s="128"/>
      <c r="S62" s="128"/>
      <c r="T62" s="128"/>
      <c r="U62" s="128"/>
      <c r="V62" s="129"/>
      <c r="X62" s="129"/>
      <c r="Y62" s="129"/>
    </row>
    <row r="63" customFormat="false" ht="14.25" hidden="false" customHeight="false" outlineLevel="0" collapsed="false">
      <c r="F63" s="128"/>
      <c r="G63" s="128"/>
      <c r="H63" s="128"/>
      <c r="I63" s="128"/>
      <c r="J63" s="129"/>
      <c r="K63" s="129"/>
      <c r="L63" s="129"/>
      <c r="M63" s="128"/>
      <c r="N63" s="128"/>
      <c r="O63" s="128"/>
      <c r="P63" s="128"/>
      <c r="Q63" s="130"/>
      <c r="R63" s="128"/>
      <c r="S63" s="128"/>
      <c r="T63" s="128"/>
      <c r="U63" s="128"/>
      <c r="V63" s="129"/>
      <c r="X63" s="129"/>
      <c r="Y63" s="129"/>
    </row>
    <row r="64" customFormat="false" ht="14.25" hidden="false" customHeight="false" outlineLevel="0" collapsed="false">
      <c r="F64" s="128"/>
      <c r="G64" s="128"/>
      <c r="H64" s="128"/>
      <c r="I64" s="128"/>
      <c r="J64" s="129"/>
      <c r="K64" s="129"/>
      <c r="L64" s="129"/>
      <c r="M64" s="128"/>
      <c r="N64" s="128"/>
      <c r="O64" s="128"/>
      <c r="P64" s="128"/>
      <c r="Q64" s="130"/>
      <c r="R64" s="128"/>
      <c r="S64" s="128"/>
      <c r="T64" s="128"/>
      <c r="U64" s="128"/>
      <c r="V64" s="129"/>
      <c r="X64" s="129"/>
      <c r="Y64" s="129"/>
    </row>
    <row r="65" customFormat="false" ht="14.25" hidden="false" customHeight="false" outlineLevel="0" collapsed="false">
      <c r="F65" s="128"/>
      <c r="G65" s="128"/>
      <c r="H65" s="128"/>
      <c r="I65" s="128"/>
      <c r="J65" s="129"/>
      <c r="K65" s="129"/>
      <c r="L65" s="129"/>
      <c r="M65" s="128"/>
      <c r="N65" s="128"/>
      <c r="O65" s="128"/>
      <c r="P65" s="128"/>
      <c r="Q65" s="130"/>
      <c r="R65" s="128"/>
      <c r="S65" s="128"/>
      <c r="T65" s="128"/>
      <c r="U65" s="128"/>
      <c r="V65" s="129"/>
      <c r="X65" s="129"/>
      <c r="Y65" s="129"/>
    </row>
    <row r="66" customFormat="false" ht="14.25" hidden="false" customHeight="false" outlineLevel="0" collapsed="false">
      <c r="F66" s="128"/>
      <c r="G66" s="128"/>
      <c r="H66" s="128"/>
      <c r="I66" s="128"/>
      <c r="J66" s="129"/>
      <c r="K66" s="129"/>
      <c r="L66" s="129"/>
      <c r="M66" s="128"/>
      <c r="N66" s="128"/>
      <c r="O66" s="128"/>
      <c r="P66" s="128"/>
      <c r="Q66" s="130"/>
      <c r="R66" s="128"/>
      <c r="S66" s="128"/>
      <c r="T66" s="128"/>
      <c r="U66" s="128"/>
      <c r="V66" s="129"/>
      <c r="X66" s="129"/>
      <c r="Y66" s="129"/>
    </row>
    <row r="67" customFormat="false" ht="14.25" hidden="false" customHeight="false" outlineLevel="0" collapsed="false">
      <c r="F67" s="128"/>
      <c r="G67" s="128"/>
      <c r="H67" s="128"/>
      <c r="I67" s="128"/>
      <c r="J67" s="129"/>
      <c r="K67" s="129"/>
      <c r="L67" s="129"/>
      <c r="M67" s="128"/>
      <c r="N67" s="128"/>
      <c r="O67" s="128"/>
      <c r="P67" s="128"/>
      <c r="Q67" s="130"/>
      <c r="R67" s="128"/>
      <c r="S67" s="128"/>
      <c r="T67" s="128"/>
      <c r="U67" s="128"/>
      <c r="V67" s="129"/>
      <c r="X67" s="129"/>
      <c r="Y67" s="129"/>
    </row>
    <row r="68" customFormat="false" ht="14.25" hidden="false" customHeight="false" outlineLevel="0" collapsed="false">
      <c r="F68" s="128"/>
      <c r="G68" s="128"/>
      <c r="H68" s="128"/>
      <c r="I68" s="128"/>
      <c r="J68" s="129"/>
      <c r="K68" s="129"/>
      <c r="L68" s="129"/>
      <c r="M68" s="128"/>
      <c r="N68" s="128"/>
      <c r="O68" s="128"/>
      <c r="P68" s="128"/>
      <c r="Q68" s="130"/>
      <c r="R68" s="128"/>
      <c r="S68" s="128"/>
      <c r="T68" s="128"/>
      <c r="U68" s="128"/>
      <c r="V68" s="129"/>
      <c r="X68" s="129"/>
      <c r="Y68" s="129"/>
    </row>
    <row r="69" customFormat="false" ht="14.25" hidden="false" customHeight="false" outlineLevel="0" collapsed="false">
      <c r="F69" s="128"/>
      <c r="G69" s="128"/>
      <c r="H69" s="128"/>
      <c r="I69" s="128"/>
      <c r="J69" s="129"/>
      <c r="K69" s="129"/>
      <c r="L69" s="129"/>
      <c r="M69" s="128"/>
      <c r="N69" s="128"/>
      <c r="O69" s="128"/>
      <c r="P69" s="128"/>
      <c r="Q69" s="130"/>
      <c r="R69" s="128"/>
      <c r="S69" s="128"/>
      <c r="T69" s="128"/>
      <c r="U69" s="128"/>
      <c r="V69" s="129"/>
      <c r="X69" s="129"/>
      <c r="Y69" s="129"/>
    </row>
    <row r="70" customFormat="false" ht="14.25" hidden="false" customHeight="false" outlineLevel="0" collapsed="false">
      <c r="F70" s="128"/>
      <c r="G70" s="128"/>
      <c r="H70" s="128"/>
      <c r="I70" s="128"/>
      <c r="J70" s="129"/>
      <c r="K70" s="129"/>
      <c r="L70" s="129"/>
      <c r="M70" s="128"/>
      <c r="N70" s="128"/>
      <c r="O70" s="128"/>
      <c r="P70" s="128"/>
      <c r="Q70" s="130"/>
      <c r="R70" s="128"/>
      <c r="S70" s="128"/>
      <c r="T70" s="128"/>
      <c r="U70" s="128"/>
      <c r="V70" s="129"/>
      <c r="X70" s="129"/>
      <c r="Y70" s="129"/>
    </row>
  </sheetData>
  <autoFilter ref="A2:T34"/>
  <mergeCells count="4">
    <mergeCell ref="A1:D1"/>
    <mergeCell ref="F1:G1"/>
    <mergeCell ref="J1:M1"/>
    <mergeCell ref="S1:T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&amp;L&amp;1#&amp;7C1 Public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41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K233" activeCellId="0" sqref="K233"/>
    </sheetView>
  </sheetViews>
  <sheetFormatPr defaultColWidth="11.45703125" defaultRowHeight="14.25" zeroHeight="false" outlineLevelRow="0" outlineLevelCol="0"/>
  <cols>
    <col collapsed="false" customWidth="true" hidden="false" outlineLevel="0" max="2" min="2" style="2" width="18.45"/>
    <col collapsed="false" customWidth="true" hidden="false" outlineLevel="0" max="3" min="3" style="2" width="10.45"/>
    <col collapsed="false" customWidth="true" hidden="false" outlineLevel="0" max="4" min="4" style="2" width="42.27"/>
  </cols>
  <sheetData>
    <row r="1" customFormat="false" ht="14.25" hidden="false" customHeight="true" outlineLevel="0" collapsed="false">
      <c r="A1" s="131" t="s">
        <v>331</v>
      </c>
      <c r="B1" s="131"/>
      <c r="C1" s="131"/>
      <c r="D1" s="131"/>
      <c r="E1" s="131"/>
      <c r="F1" s="131"/>
      <c r="G1" s="131"/>
    </row>
    <row r="2" customFormat="false" ht="14.25" hidden="false" customHeight="false" outlineLevel="0" collapsed="false">
      <c r="A2" s="17" t="s">
        <v>4</v>
      </c>
      <c r="B2" s="19" t="s">
        <v>5</v>
      </c>
      <c r="C2" s="19" t="s">
        <v>6</v>
      </c>
      <c r="D2" s="113" t="s">
        <v>7</v>
      </c>
      <c r="E2" s="21" t="s">
        <v>8</v>
      </c>
      <c r="F2" s="21" t="s">
        <v>332</v>
      </c>
      <c r="G2" s="21" t="s">
        <v>333</v>
      </c>
      <c r="H2" s="21" t="s">
        <v>30</v>
      </c>
      <c r="I2" s="21" t="s">
        <v>31</v>
      </c>
    </row>
    <row r="3" customFormat="false" ht="14.25" hidden="false" customHeight="false" outlineLevel="0" collapsed="false">
      <c r="A3" s="132" t="n">
        <v>328420</v>
      </c>
      <c r="B3" s="133" t="s">
        <v>334</v>
      </c>
      <c r="C3" s="134" t="s">
        <v>55</v>
      </c>
      <c r="D3" s="135" t="s">
        <v>74</v>
      </c>
      <c r="E3" s="135" t="s">
        <v>47</v>
      </c>
      <c r="F3" s="136" t="n">
        <f aca="false">H3-I3</f>
        <v>117.096</v>
      </c>
      <c r="G3" s="136" t="s">
        <v>335</v>
      </c>
      <c r="H3" s="136" t="n">
        <v>117.096</v>
      </c>
      <c r="I3" s="136" t="n">
        <f aca="false">VLOOKUP(A3,[1]Accesorios!$D$1:$I$1048576,6,FALSE())</f>
        <v>0</v>
      </c>
      <c r="J3" s="47"/>
    </row>
    <row r="4" customFormat="false" ht="14.25" hidden="false" customHeight="false" outlineLevel="0" collapsed="false">
      <c r="A4" s="132" t="n">
        <v>300641</v>
      </c>
      <c r="B4" s="133" t="s">
        <v>336</v>
      </c>
      <c r="C4" s="134" t="s">
        <v>337</v>
      </c>
      <c r="D4" s="135" t="s">
        <v>162</v>
      </c>
      <c r="E4" s="135" t="s">
        <v>47</v>
      </c>
      <c r="F4" s="136" t="n">
        <f aca="false">H4-I4</f>
        <v>910.7385</v>
      </c>
      <c r="G4" s="136" t="s">
        <v>335</v>
      </c>
      <c r="H4" s="136" t="n">
        <v>910.7385</v>
      </c>
      <c r="I4" s="136" t="n">
        <f aca="false">VLOOKUP(A4,[1]Accesorios!$D$1:$I$1048576,6,FALSE())</f>
        <v>0</v>
      </c>
      <c r="J4" s="47"/>
    </row>
    <row r="5" customFormat="false" ht="14.25" hidden="false" customHeight="false" outlineLevel="0" collapsed="false">
      <c r="A5" s="132" t="n">
        <v>300642</v>
      </c>
      <c r="B5" s="133" t="s">
        <v>338</v>
      </c>
      <c r="C5" s="134" t="s">
        <v>337</v>
      </c>
      <c r="D5" s="135" t="s">
        <v>71</v>
      </c>
      <c r="E5" s="135" t="s">
        <v>47</v>
      </c>
      <c r="F5" s="136" t="n">
        <f aca="false">H5-I5</f>
        <v>92.4</v>
      </c>
      <c r="G5" s="136" t="s">
        <v>335</v>
      </c>
      <c r="H5" s="136" t="n">
        <v>92.4</v>
      </c>
      <c r="I5" s="136" t="n">
        <f aca="false">VLOOKUP(A5,[1]Accesorios!$D$1:$I$1048576,6,FALSE())</f>
        <v>0</v>
      </c>
      <c r="J5" s="47"/>
    </row>
    <row r="6" customFormat="false" ht="14.25" hidden="false" customHeight="false" outlineLevel="0" collapsed="false">
      <c r="A6" s="132" t="n">
        <v>327657</v>
      </c>
      <c r="B6" s="133" t="s">
        <v>334</v>
      </c>
      <c r="C6" s="134" t="s">
        <v>55</v>
      </c>
      <c r="D6" s="135" t="s">
        <v>56</v>
      </c>
      <c r="E6" s="135" t="s">
        <v>47</v>
      </c>
      <c r="F6" s="136" t="n">
        <f aca="false">H6-I6</f>
        <v>71.505</v>
      </c>
      <c r="G6" s="136" t="s">
        <v>335</v>
      </c>
      <c r="H6" s="136" t="n">
        <v>71.505</v>
      </c>
      <c r="I6" s="136" t="n">
        <f aca="false">VLOOKUP(A6,[1]Accesorios!$D$1:$I$1048576,6,FALSE())</f>
        <v>0</v>
      </c>
      <c r="J6" s="47"/>
    </row>
    <row r="7" customFormat="false" ht="14.25" hidden="false" customHeight="false" outlineLevel="0" collapsed="false">
      <c r="A7" s="132" t="n">
        <v>327660</v>
      </c>
      <c r="B7" s="133" t="s">
        <v>63</v>
      </c>
      <c r="C7" s="134" t="s">
        <v>55</v>
      </c>
      <c r="D7" s="135" t="s">
        <v>339</v>
      </c>
      <c r="E7" s="135" t="s">
        <v>47</v>
      </c>
      <c r="F7" s="136" t="n">
        <f aca="false">H7-I7</f>
        <v>12.936</v>
      </c>
      <c r="G7" s="136" t="s">
        <v>340</v>
      </c>
      <c r="H7" s="136" t="n">
        <v>12.936</v>
      </c>
      <c r="I7" s="136" t="n">
        <f aca="false">VLOOKUP(A7,[1]Accesorios!$D$1:$I$1048576,6,FALSE())</f>
        <v>0</v>
      </c>
      <c r="J7" s="47"/>
    </row>
    <row r="8" customFormat="false" ht="14.25" hidden="false" customHeight="false" outlineLevel="0" collapsed="false">
      <c r="A8" s="132" t="n">
        <v>327662</v>
      </c>
      <c r="B8" s="133" t="s">
        <v>334</v>
      </c>
      <c r="C8" s="134" t="s">
        <v>55</v>
      </c>
      <c r="D8" s="135" t="s">
        <v>64</v>
      </c>
      <c r="E8" s="135" t="s">
        <v>47</v>
      </c>
      <c r="F8" s="136" t="n">
        <f aca="false">H8-I8</f>
        <v>82.1835</v>
      </c>
      <c r="G8" s="136" t="s">
        <v>335</v>
      </c>
      <c r="H8" s="136" t="n">
        <v>82.1835</v>
      </c>
      <c r="I8" s="136" t="n">
        <f aca="false">VLOOKUP(A8,[1]Accesorios!$D$1:$I$1048576,6,FALSE())</f>
        <v>0</v>
      </c>
      <c r="J8" s="47"/>
    </row>
    <row r="9" customFormat="false" ht="14.25" hidden="false" customHeight="false" outlineLevel="0" collapsed="false">
      <c r="A9" s="132" t="n">
        <v>328049</v>
      </c>
      <c r="B9" s="133" t="s">
        <v>341</v>
      </c>
      <c r="C9" s="134" t="s">
        <v>55</v>
      </c>
      <c r="D9" s="135" t="s">
        <v>342</v>
      </c>
      <c r="E9" s="135" t="s">
        <v>47</v>
      </c>
      <c r="F9" s="136" t="n">
        <f aca="false">H9-I9</f>
        <v>12.9255</v>
      </c>
      <c r="G9" s="136" t="s">
        <v>340</v>
      </c>
      <c r="H9" s="136" t="n">
        <v>12.9255</v>
      </c>
      <c r="I9" s="136" t="n">
        <f aca="false">VLOOKUP(A9,[1]Accesorios!$D$1:$I$1048576,6,FALSE())</f>
        <v>0</v>
      </c>
      <c r="J9" s="47"/>
    </row>
    <row r="10" customFormat="false" ht="14.25" hidden="false" customHeight="false" outlineLevel="0" collapsed="false">
      <c r="A10" s="132" t="n">
        <v>328194</v>
      </c>
      <c r="B10" s="133" t="s">
        <v>341</v>
      </c>
      <c r="C10" s="134"/>
      <c r="D10" s="135" t="s">
        <v>343</v>
      </c>
      <c r="E10" s="135" t="s">
        <v>47</v>
      </c>
      <c r="F10" s="136" t="n">
        <f aca="false">H10-I10</f>
        <v>23.5095</v>
      </c>
      <c r="G10" s="136" t="s">
        <v>340</v>
      </c>
      <c r="H10" s="136" t="n">
        <v>23.5095</v>
      </c>
      <c r="I10" s="136" t="n">
        <f aca="false">VLOOKUP(A10,[1]Accesorios!$D$1:$I$1048576,6,FALSE())</f>
        <v>0</v>
      </c>
      <c r="J10" s="47"/>
    </row>
    <row r="11" customFormat="false" ht="14.25" hidden="false" customHeight="false" outlineLevel="0" collapsed="false">
      <c r="A11" s="132" t="n">
        <v>328195</v>
      </c>
      <c r="B11" s="133" t="s">
        <v>344</v>
      </c>
      <c r="C11" s="134"/>
      <c r="D11" s="135" t="s">
        <v>345</v>
      </c>
      <c r="E11" s="135" t="s">
        <v>47</v>
      </c>
      <c r="F11" s="136" t="n">
        <f aca="false">H11-I11</f>
        <v>23.5095</v>
      </c>
      <c r="G11" s="136" t="s">
        <v>340</v>
      </c>
      <c r="H11" s="136" t="n">
        <v>23.5095</v>
      </c>
      <c r="I11" s="136" t="n">
        <f aca="false">VLOOKUP(A11,[1]Accesorios!$D$1:$I$1048576,6,FALSE())</f>
        <v>0</v>
      </c>
      <c r="J11" s="47"/>
    </row>
    <row r="12" customFormat="false" ht="14.25" hidden="false" customHeight="false" outlineLevel="0" collapsed="false">
      <c r="A12" s="132" t="n">
        <v>328196</v>
      </c>
      <c r="B12" s="133" t="s">
        <v>341</v>
      </c>
      <c r="C12" s="134"/>
      <c r="D12" s="135" t="s">
        <v>346</v>
      </c>
      <c r="E12" s="135" t="s">
        <v>47</v>
      </c>
      <c r="F12" s="136" t="n">
        <f aca="false">H12-I12</f>
        <v>8.8095</v>
      </c>
      <c r="G12" s="136" t="s">
        <v>340</v>
      </c>
      <c r="H12" s="136" t="n">
        <v>8.8095</v>
      </c>
      <c r="I12" s="136" t="n">
        <f aca="false">VLOOKUP(A12,[1]Accesorios!$D$1:$I$1048576,6,FALSE())</f>
        <v>0</v>
      </c>
      <c r="J12" s="47"/>
    </row>
    <row r="13" customFormat="false" ht="14.25" hidden="false" customHeight="false" outlineLevel="0" collapsed="false">
      <c r="A13" s="132" t="n">
        <v>380427</v>
      </c>
      <c r="B13" s="133" t="s">
        <v>347</v>
      </c>
      <c r="C13" s="134" t="s">
        <v>348</v>
      </c>
      <c r="D13" s="135" t="s">
        <v>349</v>
      </c>
      <c r="E13" s="135" t="s">
        <v>47</v>
      </c>
      <c r="F13" s="136" t="n">
        <f aca="false">H13-I13</f>
        <v>37.8</v>
      </c>
      <c r="G13" s="136" t="s">
        <v>340</v>
      </c>
      <c r="H13" s="136" t="n">
        <v>37.8</v>
      </c>
      <c r="I13" s="136" t="n">
        <f aca="false">VLOOKUP(A13,[1]Accesorios!$D$1:$I$1048576,6,FALSE())</f>
        <v>0</v>
      </c>
      <c r="J13" s="47"/>
    </row>
    <row r="14" customFormat="false" ht="14.25" hidden="false" customHeight="false" outlineLevel="0" collapsed="false">
      <c r="A14" s="132" t="n">
        <v>380518</v>
      </c>
      <c r="B14" s="133" t="s">
        <v>347</v>
      </c>
      <c r="C14" s="134" t="s">
        <v>350</v>
      </c>
      <c r="D14" s="135" t="s">
        <v>351</v>
      </c>
      <c r="E14" s="135" t="s">
        <v>47</v>
      </c>
      <c r="F14" s="136" t="n">
        <f aca="false">H14-I14</f>
        <v>38.6505</v>
      </c>
      <c r="G14" s="136" t="s">
        <v>340</v>
      </c>
      <c r="H14" s="136" t="n">
        <v>38.6505</v>
      </c>
      <c r="I14" s="136" t="n">
        <f aca="false">VLOOKUP(A14,[1]Accesorios!$D$1:$I$1048576,6,FALSE())</f>
        <v>0</v>
      </c>
      <c r="J14" s="47"/>
    </row>
    <row r="15" customFormat="false" ht="14.25" hidden="false" customHeight="false" outlineLevel="0" collapsed="false">
      <c r="A15" s="132" t="n">
        <v>328370</v>
      </c>
      <c r="B15" s="133" t="s">
        <v>334</v>
      </c>
      <c r="C15" s="134" t="s">
        <v>352</v>
      </c>
      <c r="D15" s="135" t="s">
        <v>353</v>
      </c>
      <c r="E15" s="135" t="s">
        <v>47</v>
      </c>
      <c r="F15" s="136" t="n">
        <f aca="false">H15-I15</f>
        <v>47.25</v>
      </c>
      <c r="G15" s="136" t="s">
        <v>340</v>
      </c>
      <c r="H15" s="136" t="n">
        <v>47.25</v>
      </c>
      <c r="I15" s="136" t="n">
        <f aca="false">VLOOKUP(A15,[1]Accesorios!$D$1:$I$1048576,6,FALSE())</f>
        <v>0</v>
      </c>
      <c r="J15" s="47"/>
    </row>
    <row r="16" customFormat="false" ht="14.25" hidden="false" customHeight="false" outlineLevel="0" collapsed="false">
      <c r="A16" s="132" t="n">
        <v>300639</v>
      </c>
      <c r="B16" s="133" t="s">
        <v>354</v>
      </c>
      <c r="C16" s="134"/>
      <c r="D16" s="135" t="s">
        <v>355</v>
      </c>
      <c r="E16" s="135" t="s">
        <v>47</v>
      </c>
      <c r="F16" s="136" t="n">
        <f aca="false">H16-I16</f>
        <v>19.425</v>
      </c>
      <c r="G16" s="136" t="s">
        <v>340</v>
      </c>
      <c r="H16" s="136" t="n">
        <v>19.425</v>
      </c>
      <c r="I16" s="136" t="n">
        <f aca="false">VLOOKUP(A16,[1]Accesorios!$D$1:$I$1048576,6,FALSE())</f>
        <v>0</v>
      </c>
      <c r="J16" s="47"/>
    </row>
    <row r="17" customFormat="false" ht="14.25" hidden="false" customHeight="false" outlineLevel="0" collapsed="false">
      <c r="A17" s="132" t="n">
        <v>300640</v>
      </c>
      <c r="B17" s="133" t="s">
        <v>354</v>
      </c>
      <c r="C17" s="134"/>
      <c r="D17" s="135" t="s">
        <v>356</v>
      </c>
      <c r="E17" s="135" t="s">
        <v>47</v>
      </c>
      <c r="F17" s="136" t="n">
        <f aca="false">H17-I17</f>
        <v>48.5625</v>
      </c>
      <c r="G17" s="136" t="s">
        <v>340</v>
      </c>
      <c r="H17" s="136" t="n">
        <v>48.5625</v>
      </c>
      <c r="I17" s="136" t="n">
        <f aca="false">VLOOKUP(A17,[1]Accesorios!$D$1:$I$1048576,6,FALSE())</f>
        <v>0</v>
      </c>
      <c r="J17" s="47"/>
    </row>
    <row r="18" customFormat="false" ht="14.25" hidden="false" customHeight="false" outlineLevel="0" collapsed="false">
      <c r="A18" s="132" t="n">
        <v>300620</v>
      </c>
      <c r="B18" s="133" t="s">
        <v>357</v>
      </c>
      <c r="C18" s="134" t="s">
        <v>59</v>
      </c>
      <c r="D18" s="135" t="s">
        <v>60</v>
      </c>
      <c r="E18" s="135" t="s">
        <v>47</v>
      </c>
      <c r="F18" s="136" t="n">
        <f aca="false">H18-I18</f>
        <v>78.8445</v>
      </c>
      <c r="G18" s="136" t="s">
        <v>335</v>
      </c>
      <c r="H18" s="136" t="n">
        <v>78.8445</v>
      </c>
      <c r="I18" s="136" t="n">
        <f aca="false">VLOOKUP(A18,[1]Accesorios!$D$1:$I$1048576,6,FALSE())</f>
        <v>0</v>
      </c>
      <c r="J18" s="47"/>
    </row>
    <row r="19" customFormat="false" ht="14.25" hidden="false" customHeight="false" outlineLevel="0" collapsed="false">
      <c r="A19" s="132" t="n">
        <v>300625</v>
      </c>
      <c r="B19" s="133" t="s">
        <v>357</v>
      </c>
      <c r="C19" s="134" t="s">
        <v>61</v>
      </c>
      <c r="D19" s="135" t="s">
        <v>62</v>
      </c>
      <c r="E19" s="135" t="s">
        <v>47</v>
      </c>
      <c r="F19" s="136" t="n">
        <f aca="false">H19-I19</f>
        <v>78.96</v>
      </c>
      <c r="G19" s="136" t="s">
        <v>335</v>
      </c>
      <c r="H19" s="136" t="n">
        <v>78.96</v>
      </c>
      <c r="I19" s="136" t="n">
        <f aca="false">VLOOKUP(A19,[1]Accesorios!$D$1:$I$1048576,6,FALSE())</f>
        <v>0</v>
      </c>
      <c r="J19" s="47"/>
    </row>
    <row r="20" customFormat="false" ht="14.25" hidden="false" customHeight="false" outlineLevel="0" collapsed="false">
      <c r="A20" s="132" t="n">
        <v>300630</v>
      </c>
      <c r="B20" s="133" t="s">
        <v>357</v>
      </c>
      <c r="C20" s="134" t="s">
        <v>86</v>
      </c>
      <c r="D20" s="135" t="s">
        <v>87</v>
      </c>
      <c r="E20" s="135" t="s">
        <v>47</v>
      </c>
      <c r="F20" s="136" t="n">
        <f aca="false">H20-I20</f>
        <v>185.955</v>
      </c>
      <c r="G20" s="136" t="s">
        <v>335</v>
      </c>
      <c r="H20" s="136" t="n">
        <v>185.955</v>
      </c>
      <c r="I20" s="136" t="n">
        <f aca="false">VLOOKUP(A20,[1]Accesorios!$D$1:$I$1048576,6,FALSE())</f>
        <v>0</v>
      </c>
      <c r="J20" s="47"/>
    </row>
    <row r="21" customFormat="false" ht="14.25" hidden="false" customHeight="false" outlineLevel="0" collapsed="false">
      <c r="A21" s="132" t="n">
        <v>300631</v>
      </c>
      <c r="B21" s="133" t="s">
        <v>357</v>
      </c>
      <c r="C21" s="134" t="s">
        <v>59</v>
      </c>
      <c r="D21" s="135" t="s">
        <v>73</v>
      </c>
      <c r="E21" s="135" t="s">
        <v>47</v>
      </c>
      <c r="F21" s="136" t="n">
        <f aca="false">H21-I21</f>
        <v>94.0275</v>
      </c>
      <c r="G21" s="136" t="s">
        <v>335</v>
      </c>
      <c r="H21" s="136" t="n">
        <v>94.0275</v>
      </c>
      <c r="I21" s="136" t="n">
        <f aca="false">VLOOKUP(A21,[1]Accesorios!$D$1:$I$1048576,6,FALSE())</f>
        <v>0</v>
      </c>
      <c r="J21" s="47"/>
    </row>
    <row r="22" customFormat="false" ht="14.25" hidden="false" customHeight="false" outlineLevel="0" collapsed="false">
      <c r="A22" s="132" t="n">
        <v>300655</v>
      </c>
      <c r="B22" s="133" t="s">
        <v>63</v>
      </c>
      <c r="C22" s="134" t="s">
        <v>55</v>
      </c>
      <c r="D22" s="135" t="s">
        <v>358</v>
      </c>
      <c r="E22" s="135" t="s">
        <v>47</v>
      </c>
      <c r="F22" s="136" t="n">
        <f aca="false">H22-I22</f>
        <v>5.8275</v>
      </c>
      <c r="G22" s="136" t="s">
        <v>340</v>
      </c>
      <c r="H22" s="136" t="n">
        <v>5.8275</v>
      </c>
      <c r="I22" s="136" t="n">
        <f aca="false">VLOOKUP(A22,[1]Accesorios!$D$1:$I$1048576,6,FALSE())</f>
        <v>0</v>
      </c>
      <c r="J22" s="47"/>
    </row>
    <row r="23" customFormat="false" ht="14.25" hidden="false" customHeight="false" outlineLevel="0" collapsed="false">
      <c r="A23" s="132" t="n">
        <v>328633</v>
      </c>
      <c r="B23" s="133" t="s">
        <v>334</v>
      </c>
      <c r="C23" s="134" t="s">
        <v>55</v>
      </c>
      <c r="D23" s="135" t="s">
        <v>359</v>
      </c>
      <c r="E23" s="135" t="s">
        <v>47</v>
      </c>
      <c r="F23" s="136" t="n">
        <f aca="false">H23-I23</f>
        <v>35.7</v>
      </c>
      <c r="G23" s="136" t="s">
        <v>340</v>
      </c>
      <c r="H23" s="136" t="n">
        <v>35.7</v>
      </c>
      <c r="I23" s="136" t="n">
        <f aca="false">VLOOKUP(A23,[1]Accesorios!$D$1:$I$1048576,6,FALSE())</f>
        <v>0</v>
      </c>
      <c r="J23" s="47"/>
    </row>
    <row r="24" customFormat="false" ht="14.25" hidden="false" customHeight="false" outlineLevel="0" collapsed="false">
      <c r="A24" s="132" t="n">
        <v>328632</v>
      </c>
      <c r="B24" s="133" t="s">
        <v>334</v>
      </c>
      <c r="C24" s="134" t="s">
        <v>55</v>
      </c>
      <c r="D24" s="135" t="s">
        <v>360</v>
      </c>
      <c r="E24" s="135" t="s">
        <v>47</v>
      </c>
      <c r="F24" s="136" t="n">
        <f aca="false">H24-I24</f>
        <v>30.45</v>
      </c>
      <c r="G24" s="136" t="s">
        <v>340</v>
      </c>
      <c r="H24" s="136" t="n">
        <v>30.45</v>
      </c>
      <c r="I24" s="136" t="n">
        <f aca="false">VLOOKUP(A24,[1]Accesorios!$D$1:$I$1048576,6,FALSE())</f>
        <v>0</v>
      </c>
      <c r="J24" s="47"/>
    </row>
    <row r="25" customFormat="false" ht="14.25" hidden="false" customHeight="false" outlineLevel="0" collapsed="false">
      <c r="A25" s="132" t="n">
        <v>300638</v>
      </c>
      <c r="B25" s="133" t="s">
        <v>275</v>
      </c>
      <c r="C25" s="134" t="s">
        <v>84</v>
      </c>
      <c r="D25" s="135" t="s">
        <v>120</v>
      </c>
      <c r="E25" s="135" t="s">
        <v>47</v>
      </c>
      <c r="F25" s="136" t="n">
        <f aca="false">H25-I25</f>
        <v>418.6035</v>
      </c>
      <c r="G25" s="136" t="s">
        <v>361</v>
      </c>
      <c r="H25" s="136" t="n">
        <v>418.6035</v>
      </c>
      <c r="I25" s="136" t="n">
        <f aca="false">VLOOKUP(A25,[1]Accesorios!$D$1:$I$1048576,6,FALSE())</f>
        <v>0</v>
      </c>
      <c r="J25" s="47"/>
    </row>
    <row r="26" customFormat="false" ht="14.25" hidden="false" customHeight="false" outlineLevel="0" collapsed="false">
      <c r="A26" s="132" t="n">
        <v>300644</v>
      </c>
      <c r="B26" s="133" t="s">
        <v>275</v>
      </c>
      <c r="C26" s="134" t="s">
        <v>61</v>
      </c>
      <c r="D26" s="135" t="s">
        <v>362</v>
      </c>
      <c r="E26" s="135" t="s">
        <v>47</v>
      </c>
      <c r="F26" s="136" t="n">
        <f aca="false">H26-I26</f>
        <v>47.376</v>
      </c>
      <c r="G26" s="136" t="s">
        <v>340</v>
      </c>
      <c r="H26" s="136" t="n">
        <v>47.376</v>
      </c>
      <c r="I26" s="136" t="n">
        <f aca="false">VLOOKUP(A26,[1]Accesorios!$D$1:$I$1048576,6,FALSE())</f>
        <v>0</v>
      </c>
      <c r="J26" s="47"/>
    </row>
    <row r="27" customFormat="false" ht="14.25" hidden="false" customHeight="false" outlineLevel="0" collapsed="false">
      <c r="A27" s="132" t="n">
        <v>300645</v>
      </c>
      <c r="B27" s="133" t="s">
        <v>363</v>
      </c>
      <c r="C27" s="134" t="s">
        <v>61</v>
      </c>
      <c r="D27" s="135" t="s">
        <v>364</v>
      </c>
      <c r="E27" s="135" t="s">
        <v>47</v>
      </c>
      <c r="F27" s="136" t="n">
        <f aca="false">H27-I27</f>
        <v>31.584</v>
      </c>
      <c r="G27" s="136" t="s">
        <v>340</v>
      </c>
      <c r="H27" s="136" t="n">
        <v>31.584</v>
      </c>
      <c r="I27" s="136" t="n">
        <f aca="false">VLOOKUP(A27,[1]Accesorios!$D$1:$I$1048576,6,FALSE())</f>
        <v>0</v>
      </c>
      <c r="J27" s="47"/>
    </row>
    <row r="28" customFormat="false" ht="14.25" hidden="false" customHeight="false" outlineLevel="0" collapsed="false">
      <c r="A28" s="132" t="n">
        <v>300659</v>
      </c>
      <c r="B28" s="133" t="s">
        <v>365</v>
      </c>
      <c r="C28" s="137" t="s">
        <v>131</v>
      </c>
      <c r="D28" s="135" t="s">
        <v>366</v>
      </c>
      <c r="E28" s="135" t="s">
        <v>47</v>
      </c>
      <c r="F28" s="136" t="n">
        <f aca="false">H28-I28</f>
        <v>117.5055</v>
      </c>
      <c r="G28" s="136" t="s">
        <v>335</v>
      </c>
      <c r="H28" s="136" t="n">
        <v>117.5055</v>
      </c>
      <c r="I28" s="136" t="n">
        <f aca="false">VLOOKUP(A28,[1]Accesorios!$D$1:$I$1048576,6,FALSE())</f>
        <v>0</v>
      </c>
      <c r="J28" s="47"/>
    </row>
    <row r="29" customFormat="false" ht="14.25" hidden="false" customHeight="false" outlineLevel="0" collapsed="false">
      <c r="A29" s="132" t="n">
        <v>300660</v>
      </c>
      <c r="B29" s="133" t="s">
        <v>365</v>
      </c>
      <c r="C29" s="137" t="s">
        <v>131</v>
      </c>
      <c r="D29" s="135" t="s">
        <v>79</v>
      </c>
      <c r="E29" s="135" t="s">
        <v>47</v>
      </c>
      <c r="F29" s="136" t="n">
        <f aca="false">H29-I29</f>
        <v>94.9565</v>
      </c>
      <c r="G29" s="136" t="s">
        <v>335</v>
      </c>
      <c r="H29" s="136" t="n">
        <v>134.9565</v>
      </c>
      <c r="I29" s="136" t="n">
        <f aca="false">VLOOKUP(A29,[1]Accesorios!$D$1:$I$1048576,6,FALSE())</f>
        <v>40</v>
      </c>
      <c r="J29" s="47"/>
    </row>
    <row r="30" customFormat="false" ht="14.25" hidden="false" customHeight="false" outlineLevel="0" collapsed="false">
      <c r="A30" s="132" t="n">
        <v>300662</v>
      </c>
      <c r="B30" s="133" t="s">
        <v>367</v>
      </c>
      <c r="C30" s="137" t="s">
        <v>131</v>
      </c>
      <c r="D30" s="135" t="s">
        <v>66</v>
      </c>
      <c r="E30" s="135" t="s">
        <v>47</v>
      </c>
      <c r="F30" s="136" t="n">
        <f aca="false">H30-I30</f>
        <v>84.0945</v>
      </c>
      <c r="G30" s="136" t="s">
        <v>335</v>
      </c>
      <c r="H30" s="136" t="n">
        <v>84.0945</v>
      </c>
      <c r="I30" s="136" t="n">
        <f aca="false">VLOOKUP(A30,[1]Accesorios!$D$1:$I$1048576,6,FALSE())</f>
        <v>0</v>
      </c>
      <c r="J30" s="47"/>
    </row>
    <row r="31" customFormat="false" ht="14.25" hidden="false" customHeight="false" outlineLevel="0" collapsed="false">
      <c r="A31" s="132" t="n">
        <v>300671</v>
      </c>
      <c r="B31" s="132" t="s">
        <v>275</v>
      </c>
      <c r="C31" s="132" t="s">
        <v>81</v>
      </c>
      <c r="D31" s="132" t="s">
        <v>95</v>
      </c>
      <c r="E31" s="132" t="s">
        <v>47</v>
      </c>
      <c r="F31" s="136" t="n">
        <f aca="false">H31-I31</f>
        <v>260.4</v>
      </c>
      <c r="G31" s="132" t="s">
        <v>335</v>
      </c>
      <c r="H31" s="136" t="n">
        <v>260.4</v>
      </c>
      <c r="I31" s="136" t="n">
        <f aca="false">VLOOKUP(A31,[1]Accesorios!$D$1:$I$1048576,6,FALSE())</f>
        <v>0</v>
      </c>
      <c r="J31" s="47"/>
    </row>
    <row r="32" customFormat="false" ht="14.25" hidden="false" customHeight="false" outlineLevel="0" collapsed="false">
      <c r="A32" s="132" t="n">
        <v>300672</v>
      </c>
      <c r="B32" s="132" t="s">
        <v>275</v>
      </c>
      <c r="C32" s="132" t="s">
        <v>81</v>
      </c>
      <c r="D32" s="132" t="s">
        <v>118</v>
      </c>
      <c r="E32" s="132" t="s">
        <v>47</v>
      </c>
      <c r="F32" s="136" t="n">
        <f aca="false">H32-I32</f>
        <v>357</v>
      </c>
      <c r="G32" s="132" t="s">
        <v>335</v>
      </c>
      <c r="H32" s="136" t="n">
        <v>357</v>
      </c>
      <c r="I32" s="136" t="n">
        <f aca="false">VLOOKUP(A32,[1]Accesorios!$D$1:$I$1048576,6,FALSE())</f>
        <v>0</v>
      </c>
      <c r="J32" s="47"/>
    </row>
    <row r="33" customFormat="false" ht="14.25" hidden="false" customHeight="false" outlineLevel="0" collapsed="false">
      <c r="A33" s="132" t="n">
        <v>300734</v>
      </c>
      <c r="B33" s="132" t="s">
        <v>368</v>
      </c>
      <c r="C33" s="132" t="s">
        <v>369</v>
      </c>
      <c r="D33" s="132" t="s">
        <v>370</v>
      </c>
      <c r="E33" s="132" t="s">
        <v>47</v>
      </c>
      <c r="F33" s="136" t="n">
        <f aca="false">H33-I33</f>
        <v>842.5725</v>
      </c>
      <c r="G33" s="132" t="s">
        <v>335</v>
      </c>
      <c r="H33" s="136" t="n">
        <v>842.5725</v>
      </c>
      <c r="I33" s="136" t="n">
        <f aca="false">VLOOKUP(A33,[1]Accesorios!$D$1:$I$1048576,6,FALSE())</f>
        <v>0</v>
      </c>
      <c r="J33" s="47"/>
    </row>
    <row r="34" customFormat="false" ht="14.25" hidden="false" customHeight="false" outlineLevel="0" collapsed="false">
      <c r="A34" s="132" t="n">
        <v>300732</v>
      </c>
      <c r="B34" s="132" t="s">
        <v>368</v>
      </c>
      <c r="C34" s="132" t="s">
        <v>109</v>
      </c>
      <c r="D34" s="132" t="s">
        <v>161</v>
      </c>
      <c r="E34" s="132" t="s">
        <v>47</v>
      </c>
      <c r="F34" s="136" t="n">
        <f aca="false">H34-I34</f>
        <v>872.928</v>
      </c>
      <c r="G34" s="132" t="s">
        <v>335</v>
      </c>
      <c r="H34" s="136" t="n">
        <v>872.928</v>
      </c>
      <c r="I34" s="136" t="n">
        <f aca="false">VLOOKUP(A34,[1]Accesorios!$D$1:$I$1048576,6,FALSE())</f>
        <v>0</v>
      </c>
      <c r="J34" s="47"/>
    </row>
    <row r="35" customFormat="false" ht="14.25" hidden="false" customHeight="false" outlineLevel="0" collapsed="false">
      <c r="A35" s="132" t="n">
        <v>300646</v>
      </c>
      <c r="B35" s="132" t="s">
        <v>371</v>
      </c>
      <c r="C35" s="132" t="s">
        <v>57</v>
      </c>
      <c r="D35" s="132" t="s">
        <v>58</v>
      </c>
      <c r="E35" s="132" t="s">
        <v>47</v>
      </c>
      <c r="F35" s="136" t="n">
        <v>78</v>
      </c>
      <c r="G35" s="132" t="s">
        <v>335</v>
      </c>
      <c r="H35" s="136" t="n">
        <v>78</v>
      </c>
      <c r="I35" s="136" t="n">
        <v>0</v>
      </c>
      <c r="J35" s="47"/>
    </row>
    <row r="36" customFormat="false" ht="14.25" hidden="false" customHeight="false" outlineLevel="0" collapsed="false">
      <c r="A36" s="132" t="n">
        <v>380562</v>
      </c>
      <c r="B36" s="132" t="s">
        <v>371</v>
      </c>
      <c r="C36" s="132" t="s">
        <v>45</v>
      </c>
      <c r="D36" s="132" t="s">
        <v>46</v>
      </c>
      <c r="E36" s="132" t="s">
        <v>47</v>
      </c>
      <c r="F36" s="136" t="n">
        <v>50</v>
      </c>
      <c r="G36" s="132" t="s">
        <v>335</v>
      </c>
      <c r="H36" s="136" t="n">
        <v>50</v>
      </c>
      <c r="I36" s="136" t="n">
        <v>0</v>
      </c>
      <c r="J36" s="47"/>
    </row>
    <row r="37" customFormat="false" ht="14.25" hidden="false" customHeight="false" outlineLevel="0" collapsed="false">
      <c r="A37" s="132" t="n">
        <v>300752</v>
      </c>
      <c r="B37" s="132" t="s">
        <v>368</v>
      </c>
      <c r="C37" s="132" t="s">
        <v>131</v>
      </c>
      <c r="D37" s="132" t="s">
        <v>132</v>
      </c>
      <c r="E37" s="132" t="s">
        <v>47</v>
      </c>
      <c r="F37" s="136" t="n">
        <f aca="false">H37-I37</f>
        <v>613.053</v>
      </c>
      <c r="G37" s="132" t="s">
        <v>335</v>
      </c>
      <c r="H37" s="136" t="n">
        <v>613.053</v>
      </c>
      <c r="I37" s="136" t="n">
        <f aca="false">VLOOKUP(A37,[1]Accesorios!$D$1:$I$1048576,6,FALSE())</f>
        <v>0</v>
      </c>
      <c r="J37" s="47"/>
    </row>
    <row r="38" customFormat="false" ht="14.25" hidden="false" customHeight="false" outlineLevel="0" collapsed="false">
      <c r="A38" s="132" t="n">
        <v>300759</v>
      </c>
      <c r="B38" s="132" t="s">
        <v>368</v>
      </c>
      <c r="C38" s="132" t="s">
        <v>109</v>
      </c>
      <c r="D38" s="132" t="s">
        <v>110</v>
      </c>
      <c r="E38" s="132" t="s">
        <v>47</v>
      </c>
      <c r="F38" s="136" t="n">
        <f aca="false">H38-I38</f>
        <v>360.696</v>
      </c>
      <c r="G38" s="132" t="s">
        <v>335</v>
      </c>
      <c r="H38" s="136" t="n">
        <v>360.696</v>
      </c>
      <c r="I38" s="136" t="n">
        <f aca="false">VLOOKUP(A38,[1]Accesorios!$D$1:$I$1048576,6,FALSE())</f>
        <v>0</v>
      </c>
      <c r="J38" s="47"/>
    </row>
    <row r="39" customFormat="false" ht="14.25" hidden="false" customHeight="false" outlineLevel="0" collapsed="false">
      <c r="A39" s="132" t="n">
        <v>300754</v>
      </c>
      <c r="B39" s="132" t="s">
        <v>368</v>
      </c>
      <c r="C39" s="132" t="s">
        <v>109</v>
      </c>
      <c r="D39" s="132" t="s">
        <v>125</v>
      </c>
      <c r="E39" s="132" t="s">
        <v>47</v>
      </c>
      <c r="F39" s="136" t="n">
        <f aca="false">H39-I39</f>
        <v>487.6725</v>
      </c>
      <c r="G39" s="132" t="s">
        <v>335</v>
      </c>
      <c r="H39" s="136" t="n">
        <v>487.6725</v>
      </c>
      <c r="I39" s="136" t="n">
        <f aca="false">VLOOKUP(A39,[1]Accesorios!$D$1:$I$1048576,6,FALSE())</f>
        <v>0</v>
      </c>
      <c r="J39" s="47"/>
    </row>
    <row r="40" customFormat="false" ht="14.25" hidden="false" customHeight="false" outlineLevel="0" collapsed="false">
      <c r="A40" s="132" t="n">
        <v>300697</v>
      </c>
      <c r="B40" s="132" t="s">
        <v>275</v>
      </c>
      <c r="C40" s="132" t="s">
        <v>81</v>
      </c>
      <c r="D40" s="132" t="s">
        <v>119</v>
      </c>
      <c r="E40" s="132" t="s">
        <v>47</v>
      </c>
      <c r="F40" s="136" t="n">
        <f aca="false">H40-I40</f>
        <v>411.6525</v>
      </c>
      <c r="G40" s="132" t="s">
        <v>335</v>
      </c>
      <c r="H40" s="136" t="n">
        <v>411.6525</v>
      </c>
      <c r="I40" s="136" t="n">
        <f aca="false">VLOOKUP(A40,[1]Accesorios!$D$1:$I$1048576,6,FALSE())</f>
        <v>0</v>
      </c>
      <c r="J40" s="47"/>
    </row>
    <row r="41" customFormat="false" ht="14.25" hidden="false" customHeight="false" outlineLevel="0" collapsed="false">
      <c r="A41" s="132" t="n">
        <v>300766</v>
      </c>
      <c r="B41" s="132" t="s">
        <v>372</v>
      </c>
      <c r="C41" s="138" t="s">
        <v>84</v>
      </c>
      <c r="D41" s="132" t="s">
        <v>102</v>
      </c>
      <c r="E41" s="132" t="s">
        <v>47</v>
      </c>
      <c r="F41" s="136" t="n">
        <f aca="false">H41-I41</f>
        <v>311.1285</v>
      </c>
      <c r="G41" s="132" t="s">
        <v>335</v>
      </c>
      <c r="H41" s="136" t="n">
        <v>356.1285</v>
      </c>
      <c r="I41" s="136" t="n">
        <f aca="false">VLOOKUP(A41,[1]Accesorios!$D$1:$I$1048576,6,FALSE())</f>
        <v>45</v>
      </c>
      <c r="J41" s="47"/>
    </row>
    <row r="42" customFormat="false" ht="14.25" hidden="false" customHeight="false" outlineLevel="0" collapsed="false">
      <c r="A42" s="132" t="n">
        <v>300839</v>
      </c>
      <c r="B42" s="132" t="s">
        <v>373</v>
      </c>
      <c r="C42" s="132" t="s">
        <v>374</v>
      </c>
      <c r="D42" s="132" t="s">
        <v>375</v>
      </c>
      <c r="E42" s="132" t="s">
        <v>47</v>
      </c>
      <c r="F42" s="136" t="n">
        <f aca="false">H42-I42</f>
        <v>63</v>
      </c>
      <c r="G42" s="132" t="s">
        <v>376</v>
      </c>
      <c r="H42" s="136" t="n">
        <v>63</v>
      </c>
      <c r="I42" s="136" t="n">
        <f aca="false">VLOOKUP(A42,[1]Accesorios!$D$1:$I$1048576,6,FALSE())</f>
        <v>0</v>
      </c>
      <c r="J42" s="47"/>
    </row>
    <row r="43" customFormat="false" ht="14.25" hidden="false" customHeight="false" outlineLevel="0" collapsed="false">
      <c r="A43" s="132" t="n">
        <v>300775</v>
      </c>
      <c r="B43" s="132" t="s">
        <v>377</v>
      </c>
      <c r="C43" s="132" t="s">
        <v>163</v>
      </c>
      <c r="D43" s="132" t="s">
        <v>378</v>
      </c>
      <c r="E43" s="132" t="s">
        <v>47</v>
      </c>
      <c r="F43" s="136" t="n">
        <f aca="false">H43-I43</f>
        <v>65.373</v>
      </c>
      <c r="G43" s="132" t="s">
        <v>335</v>
      </c>
      <c r="H43" s="136" t="n">
        <v>65.373</v>
      </c>
      <c r="I43" s="136" t="n">
        <f aca="false">VLOOKUP(A43,[1]Accesorios!$D$1:$I$1048576,6,FALSE())</f>
        <v>0</v>
      </c>
      <c r="J43" s="47"/>
    </row>
    <row r="44" customFormat="false" ht="14.25" hidden="false" customHeight="false" outlineLevel="0" collapsed="false">
      <c r="A44" s="132" t="n">
        <v>300867</v>
      </c>
      <c r="B44" s="132" t="s">
        <v>379</v>
      </c>
      <c r="C44" s="132" t="s">
        <v>380</v>
      </c>
      <c r="D44" s="132" t="s">
        <v>381</v>
      </c>
      <c r="E44" s="132" t="s">
        <v>47</v>
      </c>
      <c r="F44" s="136" t="n">
        <f aca="false">H44-I44</f>
        <v>56.616</v>
      </c>
      <c r="G44" s="132" t="s">
        <v>335</v>
      </c>
      <c r="H44" s="136" t="n">
        <v>56.616</v>
      </c>
      <c r="I44" s="136" t="n">
        <f aca="false">VLOOKUP(A44,[1]Accesorios!$D$1:$I$1048576,6,FALSE())</f>
        <v>0</v>
      </c>
      <c r="J44" s="47"/>
    </row>
    <row r="45" customFormat="false" ht="14.25" hidden="false" customHeight="false" outlineLevel="0" collapsed="false">
      <c r="A45" s="132" t="n">
        <v>300868</v>
      </c>
      <c r="B45" s="132" t="s">
        <v>379</v>
      </c>
      <c r="C45" s="132" t="s">
        <v>382</v>
      </c>
      <c r="D45" s="132" t="s">
        <v>383</v>
      </c>
      <c r="E45" s="132" t="s">
        <v>47</v>
      </c>
      <c r="F45" s="136" t="n">
        <f aca="false">H45-I45</f>
        <v>177.408</v>
      </c>
      <c r="G45" s="132" t="s">
        <v>335</v>
      </c>
      <c r="H45" s="136" t="n">
        <v>177.408</v>
      </c>
      <c r="I45" s="136" t="n">
        <f aca="false">VLOOKUP(A45,[1]Accesorios!$D$1:$I$1048576,6,FALSE())</f>
        <v>0</v>
      </c>
      <c r="J45" s="47"/>
    </row>
    <row r="46" customFormat="false" ht="14.25" hidden="false" customHeight="false" outlineLevel="0" collapsed="false">
      <c r="A46" s="132" t="n">
        <v>300855</v>
      </c>
      <c r="B46" s="132" t="s">
        <v>384</v>
      </c>
      <c r="C46" s="132" t="s">
        <v>385</v>
      </c>
      <c r="D46" s="132" t="s">
        <v>386</v>
      </c>
      <c r="E46" s="132" t="s">
        <v>47</v>
      </c>
      <c r="F46" s="136" t="n">
        <f aca="false">H46-I46</f>
        <v>62.77076</v>
      </c>
      <c r="G46" s="132" t="s">
        <v>335</v>
      </c>
      <c r="H46" s="136" t="n">
        <v>87.77076</v>
      </c>
      <c r="I46" s="136" t="n">
        <f aca="false">VLOOKUP(A46,[1]Accesorios!$D$1:$I$1048576,6,FALSE())</f>
        <v>25</v>
      </c>
      <c r="J46" s="47"/>
    </row>
    <row r="47" customFormat="false" ht="14.25" hidden="false" customHeight="false" outlineLevel="0" collapsed="false">
      <c r="A47" s="132" t="n">
        <v>300869</v>
      </c>
      <c r="B47" s="132" t="s">
        <v>368</v>
      </c>
      <c r="C47" s="132" t="s">
        <v>387</v>
      </c>
      <c r="D47" s="132" t="s">
        <v>151</v>
      </c>
      <c r="E47" s="132" t="s">
        <v>47</v>
      </c>
      <c r="F47" s="136" t="n">
        <f aca="false">H47-I47</f>
        <v>729.1725</v>
      </c>
      <c r="G47" s="132" t="s">
        <v>335</v>
      </c>
      <c r="H47" s="136" t="n">
        <v>729.1725</v>
      </c>
      <c r="I47" s="136" t="n">
        <f aca="false">VLOOKUP(A47,[1]Accesorios!$D$1:$I$1048576,6,FALSE())</f>
        <v>0</v>
      </c>
      <c r="J47" s="47"/>
    </row>
    <row r="48" customFormat="false" ht="14.25" hidden="false" customHeight="false" outlineLevel="0" collapsed="false">
      <c r="A48" s="132" t="n">
        <v>300909</v>
      </c>
      <c r="B48" s="132" t="s">
        <v>368</v>
      </c>
      <c r="C48" s="132" t="s">
        <v>91</v>
      </c>
      <c r="D48" s="132" t="s">
        <v>388</v>
      </c>
      <c r="E48" s="132" t="s">
        <v>47</v>
      </c>
      <c r="F48" s="136" t="n">
        <f aca="false">H48-I48</f>
        <v>617.7465</v>
      </c>
      <c r="G48" s="132" t="s">
        <v>335</v>
      </c>
      <c r="H48" s="136" t="n">
        <v>617.7465</v>
      </c>
      <c r="I48" s="136" t="n">
        <f aca="false">VLOOKUP(A48,[1]Accesorios!$D$1:$I$1048576,6,FALSE())</f>
        <v>0</v>
      </c>
      <c r="J48" s="47"/>
    </row>
    <row r="49" s="132" customFormat="true" ht="14.25" hidden="false" customHeight="false" outlineLevel="0" collapsed="false">
      <c r="A49" s="132" t="n">
        <v>300724</v>
      </c>
      <c r="B49" s="132" t="s">
        <v>368</v>
      </c>
      <c r="C49" s="132" t="s">
        <v>109</v>
      </c>
      <c r="D49" s="132" t="s">
        <v>149</v>
      </c>
      <c r="E49" s="132" t="s">
        <v>47</v>
      </c>
      <c r="F49" s="136" t="n">
        <f aca="false">H49-I49</f>
        <v>712.8975</v>
      </c>
      <c r="G49" s="132" t="s">
        <v>335</v>
      </c>
      <c r="H49" s="136" t="n">
        <v>712.8975</v>
      </c>
      <c r="I49" s="136" t="n">
        <f aca="false">VLOOKUP(A49,[1]Accesorios!$D$1:$I$1048576,6,FALSE())</f>
        <v>0</v>
      </c>
      <c r="J49" s="47"/>
    </row>
    <row r="50" s="132" customFormat="true" ht="14.25" hidden="false" customHeight="false" outlineLevel="0" collapsed="false">
      <c r="A50" s="132" t="n">
        <v>300924</v>
      </c>
      <c r="B50" s="132" t="s">
        <v>368</v>
      </c>
      <c r="C50" s="132" t="s">
        <v>109</v>
      </c>
      <c r="D50" s="132" t="s">
        <v>166</v>
      </c>
      <c r="E50" s="132" t="s">
        <v>47</v>
      </c>
      <c r="F50" s="136" t="n">
        <f aca="false">H50-I50</f>
        <v>1037.0535</v>
      </c>
      <c r="G50" s="132" t="s">
        <v>335</v>
      </c>
      <c r="H50" s="136" t="n">
        <v>1037.0535</v>
      </c>
      <c r="I50" s="136" t="n">
        <f aca="false">VLOOKUP(A50,[1]Accesorios!$D$1:$I$1048576,6,FALSE())</f>
        <v>0</v>
      </c>
      <c r="J50" s="47"/>
    </row>
    <row r="51" s="64" customFormat="true" ht="14.25" hidden="false" customHeight="false" outlineLevel="0" collapsed="false">
      <c r="A51" s="139" t="n">
        <v>300676</v>
      </c>
      <c r="B51" s="139" t="s">
        <v>47</v>
      </c>
      <c r="C51" s="139" t="s">
        <v>84</v>
      </c>
      <c r="D51" s="139" t="s">
        <v>114</v>
      </c>
      <c r="E51" s="139" t="s">
        <v>47</v>
      </c>
      <c r="F51" s="136" t="n">
        <f aca="false">H51-I51</f>
        <v>440.178</v>
      </c>
      <c r="G51" s="140" t="s">
        <v>335</v>
      </c>
      <c r="H51" s="136" t="n">
        <v>458.178</v>
      </c>
      <c r="I51" s="136" t="n">
        <f aca="false">VLOOKUP(A51,[1]Accesorios!$D$1:$I$1048576,6,FALSE())</f>
        <v>18</v>
      </c>
      <c r="J51" s="47"/>
    </row>
    <row r="52" customFormat="false" ht="14.25" hidden="false" customHeight="false" outlineLevel="0" collapsed="false">
      <c r="A52" s="132" t="n">
        <v>328728</v>
      </c>
      <c r="B52" s="132" t="s">
        <v>389</v>
      </c>
      <c r="C52" s="132" t="s">
        <v>48</v>
      </c>
      <c r="D52" s="132" t="s">
        <v>390</v>
      </c>
      <c r="E52" s="132" t="s">
        <v>47</v>
      </c>
      <c r="F52" s="136" t="n">
        <f aca="false">H52-I52</f>
        <v>54.6</v>
      </c>
      <c r="G52" s="132" t="s">
        <v>335</v>
      </c>
      <c r="H52" s="136" t="n">
        <v>54.6</v>
      </c>
      <c r="I52" s="136" t="n">
        <f aca="false">VLOOKUP(A52,[1]Accesorios!$D$1:$I$1048576,6,FALSE())</f>
        <v>0</v>
      </c>
      <c r="J52" s="47"/>
    </row>
    <row r="53" customFormat="false" ht="14.25" hidden="false" customHeight="false" outlineLevel="0" collapsed="false">
      <c r="A53" s="132" t="n">
        <v>300928</v>
      </c>
      <c r="B53" s="132" t="s">
        <v>275</v>
      </c>
      <c r="C53" s="132" t="s">
        <v>81</v>
      </c>
      <c r="D53" s="132" t="s">
        <v>391</v>
      </c>
      <c r="E53" s="132" t="s">
        <v>47</v>
      </c>
      <c r="F53" s="136" t="n">
        <f aca="false">H53-I53</f>
        <v>519.75</v>
      </c>
      <c r="G53" s="132" t="s">
        <v>335</v>
      </c>
      <c r="H53" s="136" t="n">
        <v>519.75</v>
      </c>
      <c r="I53" s="136" t="n">
        <f aca="false">VLOOKUP(A53,[1]Accesorios!$D$1:$I$1048576,6,FALSE())</f>
        <v>0</v>
      </c>
      <c r="J53" s="47"/>
    </row>
    <row r="54" customFormat="false" ht="14.25" hidden="false" customHeight="false" outlineLevel="0" collapsed="false">
      <c r="A54" s="132" t="n">
        <v>300927</v>
      </c>
      <c r="B54" s="132" t="s">
        <v>275</v>
      </c>
      <c r="C54" s="132" t="s">
        <v>81</v>
      </c>
      <c r="D54" s="132" t="s">
        <v>392</v>
      </c>
      <c r="E54" s="132" t="s">
        <v>47</v>
      </c>
      <c r="F54" s="136" t="n">
        <f aca="false">H54-I54</f>
        <v>399</v>
      </c>
      <c r="G54" s="132" t="s">
        <v>335</v>
      </c>
      <c r="H54" s="136" t="n">
        <v>399</v>
      </c>
      <c r="I54" s="136" t="n">
        <f aca="false">VLOOKUP(A54,[1]Accesorios!$D$1:$I$1048576,6,FALSE())</f>
        <v>0</v>
      </c>
      <c r="J54" s="47"/>
    </row>
    <row r="55" customFormat="false" ht="14.25" hidden="false" customHeight="false" outlineLevel="0" collapsed="false">
      <c r="A55" s="132" t="n">
        <v>300974</v>
      </c>
      <c r="B55" s="132" t="s">
        <v>275</v>
      </c>
      <c r="C55" s="132" t="s">
        <v>81</v>
      </c>
      <c r="D55" s="132" t="s">
        <v>393</v>
      </c>
      <c r="E55" s="132" t="s">
        <v>47</v>
      </c>
      <c r="F55" s="136" t="n">
        <f aca="false">H55-I55</f>
        <v>891.45</v>
      </c>
      <c r="G55" s="132" t="s">
        <v>335</v>
      </c>
      <c r="H55" s="136" t="n">
        <v>891.45</v>
      </c>
      <c r="I55" s="136" t="n">
        <f aca="false">VLOOKUP(A55,[1]Accesorios!$D$1:$I$1048576,6,FALSE())</f>
        <v>0</v>
      </c>
      <c r="J55" s="47"/>
    </row>
    <row r="56" customFormat="false" ht="14.25" hidden="false" customHeight="false" outlineLevel="0" collapsed="false">
      <c r="A56" s="141" t="n">
        <v>300984</v>
      </c>
      <c r="B56" s="141" t="s">
        <v>275</v>
      </c>
      <c r="C56" s="141" t="s">
        <v>84</v>
      </c>
      <c r="D56" s="141" t="s">
        <v>394</v>
      </c>
      <c r="E56" s="141" t="s">
        <v>47</v>
      </c>
      <c r="F56" s="142" t="n">
        <v>315</v>
      </c>
      <c r="G56" s="141" t="s">
        <v>335</v>
      </c>
      <c r="H56" s="142" t="n">
        <v>457.422</v>
      </c>
      <c r="I56" s="142" t="n">
        <f aca="false">VLOOKUP(A56,[1]Accesorios!$D$1:$I$1048576,6,FALSE())</f>
        <v>90</v>
      </c>
      <c r="J56" s="47"/>
    </row>
    <row r="57" customFormat="false" ht="14.25" hidden="false" customHeight="false" outlineLevel="0" collapsed="false">
      <c r="A57" s="132" t="n">
        <v>300985</v>
      </c>
      <c r="B57" s="132" t="s">
        <v>275</v>
      </c>
      <c r="C57" s="132" t="s">
        <v>84</v>
      </c>
      <c r="D57" s="132" t="s">
        <v>395</v>
      </c>
      <c r="E57" s="132" t="s">
        <v>47</v>
      </c>
      <c r="F57" s="136" t="n">
        <f aca="false">H57-I57</f>
        <v>483.778</v>
      </c>
      <c r="G57" s="132" t="s">
        <v>335</v>
      </c>
      <c r="H57" s="136" t="n">
        <v>533.778</v>
      </c>
      <c r="I57" s="136" t="n">
        <f aca="false">VLOOKUP(A57,[1]Accesorios!$D$1:$I$1048576,6,FALSE())</f>
        <v>50</v>
      </c>
      <c r="J57" s="47"/>
    </row>
    <row r="58" customFormat="false" ht="14.25" hidden="false" customHeight="false" outlineLevel="0" collapsed="false">
      <c r="A58" s="132" t="n">
        <v>300986</v>
      </c>
      <c r="B58" s="132" t="s">
        <v>396</v>
      </c>
      <c r="C58" s="132" t="s">
        <v>397</v>
      </c>
      <c r="D58" s="132" t="s">
        <v>398</v>
      </c>
      <c r="E58" s="132" t="s">
        <v>47</v>
      </c>
      <c r="F58" s="136" t="n">
        <f aca="false">H58-I58</f>
        <v>91.98</v>
      </c>
      <c r="G58" s="132" t="s">
        <v>335</v>
      </c>
      <c r="H58" s="136" t="n">
        <v>91.98</v>
      </c>
      <c r="I58" s="136" t="n">
        <f aca="false">VLOOKUP(A58,[1]Accesorios!$D$1:$I$1048576,6,FALSE())</f>
        <v>0</v>
      </c>
      <c r="J58" s="47"/>
    </row>
    <row r="59" customFormat="false" ht="14.25" hidden="false" customHeight="false" outlineLevel="0" collapsed="false">
      <c r="A59" s="132" t="n">
        <v>300988</v>
      </c>
      <c r="B59" s="132" t="s">
        <v>76</v>
      </c>
      <c r="C59" s="138" t="s">
        <v>399</v>
      </c>
      <c r="D59" s="132" t="s">
        <v>400</v>
      </c>
      <c r="E59" s="132" t="s">
        <v>47</v>
      </c>
      <c r="F59" s="136" t="n">
        <f aca="false">H59-I59</f>
        <v>248.64</v>
      </c>
      <c r="G59" s="132" t="s">
        <v>335</v>
      </c>
      <c r="H59" s="136" t="n">
        <v>248.64</v>
      </c>
      <c r="I59" s="136" t="n">
        <f aca="false">VLOOKUP(A59,[1]Accesorios!$D$1:$I$1048576,6,FALSE())</f>
        <v>0</v>
      </c>
      <c r="J59" s="47"/>
    </row>
    <row r="60" customFormat="false" ht="14.25" hidden="false" customHeight="false" outlineLevel="0" collapsed="false">
      <c r="A60" s="132" t="n">
        <v>300994</v>
      </c>
      <c r="B60" s="132" t="s">
        <v>76</v>
      </c>
      <c r="C60" s="138" t="s">
        <v>84</v>
      </c>
      <c r="D60" s="132" t="s">
        <v>401</v>
      </c>
      <c r="E60" s="132" t="s">
        <v>47</v>
      </c>
      <c r="F60" s="136" t="n">
        <f aca="false">H60-I60</f>
        <v>252.4</v>
      </c>
      <c r="G60" s="132" t="s">
        <v>335</v>
      </c>
      <c r="H60" s="136" t="n">
        <v>294</v>
      </c>
      <c r="I60" s="136" t="n">
        <f aca="false">VLOOKUP(A60,[1]Accesorios!$D$1:$I$1048576,6,FALSE())</f>
        <v>41.6</v>
      </c>
      <c r="J60" s="47"/>
    </row>
    <row r="61" customFormat="false" ht="14.25" hidden="false" customHeight="false" outlineLevel="0" collapsed="false">
      <c r="A61" s="132" t="n">
        <v>300977</v>
      </c>
      <c r="B61" s="132" t="s">
        <v>275</v>
      </c>
      <c r="C61" s="132" t="s">
        <v>91</v>
      </c>
      <c r="D61" s="132" t="s">
        <v>402</v>
      </c>
      <c r="E61" s="132" t="s">
        <v>47</v>
      </c>
      <c r="F61" s="136" t="n">
        <f aca="false">H61-I61</f>
        <v>624.75</v>
      </c>
      <c r="G61" s="132" t="s">
        <v>335</v>
      </c>
      <c r="H61" s="136" t="n">
        <v>624.75</v>
      </c>
      <c r="I61" s="136" t="n">
        <f aca="false">VLOOKUP(A61,[1]Accesorios!$D$1:$I$1048576,6,FALSE())</f>
        <v>0</v>
      </c>
      <c r="J61" s="47"/>
    </row>
    <row r="62" customFormat="false" ht="14.25" hidden="false" customHeight="false" outlineLevel="0" collapsed="false">
      <c r="A62" s="132" t="n">
        <v>300992</v>
      </c>
      <c r="B62" s="132" t="s">
        <v>403</v>
      </c>
      <c r="C62" s="132" t="s">
        <v>91</v>
      </c>
      <c r="D62" s="132" t="s">
        <v>404</v>
      </c>
      <c r="E62" s="132" t="s">
        <v>47</v>
      </c>
      <c r="F62" s="136" t="n">
        <f aca="false">H62-I62</f>
        <v>225.75</v>
      </c>
      <c r="G62" s="132" t="s">
        <v>335</v>
      </c>
      <c r="H62" s="136" t="n">
        <v>225.75</v>
      </c>
      <c r="I62" s="136" t="n">
        <f aca="false">VLOOKUP(A62,[1]Accesorios!$D$1:$I$1048576,6,FALSE())</f>
        <v>0</v>
      </c>
      <c r="J62" s="47"/>
    </row>
    <row r="63" customFormat="false" ht="14.25" hidden="false" customHeight="false" outlineLevel="0" collapsed="false">
      <c r="A63" s="132" t="n">
        <v>300995</v>
      </c>
      <c r="B63" s="132" t="s">
        <v>405</v>
      </c>
      <c r="C63" s="132" t="s">
        <v>406</v>
      </c>
      <c r="D63" s="132" t="s">
        <v>407</v>
      </c>
      <c r="E63" s="132" t="s">
        <v>47</v>
      </c>
      <c r="F63" s="136" t="n">
        <f aca="false">H63-I63</f>
        <v>328.9335</v>
      </c>
      <c r="G63" s="132" t="s">
        <v>335</v>
      </c>
      <c r="H63" s="136" t="n">
        <v>328.9335</v>
      </c>
      <c r="I63" s="136" t="n">
        <f aca="false">VLOOKUP(A63,[1]Accesorios!$D$1:$I$1048576,6,FALSE())</f>
        <v>0</v>
      </c>
      <c r="J63" s="47"/>
    </row>
    <row r="64" customFormat="false" ht="14.25" hidden="false" customHeight="false" outlineLevel="0" collapsed="false">
      <c r="A64" s="132" t="n">
        <v>300996</v>
      </c>
      <c r="B64" s="132" t="s">
        <v>396</v>
      </c>
      <c r="C64" s="132" t="s">
        <v>408</v>
      </c>
      <c r="D64" s="132" t="s">
        <v>409</v>
      </c>
      <c r="E64" s="132" t="s">
        <v>47</v>
      </c>
      <c r="F64" s="136" t="n">
        <f aca="false">H64-I64</f>
        <v>42.945</v>
      </c>
      <c r="G64" s="132" t="s">
        <v>335</v>
      </c>
      <c r="H64" s="136" t="n">
        <v>42.945</v>
      </c>
      <c r="I64" s="136" t="n">
        <f aca="false">VLOOKUP(A64,[1]Accesorios!$D$1:$I$1048576,6,FALSE())</f>
        <v>0</v>
      </c>
      <c r="J64" s="47"/>
    </row>
    <row r="65" customFormat="false" ht="14.25" hidden="false" customHeight="false" outlineLevel="0" collapsed="false">
      <c r="A65" s="132" t="n">
        <v>301034</v>
      </c>
      <c r="B65" s="132" t="s">
        <v>76</v>
      </c>
      <c r="C65" s="138" t="s">
        <v>410</v>
      </c>
      <c r="D65" s="132" t="s">
        <v>411</v>
      </c>
      <c r="E65" s="132" t="s">
        <v>47</v>
      </c>
      <c r="F65" s="136" t="n">
        <f aca="false">H65-I65</f>
        <v>169.9305</v>
      </c>
      <c r="G65" s="132" t="s">
        <v>335</v>
      </c>
      <c r="H65" s="136" t="n">
        <v>199.9305</v>
      </c>
      <c r="I65" s="136" t="n">
        <f aca="false">VLOOKUP(A65,[1]Accesorios!$D$1:$I$1048576,6,FALSE())</f>
        <v>30</v>
      </c>
      <c r="J65" s="47"/>
    </row>
    <row r="66" customFormat="false" ht="14.25" hidden="false" customHeight="false" outlineLevel="0" collapsed="false">
      <c r="A66" s="132" t="n">
        <v>301035</v>
      </c>
      <c r="B66" s="132" t="s">
        <v>389</v>
      </c>
      <c r="C66" s="132" t="s">
        <v>410</v>
      </c>
      <c r="D66" s="132" t="s">
        <v>412</v>
      </c>
      <c r="E66" s="132" t="s">
        <v>47</v>
      </c>
      <c r="F66" s="136" t="n">
        <f aca="false">H66-I66</f>
        <v>53.9475</v>
      </c>
      <c r="G66" s="132" t="s">
        <v>335</v>
      </c>
      <c r="H66" s="136" t="n">
        <v>83.9475</v>
      </c>
      <c r="I66" s="136" t="n">
        <f aca="false">VLOOKUP(A66,[1]Accesorios!$D$1:$I$1048576,6,FALSE())</f>
        <v>30</v>
      </c>
      <c r="J66" s="47"/>
    </row>
    <row r="67" customFormat="false" ht="14.25" hidden="false" customHeight="false" outlineLevel="0" collapsed="false">
      <c r="A67" s="132" t="n">
        <v>301026</v>
      </c>
      <c r="B67" s="132" t="s">
        <v>76</v>
      </c>
      <c r="C67" s="138" t="s">
        <v>163</v>
      </c>
      <c r="D67" s="132" t="s">
        <v>413</v>
      </c>
      <c r="E67" s="132" t="s">
        <v>47</v>
      </c>
      <c r="F67" s="136" t="n">
        <f aca="false">H67-I67</f>
        <v>921.963</v>
      </c>
      <c r="G67" s="132" t="s">
        <v>335</v>
      </c>
      <c r="H67" s="136" t="n">
        <v>921.963</v>
      </c>
      <c r="I67" s="136" t="n">
        <f aca="false">VLOOKUP(A67,[1]Accesorios!$D$1:$I$1048576,6,FALSE())</f>
        <v>0</v>
      </c>
      <c r="J67" s="47"/>
    </row>
    <row r="68" customFormat="false" ht="14.25" hidden="false" customHeight="false" outlineLevel="0" collapsed="false">
      <c r="A68" s="132" t="n">
        <v>300716</v>
      </c>
      <c r="B68" s="132" t="s">
        <v>414</v>
      </c>
      <c r="C68" s="132" t="s">
        <v>99</v>
      </c>
      <c r="D68" s="132" t="s">
        <v>415</v>
      </c>
      <c r="E68" s="132" t="s">
        <v>47</v>
      </c>
      <c r="F68" s="136" t="n">
        <f aca="false">H68-I68</f>
        <v>122.871</v>
      </c>
      <c r="G68" s="132" t="s">
        <v>335</v>
      </c>
      <c r="H68" s="136" t="n">
        <v>122.871</v>
      </c>
      <c r="I68" s="136" t="n">
        <f aca="false">VLOOKUP(A68,[1]Accesorios!$D$1:$I$1048576,6,FALSE())</f>
        <v>0</v>
      </c>
      <c r="J68" s="47"/>
    </row>
    <row r="69" customFormat="false" ht="14.25" hidden="false" customHeight="false" outlineLevel="0" collapsed="false">
      <c r="A69" s="143" t="n">
        <v>301063</v>
      </c>
      <c r="B69" s="143" t="s">
        <v>416</v>
      </c>
      <c r="C69" s="143" t="s">
        <v>109</v>
      </c>
      <c r="D69" s="143" t="s">
        <v>148</v>
      </c>
      <c r="E69" s="143" t="s">
        <v>47</v>
      </c>
      <c r="F69" s="144" t="n">
        <f aca="false">H69-I69</f>
        <v>693.4725</v>
      </c>
      <c r="G69" s="143" t="s">
        <v>335</v>
      </c>
      <c r="H69" s="144" t="n">
        <v>693.4725</v>
      </c>
      <c r="I69" s="144" t="n">
        <f aca="false">VLOOKUP(A69,[1]Accesorios!$D$1:$I$1048576,6,FALSE())</f>
        <v>0</v>
      </c>
      <c r="J69" s="47"/>
    </row>
    <row r="70" customFormat="false" ht="14.25" hidden="false" customHeight="false" outlineLevel="0" collapsed="false">
      <c r="A70" s="132" t="n">
        <v>301064</v>
      </c>
      <c r="B70" s="132" t="s">
        <v>416</v>
      </c>
      <c r="C70" s="132" t="s">
        <v>109</v>
      </c>
      <c r="D70" s="132" t="s">
        <v>417</v>
      </c>
      <c r="E70" s="132" t="s">
        <v>47</v>
      </c>
      <c r="F70" s="136" t="n">
        <f aca="false">H70-I70</f>
        <v>977.6655</v>
      </c>
      <c r="G70" s="132" t="s">
        <v>335</v>
      </c>
      <c r="H70" s="136" t="n">
        <v>977.6655</v>
      </c>
      <c r="I70" s="136" t="n">
        <f aca="false">VLOOKUP(A70,[1]Accesorios!$D$1:$I$1048576,6,FALSE())</f>
        <v>0</v>
      </c>
      <c r="J70" s="47"/>
    </row>
    <row r="71" customFormat="false" ht="14.25" hidden="false" customHeight="false" outlineLevel="0" collapsed="false">
      <c r="A71" s="132" t="n">
        <v>301053</v>
      </c>
      <c r="B71" s="132" t="s">
        <v>418</v>
      </c>
      <c r="C71" s="132" t="s">
        <v>84</v>
      </c>
      <c r="D71" s="132" t="s">
        <v>419</v>
      </c>
      <c r="E71" s="132" t="s">
        <v>47</v>
      </c>
      <c r="F71" s="136" t="n">
        <f aca="false">H71-I71</f>
        <v>261.435</v>
      </c>
      <c r="G71" s="132" t="s">
        <v>335</v>
      </c>
      <c r="H71" s="136" t="n">
        <v>351.435</v>
      </c>
      <c r="I71" s="136" t="n">
        <f aca="false">VLOOKUP(A71,[1]Accesorios!$D$1:$I$1048576,6,FALSE())</f>
        <v>90</v>
      </c>
      <c r="J71" s="47"/>
    </row>
    <row r="72" customFormat="false" ht="14.25" hidden="false" customHeight="false" outlineLevel="0" collapsed="false">
      <c r="A72" s="132" t="n">
        <v>301045</v>
      </c>
      <c r="B72" s="132" t="s">
        <v>275</v>
      </c>
      <c r="C72" s="132" t="s">
        <v>81</v>
      </c>
      <c r="D72" s="132" t="s">
        <v>420</v>
      </c>
      <c r="E72" s="132" t="s">
        <v>47</v>
      </c>
      <c r="F72" s="136" t="n">
        <f aca="false">H72-I72</f>
        <v>891.45</v>
      </c>
      <c r="G72" s="132" t="s">
        <v>335</v>
      </c>
      <c r="H72" s="136" t="n">
        <v>891.45</v>
      </c>
      <c r="I72" s="136" t="n">
        <f aca="false">VLOOKUP(A72,[1]Accesorios!$D$1:$I$1048576,6,FALSE())</f>
        <v>0</v>
      </c>
      <c r="J72" s="47"/>
    </row>
    <row r="73" customFormat="false" ht="14.25" hidden="false" customHeight="false" outlineLevel="0" collapsed="false">
      <c r="A73" s="39" t="n">
        <v>301067</v>
      </c>
      <c r="B73" s="39" t="s">
        <v>123</v>
      </c>
      <c r="C73" s="89" t="s">
        <v>91</v>
      </c>
      <c r="D73" s="89" t="s">
        <v>140</v>
      </c>
      <c r="E73" s="132" t="s">
        <v>47</v>
      </c>
      <c r="F73" s="136" t="n">
        <f aca="false">H73-I73</f>
        <v>716.3435</v>
      </c>
      <c r="G73" s="132" t="s">
        <v>335</v>
      </c>
      <c r="H73" s="136" t="n">
        <v>816.3435</v>
      </c>
      <c r="I73" s="136" t="n">
        <f aca="false">VLOOKUP(A73,[1]Accesorios!$D$1:$I$1048576,6,FALSE())</f>
        <v>100</v>
      </c>
      <c r="J73" s="47"/>
    </row>
    <row r="74" customFormat="false" ht="14.25" hidden="false" customHeight="false" outlineLevel="0" collapsed="false">
      <c r="A74" s="39" t="n">
        <v>301066</v>
      </c>
      <c r="B74" s="39" t="s">
        <v>421</v>
      </c>
      <c r="C74" s="39" t="s">
        <v>91</v>
      </c>
      <c r="D74" s="39" t="s">
        <v>422</v>
      </c>
      <c r="E74" s="132" t="s">
        <v>47</v>
      </c>
      <c r="F74" s="136" t="n">
        <f aca="false">H74-I74</f>
        <v>1085.1455</v>
      </c>
      <c r="G74" s="132" t="s">
        <v>335</v>
      </c>
      <c r="H74" s="136" t="n">
        <v>1185.1455</v>
      </c>
      <c r="I74" s="136" t="n">
        <f aca="false">VLOOKUP(A74,[1]Accesorios!$D$1:$I$1048576,6,FALSE())</f>
        <v>100</v>
      </c>
      <c r="J74" s="47"/>
    </row>
    <row r="75" customFormat="false" ht="14.25" hidden="false" customHeight="false" outlineLevel="0" collapsed="false">
      <c r="A75" s="39" t="n">
        <v>300612</v>
      </c>
      <c r="B75" s="39" t="s">
        <v>423</v>
      </c>
      <c r="C75" s="39" t="s">
        <v>324</v>
      </c>
      <c r="D75" s="39" t="s">
        <v>424</v>
      </c>
      <c r="E75" s="132" t="s">
        <v>47</v>
      </c>
      <c r="F75" s="136" t="n">
        <f aca="false">H75-I75</f>
        <v>52.3635</v>
      </c>
      <c r="G75" s="132" t="s">
        <v>376</v>
      </c>
      <c r="H75" s="136" t="n">
        <v>52.3635</v>
      </c>
      <c r="I75" s="136" t="n">
        <f aca="false">VLOOKUP(A75,[1]Accesorios!$D$1:$I$1048576,6,FALSE())</f>
        <v>0</v>
      </c>
      <c r="J75" s="47"/>
    </row>
    <row r="76" customFormat="false" ht="14.25" hidden="false" customHeight="false" outlineLevel="0" collapsed="false">
      <c r="A76" s="39" t="n">
        <v>300611</v>
      </c>
      <c r="B76" s="39" t="s">
        <v>425</v>
      </c>
      <c r="C76" s="39" t="s">
        <v>91</v>
      </c>
      <c r="D76" s="39" t="s">
        <v>426</v>
      </c>
      <c r="E76" s="132" t="s">
        <v>47</v>
      </c>
      <c r="F76" s="136" t="n">
        <f aca="false">H76-I76</f>
        <v>58.443</v>
      </c>
      <c r="G76" s="132" t="s">
        <v>376</v>
      </c>
      <c r="H76" s="136" t="n">
        <v>58.443</v>
      </c>
      <c r="I76" s="136" t="n">
        <f aca="false">VLOOKUP(A76,[1]Accesorios!$D$1:$I$1048576,6,FALSE())</f>
        <v>0</v>
      </c>
      <c r="J76" s="47"/>
    </row>
    <row r="77" customFormat="false" ht="14.25" hidden="false" customHeight="false" outlineLevel="0" collapsed="false">
      <c r="A77" s="39" t="n">
        <v>300729</v>
      </c>
      <c r="B77" s="39" t="s">
        <v>427</v>
      </c>
      <c r="C77" s="39" t="s">
        <v>178</v>
      </c>
      <c r="D77" s="39" t="s">
        <v>428</v>
      </c>
      <c r="E77" s="132" t="s">
        <v>47</v>
      </c>
      <c r="F77" s="136" t="n">
        <f aca="false">H77-I77</f>
        <v>32.4435</v>
      </c>
      <c r="G77" s="132" t="s">
        <v>376</v>
      </c>
      <c r="H77" s="136" t="n">
        <v>41.4435</v>
      </c>
      <c r="I77" s="136" t="n">
        <f aca="false">VLOOKUP(A77,[1]Accesorios!$D$1:$I$1048576,6,FALSE())</f>
        <v>9</v>
      </c>
      <c r="J77" s="47"/>
    </row>
    <row r="78" customFormat="false" ht="14.25" hidden="false" customHeight="false" outlineLevel="0" collapsed="false">
      <c r="A78" s="39" t="n">
        <v>327656</v>
      </c>
      <c r="B78" s="39" t="s">
        <v>334</v>
      </c>
      <c r="C78" s="39" t="s">
        <v>55</v>
      </c>
      <c r="D78" s="39" t="s">
        <v>429</v>
      </c>
      <c r="E78" s="132" t="s">
        <v>47</v>
      </c>
      <c r="F78" s="136" t="n">
        <f aca="false">H78-I78</f>
        <v>51.324</v>
      </c>
      <c r="G78" s="132" t="s">
        <v>376</v>
      </c>
      <c r="H78" s="136" t="n">
        <v>51.324</v>
      </c>
      <c r="I78" s="136" t="n">
        <f aca="false">VLOOKUP(A78,[1]Accesorios!$D$1:$I$1048576,6,FALSE())</f>
        <v>0</v>
      </c>
      <c r="J78" s="47"/>
    </row>
    <row r="79" customFormat="false" ht="14.25" hidden="false" customHeight="false" outlineLevel="0" collapsed="false">
      <c r="A79" s="39" t="n">
        <v>327953</v>
      </c>
      <c r="B79" s="39" t="s">
        <v>334</v>
      </c>
      <c r="C79" s="39" t="s">
        <v>55</v>
      </c>
      <c r="D79" s="39" t="s">
        <v>430</v>
      </c>
      <c r="E79" s="132" t="s">
        <v>47</v>
      </c>
      <c r="F79" s="136" t="n">
        <f aca="false">H79-I79</f>
        <v>68.8485</v>
      </c>
      <c r="G79" s="132" t="s">
        <v>376</v>
      </c>
      <c r="H79" s="136" t="n">
        <v>68.8485</v>
      </c>
      <c r="I79" s="136" t="n">
        <f aca="false">VLOOKUP(A79,[1]Accesorios!$D$1:$I$1048576,6,FALSE())</f>
        <v>0</v>
      </c>
      <c r="J79" s="47"/>
    </row>
    <row r="80" customFormat="false" ht="14.25" hidden="false" customHeight="false" outlineLevel="0" collapsed="false">
      <c r="A80" s="39" t="n">
        <v>328158</v>
      </c>
      <c r="B80" s="39" t="s">
        <v>334</v>
      </c>
      <c r="C80" s="39" t="s">
        <v>55</v>
      </c>
      <c r="D80" s="39" t="s">
        <v>431</v>
      </c>
      <c r="E80" s="132" t="s">
        <v>47</v>
      </c>
      <c r="F80" s="136" t="n">
        <f aca="false">H80-I80</f>
        <v>29.3895</v>
      </c>
      <c r="G80" s="132" t="s">
        <v>376</v>
      </c>
      <c r="H80" s="136" t="n">
        <v>29.3895</v>
      </c>
      <c r="I80" s="136" t="n">
        <f aca="false">VLOOKUP(A80,[1]Accesorios!$D$1:$I$1048576,6,FALSE())</f>
        <v>0</v>
      </c>
      <c r="J80" s="47"/>
    </row>
    <row r="81" customFormat="false" ht="14.25" hidden="false" customHeight="false" outlineLevel="0" collapsed="false">
      <c r="A81" s="39" t="n">
        <v>328159</v>
      </c>
      <c r="B81" s="39" t="s">
        <v>334</v>
      </c>
      <c r="C81" s="39" t="s">
        <v>55</v>
      </c>
      <c r="D81" s="39" t="s">
        <v>432</v>
      </c>
      <c r="E81" s="132" t="s">
        <v>47</v>
      </c>
      <c r="F81" s="136" t="n">
        <f aca="false">H81-I81</f>
        <v>18.858</v>
      </c>
      <c r="G81" s="132" t="s">
        <v>376</v>
      </c>
      <c r="H81" s="136" t="n">
        <v>18.858</v>
      </c>
      <c r="I81" s="136" t="n">
        <f aca="false">VLOOKUP(A81,[1]Accesorios!$D$1:$I$1048576,6,FALSE())</f>
        <v>0</v>
      </c>
      <c r="J81" s="47"/>
    </row>
    <row r="82" customFormat="false" ht="14.25" hidden="false" customHeight="false" outlineLevel="0" collapsed="false">
      <c r="A82" s="39" t="n">
        <v>328421</v>
      </c>
      <c r="B82" s="39" t="s">
        <v>334</v>
      </c>
      <c r="C82" s="39" t="s">
        <v>55</v>
      </c>
      <c r="D82" s="39" t="s">
        <v>433</v>
      </c>
      <c r="E82" s="132" t="s">
        <v>47</v>
      </c>
      <c r="F82" s="136" t="n">
        <f aca="false">H82-I82</f>
        <v>93.45</v>
      </c>
      <c r="G82" s="132" t="s">
        <v>376</v>
      </c>
      <c r="H82" s="136" t="n">
        <v>93.45</v>
      </c>
      <c r="I82" s="136" t="n">
        <f aca="false">VLOOKUP(A82,[1]Accesorios!$D$1:$I$1048576,6,FALSE())</f>
        <v>0</v>
      </c>
      <c r="J82" s="47"/>
    </row>
    <row r="83" customFormat="false" ht="14.25" hidden="false" customHeight="false" outlineLevel="0" collapsed="false">
      <c r="A83" s="39" t="n">
        <v>327880</v>
      </c>
      <c r="B83" s="39" t="s">
        <v>334</v>
      </c>
      <c r="C83" s="39" t="s">
        <v>55</v>
      </c>
      <c r="D83" s="39" t="s">
        <v>434</v>
      </c>
      <c r="E83" s="132" t="s">
        <v>47</v>
      </c>
      <c r="F83" s="136" t="n">
        <f aca="false">H83-I83</f>
        <v>120.9075</v>
      </c>
      <c r="G83" s="132" t="s">
        <v>376</v>
      </c>
      <c r="H83" s="136" t="n">
        <v>120.9075</v>
      </c>
      <c r="I83" s="136" t="n">
        <f aca="false">VLOOKUP(A83,[1]Accesorios!$D$1:$I$1048576,6,FALSE())</f>
        <v>0</v>
      </c>
      <c r="J83" s="47"/>
    </row>
    <row r="84" customFormat="false" ht="14.25" hidden="false" customHeight="false" outlineLevel="0" collapsed="false">
      <c r="A84" s="39" t="n">
        <v>328004</v>
      </c>
      <c r="B84" s="39" t="s">
        <v>435</v>
      </c>
      <c r="C84" s="39" t="s">
        <v>55</v>
      </c>
      <c r="D84" s="39" t="s">
        <v>436</v>
      </c>
      <c r="E84" s="132" t="s">
        <v>47</v>
      </c>
      <c r="F84" s="136" t="n">
        <f aca="false">H84-I84</f>
        <v>75.852</v>
      </c>
      <c r="G84" s="132" t="s">
        <v>376</v>
      </c>
      <c r="H84" s="136" t="n">
        <v>75.852</v>
      </c>
      <c r="I84" s="136" t="n">
        <f aca="false">VLOOKUP(A84,[1]Accesorios!$D$1:$I$1048576,6,FALSE())</f>
        <v>0</v>
      </c>
      <c r="J84" s="47"/>
    </row>
    <row r="85" customFormat="false" ht="14.25" hidden="false" customHeight="false" outlineLevel="0" collapsed="false">
      <c r="A85" s="39" t="n">
        <v>328161</v>
      </c>
      <c r="B85" s="39" t="s">
        <v>334</v>
      </c>
      <c r="C85" s="39" t="s">
        <v>55</v>
      </c>
      <c r="D85" s="39" t="s">
        <v>437</v>
      </c>
      <c r="E85" s="132" t="s">
        <v>47</v>
      </c>
      <c r="F85" s="136" t="n">
        <f aca="false">H85-I85</f>
        <v>144.5115</v>
      </c>
      <c r="G85" s="132" t="s">
        <v>376</v>
      </c>
      <c r="H85" s="136" t="n">
        <v>144.5115</v>
      </c>
      <c r="I85" s="136" t="n">
        <f aca="false">VLOOKUP(A85,[1]Accesorios!$D$1:$I$1048576,6,FALSE())</f>
        <v>0</v>
      </c>
      <c r="J85" s="47"/>
    </row>
    <row r="86" customFormat="false" ht="14.25" hidden="false" customHeight="false" outlineLevel="0" collapsed="false">
      <c r="A86" s="39" t="n">
        <v>380421</v>
      </c>
      <c r="B86" s="39" t="s">
        <v>438</v>
      </c>
      <c r="C86" s="39" t="s">
        <v>439</v>
      </c>
      <c r="D86" s="39" t="s">
        <v>440</v>
      </c>
      <c r="E86" s="132" t="s">
        <v>47</v>
      </c>
      <c r="F86" s="136" t="n">
        <f aca="false">H86-I86</f>
        <v>2.751</v>
      </c>
      <c r="G86" s="132" t="s">
        <v>376</v>
      </c>
      <c r="H86" s="136" t="n">
        <v>2.751</v>
      </c>
      <c r="I86" s="136" t="n">
        <f aca="false">VLOOKUP(A86,[1]Accesorios!$D$1:$I$1048576,6,FALSE())</f>
        <v>0</v>
      </c>
      <c r="J86" s="47"/>
    </row>
    <row r="87" customFormat="false" ht="14.25" hidden="false" customHeight="false" outlineLevel="0" collapsed="false">
      <c r="A87" s="39" t="n">
        <v>380419</v>
      </c>
      <c r="B87" s="39" t="s">
        <v>438</v>
      </c>
      <c r="C87" s="39" t="s">
        <v>441</v>
      </c>
      <c r="D87" s="39" t="s">
        <v>442</v>
      </c>
      <c r="E87" s="132" t="s">
        <v>47</v>
      </c>
      <c r="F87" s="136" t="n">
        <f aca="false">H87-I87</f>
        <v>6.2265</v>
      </c>
      <c r="G87" s="132" t="s">
        <v>376</v>
      </c>
      <c r="H87" s="136" t="n">
        <v>6.2265</v>
      </c>
      <c r="I87" s="136" t="n">
        <f aca="false">VLOOKUP(A87,[1]Accesorios!$D$1:$I$1048576,6,FALSE())</f>
        <v>0</v>
      </c>
      <c r="J87" s="47"/>
    </row>
    <row r="88" customFormat="false" ht="14.25" hidden="false" customHeight="false" outlineLevel="0" collapsed="false">
      <c r="A88" s="39" t="n">
        <v>380490</v>
      </c>
      <c r="B88" s="39" t="s">
        <v>443</v>
      </c>
      <c r="C88" s="39" t="s">
        <v>42</v>
      </c>
      <c r="D88" s="39" t="s">
        <v>444</v>
      </c>
      <c r="E88" s="132" t="s">
        <v>47</v>
      </c>
      <c r="F88" s="136" t="n">
        <f aca="false">H88-I88</f>
        <v>25.7355</v>
      </c>
      <c r="G88" s="132" t="s">
        <v>376</v>
      </c>
      <c r="H88" s="136" t="n">
        <v>25.7355</v>
      </c>
      <c r="I88" s="136" t="n">
        <f aca="false">VLOOKUP(A88,[1]Accesorios!$D$1:$I$1048576,6,FALSE())</f>
        <v>0</v>
      </c>
      <c r="J88" s="47"/>
    </row>
    <row r="89" customFormat="false" ht="14.25" hidden="false" customHeight="false" outlineLevel="0" collapsed="false">
      <c r="A89" s="39" t="n">
        <v>380495</v>
      </c>
      <c r="B89" s="39" t="s">
        <v>443</v>
      </c>
      <c r="C89" s="39" t="s">
        <v>131</v>
      </c>
      <c r="D89" s="39" t="s">
        <v>445</v>
      </c>
      <c r="E89" s="132" t="s">
        <v>47</v>
      </c>
      <c r="F89" s="136" t="n">
        <f aca="false">H89-I89</f>
        <v>26.25</v>
      </c>
      <c r="G89" s="132" t="s">
        <v>376</v>
      </c>
      <c r="H89" s="136" t="n">
        <v>26.25</v>
      </c>
      <c r="I89" s="136" t="n">
        <f aca="false">VLOOKUP(A89,[1]Accesorios!$D$1:$I$1048576,6,FALSE())</f>
        <v>0</v>
      </c>
      <c r="J89" s="47"/>
    </row>
    <row r="90" customFormat="false" ht="14.25" hidden="false" customHeight="false" outlineLevel="0" collapsed="false">
      <c r="A90" s="39" t="n">
        <v>380436</v>
      </c>
      <c r="B90" s="39" t="s">
        <v>443</v>
      </c>
      <c r="C90" s="39" t="s">
        <v>35</v>
      </c>
      <c r="D90" s="39" t="s">
        <v>446</v>
      </c>
      <c r="E90" s="132" t="s">
        <v>47</v>
      </c>
      <c r="F90" s="136" t="n">
        <f aca="false">H90-I90</f>
        <v>31.6785</v>
      </c>
      <c r="G90" s="132" t="s">
        <v>376</v>
      </c>
      <c r="H90" s="136" t="n">
        <v>31.6785</v>
      </c>
      <c r="I90" s="136" t="n">
        <f aca="false">VLOOKUP(A90,[1]Accesorios!$D$1:$I$1048576,6,FALSE())</f>
        <v>0</v>
      </c>
      <c r="J90" s="47"/>
    </row>
    <row r="91" customFormat="false" ht="14.25" hidden="false" customHeight="false" outlineLevel="0" collapsed="false">
      <c r="A91" s="39" t="n">
        <v>380521</v>
      </c>
      <c r="B91" s="39" t="s">
        <v>447</v>
      </c>
      <c r="C91" s="39" t="s">
        <v>86</v>
      </c>
      <c r="D91" s="39" t="s">
        <v>448</v>
      </c>
      <c r="E91" s="132" t="s">
        <v>47</v>
      </c>
      <c r="F91" s="136" t="n">
        <f aca="false">H91-I91</f>
        <v>42.231</v>
      </c>
      <c r="G91" s="132" t="s">
        <v>376</v>
      </c>
      <c r="H91" s="136" t="n">
        <v>42.231</v>
      </c>
      <c r="I91" s="136" t="n">
        <f aca="false">VLOOKUP(A91,[1]Accesorios!$D$1:$I$1048576,6,FALSE())</f>
        <v>0</v>
      </c>
      <c r="J91" s="47"/>
    </row>
    <row r="92" customFormat="false" ht="14.25" hidden="false" customHeight="false" outlineLevel="0" collapsed="false">
      <c r="A92" s="39" t="n">
        <v>380432</v>
      </c>
      <c r="B92" s="39" t="s">
        <v>443</v>
      </c>
      <c r="C92" s="39" t="s">
        <v>131</v>
      </c>
      <c r="D92" s="39" t="s">
        <v>449</v>
      </c>
      <c r="E92" s="132" t="s">
        <v>47</v>
      </c>
      <c r="F92" s="136" t="n">
        <f aca="false">H92-I92</f>
        <v>37.653</v>
      </c>
      <c r="G92" s="132" t="s">
        <v>376</v>
      </c>
      <c r="H92" s="136" t="n">
        <v>37.653</v>
      </c>
      <c r="I92" s="136" t="n">
        <f aca="false">VLOOKUP(A92,[1]Accesorios!$D$1:$I$1048576,6,FALSE())</f>
        <v>0</v>
      </c>
      <c r="J92" s="47"/>
    </row>
    <row r="93" customFormat="false" ht="14.25" hidden="false" customHeight="false" outlineLevel="0" collapsed="false">
      <c r="A93" s="39" t="n">
        <v>380438</v>
      </c>
      <c r="B93" s="39" t="s">
        <v>450</v>
      </c>
      <c r="C93" s="39" t="s">
        <v>451</v>
      </c>
      <c r="D93" s="39" t="s">
        <v>452</v>
      </c>
      <c r="E93" s="132" t="s">
        <v>47</v>
      </c>
      <c r="F93" s="136" t="n">
        <f aca="false">H93-I93</f>
        <v>39.2595</v>
      </c>
      <c r="G93" s="132" t="s">
        <v>376</v>
      </c>
      <c r="H93" s="136" t="n">
        <v>39.2595</v>
      </c>
      <c r="I93" s="136" t="n">
        <f aca="false">VLOOKUP(A93,[1]Accesorios!$D$1:$I$1048576,6,FALSE())</f>
        <v>0</v>
      </c>
      <c r="J93" s="47"/>
    </row>
    <row r="94" customFormat="false" ht="14.25" hidden="false" customHeight="false" outlineLevel="0" collapsed="false">
      <c r="A94" s="39" t="n">
        <v>380504</v>
      </c>
      <c r="B94" s="39" t="s">
        <v>447</v>
      </c>
      <c r="C94" s="39" t="s">
        <v>324</v>
      </c>
      <c r="D94" s="39" t="s">
        <v>453</v>
      </c>
      <c r="E94" s="132" t="s">
        <v>47</v>
      </c>
      <c r="F94" s="136" t="n">
        <f aca="false">H94-I94</f>
        <v>42.693</v>
      </c>
      <c r="G94" s="132" t="s">
        <v>376</v>
      </c>
      <c r="H94" s="136" t="n">
        <v>42.693</v>
      </c>
      <c r="I94" s="136" t="n">
        <f aca="false">VLOOKUP(A94,[1]Accesorios!$D$1:$I$1048576,6,FALSE())</f>
        <v>0</v>
      </c>
      <c r="J94" s="47"/>
    </row>
    <row r="95" customFormat="false" ht="14.25" hidden="false" customHeight="false" outlineLevel="0" collapsed="false">
      <c r="A95" s="39" t="n">
        <v>380489</v>
      </c>
      <c r="B95" s="39" t="s">
        <v>447</v>
      </c>
      <c r="C95" s="39" t="s">
        <v>324</v>
      </c>
      <c r="D95" s="39" t="s">
        <v>454</v>
      </c>
      <c r="E95" s="132" t="s">
        <v>47</v>
      </c>
      <c r="F95" s="136" t="n">
        <f aca="false">H95-I95</f>
        <v>42.714</v>
      </c>
      <c r="G95" s="132" t="s">
        <v>376</v>
      </c>
      <c r="H95" s="136" t="n">
        <v>42.714</v>
      </c>
      <c r="I95" s="136" t="n">
        <f aca="false">VLOOKUP(A95,[1]Accesorios!$D$1:$I$1048576,6,FALSE())</f>
        <v>0</v>
      </c>
      <c r="J95" s="47"/>
    </row>
    <row r="96" customFormat="false" ht="14.25" hidden="false" customHeight="false" outlineLevel="0" collapsed="false">
      <c r="A96" s="39" t="n">
        <v>380502</v>
      </c>
      <c r="B96" s="39" t="s">
        <v>447</v>
      </c>
      <c r="C96" s="39" t="s">
        <v>455</v>
      </c>
      <c r="D96" s="39" t="s">
        <v>456</v>
      </c>
      <c r="E96" s="132" t="s">
        <v>47</v>
      </c>
      <c r="F96" s="136" t="n">
        <f aca="false">H96-I96</f>
        <v>43.05</v>
      </c>
      <c r="G96" s="132" t="s">
        <v>376</v>
      </c>
      <c r="H96" s="136" t="n">
        <v>43.05</v>
      </c>
      <c r="I96" s="136" t="n">
        <f aca="false">VLOOKUP(A96,[1]Accesorios!$D$1:$I$1048576,6,FALSE())</f>
        <v>0</v>
      </c>
      <c r="J96" s="47"/>
    </row>
    <row r="97" customFormat="false" ht="14.25" hidden="false" customHeight="false" outlineLevel="0" collapsed="false">
      <c r="A97" s="39" t="n">
        <v>380429</v>
      </c>
      <c r="B97" s="39" t="s">
        <v>447</v>
      </c>
      <c r="C97" s="39" t="s">
        <v>324</v>
      </c>
      <c r="D97" s="39" t="s">
        <v>457</v>
      </c>
      <c r="E97" s="132" t="s">
        <v>47</v>
      </c>
      <c r="F97" s="136" t="n">
        <f aca="false">H97-I97</f>
        <v>88.2</v>
      </c>
      <c r="G97" s="132" t="s">
        <v>376</v>
      </c>
      <c r="H97" s="136" t="n">
        <v>88.2</v>
      </c>
      <c r="I97" s="136" t="n">
        <f aca="false">VLOOKUP(A97,[1]Accesorios!$D$1:$I$1048576,6,FALSE())</f>
        <v>0</v>
      </c>
      <c r="J97" s="47"/>
    </row>
    <row r="98" customFormat="false" ht="14.25" hidden="false" customHeight="false" outlineLevel="0" collapsed="false">
      <c r="A98" s="39" t="n">
        <v>380497</v>
      </c>
      <c r="B98" s="39" t="s">
        <v>458</v>
      </c>
      <c r="C98" s="39" t="s">
        <v>451</v>
      </c>
      <c r="D98" s="39" t="s">
        <v>459</v>
      </c>
      <c r="E98" s="132" t="s">
        <v>47</v>
      </c>
      <c r="F98" s="136" t="n">
        <f aca="false">H98-I98</f>
        <v>47.859</v>
      </c>
      <c r="G98" s="132" t="s">
        <v>376</v>
      </c>
      <c r="H98" s="136" t="n">
        <v>47.859</v>
      </c>
      <c r="I98" s="136" t="n">
        <f aca="false">VLOOKUP(A98,[1]Accesorios!$D$1:$I$1048576,6,FALSE())</f>
        <v>0</v>
      </c>
      <c r="J98" s="47"/>
    </row>
    <row r="99" customFormat="false" ht="14.25" hidden="false" customHeight="false" outlineLevel="0" collapsed="false">
      <c r="A99" s="39" t="n">
        <v>380520</v>
      </c>
      <c r="B99" s="39" t="s">
        <v>447</v>
      </c>
      <c r="C99" s="39" t="s">
        <v>324</v>
      </c>
      <c r="D99" s="39" t="s">
        <v>460</v>
      </c>
      <c r="E99" s="132" t="s">
        <v>47</v>
      </c>
      <c r="F99" s="136" t="n">
        <f aca="false">H99-I99</f>
        <v>53.1405</v>
      </c>
      <c r="G99" s="132" t="s">
        <v>376</v>
      </c>
      <c r="H99" s="136" t="n">
        <v>53.1405</v>
      </c>
      <c r="I99" s="136" t="n">
        <f aca="false">VLOOKUP(A99,[1]Accesorios!$D$1:$I$1048576,6,FALSE())</f>
        <v>0</v>
      </c>
      <c r="J99" s="47"/>
    </row>
    <row r="100" customFormat="false" ht="14.25" hidden="false" customHeight="false" outlineLevel="0" collapsed="false">
      <c r="A100" s="39" t="n">
        <v>380527</v>
      </c>
      <c r="B100" s="39" t="s">
        <v>447</v>
      </c>
      <c r="C100" s="39" t="s">
        <v>324</v>
      </c>
      <c r="D100" s="39" t="s">
        <v>461</v>
      </c>
      <c r="E100" s="132" t="s">
        <v>47</v>
      </c>
      <c r="F100" s="136" t="n">
        <f aca="false">H100-I100</f>
        <v>49.266</v>
      </c>
      <c r="G100" s="132" t="s">
        <v>376</v>
      </c>
      <c r="H100" s="136" t="n">
        <v>49.266</v>
      </c>
      <c r="I100" s="136" t="n">
        <f aca="false">VLOOKUP(A100,[1]Accesorios!$D$1:$I$1048576,6,FALSE())</f>
        <v>0</v>
      </c>
      <c r="J100" s="47"/>
    </row>
    <row r="101" customFormat="false" ht="14.25" hidden="false" customHeight="false" outlineLevel="0" collapsed="false">
      <c r="A101" s="39" t="n">
        <v>380529</v>
      </c>
      <c r="B101" s="39" t="s">
        <v>447</v>
      </c>
      <c r="C101" s="39" t="s">
        <v>324</v>
      </c>
      <c r="D101" s="39" t="s">
        <v>462</v>
      </c>
      <c r="E101" s="132" t="s">
        <v>47</v>
      </c>
      <c r="F101" s="136" t="n">
        <f aca="false">H101-I101</f>
        <v>51.4185</v>
      </c>
      <c r="G101" s="132" t="s">
        <v>376</v>
      </c>
      <c r="H101" s="136" t="n">
        <v>51.4185</v>
      </c>
      <c r="I101" s="136" t="n">
        <f aca="false">VLOOKUP(A101,[1]Accesorios!$D$1:$I$1048576,6,FALSE())</f>
        <v>0</v>
      </c>
      <c r="J101" s="47"/>
    </row>
    <row r="102" customFormat="false" ht="14.25" hidden="false" customHeight="false" outlineLevel="0" collapsed="false">
      <c r="A102" s="39" t="n">
        <v>380532</v>
      </c>
      <c r="B102" s="39" t="s">
        <v>447</v>
      </c>
      <c r="C102" s="39" t="s">
        <v>324</v>
      </c>
      <c r="D102" s="39" t="s">
        <v>463</v>
      </c>
      <c r="E102" s="132" t="s">
        <v>47</v>
      </c>
      <c r="F102" s="136" t="n">
        <f aca="false">H102-I102</f>
        <v>56.028</v>
      </c>
      <c r="G102" s="132" t="s">
        <v>376</v>
      </c>
      <c r="H102" s="136" t="n">
        <v>56.028</v>
      </c>
      <c r="I102" s="136" t="n">
        <f aca="false">VLOOKUP(A102,[1]Accesorios!$D$1:$I$1048576,6,FALSE())</f>
        <v>0</v>
      </c>
      <c r="J102" s="47"/>
    </row>
    <row r="103" customFormat="false" ht="14.25" hidden="false" customHeight="false" outlineLevel="0" collapsed="false">
      <c r="A103" s="39" t="n">
        <v>380433</v>
      </c>
      <c r="B103" s="39" t="s">
        <v>464</v>
      </c>
      <c r="C103" s="39" t="s">
        <v>451</v>
      </c>
      <c r="D103" s="39" t="s">
        <v>465</v>
      </c>
      <c r="E103" s="132" t="s">
        <v>47</v>
      </c>
      <c r="F103" s="136" t="n">
        <f aca="false">H103-I103</f>
        <v>59.4195</v>
      </c>
      <c r="G103" s="132" t="s">
        <v>376</v>
      </c>
      <c r="H103" s="136" t="n">
        <v>59.4195</v>
      </c>
      <c r="I103" s="136" t="n">
        <f aca="false">VLOOKUP(A103,[1]Accesorios!$D$1:$I$1048576,6,FALSE())</f>
        <v>0</v>
      </c>
      <c r="J103" s="47"/>
    </row>
    <row r="104" customFormat="false" ht="14.25" hidden="false" customHeight="false" outlineLevel="0" collapsed="false">
      <c r="A104" s="39" t="n">
        <v>380483</v>
      </c>
      <c r="B104" s="39" t="s">
        <v>447</v>
      </c>
      <c r="C104" s="39" t="s">
        <v>86</v>
      </c>
      <c r="D104" s="39" t="s">
        <v>466</v>
      </c>
      <c r="E104" s="132" t="s">
        <v>47</v>
      </c>
      <c r="F104" s="136" t="n">
        <f aca="false">H104-I104</f>
        <v>60.1545</v>
      </c>
      <c r="G104" s="132" t="s">
        <v>376</v>
      </c>
      <c r="H104" s="136" t="n">
        <v>60.1545</v>
      </c>
      <c r="I104" s="136" t="n">
        <f aca="false">VLOOKUP(A104,[1]Accesorios!$D$1:$I$1048576,6,FALSE())</f>
        <v>0</v>
      </c>
      <c r="J104" s="47"/>
    </row>
    <row r="105" customFormat="false" ht="14.25" hidden="false" customHeight="false" outlineLevel="0" collapsed="false">
      <c r="A105" s="39" t="n">
        <v>380425</v>
      </c>
      <c r="B105" s="39" t="s">
        <v>467</v>
      </c>
      <c r="C105" s="39" t="s">
        <v>455</v>
      </c>
      <c r="D105" s="39" t="s">
        <v>468</v>
      </c>
      <c r="E105" s="132" t="s">
        <v>47</v>
      </c>
      <c r="F105" s="136" t="n">
        <f aca="false">H105-I105</f>
        <v>61.0785</v>
      </c>
      <c r="G105" s="132" t="s">
        <v>376</v>
      </c>
      <c r="H105" s="136" t="n">
        <v>61.0785</v>
      </c>
      <c r="I105" s="136" t="n">
        <f aca="false">VLOOKUP(A105,[1]Accesorios!$D$1:$I$1048576,6,FALSE())</f>
        <v>0</v>
      </c>
      <c r="J105" s="47"/>
    </row>
    <row r="106" customFormat="false" ht="14.25" hidden="false" customHeight="false" outlineLevel="0" collapsed="false">
      <c r="A106" s="39" t="n">
        <v>380499</v>
      </c>
      <c r="B106" s="39" t="s">
        <v>467</v>
      </c>
      <c r="C106" s="39" t="s">
        <v>455</v>
      </c>
      <c r="D106" s="39" t="s">
        <v>469</v>
      </c>
      <c r="E106" s="132" t="s">
        <v>47</v>
      </c>
      <c r="F106" s="136" t="n">
        <f aca="false">H106-I106</f>
        <v>61.866</v>
      </c>
      <c r="G106" s="132" t="s">
        <v>376</v>
      </c>
      <c r="H106" s="136" t="n">
        <v>61.866</v>
      </c>
      <c r="I106" s="136" t="n">
        <f aca="false">VLOOKUP(A106,[1]Accesorios!$D$1:$I$1048576,6,FALSE())</f>
        <v>0</v>
      </c>
      <c r="J106" s="47"/>
    </row>
    <row r="107" customFormat="false" ht="14.25" hidden="false" customHeight="false" outlineLevel="0" collapsed="false">
      <c r="A107" s="39" t="n">
        <v>380430</v>
      </c>
      <c r="B107" s="39" t="s">
        <v>470</v>
      </c>
      <c r="C107" s="39" t="s">
        <v>455</v>
      </c>
      <c r="D107" s="39" t="s">
        <v>471</v>
      </c>
      <c r="E107" s="132" t="s">
        <v>47</v>
      </c>
      <c r="F107" s="136" t="n">
        <f aca="false">H107-I107</f>
        <v>62.328</v>
      </c>
      <c r="G107" s="132" t="s">
        <v>376</v>
      </c>
      <c r="H107" s="136" t="n">
        <v>62.328</v>
      </c>
      <c r="I107" s="136" t="n">
        <f aca="false">VLOOKUP(A107,[1]Accesorios!$D$1:$I$1048576,6,FALSE())</f>
        <v>0</v>
      </c>
      <c r="J107" s="47"/>
    </row>
    <row r="108" customFormat="false" ht="14.25" hidden="false" customHeight="false" outlineLevel="0" collapsed="false">
      <c r="A108" s="39" t="n">
        <v>380530</v>
      </c>
      <c r="B108" s="39" t="s">
        <v>447</v>
      </c>
      <c r="C108" s="39" t="s">
        <v>86</v>
      </c>
      <c r="D108" s="39" t="s">
        <v>472</v>
      </c>
      <c r="E108" s="132" t="s">
        <v>47</v>
      </c>
      <c r="F108" s="136" t="n">
        <f aca="false">H108-I108</f>
        <v>63.714</v>
      </c>
      <c r="G108" s="132" t="s">
        <v>376</v>
      </c>
      <c r="H108" s="136" t="n">
        <v>63.714</v>
      </c>
      <c r="I108" s="136" t="n">
        <f aca="false">VLOOKUP(A108,[1]Accesorios!$D$1:$I$1048576,6,FALSE())</f>
        <v>0</v>
      </c>
      <c r="J108" s="47"/>
    </row>
    <row r="109" customFormat="false" ht="14.25" hidden="false" customHeight="false" outlineLevel="0" collapsed="false">
      <c r="A109" s="39" t="n">
        <v>380434</v>
      </c>
      <c r="B109" s="39" t="s">
        <v>473</v>
      </c>
      <c r="C109" s="39" t="s">
        <v>451</v>
      </c>
      <c r="D109" s="39" t="s">
        <v>474</v>
      </c>
      <c r="E109" s="132" t="s">
        <v>47</v>
      </c>
      <c r="F109" s="136" t="n">
        <f aca="false">H109-I109</f>
        <v>62.7375</v>
      </c>
      <c r="G109" s="132" t="s">
        <v>376</v>
      </c>
      <c r="H109" s="136" t="n">
        <v>62.7375</v>
      </c>
      <c r="I109" s="136" t="n">
        <f aca="false">VLOOKUP(A109,[1]Accesorios!$D$1:$I$1048576,6,FALSE())</f>
        <v>0</v>
      </c>
      <c r="J109" s="47"/>
    </row>
    <row r="110" customFormat="false" ht="14.25" hidden="false" customHeight="false" outlineLevel="0" collapsed="false">
      <c r="A110" s="39" t="n">
        <v>380424</v>
      </c>
      <c r="B110" s="39" t="s">
        <v>473</v>
      </c>
      <c r="C110" s="39" t="s">
        <v>455</v>
      </c>
      <c r="D110" s="39" t="s">
        <v>475</v>
      </c>
      <c r="E110" s="132" t="s">
        <v>47</v>
      </c>
      <c r="F110" s="136" t="n">
        <f aca="false">H110-I110</f>
        <v>64.134</v>
      </c>
      <c r="G110" s="132" t="s">
        <v>376</v>
      </c>
      <c r="H110" s="136" t="n">
        <v>64.134</v>
      </c>
      <c r="I110" s="136" t="n">
        <f aca="false">VLOOKUP(A110,[1]Accesorios!$D$1:$I$1048576,6,FALSE())</f>
        <v>0</v>
      </c>
      <c r="J110" s="47"/>
    </row>
    <row r="111" customFormat="false" ht="14.25" hidden="false" customHeight="false" outlineLevel="0" collapsed="false">
      <c r="A111" s="39" t="n">
        <v>380561</v>
      </c>
      <c r="B111" s="39" t="s">
        <v>447</v>
      </c>
      <c r="C111" s="39" t="s">
        <v>324</v>
      </c>
      <c r="D111" s="39" t="s">
        <v>476</v>
      </c>
      <c r="E111" s="132" t="s">
        <v>47</v>
      </c>
      <c r="F111" s="136" t="n">
        <f aca="false">H111-I111</f>
        <v>69.51</v>
      </c>
      <c r="G111" s="132" t="s">
        <v>376</v>
      </c>
      <c r="H111" s="136" t="n">
        <v>69.51</v>
      </c>
      <c r="I111" s="136" t="n">
        <f aca="false">VLOOKUP(A111,[1]Accesorios!$D$1:$I$1048576,6,FALSE())</f>
        <v>0</v>
      </c>
      <c r="J111" s="47"/>
    </row>
    <row r="112" customFormat="false" ht="14.25" hidden="false" customHeight="false" outlineLevel="0" collapsed="false">
      <c r="A112" s="39" t="n">
        <v>380511</v>
      </c>
      <c r="B112" s="39" t="s">
        <v>473</v>
      </c>
      <c r="C112" s="39" t="s">
        <v>455</v>
      </c>
      <c r="D112" s="39" t="s">
        <v>477</v>
      </c>
      <c r="E112" s="132" t="s">
        <v>47</v>
      </c>
      <c r="F112" s="136" t="n">
        <f aca="false">H112-I112</f>
        <v>92.106</v>
      </c>
      <c r="G112" s="132" t="s">
        <v>376</v>
      </c>
      <c r="H112" s="136" t="n">
        <v>92.106</v>
      </c>
      <c r="I112" s="136" t="n">
        <f aca="false">VLOOKUP(A112,[1]Accesorios!$D$1:$I$1048576,6,FALSE())</f>
        <v>0</v>
      </c>
      <c r="J112" s="47"/>
    </row>
    <row r="113" customFormat="false" ht="14.25" hidden="false" customHeight="false" outlineLevel="0" collapsed="false">
      <c r="A113" s="39" t="n">
        <v>380492</v>
      </c>
      <c r="B113" s="39" t="s">
        <v>478</v>
      </c>
      <c r="C113" s="39" t="s">
        <v>86</v>
      </c>
      <c r="D113" s="39" t="s">
        <v>479</v>
      </c>
      <c r="E113" s="132" t="s">
        <v>47</v>
      </c>
      <c r="F113" s="136" t="n">
        <f aca="false">H113-I113</f>
        <v>91.518</v>
      </c>
      <c r="G113" s="132" t="s">
        <v>376</v>
      </c>
      <c r="H113" s="136" t="n">
        <v>91.518</v>
      </c>
      <c r="I113" s="136" t="n">
        <f aca="false">VLOOKUP(A113,[1]Accesorios!$D$1:$I$1048576,6,FALSE())</f>
        <v>0</v>
      </c>
      <c r="J113" s="47"/>
    </row>
    <row r="114" customFormat="false" ht="14.25" hidden="false" customHeight="false" outlineLevel="0" collapsed="false">
      <c r="A114" s="39" t="n">
        <v>380437</v>
      </c>
      <c r="B114" s="39" t="s">
        <v>478</v>
      </c>
      <c r="C114" s="39" t="s">
        <v>86</v>
      </c>
      <c r="D114" s="39" t="s">
        <v>480</v>
      </c>
      <c r="E114" s="132" t="s">
        <v>47</v>
      </c>
      <c r="F114" s="136" t="n">
        <f aca="false">H114-I114</f>
        <v>92.211</v>
      </c>
      <c r="G114" s="132" t="s">
        <v>376</v>
      </c>
      <c r="H114" s="136" t="n">
        <v>92.211</v>
      </c>
      <c r="I114" s="136" t="n">
        <f aca="false">VLOOKUP(A114,[1]Accesorios!$D$1:$I$1048576,6,FALSE())</f>
        <v>0</v>
      </c>
      <c r="J114" s="47"/>
    </row>
    <row r="115" customFormat="false" ht="14.25" hidden="false" customHeight="false" outlineLevel="0" collapsed="false">
      <c r="A115" s="39" t="n">
        <v>380484</v>
      </c>
      <c r="B115" s="39" t="s">
        <v>478</v>
      </c>
      <c r="C115" s="39" t="s">
        <v>86</v>
      </c>
      <c r="D115" s="39" t="s">
        <v>481</v>
      </c>
      <c r="E115" s="132" t="s">
        <v>47</v>
      </c>
      <c r="F115" s="136" t="n">
        <f aca="false">H115-I115</f>
        <v>94.4475</v>
      </c>
      <c r="G115" s="132" t="s">
        <v>376</v>
      </c>
      <c r="H115" s="136" t="n">
        <v>94.4475</v>
      </c>
      <c r="I115" s="136" t="n">
        <f aca="false">VLOOKUP(A115,[1]Accesorios!$D$1:$I$1048576,6,FALSE())</f>
        <v>0</v>
      </c>
      <c r="J115" s="47"/>
    </row>
    <row r="116" customFormat="false" ht="14.25" hidden="false" customHeight="false" outlineLevel="0" collapsed="false">
      <c r="A116" s="39" t="n">
        <v>380420</v>
      </c>
      <c r="B116" s="39" t="s">
        <v>478</v>
      </c>
      <c r="C116" s="39" t="s">
        <v>455</v>
      </c>
      <c r="D116" s="39" t="s">
        <v>482</v>
      </c>
      <c r="E116" s="132" t="s">
        <v>47</v>
      </c>
      <c r="F116" s="136" t="n">
        <f aca="false">H116-I116</f>
        <v>133.959</v>
      </c>
      <c r="G116" s="132" t="s">
        <v>376</v>
      </c>
      <c r="H116" s="136" t="n">
        <v>133.959</v>
      </c>
      <c r="I116" s="136" t="n">
        <f aca="false">VLOOKUP(A116,[1]Accesorios!$D$1:$I$1048576,6,FALSE())</f>
        <v>0</v>
      </c>
      <c r="J116" s="47"/>
    </row>
    <row r="117" customFormat="false" ht="14.25" hidden="false" customHeight="false" outlineLevel="0" collapsed="false">
      <c r="A117" s="39" t="n">
        <v>300610</v>
      </c>
      <c r="B117" s="39" t="s">
        <v>483</v>
      </c>
      <c r="C117" s="39" t="s">
        <v>91</v>
      </c>
      <c r="D117" s="39" t="s">
        <v>484</v>
      </c>
      <c r="E117" s="132" t="s">
        <v>47</v>
      </c>
      <c r="F117" s="136" t="n">
        <f aca="false">H117-I117</f>
        <v>14.658</v>
      </c>
      <c r="G117" s="132" t="s">
        <v>376</v>
      </c>
      <c r="H117" s="136" t="n">
        <v>14.658</v>
      </c>
      <c r="I117" s="136" t="n">
        <f aca="false">VLOOKUP(A117,[1]Accesorios!$D$1:$I$1048576,6,FALSE())</f>
        <v>0</v>
      </c>
      <c r="J117" s="47"/>
    </row>
    <row r="118" customFormat="false" ht="14.25" hidden="false" customHeight="false" outlineLevel="0" collapsed="false">
      <c r="A118" s="39" t="n">
        <v>300608</v>
      </c>
      <c r="B118" s="39" t="s">
        <v>485</v>
      </c>
      <c r="C118" s="39" t="s">
        <v>324</v>
      </c>
      <c r="D118" s="39" t="s">
        <v>486</v>
      </c>
      <c r="E118" s="132" t="s">
        <v>47</v>
      </c>
      <c r="F118" s="136" t="n">
        <f aca="false">H118-I118</f>
        <v>20.1915</v>
      </c>
      <c r="G118" s="132" t="s">
        <v>376</v>
      </c>
      <c r="H118" s="136" t="n">
        <v>20.1915</v>
      </c>
      <c r="I118" s="136" t="n">
        <f aca="false">VLOOKUP(A118,[1]Accesorios!$D$1:$I$1048576,6,FALSE())</f>
        <v>0</v>
      </c>
      <c r="J118" s="47"/>
    </row>
    <row r="119" customFormat="false" ht="14.25" hidden="false" customHeight="false" outlineLevel="0" collapsed="false">
      <c r="A119" s="39" t="n">
        <v>300617</v>
      </c>
      <c r="B119" s="39" t="s">
        <v>438</v>
      </c>
      <c r="C119" s="39" t="s">
        <v>59</v>
      </c>
      <c r="D119" s="39" t="s">
        <v>487</v>
      </c>
      <c r="E119" s="132" t="s">
        <v>47</v>
      </c>
      <c r="F119" s="136" t="n">
        <f aca="false">H119-I119</f>
        <v>30.9645</v>
      </c>
      <c r="G119" s="132" t="s">
        <v>376</v>
      </c>
      <c r="H119" s="136" t="n">
        <v>30.9645</v>
      </c>
      <c r="I119" s="136" t="n">
        <f aca="false">VLOOKUP(A119,[1]Accesorios!$D$1:$I$1048576,6,FALSE())</f>
        <v>0</v>
      </c>
      <c r="J119" s="47"/>
    </row>
    <row r="120" customFormat="false" ht="14.25" hidden="false" customHeight="false" outlineLevel="0" collapsed="false">
      <c r="A120" s="39" t="n">
        <v>300621</v>
      </c>
      <c r="B120" s="39" t="s">
        <v>296</v>
      </c>
      <c r="C120" s="39" t="s">
        <v>59</v>
      </c>
      <c r="D120" s="39" t="s">
        <v>488</v>
      </c>
      <c r="E120" s="132" t="s">
        <v>47</v>
      </c>
      <c r="F120" s="136" t="n">
        <f aca="false">H120-I120</f>
        <v>43.008</v>
      </c>
      <c r="G120" s="132" t="s">
        <v>376</v>
      </c>
      <c r="H120" s="136" t="n">
        <v>43.008</v>
      </c>
      <c r="I120" s="136" t="n">
        <f aca="false">VLOOKUP(A120,[1]Accesorios!$D$1:$I$1048576,6,FALSE())</f>
        <v>0</v>
      </c>
      <c r="J120" s="47"/>
    </row>
    <row r="121" customFormat="false" ht="14.25" hidden="false" customHeight="false" outlineLevel="0" collapsed="false">
      <c r="A121" s="39" t="n">
        <v>300687</v>
      </c>
      <c r="B121" s="39" t="s">
        <v>296</v>
      </c>
      <c r="C121" s="39" t="s">
        <v>59</v>
      </c>
      <c r="D121" s="39" t="s">
        <v>489</v>
      </c>
      <c r="E121" s="132" t="s">
        <v>47</v>
      </c>
      <c r="F121" s="136" t="n">
        <f aca="false">H121-I121</f>
        <v>43.008</v>
      </c>
      <c r="G121" s="132" t="s">
        <v>376</v>
      </c>
      <c r="H121" s="136" t="n">
        <v>43.008</v>
      </c>
      <c r="I121" s="136" t="n">
        <f aca="false">VLOOKUP(A121,[1]Accesorios!$D$1:$I$1048576,6,FALSE())</f>
        <v>0</v>
      </c>
      <c r="J121" s="47"/>
    </row>
    <row r="122" customFormat="false" ht="14.25" hidden="false" customHeight="false" outlineLevel="0" collapsed="false">
      <c r="A122" s="39" t="n">
        <v>300686</v>
      </c>
      <c r="B122" s="39" t="s">
        <v>490</v>
      </c>
      <c r="C122" s="39" t="s">
        <v>61</v>
      </c>
      <c r="D122" s="39" t="s">
        <v>491</v>
      </c>
      <c r="E122" s="132" t="s">
        <v>47</v>
      </c>
      <c r="F122" s="136" t="n">
        <f aca="false">H122-I122</f>
        <v>47.6595</v>
      </c>
      <c r="G122" s="132" t="s">
        <v>376</v>
      </c>
      <c r="H122" s="136" t="n">
        <v>47.6595</v>
      </c>
      <c r="I122" s="136" t="n">
        <f aca="false">VLOOKUP(A122,[1]Accesorios!$D$1:$I$1048576,6,FALSE())</f>
        <v>0</v>
      </c>
      <c r="J122" s="47"/>
    </row>
    <row r="123" customFormat="false" ht="14.25" hidden="false" customHeight="false" outlineLevel="0" collapsed="false">
      <c r="A123" s="39" t="n">
        <v>300709</v>
      </c>
      <c r="B123" s="39" t="s">
        <v>490</v>
      </c>
      <c r="C123" s="39" t="s">
        <v>61</v>
      </c>
      <c r="D123" s="39" t="s">
        <v>492</v>
      </c>
      <c r="E123" s="132" t="s">
        <v>47</v>
      </c>
      <c r="F123" s="136" t="n">
        <f aca="false">H123-I123</f>
        <v>47.6595</v>
      </c>
      <c r="G123" s="132" t="s">
        <v>376</v>
      </c>
      <c r="H123" s="136" t="n">
        <v>47.6595</v>
      </c>
      <c r="I123" s="136" t="n">
        <f aca="false">VLOOKUP(A123,[1]Accesorios!$D$1:$I$1048576,6,FALSE())</f>
        <v>0</v>
      </c>
      <c r="J123" s="47"/>
    </row>
    <row r="124" customFormat="false" ht="14.25" hidden="false" customHeight="false" outlineLevel="0" collapsed="false">
      <c r="A124" s="39" t="n">
        <v>300626</v>
      </c>
      <c r="B124" s="39" t="s">
        <v>490</v>
      </c>
      <c r="C124" s="39" t="s">
        <v>61</v>
      </c>
      <c r="D124" s="39" t="s">
        <v>493</v>
      </c>
      <c r="E124" s="132" t="s">
        <v>47</v>
      </c>
      <c r="F124" s="136" t="n">
        <f aca="false">H124-I124</f>
        <v>41.895</v>
      </c>
      <c r="G124" s="132" t="s">
        <v>376</v>
      </c>
      <c r="H124" s="136" t="n">
        <v>41.895</v>
      </c>
      <c r="I124" s="136" t="n">
        <f aca="false">VLOOKUP(A124,[1]Accesorios!$D$1:$I$1048576,6,FALSE())</f>
        <v>0</v>
      </c>
      <c r="J124" s="47"/>
    </row>
    <row r="125" customFormat="false" ht="14.25" hidden="false" customHeight="false" outlineLevel="0" collapsed="false">
      <c r="A125" s="39" t="n">
        <v>300614</v>
      </c>
      <c r="B125" s="39" t="s">
        <v>494</v>
      </c>
      <c r="C125" s="39" t="s">
        <v>495</v>
      </c>
      <c r="D125" s="39" t="s">
        <v>496</v>
      </c>
      <c r="E125" s="132" t="s">
        <v>47</v>
      </c>
      <c r="F125" s="136" t="n">
        <f aca="false">H125-I125</f>
        <v>147.84</v>
      </c>
      <c r="G125" s="132" t="s">
        <v>376</v>
      </c>
      <c r="H125" s="136" t="n">
        <v>147.84</v>
      </c>
      <c r="I125" s="136" t="n">
        <f aca="false">VLOOKUP(A125,[1]Accesorios!$D$1:$I$1048576,6,FALSE())</f>
        <v>0</v>
      </c>
      <c r="J125" s="47"/>
    </row>
    <row r="126" customFormat="false" ht="14.25" hidden="false" customHeight="false" outlineLevel="0" collapsed="false">
      <c r="A126" s="39" t="n">
        <v>300633</v>
      </c>
      <c r="B126" s="39" t="s">
        <v>275</v>
      </c>
      <c r="C126" s="39" t="s">
        <v>91</v>
      </c>
      <c r="D126" s="39" t="s">
        <v>497</v>
      </c>
      <c r="E126" s="132" t="s">
        <v>47</v>
      </c>
      <c r="F126" s="136" t="n">
        <f aca="false">H126-I126</f>
        <v>196.581</v>
      </c>
      <c r="G126" s="132" t="s">
        <v>376</v>
      </c>
      <c r="H126" s="136" t="n">
        <v>196.581</v>
      </c>
      <c r="I126" s="136" t="n">
        <f aca="false">VLOOKUP(A126,[1]Accesorios!$D$1:$I$1048576,6,FALSE())</f>
        <v>0</v>
      </c>
      <c r="J126" s="47"/>
    </row>
    <row r="127" customFormat="false" ht="14.25" hidden="false" customHeight="false" outlineLevel="0" collapsed="false">
      <c r="A127" s="39" t="n">
        <v>300618</v>
      </c>
      <c r="B127" s="39" t="s">
        <v>275</v>
      </c>
      <c r="C127" s="39" t="s">
        <v>81</v>
      </c>
      <c r="D127" s="39" t="s">
        <v>498</v>
      </c>
      <c r="E127" s="132" t="s">
        <v>47</v>
      </c>
      <c r="F127" s="136" t="n">
        <f aca="false">H127-I127</f>
        <v>208.425</v>
      </c>
      <c r="G127" s="132" t="s">
        <v>376</v>
      </c>
      <c r="H127" s="136" t="n">
        <v>208.425</v>
      </c>
      <c r="I127" s="136" t="n">
        <f aca="false">VLOOKUP(A127,[1]Accesorios!$D$1:$I$1048576,6,FALSE())</f>
        <v>0</v>
      </c>
      <c r="J127" s="47"/>
    </row>
    <row r="128" customFormat="false" ht="14.25" hidden="false" customHeight="false" outlineLevel="0" collapsed="false">
      <c r="A128" s="39" t="n">
        <v>300696</v>
      </c>
      <c r="B128" s="39" t="s">
        <v>275</v>
      </c>
      <c r="C128" s="39" t="s">
        <v>81</v>
      </c>
      <c r="D128" s="39" t="s">
        <v>499</v>
      </c>
      <c r="E128" s="132" t="s">
        <v>47</v>
      </c>
      <c r="F128" s="136" t="n">
        <f aca="false">H128-I128</f>
        <v>280.959</v>
      </c>
      <c r="G128" s="132" t="s">
        <v>376</v>
      </c>
      <c r="H128" s="136" t="n">
        <v>280.959</v>
      </c>
      <c r="I128" s="136" t="n">
        <f aca="false">VLOOKUP(A128,[1]Accesorios!$D$1:$I$1048576,6,FALSE())</f>
        <v>0</v>
      </c>
      <c r="J128" s="47"/>
    </row>
    <row r="129" customFormat="false" ht="14.25" hidden="false" customHeight="false" outlineLevel="0" collapsed="false">
      <c r="A129" s="39" t="n">
        <v>300698</v>
      </c>
      <c r="B129" s="39" t="s">
        <v>275</v>
      </c>
      <c r="C129" s="39" t="s">
        <v>81</v>
      </c>
      <c r="D129" s="39" t="s">
        <v>500</v>
      </c>
      <c r="E129" s="132" t="s">
        <v>47</v>
      </c>
      <c r="F129" s="136" t="n">
        <f aca="false">H129-I129</f>
        <v>522.648</v>
      </c>
      <c r="G129" s="132" t="s">
        <v>376</v>
      </c>
      <c r="H129" s="136" t="n">
        <v>522.648</v>
      </c>
      <c r="I129" s="136" t="n">
        <f aca="false">VLOOKUP(A129,[1]Accesorios!$D$1:$I$1048576,6,FALSE())</f>
        <v>0</v>
      </c>
      <c r="J129" s="47"/>
    </row>
    <row r="130" customFormat="false" ht="14.25" hidden="false" customHeight="false" outlineLevel="0" collapsed="false">
      <c r="A130" s="39" t="n">
        <v>300721</v>
      </c>
      <c r="B130" s="39" t="s">
        <v>275</v>
      </c>
      <c r="C130" s="39" t="s">
        <v>81</v>
      </c>
      <c r="D130" s="39" t="s">
        <v>501</v>
      </c>
      <c r="E130" s="132" t="s">
        <v>47</v>
      </c>
      <c r="F130" s="136" t="n">
        <f aca="false">H130-I130</f>
        <v>989.1</v>
      </c>
      <c r="G130" s="132" t="s">
        <v>376</v>
      </c>
      <c r="H130" s="136" t="n">
        <v>989.1</v>
      </c>
      <c r="I130" s="136" t="n">
        <f aca="false">VLOOKUP(A130,[1]Accesorios!$D$1:$I$1048576,6,FALSE())</f>
        <v>0</v>
      </c>
      <c r="J130" s="47"/>
    </row>
    <row r="131" customFormat="false" ht="14.25" hidden="false" customHeight="false" outlineLevel="0" collapsed="false">
      <c r="A131" s="39" t="n">
        <v>300615</v>
      </c>
      <c r="B131" s="39" t="s">
        <v>275</v>
      </c>
      <c r="C131" s="39" t="s">
        <v>502</v>
      </c>
      <c r="D131" s="39" t="s">
        <v>503</v>
      </c>
      <c r="E131" s="132" t="s">
        <v>47</v>
      </c>
      <c r="F131" s="136" t="n">
        <f aca="false">H131-I131</f>
        <v>210.315</v>
      </c>
      <c r="G131" s="132" t="s">
        <v>376</v>
      </c>
      <c r="H131" s="136" t="n">
        <v>210.315</v>
      </c>
      <c r="I131" s="136" t="n">
        <f aca="false">VLOOKUP(A131,[1]Accesorios!$D$1:$I$1048576,6,FALSE())</f>
        <v>0</v>
      </c>
      <c r="J131" s="47"/>
    </row>
    <row r="132" customFormat="false" ht="14.25" hidden="false" customHeight="false" outlineLevel="0" collapsed="false">
      <c r="A132" s="39" t="n">
        <v>300683</v>
      </c>
      <c r="B132" s="39" t="s">
        <v>275</v>
      </c>
      <c r="C132" s="39" t="s">
        <v>84</v>
      </c>
      <c r="D132" s="39" t="s">
        <v>504</v>
      </c>
      <c r="E132" s="132" t="s">
        <v>47</v>
      </c>
      <c r="F132" s="136" t="n">
        <f aca="false">H132-I132</f>
        <v>304.689</v>
      </c>
      <c r="G132" s="132" t="s">
        <v>376</v>
      </c>
      <c r="H132" s="136" t="n">
        <v>304.689</v>
      </c>
      <c r="I132" s="136" t="n">
        <f aca="false">VLOOKUP(A132,[1]Accesorios!$D$1:$I$1048576,6,FALSE())</f>
        <v>0</v>
      </c>
      <c r="J132" s="47"/>
    </row>
    <row r="133" customFormat="false" ht="14.25" hidden="false" customHeight="false" outlineLevel="0" collapsed="false">
      <c r="A133" s="39" t="n">
        <v>300667</v>
      </c>
      <c r="B133" s="39" t="s">
        <v>275</v>
      </c>
      <c r="C133" s="39" t="s">
        <v>91</v>
      </c>
      <c r="D133" s="39" t="s">
        <v>505</v>
      </c>
      <c r="E133" s="132" t="s">
        <v>47</v>
      </c>
      <c r="F133" s="136" t="n">
        <f aca="false">H133-I133</f>
        <v>260.4</v>
      </c>
      <c r="G133" s="132" t="s">
        <v>376</v>
      </c>
      <c r="H133" s="136" t="n">
        <v>260.4</v>
      </c>
      <c r="I133" s="136" t="n">
        <f aca="false">VLOOKUP(A133,[1]Accesorios!$D$1:$I$1048576,6,FALSE())</f>
        <v>0</v>
      </c>
      <c r="J133" s="47"/>
    </row>
    <row r="134" customFormat="false" ht="14.25" hidden="false" customHeight="false" outlineLevel="0" collapsed="false">
      <c r="A134" s="39" t="n">
        <v>300648</v>
      </c>
      <c r="B134" s="39" t="s">
        <v>275</v>
      </c>
      <c r="C134" s="39" t="s">
        <v>91</v>
      </c>
      <c r="D134" s="39" t="s">
        <v>506</v>
      </c>
      <c r="E134" s="132" t="s">
        <v>47</v>
      </c>
      <c r="F134" s="136" t="n">
        <f aca="false">H134-I134</f>
        <v>357</v>
      </c>
      <c r="G134" s="132" t="s">
        <v>376</v>
      </c>
      <c r="H134" s="136" t="n">
        <v>357</v>
      </c>
      <c r="I134" s="136" t="n">
        <f aca="false">VLOOKUP(A134,[1]Accesorios!$D$1:$I$1048576,6,FALSE())</f>
        <v>0</v>
      </c>
      <c r="J134" s="47"/>
    </row>
    <row r="135" customFormat="false" ht="14.25" hidden="false" customHeight="false" outlineLevel="0" collapsed="false">
      <c r="A135" s="39" t="n">
        <v>300619</v>
      </c>
      <c r="B135" s="39" t="s">
        <v>275</v>
      </c>
      <c r="C135" s="39" t="s">
        <v>81</v>
      </c>
      <c r="D135" s="39" t="s">
        <v>507</v>
      </c>
      <c r="E135" s="132" t="s">
        <v>47</v>
      </c>
      <c r="F135" s="136" t="n">
        <f aca="false">H135-I135</f>
        <v>359.1</v>
      </c>
      <c r="G135" s="132" t="s">
        <v>376</v>
      </c>
      <c r="H135" s="136" t="n">
        <v>359.1</v>
      </c>
      <c r="I135" s="136" t="n">
        <f aca="false">VLOOKUP(A135,[1]Accesorios!$D$1:$I$1048576,6,FALSE())</f>
        <v>0</v>
      </c>
      <c r="J135" s="47"/>
    </row>
    <row r="136" customFormat="false" ht="14.25" hidden="false" customHeight="false" outlineLevel="0" collapsed="false">
      <c r="A136" s="39" t="n">
        <v>300613</v>
      </c>
      <c r="B136" s="39" t="s">
        <v>483</v>
      </c>
      <c r="C136" s="39" t="s">
        <v>91</v>
      </c>
      <c r="D136" s="39" t="s">
        <v>508</v>
      </c>
      <c r="E136" s="132" t="s">
        <v>47</v>
      </c>
      <c r="F136" s="136" t="n">
        <f aca="false">H136-I136</f>
        <v>41.643</v>
      </c>
      <c r="G136" s="132" t="s">
        <v>376</v>
      </c>
      <c r="H136" s="136" t="n">
        <v>41.643</v>
      </c>
      <c r="I136" s="136" t="n">
        <f aca="false">VLOOKUP(A136,[1]Accesorios!$D$1:$I$1048576,6,FALSE())</f>
        <v>0</v>
      </c>
      <c r="J136" s="47"/>
    </row>
    <row r="137" customFormat="false" ht="14.25" hidden="false" customHeight="false" outlineLevel="0" collapsed="false">
      <c r="A137" s="39" t="n">
        <v>313237</v>
      </c>
      <c r="B137" s="39" t="s">
        <v>509</v>
      </c>
      <c r="C137" s="39" t="s">
        <v>510</v>
      </c>
      <c r="D137" s="39" t="s">
        <v>511</v>
      </c>
      <c r="E137" s="132" t="s">
        <v>47</v>
      </c>
      <c r="F137" s="136" t="n">
        <f aca="false">H137-I137</f>
        <v>57.225</v>
      </c>
      <c r="G137" s="132" t="s">
        <v>376</v>
      </c>
      <c r="H137" s="136" t="n">
        <v>57.225</v>
      </c>
      <c r="I137" s="136" t="n">
        <f aca="false">VLOOKUP(A137,[1]Accesorios!$D$1:$I$1048576,6,FALSE())</f>
        <v>0</v>
      </c>
      <c r="J137" s="47"/>
    </row>
    <row r="138" customFormat="false" ht="14.25" hidden="false" customHeight="false" outlineLevel="0" collapsed="false">
      <c r="A138" s="39" t="n">
        <v>313238</v>
      </c>
      <c r="B138" s="39" t="s">
        <v>509</v>
      </c>
      <c r="C138" s="39" t="s">
        <v>512</v>
      </c>
      <c r="D138" s="39" t="s">
        <v>513</v>
      </c>
      <c r="E138" s="132" t="s">
        <v>47</v>
      </c>
      <c r="F138" s="136" t="n">
        <f aca="false">H138-I138</f>
        <v>43.3125</v>
      </c>
      <c r="G138" s="132" t="s">
        <v>376</v>
      </c>
      <c r="H138" s="136" t="n">
        <v>43.3125</v>
      </c>
      <c r="I138" s="136" t="n">
        <f aca="false">VLOOKUP(A138,[1]Accesorios!$D$1:$I$1048576,6,FALSE())</f>
        <v>0</v>
      </c>
      <c r="J138" s="47"/>
    </row>
    <row r="139" customFormat="false" ht="14.25" hidden="false" customHeight="false" outlineLevel="0" collapsed="false">
      <c r="A139" s="39" t="n">
        <v>313241</v>
      </c>
      <c r="B139" s="39" t="s">
        <v>509</v>
      </c>
      <c r="C139" s="39" t="s">
        <v>514</v>
      </c>
      <c r="D139" s="39" t="s">
        <v>515</v>
      </c>
      <c r="E139" s="132" t="s">
        <v>47</v>
      </c>
      <c r="F139" s="136" t="n">
        <f aca="false">H139-I139</f>
        <v>37.422</v>
      </c>
      <c r="G139" s="132" t="s">
        <v>376</v>
      </c>
      <c r="H139" s="136" t="n">
        <v>37.422</v>
      </c>
      <c r="I139" s="136" t="n">
        <f aca="false">VLOOKUP(A139,[1]Accesorios!$D$1:$I$1048576,6,FALSE())</f>
        <v>0</v>
      </c>
      <c r="J139" s="47"/>
    </row>
    <row r="140" customFormat="false" ht="14.25" hidden="false" customHeight="false" outlineLevel="0" collapsed="false">
      <c r="A140" s="39" t="n">
        <v>313242</v>
      </c>
      <c r="B140" s="39" t="s">
        <v>516</v>
      </c>
      <c r="C140" s="39" t="s">
        <v>517</v>
      </c>
      <c r="D140" s="39" t="s">
        <v>518</v>
      </c>
      <c r="E140" s="132" t="s">
        <v>47</v>
      </c>
      <c r="F140" s="136" t="n">
        <f aca="false">H140-I140</f>
        <v>270.879</v>
      </c>
      <c r="G140" s="132" t="s">
        <v>376</v>
      </c>
      <c r="H140" s="136" t="n">
        <v>270.879</v>
      </c>
      <c r="I140" s="136" t="n">
        <f aca="false">VLOOKUP(A140,[1]Accesorios!$D$1:$I$1048576,6,FALSE())</f>
        <v>0</v>
      </c>
      <c r="J140" s="47"/>
    </row>
    <row r="141" customFormat="false" ht="14.25" hidden="false" customHeight="false" outlineLevel="0" collapsed="false">
      <c r="A141" s="39" t="n">
        <v>313391</v>
      </c>
      <c r="B141" s="39" t="s">
        <v>509</v>
      </c>
      <c r="C141" s="39" t="s">
        <v>519</v>
      </c>
      <c r="D141" s="39" t="s">
        <v>520</v>
      </c>
      <c r="E141" s="132" t="s">
        <v>47</v>
      </c>
      <c r="F141" s="136" t="n">
        <f aca="false">H141-I141</f>
        <v>51.702</v>
      </c>
      <c r="G141" s="132" t="s">
        <v>376</v>
      </c>
      <c r="H141" s="136" t="n">
        <v>51.702</v>
      </c>
      <c r="I141" s="136" t="n">
        <f aca="false">VLOOKUP(A141,[1]Accesorios!$D$1:$I$1048576,6,FALSE())</f>
        <v>0</v>
      </c>
      <c r="J141" s="47"/>
    </row>
    <row r="142" customFormat="false" ht="14.25" hidden="false" customHeight="false" outlineLevel="0" collapsed="false">
      <c r="A142" s="39" t="n">
        <v>313402</v>
      </c>
      <c r="B142" s="39" t="s">
        <v>521</v>
      </c>
      <c r="C142" s="39" t="s">
        <v>512</v>
      </c>
      <c r="D142" s="39" t="s">
        <v>522</v>
      </c>
      <c r="E142" s="132" t="s">
        <v>47</v>
      </c>
      <c r="F142" s="136" t="n">
        <f aca="false">H142-I142</f>
        <v>97.524</v>
      </c>
      <c r="G142" s="132" t="s">
        <v>376</v>
      </c>
      <c r="H142" s="136" t="n">
        <v>97.524</v>
      </c>
      <c r="I142" s="136" t="n">
        <f aca="false">VLOOKUP(A142,[1]Accesorios!$D$1:$I$1048576,6,FALSE())</f>
        <v>0</v>
      </c>
      <c r="J142" s="47"/>
    </row>
    <row r="143" customFormat="false" ht="14.25" hidden="false" customHeight="false" outlineLevel="0" collapsed="false">
      <c r="A143" s="39" t="n">
        <v>313884</v>
      </c>
      <c r="B143" s="39" t="s">
        <v>523</v>
      </c>
      <c r="C143" s="39" t="s">
        <v>35</v>
      </c>
      <c r="D143" s="39" t="s">
        <v>524</v>
      </c>
      <c r="E143" s="132" t="s">
        <v>47</v>
      </c>
      <c r="F143" s="136" t="n">
        <f aca="false">H143-I143</f>
        <v>52.8255</v>
      </c>
      <c r="G143" s="132" t="s">
        <v>376</v>
      </c>
      <c r="H143" s="136" t="n">
        <v>52.8255</v>
      </c>
      <c r="I143" s="136" t="n">
        <f aca="false">VLOOKUP(A143,[1]Accesorios!$D$1:$I$1048576,6,FALSE())</f>
        <v>0</v>
      </c>
      <c r="J143" s="47"/>
    </row>
    <row r="144" customFormat="false" ht="14.25" hidden="false" customHeight="false" outlineLevel="0" collapsed="false">
      <c r="A144" s="39" t="n">
        <v>380564</v>
      </c>
      <c r="B144" s="39" t="s">
        <v>447</v>
      </c>
      <c r="C144" s="39" t="s">
        <v>525</v>
      </c>
      <c r="D144" s="39" t="s">
        <v>526</v>
      </c>
      <c r="E144" s="132" t="s">
        <v>47</v>
      </c>
      <c r="F144" s="136" t="n">
        <f aca="false">H144-I144</f>
        <v>50.0955</v>
      </c>
      <c r="G144" s="132" t="s">
        <v>376</v>
      </c>
      <c r="H144" s="136" t="n">
        <v>50.0955</v>
      </c>
      <c r="I144" s="136" t="n">
        <f aca="false">VLOOKUP(A144,[1]Accesorios!$D$1:$I$1048576,6,FALSE())</f>
        <v>0</v>
      </c>
      <c r="J144" s="47"/>
    </row>
    <row r="145" customFormat="false" ht="14.25" hidden="false" customHeight="false" outlineLevel="0" collapsed="false">
      <c r="A145" s="39" t="n">
        <v>300658</v>
      </c>
      <c r="B145" s="39" t="s">
        <v>527</v>
      </c>
      <c r="C145" s="39" t="s">
        <v>528</v>
      </c>
      <c r="D145" s="39" t="s">
        <v>529</v>
      </c>
      <c r="E145" s="132" t="s">
        <v>47</v>
      </c>
      <c r="F145" s="136" t="n">
        <f aca="false">H145-I145</f>
        <v>84.0945</v>
      </c>
      <c r="G145" s="132" t="s">
        <v>376</v>
      </c>
      <c r="H145" s="136" t="n">
        <v>84.0945</v>
      </c>
      <c r="I145" s="136" t="n">
        <f aca="false">VLOOKUP(A145,[1]Accesorios!$D$1:$I$1048576,6,FALSE())</f>
        <v>0</v>
      </c>
      <c r="J145" s="47"/>
    </row>
    <row r="146" customFormat="false" ht="14.25" hidden="false" customHeight="false" outlineLevel="0" collapsed="false">
      <c r="A146" s="39" t="n">
        <v>300742</v>
      </c>
      <c r="B146" s="39" t="s">
        <v>527</v>
      </c>
      <c r="C146" s="39" t="s">
        <v>530</v>
      </c>
      <c r="D146" s="39" t="s">
        <v>531</v>
      </c>
      <c r="E146" s="132" t="s">
        <v>47</v>
      </c>
      <c r="F146" s="136" t="n">
        <f aca="false">H146-I146</f>
        <v>76.503</v>
      </c>
      <c r="G146" s="132" t="s">
        <v>376</v>
      </c>
      <c r="H146" s="136" t="n">
        <v>76.503</v>
      </c>
      <c r="I146" s="136" t="n">
        <f aca="false">VLOOKUP(A146,[1]Accesorios!$D$1:$I$1048576,6,FALSE())</f>
        <v>0</v>
      </c>
      <c r="J146" s="47"/>
    </row>
    <row r="147" customFormat="false" ht="14.25" hidden="false" customHeight="false" outlineLevel="0" collapsed="false">
      <c r="A147" s="39" t="n">
        <v>300743</v>
      </c>
      <c r="B147" s="39" t="s">
        <v>527</v>
      </c>
      <c r="C147" s="39" t="s">
        <v>530</v>
      </c>
      <c r="D147" s="39" t="s">
        <v>532</v>
      </c>
      <c r="E147" s="132" t="s">
        <v>47</v>
      </c>
      <c r="F147" s="136" t="n">
        <f aca="false">H147-I147</f>
        <v>76.503</v>
      </c>
      <c r="G147" s="132" t="s">
        <v>376</v>
      </c>
      <c r="H147" s="136" t="n">
        <v>76.503</v>
      </c>
      <c r="I147" s="136" t="n">
        <f aca="false">VLOOKUP(A147,[1]Accesorios!$D$1:$I$1048576,6,FALSE())</f>
        <v>0</v>
      </c>
      <c r="J147" s="47"/>
    </row>
    <row r="148" customFormat="false" ht="14.25" hidden="false" customHeight="false" outlineLevel="0" collapsed="false">
      <c r="A148" s="39" t="n">
        <v>300704</v>
      </c>
      <c r="B148" s="39" t="s">
        <v>527</v>
      </c>
      <c r="C148" s="39" t="s">
        <v>528</v>
      </c>
      <c r="D148" s="39" t="s">
        <v>533</v>
      </c>
      <c r="E148" s="132" t="s">
        <v>47</v>
      </c>
      <c r="F148" s="136" t="n">
        <f aca="false">H148-I148</f>
        <v>47.817</v>
      </c>
      <c r="G148" s="132" t="s">
        <v>376</v>
      </c>
      <c r="H148" s="136" t="n">
        <v>47.817</v>
      </c>
      <c r="I148" s="136" t="n">
        <f aca="false">VLOOKUP(A148,[1]Accesorios!$D$1:$I$1048576,6,FALSE())</f>
        <v>0</v>
      </c>
      <c r="J148" s="47"/>
    </row>
    <row r="149" customFormat="false" ht="14.25" hidden="false" customHeight="false" outlineLevel="0" collapsed="false">
      <c r="A149" s="39" t="n">
        <v>300700</v>
      </c>
      <c r="B149" s="39" t="s">
        <v>389</v>
      </c>
      <c r="C149" s="39" t="s">
        <v>528</v>
      </c>
      <c r="D149" s="39" t="s">
        <v>534</v>
      </c>
      <c r="E149" s="132" t="s">
        <v>47</v>
      </c>
      <c r="F149" s="136" t="n">
        <f aca="false">H149-I149</f>
        <v>63.798</v>
      </c>
      <c r="G149" s="132" t="s">
        <v>376</v>
      </c>
      <c r="H149" s="136" t="n">
        <v>63.798</v>
      </c>
      <c r="I149" s="136" t="n">
        <f aca="false">VLOOKUP(A149,[1]Accesorios!$D$1:$I$1048576,6,FALSE())</f>
        <v>0</v>
      </c>
      <c r="J149" s="47"/>
    </row>
    <row r="150" customFormat="false" ht="14.25" hidden="false" customHeight="false" outlineLevel="0" collapsed="false">
      <c r="A150" s="39" t="n">
        <v>300701</v>
      </c>
      <c r="B150" s="39" t="s">
        <v>389</v>
      </c>
      <c r="C150" s="39" t="s">
        <v>528</v>
      </c>
      <c r="D150" s="39" t="s">
        <v>535</v>
      </c>
      <c r="E150" s="132" t="s">
        <v>47</v>
      </c>
      <c r="F150" s="136" t="n">
        <f aca="false">H150-I150</f>
        <v>123.942</v>
      </c>
      <c r="G150" s="132" t="s">
        <v>376</v>
      </c>
      <c r="H150" s="136" t="n">
        <v>123.942</v>
      </c>
      <c r="I150" s="136" t="n">
        <f aca="false">VLOOKUP(A150,[1]Accesorios!$D$1:$I$1048576,6,FALSE())</f>
        <v>0</v>
      </c>
      <c r="J150" s="47"/>
    </row>
    <row r="151" customFormat="false" ht="14.25" hidden="false" customHeight="false" outlineLevel="0" collapsed="false">
      <c r="A151" s="39" t="n">
        <v>313448</v>
      </c>
      <c r="B151" s="39" t="s">
        <v>509</v>
      </c>
      <c r="C151" s="39" t="s">
        <v>536</v>
      </c>
      <c r="D151" s="39" t="s">
        <v>537</v>
      </c>
      <c r="E151" s="132" t="s">
        <v>47</v>
      </c>
      <c r="F151" s="136" t="n">
        <f aca="false">H151-I151</f>
        <v>68.0505</v>
      </c>
      <c r="G151" s="132" t="s">
        <v>376</v>
      </c>
      <c r="H151" s="136" t="n">
        <v>68.0505</v>
      </c>
      <c r="I151" s="136" t="n">
        <f aca="false">VLOOKUP(A151,[1]Accesorios!$D$1:$I$1048576,6,FALSE())</f>
        <v>0</v>
      </c>
      <c r="J151" s="47"/>
    </row>
    <row r="152" customFormat="false" ht="14.25" hidden="false" customHeight="false" outlineLevel="0" collapsed="false">
      <c r="A152" s="39" t="n">
        <v>300673</v>
      </c>
      <c r="B152" s="39" t="s">
        <v>275</v>
      </c>
      <c r="C152" s="39" t="s">
        <v>81</v>
      </c>
      <c r="D152" s="39" t="s">
        <v>538</v>
      </c>
      <c r="E152" s="132" t="s">
        <v>47</v>
      </c>
      <c r="F152" s="136" t="n">
        <f aca="false">H152-I152</f>
        <v>488.25</v>
      </c>
      <c r="G152" s="132" t="s">
        <v>376</v>
      </c>
      <c r="H152" s="136" t="n">
        <v>488.25</v>
      </c>
      <c r="I152" s="136" t="n">
        <f aca="false">VLOOKUP(A152,[1]Accesorios!$D$1:$I$1048576,6,FALSE())</f>
        <v>0</v>
      </c>
      <c r="J152" s="47"/>
    </row>
    <row r="153" customFormat="false" ht="14.25" hidden="false" customHeight="false" outlineLevel="0" collapsed="false">
      <c r="A153" s="39" t="n">
        <v>300674</v>
      </c>
      <c r="B153" s="39" t="s">
        <v>275</v>
      </c>
      <c r="C153" s="39" t="s">
        <v>539</v>
      </c>
      <c r="D153" s="39" t="s">
        <v>540</v>
      </c>
      <c r="E153" s="132" t="s">
        <v>47</v>
      </c>
      <c r="F153" s="136" t="n">
        <f aca="false">H153-I153</f>
        <v>565.278</v>
      </c>
      <c r="G153" s="132" t="s">
        <v>376</v>
      </c>
      <c r="H153" s="136" t="n">
        <v>565.278</v>
      </c>
      <c r="I153" s="136" t="n">
        <f aca="false">VLOOKUP(A153,[1]Accesorios!$D$1:$I$1048576,6,FALSE())</f>
        <v>0</v>
      </c>
      <c r="J153" s="47"/>
    </row>
    <row r="154" customFormat="false" ht="14.25" hidden="false" customHeight="false" outlineLevel="0" collapsed="false">
      <c r="A154" s="39" t="n">
        <v>300682</v>
      </c>
      <c r="B154" s="39" t="s">
        <v>377</v>
      </c>
      <c r="C154" s="39" t="s">
        <v>91</v>
      </c>
      <c r="D154" s="39" t="s">
        <v>541</v>
      </c>
      <c r="E154" s="132" t="s">
        <v>47</v>
      </c>
      <c r="F154" s="136" t="n">
        <f aca="false">H154-I154</f>
        <v>179.5815</v>
      </c>
      <c r="G154" s="132" t="s">
        <v>376</v>
      </c>
      <c r="H154" s="136" t="n">
        <v>179.5815</v>
      </c>
      <c r="I154" s="136" t="n">
        <f aca="false">VLOOKUP(A154,[1]Accesorios!$D$1:$I$1048576,6,FALSE())</f>
        <v>0</v>
      </c>
      <c r="J154" s="47"/>
    </row>
    <row r="155" customFormat="false" ht="14.25" hidden="false" customHeight="false" outlineLevel="0" collapsed="false">
      <c r="A155" s="39" t="n">
        <v>300675</v>
      </c>
      <c r="B155" s="39" t="s">
        <v>542</v>
      </c>
      <c r="C155" s="39" t="s">
        <v>84</v>
      </c>
      <c r="D155" s="39" t="s">
        <v>543</v>
      </c>
      <c r="E155" s="132" t="s">
        <v>47</v>
      </c>
      <c r="F155" s="136" t="n">
        <f aca="false">H155-I155</f>
        <v>27.762</v>
      </c>
      <c r="G155" s="132" t="s">
        <v>376</v>
      </c>
      <c r="H155" s="136" t="n">
        <v>27.762</v>
      </c>
      <c r="I155" s="136" t="n">
        <f aca="false">VLOOKUP(A155,[1]Accesorios!$D$1:$I$1048576,6,FALSE())</f>
        <v>0</v>
      </c>
      <c r="J155" s="47"/>
    </row>
    <row r="156" customFormat="false" ht="14.25" hidden="false" customHeight="false" outlineLevel="0" collapsed="false">
      <c r="A156" s="39" t="n">
        <v>300677</v>
      </c>
      <c r="B156" s="39" t="s">
        <v>544</v>
      </c>
      <c r="C156" s="39" t="s">
        <v>84</v>
      </c>
      <c r="D156" s="39" t="s">
        <v>545</v>
      </c>
      <c r="E156" s="132" t="s">
        <v>47</v>
      </c>
      <c r="F156" s="136" t="n">
        <f aca="false">H156-I156</f>
        <v>343.6335</v>
      </c>
      <c r="G156" s="132" t="s">
        <v>376</v>
      </c>
      <c r="H156" s="136" t="n">
        <v>343.6335</v>
      </c>
      <c r="I156" s="136" t="n">
        <f aca="false">VLOOKUP(A156,[1]Accesorios!$D$1:$I$1048576,6,FALSE())</f>
        <v>0</v>
      </c>
      <c r="J156" s="47"/>
    </row>
    <row r="157" customFormat="false" ht="14.25" hidden="false" customHeight="false" outlineLevel="0" collapsed="false">
      <c r="A157" s="39" t="n">
        <v>300678</v>
      </c>
      <c r="B157" s="39" t="s">
        <v>546</v>
      </c>
      <c r="C157" s="39" t="s">
        <v>84</v>
      </c>
      <c r="D157" s="39" t="s">
        <v>547</v>
      </c>
      <c r="E157" s="132" t="s">
        <v>47</v>
      </c>
      <c r="F157" s="136" t="n">
        <f aca="false">H157-I157</f>
        <v>129.5175</v>
      </c>
      <c r="G157" s="132" t="s">
        <v>376</v>
      </c>
      <c r="H157" s="136" t="n">
        <v>129.5175</v>
      </c>
      <c r="I157" s="136" t="n">
        <f aca="false">VLOOKUP(A157,[1]Accesorios!$D$1:$I$1048576,6,FALSE())</f>
        <v>0</v>
      </c>
      <c r="J157" s="47"/>
    </row>
    <row r="158" customFormat="false" ht="14.25" hidden="false" customHeight="false" outlineLevel="0" collapsed="false">
      <c r="A158" s="39" t="n">
        <v>300679</v>
      </c>
      <c r="B158" s="39" t="s">
        <v>548</v>
      </c>
      <c r="C158" s="39" t="s">
        <v>84</v>
      </c>
      <c r="D158" s="39" t="s">
        <v>549</v>
      </c>
      <c r="E158" s="132" t="s">
        <v>47</v>
      </c>
      <c r="F158" s="136" t="n">
        <f aca="false">H158-I158</f>
        <v>27.069</v>
      </c>
      <c r="G158" s="132" t="s">
        <v>376</v>
      </c>
      <c r="H158" s="136" t="n">
        <v>27.069</v>
      </c>
      <c r="I158" s="136" t="n">
        <f aca="false">VLOOKUP(A158,[1]Accesorios!$D$1:$I$1048576,6,FALSE())</f>
        <v>0</v>
      </c>
      <c r="J158" s="47"/>
    </row>
    <row r="159" customFormat="false" ht="14.25" hidden="false" customHeight="false" outlineLevel="0" collapsed="false">
      <c r="A159" s="39" t="n">
        <v>300680</v>
      </c>
      <c r="B159" s="39" t="s">
        <v>550</v>
      </c>
      <c r="C159" s="39" t="s">
        <v>84</v>
      </c>
      <c r="D159" s="39" t="s">
        <v>551</v>
      </c>
      <c r="E159" s="132" t="s">
        <v>47</v>
      </c>
      <c r="F159" s="136" t="n">
        <f aca="false">H159-I159</f>
        <v>473.13</v>
      </c>
      <c r="G159" s="132" t="s">
        <v>376</v>
      </c>
      <c r="H159" s="136" t="n">
        <v>473.13</v>
      </c>
      <c r="I159" s="136" t="n">
        <f aca="false">VLOOKUP(A159,[1]Accesorios!$D$1:$I$1048576,6,FALSE())</f>
        <v>0</v>
      </c>
      <c r="J159" s="47"/>
    </row>
    <row r="160" customFormat="false" ht="14.25" hidden="false" customHeight="false" outlineLevel="0" collapsed="false">
      <c r="A160" s="39" t="n">
        <v>300745</v>
      </c>
      <c r="B160" s="39" t="s">
        <v>377</v>
      </c>
      <c r="C160" s="39" t="s">
        <v>91</v>
      </c>
      <c r="D160" s="39" t="s">
        <v>552</v>
      </c>
      <c r="E160" s="132" t="s">
        <v>47</v>
      </c>
      <c r="F160" s="136" t="n">
        <f aca="false">H160-I160</f>
        <v>97.9486</v>
      </c>
      <c r="G160" s="132" t="s">
        <v>376</v>
      </c>
      <c r="H160" s="136" t="n">
        <v>117.9486</v>
      </c>
      <c r="I160" s="136" t="n">
        <f aca="false">VLOOKUP(A160,[1]Accesorios!$D$1:$I$1048576,6,FALSE())</f>
        <v>20</v>
      </c>
      <c r="J160" s="47"/>
    </row>
    <row r="161" customFormat="false" ht="14.25" hidden="false" customHeight="false" outlineLevel="0" collapsed="false">
      <c r="A161" s="39" t="n">
        <v>300689</v>
      </c>
      <c r="B161" s="39" t="s">
        <v>275</v>
      </c>
      <c r="C161" s="39" t="s">
        <v>91</v>
      </c>
      <c r="D161" s="39" t="s">
        <v>553</v>
      </c>
      <c r="E161" s="132" t="s">
        <v>47</v>
      </c>
      <c r="F161" s="136" t="n">
        <f aca="false">H161-I161</f>
        <v>290.85</v>
      </c>
      <c r="G161" s="132" t="s">
        <v>376</v>
      </c>
      <c r="H161" s="136" t="n">
        <v>290.85</v>
      </c>
      <c r="I161" s="136" t="n">
        <f aca="false">VLOOKUP(A161,[1]Accesorios!$D$1:$I$1048576,6,FALSE())</f>
        <v>0</v>
      </c>
      <c r="J161" s="47"/>
    </row>
    <row r="162" customFormat="false" ht="14.25" hidden="false" customHeight="false" outlineLevel="0" collapsed="false">
      <c r="A162" s="39" t="n">
        <v>300690</v>
      </c>
      <c r="B162" s="39" t="s">
        <v>275</v>
      </c>
      <c r="C162" s="39" t="s">
        <v>91</v>
      </c>
      <c r="D162" s="39" t="s">
        <v>554</v>
      </c>
      <c r="E162" s="132" t="s">
        <v>47</v>
      </c>
      <c r="F162" s="136" t="n">
        <f aca="false">H162-I162</f>
        <v>391.629</v>
      </c>
      <c r="G162" s="132" t="s">
        <v>376</v>
      </c>
      <c r="H162" s="136" t="n">
        <v>391.629</v>
      </c>
      <c r="I162" s="136" t="n">
        <f aca="false">VLOOKUP(A162,[1]Accesorios!$D$1:$I$1048576,6,FALSE())</f>
        <v>0</v>
      </c>
      <c r="J162" s="47"/>
    </row>
    <row r="163" customFormat="false" ht="14.25" hidden="false" customHeight="false" outlineLevel="0" collapsed="false">
      <c r="A163" s="39" t="n">
        <v>300691</v>
      </c>
      <c r="B163" s="39" t="s">
        <v>275</v>
      </c>
      <c r="C163" s="39" t="s">
        <v>91</v>
      </c>
      <c r="D163" s="39" t="s">
        <v>555</v>
      </c>
      <c r="E163" s="132" t="s">
        <v>47</v>
      </c>
      <c r="F163" s="136" t="n">
        <f aca="false">H163-I163</f>
        <v>504</v>
      </c>
      <c r="G163" s="132" t="s">
        <v>376</v>
      </c>
      <c r="H163" s="136" t="n">
        <v>504</v>
      </c>
      <c r="I163" s="136" t="n">
        <f aca="false">VLOOKUP(A163,[1]Accesorios!$D$1:$I$1048576,6,FALSE())</f>
        <v>0</v>
      </c>
      <c r="J163" s="47"/>
    </row>
    <row r="164" customFormat="false" ht="14.25" hidden="false" customHeight="false" outlineLevel="0" collapsed="false">
      <c r="A164" s="39" t="n">
        <v>300722</v>
      </c>
      <c r="B164" s="39" t="s">
        <v>275</v>
      </c>
      <c r="C164" s="39" t="s">
        <v>91</v>
      </c>
      <c r="D164" s="39" t="s">
        <v>556</v>
      </c>
      <c r="E164" s="132" t="s">
        <v>47</v>
      </c>
      <c r="F164" s="136" t="n">
        <f aca="false">H164-I164</f>
        <v>304.5</v>
      </c>
      <c r="G164" s="132" t="s">
        <v>376</v>
      </c>
      <c r="H164" s="136" t="n">
        <v>304.5</v>
      </c>
      <c r="I164" s="136" t="n">
        <f aca="false">VLOOKUP(A164,[1]Accesorios!$D$1:$I$1048576,6,FALSE())</f>
        <v>0</v>
      </c>
      <c r="J164" s="47"/>
    </row>
    <row r="165" customFormat="false" ht="14.25" hidden="false" customHeight="false" outlineLevel="0" collapsed="false">
      <c r="A165" s="39" t="n">
        <v>300695</v>
      </c>
      <c r="B165" s="39" t="s">
        <v>557</v>
      </c>
      <c r="C165" s="39" t="s">
        <v>558</v>
      </c>
      <c r="D165" s="39" t="s">
        <v>559</v>
      </c>
      <c r="E165" s="132" t="s">
        <v>47</v>
      </c>
      <c r="F165" s="136" t="n">
        <f aca="false">H165-I165</f>
        <v>481.593</v>
      </c>
      <c r="G165" s="132" t="s">
        <v>376</v>
      </c>
      <c r="H165" s="136" t="n">
        <v>481.593</v>
      </c>
      <c r="I165" s="136" t="n">
        <f aca="false">VLOOKUP(A165,[1]Accesorios!$D$1:$I$1048576,6,FALSE())</f>
        <v>0</v>
      </c>
      <c r="J165" s="47"/>
    </row>
    <row r="166" customFormat="false" ht="14.25" hidden="false" customHeight="false" outlineLevel="0" collapsed="false">
      <c r="A166" s="39" t="n">
        <v>300725</v>
      </c>
      <c r="B166" s="39" t="s">
        <v>509</v>
      </c>
      <c r="C166" s="39" t="s">
        <v>99</v>
      </c>
      <c r="D166" s="39" t="s">
        <v>560</v>
      </c>
      <c r="E166" s="132" t="s">
        <v>47</v>
      </c>
      <c r="F166" s="136" t="n">
        <f aca="false">H166-I166</f>
        <v>23.2365</v>
      </c>
      <c r="G166" s="132" t="s">
        <v>376</v>
      </c>
      <c r="H166" s="136" t="n">
        <v>23.2365</v>
      </c>
      <c r="I166" s="136" t="n">
        <f aca="false">VLOOKUP(A166,[1]Accesorios!$D$1:$I$1048576,6,FALSE())</f>
        <v>0</v>
      </c>
      <c r="J166" s="47"/>
    </row>
    <row r="167" customFormat="false" ht="14.25" hidden="false" customHeight="false" outlineLevel="0" collapsed="false">
      <c r="A167" s="39" t="n">
        <v>300712</v>
      </c>
      <c r="B167" s="39" t="s">
        <v>275</v>
      </c>
      <c r="C167" s="39" t="s">
        <v>561</v>
      </c>
      <c r="D167" s="39" t="s">
        <v>276</v>
      </c>
      <c r="E167" s="132" t="s">
        <v>47</v>
      </c>
      <c r="F167" s="136" t="n">
        <v>250</v>
      </c>
      <c r="G167" s="132" t="s">
        <v>376</v>
      </c>
      <c r="H167" s="136" t="n">
        <v>495.6</v>
      </c>
      <c r="I167" s="136" t="n">
        <f aca="false">VLOOKUP(A167,[1]Accesorios!$D$1:$I$1048576,6,FALSE())</f>
        <v>0</v>
      </c>
      <c r="J167" s="47"/>
    </row>
    <row r="168" customFormat="false" ht="14.25" hidden="false" customHeight="false" outlineLevel="0" collapsed="false">
      <c r="A168" s="39" t="n">
        <v>300735</v>
      </c>
      <c r="B168" s="39" t="s">
        <v>527</v>
      </c>
      <c r="C168" s="39" t="s">
        <v>561</v>
      </c>
      <c r="D168" s="39" t="s">
        <v>562</v>
      </c>
      <c r="E168" s="132" t="s">
        <v>47</v>
      </c>
      <c r="F168" s="136" t="n">
        <f aca="false">H168-I168</f>
        <v>41.643</v>
      </c>
      <c r="G168" s="132" t="s">
        <v>376</v>
      </c>
      <c r="H168" s="136" t="n">
        <v>41.643</v>
      </c>
      <c r="I168" s="136" t="n">
        <f aca="false">VLOOKUP(A168,[1]Accesorios!$D$1:$I$1048576,6,FALSE())</f>
        <v>0</v>
      </c>
      <c r="J168" s="47"/>
    </row>
    <row r="169" customFormat="false" ht="14.25" hidden="false" customHeight="false" outlineLevel="0" collapsed="false">
      <c r="A169" s="39" t="n">
        <v>300737</v>
      </c>
      <c r="B169" s="39" t="s">
        <v>275</v>
      </c>
      <c r="C169" s="39" t="s">
        <v>91</v>
      </c>
      <c r="D169" s="39" t="s">
        <v>563</v>
      </c>
      <c r="E169" s="132" t="s">
        <v>47</v>
      </c>
      <c r="F169" s="136" t="n">
        <f aca="false">H169-I169</f>
        <v>391.65</v>
      </c>
      <c r="G169" s="132" t="s">
        <v>376</v>
      </c>
      <c r="H169" s="136" t="n">
        <v>391.65</v>
      </c>
      <c r="I169" s="136" t="n">
        <f aca="false">VLOOKUP(A169,[1]Accesorios!$D$1:$I$1048576,6,FALSE())</f>
        <v>0</v>
      </c>
      <c r="J169" s="47"/>
    </row>
    <row r="170" customFormat="false" ht="14.25" hidden="false" customHeight="false" outlineLevel="0" collapsed="false">
      <c r="A170" s="39" t="n">
        <v>300736</v>
      </c>
      <c r="B170" s="39" t="s">
        <v>403</v>
      </c>
      <c r="C170" s="39" t="s">
        <v>91</v>
      </c>
      <c r="D170" s="39" t="s">
        <v>564</v>
      </c>
      <c r="E170" s="132" t="s">
        <v>47</v>
      </c>
      <c r="F170" s="136" t="n">
        <f aca="false">H170-I170</f>
        <v>225.75</v>
      </c>
      <c r="G170" s="132" t="s">
        <v>376</v>
      </c>
      <c r="H170" s="136" t="n">
        <v>225.75</v>
      </c>
      <c r="I170" s="136" t="n">
        <f aca="false">VLOOKUP(A170,[1]Accesorios!$D$1:$I$1048576,6,FALSE())</f>
        <v>0</v>
      </c>
      <c r="J170" s="47"/>
    </row>
    <row r="171" customFormat="false" ht="14.25" hidden="false" customHeight="false" outlineLevel="0" collapsed="false">
      <c r="A171" s="39" t="n">
        <v>314217</v>
      </c>
      <c r="B171" s="39" t="s">
        <v>296</v>
      </c>
      <c r="C171" s="39" t="s">
        <v>565</v>
      </c>
      <c r="D171" s="39" t="s">
        <v>566</v>
      </c>
      <c r="E171" s="132" t="s">
        <v>47</v>
      </c>
      <c r="F171" s="136" t="n">
        <f aca="false">H171-I171</f>
        <v>48.55</v>
      </c>
      <c r="G171" s="132" t="s">
        <v>376</v>
      </c>
      <c r="H171" s="136" t="n">
        <v>49.55</v>
      </c>
      <c r="I171" s="136" t="n">
        <f aca="false">VLOOKUP(A171,[1]Accesorios!$D$1:$I$1048576,6,FALSE())</f>
        <v>1</v>
      </c>
      <c r="J171" s="47"/>
    </row>
    <row r="172" customFormat="false" ht="14.25" hidden="false" customHeight="false" outlineLevel="0" collapsed="false">
      <c r="A172" s="39" t="n">
        <v>300751</v>
      </c>
      <c r="B172" s="39" t="s">
        <v>567</v>
      </c>
      <c r="C172" s="39" t="s">
        <v>84</v>
      </c>
      <c r="D172" s="39" t="s">
        <v>568</v>
      </c>
      <c r="E172" s="132" t="s">
        <v>47</v>
      </c>
      <c r="F172" s="136" t="n">
        <f aca="false">H172-I172</f>
        <v>65.079</v>
      </c>
      <c r="G172" s="132" t="s">
        <v>376</v>
      </c>
      <c r="H172" s="136" t="n">
        <v>65.079</v>
      </c>
      <c r="I172" s="136" t="n">
        <f aca="false">VLOOKUP(A172,[1]Accesorios!$D$1:$I$1048576,6,FALSE())</f>
        <v>0</v>
      </c>
      <c r="J172" s="47"/>
    </row>
    <row r="173" customFormat="false" ht="14.25" hidden="false" customHeight="false" outlineLevel="0" collapsed="false">
      <c r="A173" s="39" t="n">
        <v>300744</v>
      </c>
      <c r="B173" s="39" t="s">
        <v>368</v>
      </c>
      <c r="C173" s="39" t="s">
        <v>150</v>
      </c>
      <c r="D173" s="39" t="s">
        <v>569</v>
      </c>
      <c r="E173" s="132" t="s">
        <v>47</v>
      </c>
      <c r="F173" s="145" t="n">
        <f aca="false">H173-I173</f>
        <v>442.1025</v>
      </c>
      <c r="G173" s="132" t="s">
        <v>376</v>
      </c>
      <c r="H173" s="145" t="n">
        <v>442.1025</v>
      </c>
      <c r="I173" s="145" t="n">
        <f aca="false">VLOOKUP(A173,[1]Accesorios!$D$1:$I$1048576,6,FALSE())</f>
        <v>0</v>
      </c>
      <c r="J173" s="47"/>
    </row>
    <row r="174" customFormat="false" ht="14.25" hidden="false" customHeight="false" outlineLevel="0" collapsed="false">
      <c r="A174" s="39" t="n">
        <v>300781</v>
      </c>
      <c r="B174" s="39" t="s">
        <v>368</v>
      </c>
      <c r="C174" s="39" t="s">
        <v>570</v>
      </c>
      <c r="D174" s="39" t="s">
        <v>571</v>
      </c>
      <c r="E174" s="132" t="s">
        <v>47</v>
      </c>
      <c r="F174" s="136" t="n">
        <f aca="false">H174-I174</f>
        <v>1113.378</v>
      </c>
      <c r="G174" s="132" t="s">
        <v>376</v>
      </c>
      <c r="H174" s="136" t="n">
        <v>1113.378</v>
      </c>
      <c r="I174" s="136" t="n">
        <f aca="false">VLOOKUP(A174,[1]Accesorios!$D$1:$I$1048576,6,FALSE())</f>
        <v>0</v>
      </c>
      <c r="J174" s="47"/>
    </row>
    <row r="175" customFormat="false" ht="14.25" hidden="false" customHeight="false" outlineLevel="0" collapsed="false">
      <c r="A175" s="39" t="n">
        <v>300782</v>
      </c>
      <c r="B175" s="39" t="s">
        <v>296</v>
      </c>
      <c r="C175" s="39" t="s">
        <v>59</v>
      </c>
      <c r="D175" s="39" t="s">
        <v>572</v>
      </c>
      <c r="E175" s="132" t="s">
        <v>47</v>
      </c>
      <c r="F175" s="136" t="n">
        <f aca="false">H175-I175</f>
        <v>74.277</v>
      </c>
      <c r="G175" s="132" t="s">
        <v>376</v>
      </c>
      <c r="H175" s="136" t="n">
        <v>74.277</v>
      </c>
      <c r="I175" s="136" t="n">
        <f aca="false">VLOOKUP(A175,[1]Accesorios!$D$1:$I$1048576,6,FALSE())</f>
        <v>0</v>
      </c>
      <c r="J175" s="47"/>
    </row>
    <row r="176" customFormat="false" ht="14.25" hidden="false" customHeight="false" outlineLevel="0" collapsed="false">
      <c r="A176" s="39" t="n">
        <v>300769</v>
      </c>
      <c r="B176" s="39" t="s">
        <v>377</v>
      </c>
      <c r="C176" s="39" t="s">
        <v>99</v>
      </c>
      <c r="D176" s="39" t="s">
        <v>573</v>
      </c>
      <c r="E176" s="132" t="s">
        <v>47</v>
      </c>
      <c r="F176" s="136" t="n">
        <f aca="false">H176-I176</f>
        <v>185.178</v>
      </c>
      <c r="G176" s="132" t="s">
        <v>376</v>
      </c>
      <c r="H176" s="136" t="n">
        <v>185.178</v>
      </c>
      <c r="I176" s="136" t="n">
        <f aca="false">VLOOKUP(A176,[1]Accesorios!$D$1:$I$1048576,6,FALSE())</f>
        <v>0</v>
      </c>
      <c r="J176" s="47"/>
    </row>
    <row r="177" customFormat="false" ht="14.25" hidden="false" customHeight="false" outlineLevel="0" collapsed="false">
      <c r="A177" s="39" t="n">
        <v>300770</v>
      </c>
      <c r="B177" s="39" t="s">
        <v>377</v>
      </c>
      <c r="C177" s="39" t="s">
        <v>99</v>
      </c>
      <c r="D177" s="39" t="s">
        <v>574</v>
      </c>
      <c r="E177" s="132" t="s">
        <v>47</v>
      </c>
      <c r="F177" s="136" t="n">
        <f aca="false">H177-I177</f>
        <v>169.239</v>
      </c>
      <c r="G177" s="132" t="s">
        <v>376</v>
      </c>
      <c r="H177" s="136" t="n">
        <v>169.239</v>
      </c>
      <c r="I177" s="136" t="n">
        <f aca="false">VLOOKUP(A177,[1]Accesorios!$D$1:$I$1048576,6,FALSE())</f>
        <v>0</v>
      </c>
      <c r="J177" s="47"/>
    </row>
    <row r="178" customFormat="false" ht="14.25" hidden="false" customHeight="false" outlineLevel="0" collapsed="false">
      <c r="A178" s="39" t="n">
        <v>300838</v>
      </c>
      <c r="B178" s="39" t="s">
        <v>368</v>
      </c>
      <c r="C178" s="39" t="s">
        <v>570</v>
      </c>
      <c r="D178" s="39" t="s">
        <v>575</v>
      </c>
      <c r="E178" s="132" t="s">
        <v>47</v>
      </c>
      <c r="F178" s="136" t="n">
        <f aca="false">H178-I178</f>
        <v>1233.204</v>
      </c>
      <c r="G178" s="132" t="s">
        <v>376</v>
      </c>
      <c r="H178" s="136" t="n">
        <v>1233.204</v>
      </c>
      <c r="I178" s="136" t="n">
        <f aca="false">VLOOKUP(A178,[1]Accesorios!$D$1:$I$1048576,6,FALSE())</f>
        <v>0</v>
      </c>
      <c r="J178" s="47"/>
    </row>
    <row r="179" customFormat="false" ht="14.25" hidden="false" customHeight="false" outlineLevel="0" collapsed="false">
      <c r="A179" s="39" t="n">
        <v>300802</v>
      </c>
      <c r="B179" s="39" t="s">
        <v>76</v>
      </c>
      <c r="C179" s="39" t="s">
        <v>163</v>
      </c>
      <c r="D179" s="39" t="s">
        <v>576</v>
      </c>
      <c r="E179" s="132" t="s">
        <v>47</v>
      </c>
      <c r="F179" s="136" t="n">
        <f aca="false">H179-I179</f>
        <v>991.62</v>
      </c>
      <c r="G179" s="132" t="s">
        <v>376</v>
      </c>
      <c r="H179" s="136" t="n">
        <v>991.62</v>
      </c>
      <c r="I179" s="136" t="n">
        <f aca="false">VLOOKUP(A179,[1]Accesorios!$D$1:$I$1048576,6,FALSE())</f>
        <v>0</v>
      </c>
      <c r="J179" s="47"/>
    </row>
    <row r="180" customFormat="false" ht="14.25" hidden="false" customHeight="false" outlineLevel="0" collapsed="false">
      <c r="A180" s="39" t="n">
        <v>300774</v>
      </c>
      <c r="B180" s="39" t="s">
        <v>76</v>
      </c>
      <c r="C180" s="39" t="s">
        <v>163</v>
      </c>
      <c r="D180" s="39" t="s">
        <v>577</v>
      </c>
      <c r="E180" s="132" t="s">
        <v>47</v>
      </c>
      <c r="F180" s="136" t="n">
        <f aca="false">H180-I180</f>
        <v>350.889</v>
      </c>
      <c r="G180" s="132" t="s">
        <v>376</v>
      </c>
      <c r="H180" s="136" t="n">
        <v>350.889</v>
      </c>
      <c r="I180" s="136" t="n">
        <f aca="false">VLOOKUP(A180,[1]Accesorios!$D$1:$I$1048576,6,FALSE())</f>
        <v>0</v>
      </c>
      <c r="J180" s="47"/>
    </row>
    <row r="181" customFormat="false" ht="14.25" hidden="false" customHeight="false" outlineLevel="0" collapsed="false">
      <c r="A181" s="39" t="n">
        <v>300763</v>
      </c>
      <c r="B181" s="39" t="s">
        <v>418</v>
      </c>
      <c r="C181" s="39" t="s">
        <v>84</v>
      </c>
      <c r="D181" s="39" t="s">
        <v>578</v>
      </c>
      <c r="E181" s="132" t="s">
        <v>47</v>
      </c>
      <c r="F181" s="136" t="n">
        <f aca="false">H181-I181</f>
        <v>16.8215</v>
      </c>
      <c r="G181" s="132" t="s">
        <v>376</v>
      </c>
      <c r="H181" s="136" t="n">
        <v>20.8215</v>
      </c>
      <c r="I181" s="136" t="n">
        <f aca="false">VLOOKUP(A181,[1]Accesorios!$D$1:$I$1048576,6,FALSE())</f>
        <v>4</v>
      </c>
      <c r="J181" s="47"/>
    </row>
    <row r="182" customFormat="false" ht="14.25" hidden="false" customHeight="false" outlineLevel="0" collapsed="false">
      <c r="A182" s="39" t="n">
        <v>300764</v>
      </c>
      <c r="B182" s="39" t="s">
        <v>418</v>
      </c>
      <c r="C182" s="39" t="s">
        <v>84</v>
      </c>
      <c r="D182" s="39" t="s">
        <v>579</v>
      </c>
      <c r="E182" s="132" t="s">
        <v>47</v>
      </c>
      <c r="F182" s="136" t="n">
        <f aca="false">H182-I182</f>
        <v>175.237</v>
      </c>
      <c r="G182" s="132" t="s">
        <v>376</v>
      </c>
      <c r="H182" s="136" t="n">
        <v>195.237</v>
      </c>
      <c r="I182" s="136" t="n">
        <f aca="false">VLOOKUP(A182,[1]Accesorios!$D$1:$I$1048576,6,FALSE())</f>
        <v>20</v>
      </c>
      <c r="J182" s="47"/>
    </row>
    <row r="183" customFormat="false" ht="14.25" hidden="false" customHeight="false" outlineLevel="0" collapsed="false">
      <c r="A183" s="39" t="n">
        <v>300765</v>
      </c>
      <c r="B183" s="39" t="s">
        <v>580</v>
      </c>
      <c r="C183" s="39" t="s">
        <v>84</v>
      </c>
      <c r="D183" s="39" t="s">
        <v>581</v>
      </c>
      <c r="E183" s="132" t="s">
        <v>47</v>
      </c>
      <c r="F183" s="136" t="n">
        <f aca="false">H183-I183</f>
        <v>48.5835</v>
      </c>
      <c r="G183" s="132" t="s">
        <v>376</v>
      </c>
      <c r="H183" s="136" t="n">
        <v>48.5835</v>
      </c>
      <c r="I183" s="136" t="n">
        <f aca="false">VLOOKUP(A183,[1]Accesorios!$D$1:$I$1048576,6,FALSE())</f>
        <v>0</v>
      </c>
      <c r="J183" s="47"/>
    </row>
    <row r="184" customFormat="false" ht="14.25" hidden="false" customHeight="false" outlineLevel="0" collapsed="false">
      <c r="A184" s="39" t="n">
        <v>300773</v>
      </c>
      <c r="B184" s="39" t="s">
        <v>377</v>
      </c>
      <c r="C184" s="39" t="s">
        <v>84</v>
      </c>
      <c r="D184" s="39" t="s">
        <v>582</v>
      </c>
      <c r="E184" s="132" t="s">
        <v>47</v>
      </c>
      <c r="F184" s="136" t="n">
        <f aca="false">H184-I184</f>
        <v>45.549</v>
      </c>
      <c r="G184" s="132" t="s">
        <v>376</v>
      </c>
      <c r="H184" s="136" t="n">
        <v>45.549</v>
      </c>
      <c r="I184" s="136" t="n">
        <f aca="false">VLOOKUP(A184,[1]Accesorios!$D$1:$I$1048576,6,FALSE())</f>
        <v>0</v>
      </c>
      <c r="J184" s="47"/>
    </row>
    <row r="185" customFormat="false" ht="14.25" hidden="false" customHeight="false" outlineLevel="0" collapsed="false">
      <c r="A185" s="39" t="n">
        <v>300746</v>
      </c>
      <c r="B185" s="39" t="s">
        <v>542</v>
      </c>
      <c r="C185" s="39" t="s">
        <v>84</v>
      </c>
      <c r="D185" s="39" t="s">
        <v>543</v>
      </c>
      <c r="E185" s="132" t="s">
        <v>47</v>
      </c>
      <c r="F185" s="136" t="n">
        <f aca="false">H185-I185</f>
        <v>30.9645</v>
      </c>
      <c r="G185" s="132" t="s">
        <v>376</v>
      </c>
      <c r="H185" s="136" t="n">
        <v>30.9645</v>
      </c>
      <c r="I185" s="136" t="n">
        <f aca="false">VLOOKUP(A185,[1]Accesorios!$D$1:$I$1048576,6,FALSE())</f>
        <v>0</v>
      </c>
      <c r="J185" s="47"/>
    </row>
    <row r="186" customFormat="false" ht="14.25" hidden="false" customHeight="false" outlineLevel="0" collapsed="false">
      <c r="A186" s="39" t="n">
        <v>300796</v>
      </c>
      <c r="B186" s="39" t="s">
        <v>544</v>
      </c>
      <c r="C186" s="39" t="s">
        <v>84</v>
      </c>
      <c r="D186" s="39" t="s">
        <v>121</v>
      </c>
      <c r="E186" s="132" t="s">
        <v>47</v>
      </c>
      <c r="F186" s="136" t="n">
        <f aca="false">H186-I186</f>
        <v>610.9005</v>
      </c>
      <c r="G186" s="132" t="s">
        <v>376</v>
      </c>
      <c r="H186" s="136" t="n">
        <v>610.9005</v>
      </c>
      <c r="I186" s="136" t="n">
        <f aca="false">VLOOKUP(A186,[1]Accesorios!$D$1:$I$1048576,6,FALSE())</f>
        <v>0</v>
      </c>
      <c r="J186" s="47"/>
    </row>
    <row r="187" customFormat="false" ht="14.25" hidden="false" customHeight="false" outlineLevel="0" collapsed="false">
      <c r="A187" s="39" t="n">
        <v>300806</v>
      </c>
      <c r="B187" s="39" t="s">
        <v>527</v>
      </c>
      <c r="C187" s="39" t="s">
        <v>84</v>
      </c>
      <c r="D187" s="39" t="s">
        <v>583</v>
      </c>
      <c r="E187" s="132" t="s">
        <v>47</v>
      </c>
      <c r="F187" s="136" t="n">
        <f aca="false">H187-I187</f>
        <v>43.5835</v>
      </c>
      <c r="G187" s="132" t="s">
        <v>376</v>
      </c>
      <c r="H187" s="136" t="n">
        <v>48.5835</v>
      </c>
      <c r="I187" s="136" t="n">
        <f aca="false">VLOOKUP(A187,[1]Accesorios!$D$1:$I$1048576,6,FALSE())</f>
        <v>5</v>
      </c>
      <c r="J187" s="47"/>
    </row>
    <row r="188" customFormat="false" ht="14.25" hidden="false" customHeight="false" outlineLevel="0" collapsed="false">
      <c r="A188" s="39" t="n">
        <v>300829</v>
      </c>
      <c r="B188" s="39" t="s">
        <v>418</v>
      </c>
      <c r="C188" s="39" t="s">
        <v>84</v>
      </c>
      <c r="D188" s="39" t="s">
        <v>584</v>
      </c>
      <c r="E188" s="132" t="s">
        <v>47</v>
      </c>
      <c r="F188" s="136" t="n">
        <f aca="false">H188-I188</f>
        <v>227.787</v>
      </c>
      <c r="G188" s="132" t="s">
        <v>376</v>
      </c>
      <c r="H188" s="136" t="n">
        <v>227.787</v>
      </c>
      <c r="I188" s="136" t="n">
        <f aca="false">VLOOKUP(A188,[1]Accesorios!$D$1:$I$1048576,6,FALSE())</f>
        <v>0</v>
      </c>
      <c r="J188" s="47"/>
    </row>
    <row r="189" customFormat="false" ht="14.25" hidden="false" customHeight="false" outlineLevel="0" collapsed="false">
      <c r="A189" s="39" t="n">
        <v>300808</v>
      </c>
      <c r="B189" s="39" t="s">
        <v>527</v>
      </c>
      <c r="C189" s="39" t="s">
        <v>585</v>
      </c>
      <c r="D189" s="39" t="s">
        <v>586</v>
      </c>
      <c r="E189" s="132" t="s">
        <v>47</v>
      </c>
      <c r="F189" s="136" t="n">
        <f aca="false">H189-I189</f>
        <v>212.7615</v>
      </c>
      <c r="G189" s="132" t="s">
        <v>376</v>
      </c>
      <c r="H189" s="136" t="n">
        <v>212.7615</v>
      </c>
      <c r="I189" s="136" t="n">
        <f aca="false">VLOOKUP(A189,[1]Accesorios!$D$1:$I$1048576,6,FALSE())</f>
        <v>0</v>
      </c>
      <c r="J189" s="47"/>
    </row>
    <row r="190" customFormat="false" ht="14.25" hidden="false" customHeight="false" outlineLevel="0" collapsed="false">
      <c r="A190" s="39" t="n">
        <v>300809</v>
      </c>
      <c r="B190" s="39" t="s">
        <v>527</v>
      </c>
      <c r="C190" s="39" t="s">
        <v>585</v>
      </c>
      <c r="D190" s="39" t="s">
        <v>587</v>
      </c>
      <c r="E190" s="132" t="s">
        <v>47</v>
      </c>
      <c r="F190" s="136" t="n">
        <f aca="false">H190-I190</f>
        <v>212.7615</v>
      </c>
      <c r="G190" s="132" t="s">
        <v>376</v>
      </c>
      <c r="H190" s="136" t="n">
        <v>212.7615</v>
      </c>
      <c r="I190" s="136" t="n">
        <f aca="false">VLOOKUP(A190,[1]Accesorios!$D$1:$I$1048576,6,FALSE())</f>
        <v>0</v>
      </c>
      <c r="J190" s="47"/>
    </row>
    <row r="191" customFormat="false" ht="14.25" hidden="false" customHeight="false" outlineLevel="0" collapsed="false">
      <c r="A191" s="39" t="n">
        <v>300822</v>
      </c>
      <c r="B191" s="39" t="s">
        <v>403</v>
      </c>
      <c r="C191" s="39" t="s">
        <v>588</v>
      </c>
      <c r="D191" s="39" t="s">
        <v>589</v>
      </c>
      <c r="E191" s="132" t="s">
        <v>47</v>
      </c>
      <c r="F191" s="136" t="n">
        <f aca="false">H191-I191</f>
        <v>201.8625</v>
      </c>
      <c r="G191" s="132" t="s">
        <v>376</v>
      </c>
      <c r="H191" s="136" t="n">
        <v>201.8625</v>
      </c>
      <c r="I191" s="136" t="n">
        <f aca="false">VLOOKUP(A191,[1]Accesorios!$D$1:$I$1048576,6,FALSE())</f>
        <v>0</v>
      </c>
      <c r="J191" s="47"/>
    </row>
    <row r="192" customFormat="false" ht="14.25" hidden="false" customHeight="false" outlineLevel="0" collapsed="false">
      <c r="A192" s="39" t="n">
        <v>300823</v>
      </c>
      <c r="B192" s="39" t="s">
        <v>334</v>
      </c>
      <c r="C192" s="39" t="s">
        <v>588</v>
      </c>
      <c r="D192" s="39" t="s">
        <v>590</v>
      </c>
      <c r="E192" s="132" t="s">
        <v>47</v>
      </c>
      <c r="F192" s="136" t="n">
        <f aca="false">H192-I192</f>
        <v>43.8585</v>
      </c>
      <c r="G192" s="132" t="s">
        <v>376</v>
      </c>
      <c r="H192" s="136" t="n">
        <v>43.8585</v>
      </c>
      <c r="I192" s="136" t="n">
        <f aca="false">VLOOKUP(A192,[1]Accesorios!$D$1:$I$1048576,6,FALSE())</f>
        <v>0</v>
      </c>
      <c r="J192" s="47"/>
    </row>
    <row r="193" customFormat="false" ht="14.25" hidden="false" customHeight="false" outlineLevel="0" collapsed="false">
      <c r="A193" s="39" t="n">
        <v>300824</v>
      </c>
      <c r="B193" s="39" t="s">
        <v>591</v>
      </c>
      <c r="C193" s="39" t="s">
        <v>588</v>
      </c>
      <c r="D193" s="39" t="s">
        <v>592</v>
      </c>
      <c r="E193" s="132" t="s">
        <v>47</v>
      </c>
      <c r="F193" s="136" t="n">
        <f aca="false">H193-I193</f>
        <v>62.412</v>
      </c>
      <c r="G193" s="132" t="s">
        <v>376</v>
      </c>
      <c r="H193" s="136" t="n">
        <v>62.412</v>
      </c>
      <c r="I193" s="136" t="n">
        <f aca="false">VLOOKUP(A193,[1]Accesorios!$D$1:$I$1048576,6,FALSE())</f>
        <v>0</v>
      </c>
      <c r="J193" s="47"/>
    </row>
    <row r="194" customFormat="false" ht="14.25" hidden="false" customHeight="false" outlineLevel="0" collapsed="false">
      <c r="A194" s="39" t="n">
        <v>300825</v>
      </c>
      <c r="B194" s="39" t="s">
        <v>593</v>
      </c>
      <c r="C194" s="39" t="s">
        <v>588</v>
      </c>
      <c r="D194" s="39" t="s">
        <v>594</v>
      </c>
      <c r="E194" s="132" t="s">
        <v>47</v>
      </c>
      <c r="F194" s="136" t="n">
        <f aca="false">H194-I194</f>
        <v>95.592</v>
      </c>
      <c r="G194" s="132" t="s">
        <v>376</v>
      </c>
      <c r="H194" s="136" t="n">
        <v>95.592</v>
      </c>
      <c r="I194" s="136" t="n">
        <f aca="false">VLOOKUP(A194,[1]Accesorios!$D$1:$I$1048576,6,FALSE())</f>
        <v>0</v>
      </c>
      <c r="J194" s="47"/>
    </row>
    <row r="195" customFormat="false" ht="14.25" hidden="false" customHeight="false" outlineLevel="0" collapsed="false">
      <c r="A195" s="39" t="n">
        <v>300856</v>
      </c>
      <c r="B195" s="39" t="s">
        <v>384</v>
      </c>
      <c r="C195" s="39" t="s">
        <v>385</v>
      </c>
      <c r="D195" s="39" t="s">
        <v>595</v>
      </c>
      <c r="E195" s="132" t="s">
        <v>47</v>
      </c>
      <c r="F195" s="136" t="n">
        <f aca="false">H195-I195</f>
        <v>62.77076</v>
      </c>
      <c r="G195" s="132" t="s">
        <v>376</v>
      </c>
      <c r="H195" s="136" t="n">
        <v>87.77076</v>
      </c>
      <c r="I195" s="136" t="n">
        <f aca="false">VLOOKUP(A195,[1]Accesorios!$D$1:$I$1048576,6,FALSE())</f>
        <v>25</v>
      </c>
      <c r="J195" s="47"/>
    </row>
    <row r="196" customFormat="false" ht="14.25" hidden="false" customHeight="false" outlineLevel="0" collapsed="false">
      <c r="A196" s="39" t="n">
        <v>300865</v>
      </c>
      <c r="B196" s="39" t="s">
        <v>596</v>
      </c>
      <c r="C196" s="39" t="s">
        <v>597</v>
      </c>
      <c r="D196" s="39" t="s">
        <v>598</v>
      </c>
      <c r="E196" s="132" t="s">
        <v>47</v>
      </c>
      <c r="F196" s="136" t="n">
        <f aca="false">H196-I196</f>
        <v>103.4355</v>
      </c>
      <c r="G196" s="132" t="s">
        <v>376</v>
      </c>
      <c r="H196" s="136" t="n">
        <v>103.4355</v>
      </c>
      <c r="I196" s="136" t="n">
        <f aca="false">VLOOKUP(A196,[1]Accesorios!$D$1:$I$1048576,6,FALSE())</f>
        <v>0</v>
      </c>
      <c r="J196" s="47"/>
    </row>
    <row r="197" customFormat="false" ht="14.25" hidden="false" customHeight="false" outlineLevel="0" collapsed="false">
      <c r="A197" s="39" t="n">
        <v>314602</v>
      </c>
      <c r="B197" s="39" t="s">
        <v>76</v>
      </c>
      <c r="C197" s="39" t="s">
        <v>163</v>
      </c>
      <c r="D197" s="39" t="s">
        <v>599</v>
      </c>
      <c r="E197" s="132" t="s">
        <v>47</v>
      </c>
      <c r="F197" s="136" t="n">
        <f aca="false">H197-I197</f>
        <v>484.5015</v>
      </c>
      <c r="G197" s="132" t="s">
        <v>376</v>
      </c>
      <c r="H197" s="136" t="n">
        <v>484.5015</v>
      </c>
      <c r="I197" s="136" t="n">
        <f aca="false">VLOOKUP(A197,[1]Accesorios!$D$1:$I$1048576,6,FALSE())</f>
        <v>0</v>
      </c>
      <c r="J197" s="47"/>
    </row>
    <row r="198" customFormat="false" ht="14.25" hidden="false" customHeight="false" outlineLevel="0" collapsed="false">
      <c r="A198" s="39" t="n">
        <v>300871</v>
      </c>
      <c r="B198" s="39" t="s">
        <v>384</v>
      </c>
      <c r="C198" s="39" t="s">
        <v>585</v>
      </c>
      <c r="D198" s="39" t="s">
        <v>600</v>
      </c>
      <c r="E198" s="132" t="s">
        <v>47</v>
      </c>
      <c r="F198" s="136" t="n">
        <f aca="false">H198-I198</f>
        <v>177.177</v>
      </c>
      <c r="G198" s="132" t="s">
        <v>376</v>
      </c>
      <c r="H198" s="136" t="n">
        <v>177.177</v>
      </c>
      <c r="I198" s="136" t="n">
        <f aca="false">VLOOKUP(A198,[1]Accesorios!$D$1:$I$1048576,6,FALSE())</f>
        <v>0</v>
      </c>
      <c r="J198" s="47"/>
    </row>
    <row r="199" customFormat="false" ht="14.25" hidden="false" customHeight="false" outlineLevel="0" collapsed="false">
      <c r="A199" s="39" t="n">
        <v>300870</v>
      </c>
      <c r="B199" s="39" t="s">
        <v>384</v>
      </c>
      <c r="C199" s="39" t="s">
        <v>131</v>
      </c>
      <c r="D199" s="39" t="s">
        <v>601</v>
      </c>
      <c r="E199" s="132" t="s">
        <v>47</v>
      </c>
      <c r="F199" s="136" t="n">
        <f aca="false">H199-I199</f>
        <v>172.4595</v>
      </c>
      <c r="G199" s="132" t="s">
        <v>376</v>
      </c>
      <c r="H199" s="136" t="n">
        <v>211.4595</v>
      </c>
      <c r="I199" s="136" t="n">
        <f aca="false">VLOOKUP(A199,[1]Accesorios!$D$1:$I$1048576,6,FALSE())</f>
        <v>39</v>
      </c>
      <c r="J199" s="47"/>
    </row>
    <row r="200" customFormat="false" ht="14.25" hidden="false" customHeight="false" outlineLevel="0" collapsed="false">
      <c r="A200" s="39" t="n">
        <v>300906</v>
      </c>
      <c r="B200" s="39" t="s">
        <v>384</v>
      </c>
      <c r="C200" s="39" t="s">
        <v>585</v>
      </c>
      <c r="D200" s="39" t="s">
        <v>602</v>
      </c>
      <c r="E200" s="132" t="s">
        <v>47</v>
      </c>
      <c r="F200" s="136" t="n">
        <f aca="false">H200-I200</f>
        <v>205.7895</v>
      </c>
      <c r="G200" s="132" t="s">
        <v>376</v>
      </c>
      <c r="H200" s="136" t="n">
        <v>205.7895</v>
      </c>
      <c r="I200" s="136" t="n">
        <f aca="false">VLOOKUP(A200,[1]Accesorios!$D$1:$I$1048576,6,FALSE())</f>
        <v>0</v>
      </c>
      <c r="J200" s="47"/>
    </row>
    <row r="201" customFormat="false" ht="14.25" hidden="false" customHeight="false" outlineLevel="0" collapsed="false">
      <c r="A201" s="39" t="n">
        <v>300910</v>
      </c>
      <c r="B201" s="39" t="s">
        <v>603</v>
      </c>
      <c r="C201" s="39" t="s">
        <v>604</v>
      </c>
      <c r="D201" s="39" t="s">
        <v>605</v>
      </c>
      <c r="E201" s="132" t="s">
        <v>47</v>
      </c>
      <c r="F201" s="136" t="n">
        <f aca="false">H201-I201</f>
        <v>117.453</v>
      </c>
      <c r="G201" s="132" t="s">
        <v>376</v>
      </c>
      <c r="H201" s="136" t="n">
        <v>117.453</v>
      </c>
      <c r="I201" s="136" t="n">
        <f aca="false">VLOOKUP(A201,[1]Accesorios!$D$1:$I$1048576,6,FALSE())</f>
        <v>0</v>
      </c>
      <c r="J201" s="47"/>
    </row>
    <row r="202" customFormat="false" ht="14.25" hidden="false" customHeight="false" outlineLevel="0" collapsed="false">
      <c r="A202" s="39" t="n">
        <v>300925</v>
      </c>
      <c r="B202" s="39" t="s">
        <v>527</v>
      </c>
      <c r="C202" s="39" t="s">
        <v>528</v>
      </c>
      <c r="D202" s="39" t="s">
        <v>606</v>
      </c>
      <c r="E202" s="132" t="s">
        <v>47</v>
      </c>
      <c r="F202" s="136" t="n">
        <f aca="false">H202-I202</f>
        <v>35.938</v>
      </c>
      <c r="G202" s="132" t="s">
        <v>376</v>
      </c>
      <c r="H202" s="136" t="n">
        <v>49.938</v>
      </c>
      <c r="I202" s="136" t="n">
        <f aca="false">VLOOKUP(A202,[1]Accesorios!$D$1:$I$1048576,6,FALSE())</f>
        <v>14</v>
      </c>
      <c r="J202" s="47"/>
    </row>
    <row r="203" customFormat="false" ht="14.25" hidden="false" customHeight="false" outlineLevel="0" collapsed="false">
      <c r="A203" s="39" t="n">
        <v>300866</v>
      </c>
      <c r="B203" s="39" t="s">
        <v>403</v>
      </c>
      <c r="C203" s="39" t="s">
        <v>607</v>
      </c>
      <c r="D203" s="39" t="s">
        <v>608</v>
      </c>
      <c r="E203" s="132" t="s">
        <v>47</v>
      </c>
      <c r="F203" s="136" t="n">
        <f aca="false">H203-I203</f>
        <v>194.649</v>
      </c>
      <c r="G203" s="132" t="s">
        <v>376</v>
      </c>
      <c r="H203" s="136" t="n">
        <v>194.649</v>
      </c>
      <c r="I203" s="136" t="n">
        <f aca="false">VLOOKUP(A203,[1]Accesorios!$D$1:$I$1048576,6,FALSE())</f>
        <v>0</v>
      </c>
      <c r="J203" s="47"/>
    </row>
    <row r="204" customFormat="false" ht="14.25" hidden="false" customHeight="false" outlineLevel="0" collapsed="false">
      <c r="A204" s="39" t="n">
        <v>300926</v>
      </c>
      <c r="B204" s="39" t="s">
        <v>396</v>
      </c>
      <c r="C204" s="39" t="s">
        <v>397</v>
      </c>
      <c r="D204" s="39" t="s">
        <v>609</v>
      </c>
      <c r="E204" s="132" t="s">
        <v>47</v>
      </c>
      <c r="F204" s="136" t="n">
        <f aca="false">H204-I204</f>
        <v>77.679</v>
      </c>
      <c r="G204" s="132" t="s">
        <v>376</v>
      </c>
      <c r="H204" s="136" t="n">
        <v>77.679</v>
      </c>
      <c r="I204" s="136" t="n">
        <f aca="false">VLOOKUP(A204,[1]Accesorios!$D$1:$I$1048576,6,FALSE())</f>
        <v>0</v>
      </c>
      <c r="J204" s="47"/>
    </row>
    <row r="205" customFormat="false" ht="14.25" hidden="false" customHeight="false" outlineLevel="0" collapsed="false">
      <c r="A205" s="39" t="n">
        <v>300880</v>
      </c>
      <c r="B205" s="39" t="s">
        <v>416</v>
      </c>
      <c r="C205" s="39" t="s">
        <v>131</v>
      </c>
      <c r="D205" s="39" t="s">
        <v>610</v>
      </c>
      <c r="E205" s="132" t="s">
        <v>47</v>
      </c>
      <c r="F205" s="136" t="n">
        <f aca="false">H205-I205</f>
        <v>478.348</v>
      </c>
      <c r="G205" s="132" t="s">
        <v>376</v>
      </c>
      <c r="H205" s="136" t="n">
        <v>558.348</v>
      </c>
      <c r="I205" s="136" t="n">
        <f aca="false">VLOOKUP(A205,[1]Accesorios!$D$1:$I$1048576,6,FALSE())</f>
        <v>80</v>
      </c>
      <c r="J205" s="47"/>
    </row>
    <row r="206" customFormat="false" ht="14.25" hidden="false" customHeight="false" outlineLevel="0" collapsed="false">
      <c r="A206" s="39" t="n">
        <v>300881</v>
      </c>
      <c r="B206" s="39" t="s">
        <v>389</v>
      </c>
      <c r="C206" s="39" t="s">
        <v>131</v>
      </c>
      <c r="D206" s="39" t="s">
        <v>611</v>
      </c>
      <c r="E206" s="132" t="s">
        <v>47</v>
      </c>
      <c r="F206" s="136" t="n">
        <f aca="false">H206-I206</f>
        <v>143.451</v>
      </c>
      <c r="G206" s="132" t="s">
        <v>376</v>
      </c>
      <c r="H206" s="136" t="n">
        <v>143.451</v>
      </c>
      <c r="I206" s="136" t="n">
        <f aca="false">VLOOKUP(A206,[1]Accesorios!$D$1:$I$1048576,6,FALSE())</f>
        <v>0</v>
      </c>
      <c r="J206" s="47"/>
    </row>
    <row r="207" customFormat="false" ht="14.25" hidden="false" customHeight="false" outlineLevel="0" collapsed="false">
      <c r="A207" s="39" t="n">
        <v>300883</v>
      </c>
      <c r="B207" s="39" t="s">
        <v>550</v>
      </c>
      <c r="C207" s="39" t="s">
        <v>81</v>
      </c>
      <c r="D207" s="39" t="s">
        <v>612</v>
      </c>
      <c r="E207" s="132" t="s">
        <v>47</v>
      </c>
      <c r="F207" s="136" t="n">
        <f aca="false">H207-I207</f>
        <v>435.75</v>
      </c>
      <c r="G207" s="132" t="s">
        <v>376</v>
      </c>
      <c r="H207" s="136" t="n">
        <v>435.75</v>
      </c>
      <c r="I207" s="136" t="n">
        <f aca="false">VLOOKUP(A207,[1]Accesorios!$D$1:$I$1048576,6,FALSE())</f>
        <v>0</v>
      </c>
      <c r="J207" s="47"/>
    </row>
    <row r="208" customFormat="false" ht="14.25" hidden="false" customHeight="false" outlineLevel="0" collapsed="false">
      <c r="A208" s="39" t="n">
        <v>300882</v>
      </c>
      <c r="B208" s="39" t="s">
        <v>389</v>
      </c>
      <c r="C208" s="39" t="s">
        <v>81</v>
      </c>
      <c r="D208" s="39" t="s">
        <v>613</v>
      </c>
      <c r="E208" s="132" t="s">
        <v>47</v>
      </c>
      <c r="F208" s="136" t="n">
        <f aca="false">H208-I208</f>
        <v>181.944</v>
      </c>
      <c r="G208" s="132" t="s">
        <v>376</v>
      </c>
      <c r="H208" s="136" t="n">
        <v>181.944</v>
      </c>
      <c r="I208" s="136" t="n">
        <f aca="false">VLOOKUP(A208,[1]Accesorios!$D$1:$I$1048576,6,FALSE())</f>
        <v>0</v>
      </c>
      <c r="J208" s="47"/>
    </row>
    <row r="209" customFormat="false" ht="14.25" hidden="false" customHeight="false" outlineLevel="0" collapsed="false">
      <c r="A209" s="39" t="n">
        <v>300931</v>
      </c>
      <c r="B209" s="39" t="s">
        <v>377</v>
      </c>
      <c r="C209" s="39" t="s">
        <v>178</v>
      </c>
      <c r="D209" s="39" t="s">
        <v>614</v>
      </c>
      <c r="E209" s="132" t="s">
        <v>47</v>
      </c>
      <c r="F209" s="136" t="n">
        <f aca="false">H209-I209</f>
        <v>36.7745</v>
      </c>
      <c r="G209" s="132" t="s">
        <v>376</v>
      </c>
      <c r="H209" s="136" t="n">
        <v>43.7745</v>
      </c>
      <c r="I209" s="136" t="n">
        <f aca="false">VLOOKUP(A209,[1]Accesorios!$D$1:$I$1048576,6,FALSE())</f>
        <v>7</v>
      </c>
      <c r="J209" s="47"/>
    </row>
    <row r="210" customFormat="false" ht="14.25" hidden="false" customHeight="false" outlineLevel="0" collapsed="false">
      <c r="A210" s="39" t="n">
        <v>300933</v>
      </c>
      <c r="B210" s="39" t="s">
        <v>615</v>
      </c>
      <c r="C210" s="39" t="s">
        <v>616</v>
      </c>
      <c r="D210" s="39" t="s">
        <v>617</v>
      </c>
      <c r="E210" s="132" t="s">
        <v>47</v>
      </c>
      <c r="F210" s="136" t="n">
        <f aca="false">H210-I210</f>
        <v>328.9335</v>
      </c>
      <c r="G210" s="132" t="s">
        <v>376</v>
      </c>
      <c r="H210" s="136" t="n">
        <v>328.9335</v>
      </c>
      <c r="I210" s="136" t="n">
        <f aca="false">VLOOKUP(A210,[1]Accesorios!$D$1:$I$1048576,6,FALSE())</f>
        <v>0</v>
      </c>
      <c r="J210" s="47"/>
    </row>
    <row r="211" customFormat="false" ht="14.25" hidden="false" customHeight="false" outlineLevel="0" collapsed="false">
      <c r="A211" s="39" t="n">
        <v>300934</v>
      </c>
      <c r="B211" s="39" t="s">
        <v>615</v>
      </c>
      <c r="C211" s="39" t="s">
        <v>616</v>
      </c>
      <c r="D211" s="39" t="s">
        <v>618</v>
      </c>
      <c r="E211" s="132" t="s">
        <v>47</v>
      </c>
      <c r="F211" s="136" t="n">
        <f aca="false">H211-I211</f>
        <v>287.868</v>
      </c>
      <c r="G211" s="132" t="s">
        <v>376</v>
      </c>
      <c r="H211" s="136" t="n">
        <v>287.868</v>
      </c>
      <c r="I211" s="136" t="n">
        <f aca="false">VLOOKUP(A211,[1]Accesorios!$D$1:$I$1048576,6,FALSE())</f>
        <v>0</v>
      </c>
      <c r="J211" s="47"/>
    </row>
    <row r="212" customFormat="false" ht="14.25" hidden="false" customHeight="false" outlineLevel="0" collapsed="false">
      <c r="A212" s="39" t="n">
        <v>300935</v>
      </c>
      <c r="B212" s="39" t="s">
        <v>377</v>
      </c>
      <c r="C212" s="39" t="s">
        <v>91</v>
      </c>
      <c r="D212" s="39" t="s">
        <v>619</v>
      </c>
      <c r="E212" s="132" t="s">
        <v>47</v>
      </c>
      <c r="F212" s="136" t="n">
        <f aca="false">H212-I212</f>
        <v>160.642</v>
      </c>
      <c r="G212" s="132" t="s">
        <v>376</v>
      </c>
      <c r="H212" s="136" t="n">
        <v>180.642</v>
      </c>
      <c r="I212" s="136" t="n">
        <f aca="false">VLOOKUP(A212,[1]Accesorios!$D$1:$I$1048576,6,FALSE())</f>
        <v>20</v>
      </c>
      <c r="J212" s="47"/>
    </row>
    <row r="213" customFormat="false" ht="14.25" hidden="false" customHeight="false" outlineLevel="0" collapsed="false">
      <c r="A213" s="39" t="n">
        <v>300965</v>
      </c>
      <c r="B213" s="39" t="s">
        <v>377</v>
      </c>
      <c r="C213" s="39" t="s">
        <v>99</v>
      </c>
      <c r="D213" s="39" t="s">
        <v>620</v>
      </c>
      <c r="E213" s="132" t="s">
        <v>47</v>
      </c>
      <c r="F213" s="136" t="n">
        <f aca="false">H213-I213</f>
        <v>231.0735</v>
      </c>
      <c r="G213" s="132" t="s">
        <v>376</v>
      </c>
      <c r="H213" s="136" t="n">
        <v>231.0735</v>
      </c>
      <c r="I213" s="136" t="n">
        <f aca="false">VLOOKUP(A213,[1]Accesorios!$D$1:$I$1048576,6,FALSE())</f>
        <v>0</v>
      </c>
      <c r="J213" s="47"/>
    </row>
    <row r="214" customFormat="false" ht="14.25" hidden="false" customHeight="false" outlineLevel="0" collapsed="false">
      <c r="A214" s="39" t="n">
        <v>300976</v>
      </c>
      <c r="B214" s="39" t="s">
        <v>416</v>
      </c>
      <c r="C214" s="39" t="s">
        <v>131</v>
      </c>
      <c r="D214" s="39" t="s">
        <v>621</v>
      </c>
      <c r="E214" s="132" t="s">
        <v>47</v>
      </c>
      <c r="F214" s="136" t="n">
        <f aca="false">H214-I214</f>
        <v>634.546</v>
      </c>
      <c r="G214" s="132" t="s">
        <v>376</v>
      </c>
      <c r="H214" s="136" t="n">
        <v>714.546</v>
      </c>
      <c r="I214" s="136" t="n">
        <f aca="false">VLOOKUP(A214,[1]Accesorios!$D$1:$I$1048576,6,FALSE())</f>
        <v>80</v>
      </c>
      <c r="J214" s="47"/>
    </row>
    <row r="215" customFormat="false" ht="14.25" hidden="false" customHeight="false" outlineLevel="0" collapsed="false">
      <c r="A215" s="39" t="n">
        <v>300963</v>
      </c>
      <c r="B215" s="39" t="s">
        <v>377</v>
      </c>
      <c r="C215" s="39" t="s">
        <v>84</v>
      </c>
      <c r="D215" s="39" t="s">
        <v>622</v>
      </c>
      <c r="E215" s="132" t="s">
        <v>47</v>
      </c>
      <c r="F215" s="136" t="n">
        <f aca="false">H215-I215</f>
        <v>36.851</v>
      </c>
      <c r="G215" s="132" t="s">
        <v>376</v>
      </c>
      <c r="H215" s="136" t="n">
        <v>46.851</v>
      </c>
      <c r="I215" s="136" t="n">
        <f aca="false">VLOOKUP(A215,[1]Accesorios!$D$1:$I$1048576,6,FALSE())</f>
        <v>10</v>
      </c>
      <c r="J215" s="47"/>
    </row>
    <row r="216" customFormat="false" ht="14.25" hidden="false" customHeight="false" outlineLevel="0" collapsed="false">
      <c r="A216" s="39" t="n">
        <v>300969</v>
      </c>
      <c r="B216" s="39" t="s">
        <v>418</v>
      </c>
      <c r="C216" s="39" t="s">
        <v>84</v>
      </c>
      <c r="D216" s="39" t="s">
        <v>623</v>
      </c>
      <c r="E216" s="132" t="s">
        <v>47</v>
      </c>
      <c r="F216" s="136" t="n">
        <f aca="false">H216-I216</f>
        <v>87.5245</v>
      </c>
      <c r="G216" s="132" t="s">
        <v>376</v>
      </c>
      <c r="H216" s="136" t="n">
        <v>101.5245</v>
      </c>
      <c r="I216" s="136" t="n">
        <f aca="false">VLOOKUP(A216,[1]Accesorios!$D$1:$I$1048576,6,FALSE())</f>
        <v>14</v>
      </c>
      <c r="J216" s="47"/>
    </row>
    <row r="217" customFormat="false" ht="14.25" hidden="false" customHeight="false" outlineLevel="0" collapsed="false">
      <c r="A217" s="39" t="n">
        <v>300970</v>
      </c>
      <c r="B217" s="39" t="s">
        <v>418</v>
      </c>
      <c r="C217" s="39" t="s">
        <v>84</v>
      </c>
      <c r="D217" s="39" t="s">
        <v>624</v>
      </c>
      <c r="E217" s="132" t="s">
        <v>47</v>
      </c>
      <c r="F217" s="136" t="n">
        <f aca="false">H217-I217</f>
        <v>52.475</v>
      </c>
      <c r="G217" s="132" t="s">
        <v>376</v>
      </c>
      <c r="H217" s="136" t="n">
        <v>62.475</v>
      </c>
      <c r="I217" s="136" t="n">
        <f aca="false">VLOOKUP(A217,[1]Accesorios!$D$1:$I$1048576,6,FALSE())</f>
        <v>10</v>
      </c>
      <c r="J217" s="47"/>
    </row>
    <row r="218" customFormat="false" ht="14.25" hidden="false" customHeight="false" outlineLevel="0" collapsed="false">
      <c r="A218" s="39" t="n">
        <v>300971</v>
      </c>
      <c r="B218" s="39" t="s">
        <v>418</v>
      </c>
      <c r="C218" s="39" t="s">
        <v>84</v>
      </c>
      <c r="D218" s="39" t="s">
        <v>625</v>
      </c>
      <c r="E218" s="132" t="s">
        <v>47</v>
      </c>
      <c r="F218" s="136" t="n">
        <f aca="false">H218-I218</f>
        <v>87.5245</v>
      </c>
      <c r="G218" s="132" t="s">
        <v>376</v>
      </c>
      <c r="H218" s="136" t="n">
        <v>101.5245</v>
      </c>
      <c r="I218" s="136" t="n">
        <f aca="false">VLOOKUP(A218,[1]Accesorios!$D$1:$I$1048576,6,FALSE())</f>
        <v>14</v>
      </c>
      <c r="J218" s="47"/>
    </row>
    <row r="219" customFormat="false" ht="14.25" hidden="false" customHeight="false" outlineLevel="0" collapsed="false">
      <c r="A219" s="39" t="n">
        <v>300972</v>
      </c>
      <c r="B219" s="39" t="s">
        <v>418</v>
      </c>
      <c r="C219" s="39" t="s">
        <v>84</v>
      </c>
      <c r="D219" s="39" t="s">
        <v>626</v>
      </c>
      <c r="E219" s="132" t="s">
        <v>47</v>
      </c>
      <c r="F219" s="136" t="n">
        <f aca="false">H219-I219</f>
        <v>65.2765</v>
      </c>
      <c r="G219" s="132" t="s">
        <v>376</v>
      </c>
      <c r="H219" s="136" t="n">
        <v>70.2765</v>
      </c>
      <c r="I219" s="136" t="n">
        <f aca="false">VLOOKUP(A219,[1]Accesorios!$D$1:$I$1048576,6,FALSE())</f>
        <v>5</v>
      </c>
      <c r="J219" s="47"/>
    </row>
    <row r="220" customFormat="false" ht="14.25" hidden="false" customHeight="false" outlineLevel="0" collapsed="false">
      <c r="A220" s="39" t="n">
        <v>300938</v>
      </c>
      <c r="B220" s="39" t="s">
        <v>377</v>
      </c>
      <c r="C220" s="39" t="s">
        <v>131</v>
      </c>
      <c r="D220" s="39" t="s">
        <v>627</v>
      </c>
      <c r="E220" s="132" t="s">
        <v>47</v>
      </c>
      <c r="F220" s="136" t="n">
        <f aca="false">H220-I220</f>
        <v>34.8775</v>
      </c>
      <c r="G220" s="132" t="s">
        <v>376</v>
      </c>
      <c r="H220" s="136" t="n">
        <v>48.8775</v>
      </c>
      <c r="I220" s="136" t="n">
        <f aca="false">VLOOKUP(A220,[1]Accesorios!$D$1:$I$1048576,6,FALSE())</f>
        <v>14</v>
      </c>
      <c r="J220" s="47"/>
    </row>
    <row r="221" customFormat="false" ht="14.25" hidden="false" customHeight="false" outlineLevel="0" collapsed="false">
      <c r="A221" s="39" t="n">
        <v>300973</v>
      </c>
      <c r="B221" s="39" t="s">
        <v>438</v>
      </c>
      <c r="C221" s="39" t="s">
        <v>59</v>
      </c>
      <c r="D221" s="39" t="s">
        <v>628</v>
      </c>
      <c r="E221" s="132" t="s">
        <v>47</v>
      </c>
      <c r="F221" s="136" t="n">
        <f aca="false">H221-I221</f>
        <v>31.752</v>
      </c>
      <c r="G221" s="132" t="s">
        <v>376</v>
      </c>
      <c r="H221" s="136" t="n">
        <v>31.752</v>
      </c>
      <c r="I221" s="136" t="n">
        <f aca="false">VLOOKUP(A221,[1]Accesorios!$D$1:$I$1048576,6,FALSE())</f>
        <v>0</v>
      </c>
      <c r="J221" s="47"/>
    </row>
    <row r="222" customFormat="false" ht="14.25" hidden="false" customHeight="false" outlineLevel="0" collapsed="false">
      <c r="A222" s="39" t="n">
        <v>301039</v>
      </c>
      <c r="B222" s="39" t="s">
        <v>416</v>
      </c>
      <c r="C222" s="39" t="s">
        <v>91</v>
      </c>
      <c r="D222" s="39" t="s">
        <v>629</v>
      </c>
      <c r="E222" s="39" t="s">
        <v>47</v>
      </c>
      <c r="F222" s="136" t="n">
        <f aca="false">H222-I222</f>
        <v>564.5115</v>
      </c>
      <c r="G222" s="39" t="s">
        <v>376</v>
      </c>
      <c r="H222" s="136" t="n">
        <v>564.5115</v>
      </c>
      <c r="I222" s="136" t="n">
        <f aca="false">VLOOKUP(A222,[1]Accesorios!$D$1:$I$1048576,6,FALSE())</f>
        <v>0</v>
      </c>
      <c r="J222" s="47"/>
    </row>
    <row r="223" customFormat="false" ht="14.25" hidden="false" customHeight="false" outlineLevel="0" collapsed="false">
      <c r="A223" s="39" t="n">
        <v>301038</v>
      </c>
      <c r="B223" s="39" t="s">
        <v>416</v>
      </c>
      <c r="C223" s="39" t="s">
        <v>109</v>
      </c>
      <c r="D223" s="39" t="s">
        <v>630</v>
      </c>
      <c r="E223" s="39" t="s">
        <v>47</v>
      </c>
      <c r="F223" s="136" t="n">
        <f aca="false">H223-I223</f>
        <v>836.6975</v>
      </c>
      <c r="G223" s="39" t="s">
        <v>376</v>
      </c>
      <c r="H223" s="136" t="n">
        <v>876.6975</v>
      </c>
      <c r="I223" s="136" t="n">
        <f aca="false">VLOOKUP(A223,[1]Accesorios!$D$1:$I$1048576,6,FALSE())</f>
        <v>40</v>
      </c>
      <c r="J223" s="47"/>
    </row>
    <row r="224" customFormat="false" ht="14.25" hidden="false" customHeight="false" outlineLevel="0" collapsed="false">
      <c r="A224" s="39" t="n">
        <v>301037</v>
      </c>
      <c r="B224" s="39" t="s">
        <v>416</v>
      </c>
      <c r="C224" s="39" t="s">
        <v>109</v>
      </c>
      <c r="D224" s="39" t="s">
        <v>631</v>
      </c>
      <c r="E224" s="39" t="s">
        <v>47</v>
      </c>
      <c r="F224" s="136" t="n">
        <f aca="false">H224-I224</f>
        <v>378.37</v>
      </c>
      <c r="G224" s="39" t="s">
        <v>376</v>
      </c>
      <c r="H224" s="136" t="n">
        <v>398.37</v>
      </c>
      <c r="I224" s="136" t="n">
        <f aca="false">VLOOKUP(A224,[1]Accesorios!$D$1:$I$1048576,6,FALSE())</f>
        <v>20</v>
      </c>
      <c r="J224" s="47"/>
    </row>
    <row r="225" customFormat="false" ht="14.25" hidden="false" customHeight="false" outlineLevel="0" collapsed="false">
      <c r="A225" s="39" t="n">
        <v>315097</v>
      </c>
      <c r="B225" s="39" t="s">
        <v>421</v>
      </c>
      <c r="C225" s="39" t="s">
        <v>91</v>
      </c>
      <c r="D225" s="39" t="s">
        <v>180</v>
      </c>
      <c r="E225" s="39" t="s">
        <v>47</v>
      </c>
      <c r="F225" s="136" t="n">
        <f aca="false">H225-I225</f>
        <v>451.304</v>
      </c>
      <c r="G225" s="39" t="s">
        <v>376</v>
      </c>
      <c r="H225" s="136" t="n">
        <v>521.304</v>
      </c>
      <c r="I225" s="136" t="n">
        <f aca="false">VLOOKUP(A225,[1]Accesorios!$D$1:$I$1048576,6,FALSE())</f>
        <v>70</v>
      </c>
      <c r="J225" s="47"/>
    </row>
    <row r="226" customFormat="false" ht="14.25" hidden="false" customHeight="false" outlineLevel="0" collapsed="false">
      <c r="A226" s="39" t="n">
        <v>300783</v>
      </c>
      <c r="B226" s="39" t="s">
        <v>490</v>
      </c>
      <c r="C226" s="39" t="s">
        <v>61</v>
      </c>
      <c r="D226" s="39" t="s">
        <v>632</v>
      </c>
      <c r="E226" s="39" t="s">
        <v>47</v>
      </c>
      <c r="F226" s="136" t="n">
        <f aca="false">H226-I226</f>
        <v>67.4835</v>
      </c>
      <c r="G226" s="39" t="s">
        <v>376</v>
      </c>
      <c r="H226" s="136" t="n">
        <v>67.4835</v>
      </c>
      <c r="I226" s="136" t="n">
        <f aca="false">VLOOKUP(A226,[1]Accesorios!$D$1:$I$1048576,6,FALSE())</f>
        <v>0</v>
      </c>
      <c r="J226" s="47"/>
    </row>
    <row r="227" customFormat="false" ht="14.25" hidden="false" customHeight="false" outlineLevel="0" collapsed="false">
      <c r="A227" s="39" t="n">
        <v>301061</v>
      </c>
      <c r="B227" s="39" t="s">
        <v>396</v>
      </c>
      <c r="C227" s="39" t="s">
        <v>84</v>
      </c>
      <c r="D227" s="39" t="s">
        <v>633</v>
      </c>
      <c r="E227" s="39" t="s">
        <v>47</v>
      </c>
      <c r="F227" s="136" t="n">
        <f aca="false">H227-I227</f>
        <v>204.2865</v>
      </c>
      <c r="G227" s="39" t="s">
        <v>376</v>
      </c>
      <c r="H227" s="136" t="n">
        <v>234.2865</v>
      </c>
      <c r="I227" s="136" t="n">
        <f aca="false">VLOOKUP(A227,[1]Accesorios!$D$1:$I$1048576,6,FALSE())</f>
        <v>30</v>
      </c>
      <c r="J227" s="47"/>
    </row>
    <row r="228" customFormat="false" ht="14.25" hidden="false" customHeight="false" outlineLevel="0" collapsed="false">
      <c r="A228" s="39" t="n">
        <v>301079</v>
      </c>
      <c r="B228" s="39" t="s">
        <v>634</v>
      </c>
      <c r="C228" s="39" t="s">
        <v>635</v>
      </c>
      <c r="D228" s="39" t="s">
        <v>636</v>
      </c>
      <c r="E228" s="39" t="s">
        <v>47</v>
      </c>
      <c r="F228" s="136" t="n">
        <f aca="false">H228-I228</f>
        <v>79.422</v>
      </c>
      <c r="G228" s="39" t="s">
        <v>376</v>
      </c>
      <c r="H228" s="136" t="n">
        <v>79.422</v>
      </c>
      <c r="I228" s="136" t="n">
        <f aca="false">VLOOKUP(A228,[1]Accesorios!$D$1:$I$1048576,6,FALSE())</f>
        <v>0</v>
      </c>
      <c r="J228" s="47"/>
    </row>
    <row r="229" customFormat="false" ht="14.25" hidden="false" customHeight="false" outlineLevel="0" collapsed="false">
      <c r="A229" s="39" t="n">
        <v>301084</v>
      </c>
      <c r="B229" s="39" t="s">
        <v>275</v>
      </c>
      <c r="C229" s="39" t="s">
        <v>278</v>
      </c>
      <c r="D229" s="39" t="s">
        <v>259</v>
      </c>
      <c r="E229" s="39" t="s">
        <v>47</v>
      </c>
      <c r="F229" s="136" t="n">
        <f aca="false">H229-I229</f>
        <v>399</v>
      </c>
      <c r="G229" s="39" t="s">
        <v>376</v>
      </c>
      <c r="H229" s="136" t="n">
        <v>399</v>
      </c>
      <c r="I229" s="136" t="n">
        <v>0</v>
      </c>
      <c r="J229" s="47"/>
    </row>
    <row r="230" customFormat="false" ht="14.25" hidden="false" customHeight="false" outlineLevel="0" collapsed="false">
      <c r="A230" s="39" t="n">
        <v>301085</v>
      </c>
      <c r="B230" s="39" t="s">
        <v>275</v>
      </c>
      <c r="C230" s="39" t="s">
        <v>278</v>
      </c>
      <c r="D230" s="39" t="s">
        <v>279</v>
      </c>
      <c r="E230" s="39" t="s">
        <v>47</v>
      </c>
      <c r="F230" s="136" t="n">
        <v>408</v>
      </c>
      <c r="G230" s="39" t="s">
        <v>376</v>
      </c>
      <c r="H230" s="136" t="n">
        <v>521</v>
      </c>
      <c r="I230" s="136" t="n">
        <v>0</v>
      </c>
      <c r="J230" s="47"/>
    </row>
    <row r="231" customFormat="false" ht="14.25" hidden="false" customHeight="false" outlineLevel="0" collapsed="false">
      <c r="A231" s="39" t="n">
        <v>301094</v>
      </c>
      <c r="B231" s="39" t="s">
        <v>421</v>
      </c>
      <c r="C231" s="39" t="s">
        <v>91</v>
      </c>
      <c r="D231" s="39" t="s">
        <v>189</v>
      </c>
      <c r="E231" s="39" t="s">
        <v>47</v>
      </c>
      <c r="F231" s="136" t="n">
        <f aca="false">H231-I231</f>
        <v>317</v>
      </c>
      <c r="G231" s="39" t="s">
        <v>335</v>
      </c>
      <c r="H231" s="136" t="n">
        <v>447</v>
      </c>
      <c r="I231" s="136" t="n">
        <v>130</v>
      </c>
      <c r="J231" s="47"/>
    </row>
    <row r="232" customFormat="false" ht="14.25" hidden="false" customHeight="false" outlineLevel="0" collapsed="false">
      <c r="A232" s="39" t="n">
        <v>301105</v>
      </c>
      <c r="B232" s="39" t="s">
        <v>637</v>
      </c>
      <c r="C232" s="39" t="s">
        <v>84</v>
      </c>
      <c r="D232" s="39" t="s">
        <v>638</v>
      </c>
      <c r="E232" s="39" t="s">
        <v>47</v>
      </c>
      <c r="F232" s="136" t="n">
        <f aca="false">H232-I232</f>
        <v>158</v>
      </c>
      <c r="G232" s="39" t="s">
        <v>376</v>
      </c>
      <c r="H232" s="136" t="n">
        <v>224</v>
      </c>
      <c r="I232" s="136" t="n">
        <v>66</v>
      </c>
      <c r="J232" s="47"/>
    </row>
    <row r="233" customFormat="false" ht="14.25" hidden="false" customHeight="false" outlineLevel="0" collapsed="false">
      <c r="A233" s="39" t="n">
        <v>301093</v>
      </c>
      <c r="B233" s="39" t="s">
        <v>527</v>
      </c>
      <c r="C233" s="39" t="s">
        <v>84</v>
      </c>
      <c r="D233" s="39" t="s">
        <v>639</v>
      </c>
      <c r="E233" s="39" t="s">
        <v>47</v>
      </c>
      <c r="F233" s="136" t="n">
        <f aca="false">H233-I233</f>
        <v>80</v>
      </c>
      <c r="G233" s="39" t="s">
        <v>376</v>
      </c>
      <c r="H233" s="136" t="n">
        <v>94</v>
      </c>
      <c r="I233" s="136" t="n">
        <v>14</v>
      </c>
      <c r="J233" s="47"/>
    </row>
    <row r="234" customFormat="false" ht="14.25" hidden="false" customHeight="false" outlineLevel="0" collapsed="false">
      <c r="A234" s="39" t="n">
        <v>328747</v>
      </c>
      <c r="B234" s="39" t="s">
        <v>145</v>
      </c>
      <c r="C234" s="39" t="s">
        <v>640</v>
      </c>
      <c r="D234" s="39" t="s">
        <v>641</v>
      </c>
      <c r="E234" s="39" t="s">
        <v>47</v>
      </c>
      <c r="F234" s="136" t="n">
        <v>770</v>
      </c>
      <c r="G234" s="39" t="s">
        <v>376</v>
      </c>
      <c r="H234" s="136" t="n">
        <v>770</v>
      </c>
      <c r="I234" s="136" t="n">
        <v>0</v>
      </c>
      <c r="J234" s="47"/>
    </row>
    <row r="235" customFormat="false" ht="14.25" hidden="false" customHeight="false" outlineLevel="0" collapsed="false">
      <c r="A235" s="39" t="n">
        <v>328748</v>
      </c>
      <c r="B235" s="39" t="s">
        <v>145</v>
      </c>
      <c r="C235" s="39" t="s">
        <v>640</v>
      </c>
      <c r="D235" s="39" t="s">
        <v>642</v>
      </c>
      <c r="E235" s="132" t="s">
        <v>47</v>
      </c>
      <c r="F235" s="136" t="n">
        <v>517</v>
      </c>
      <c r="G235" s="132" t="s">
        <v>376</v>
      </c>
      <c r="H235" s="136" t="n">
        <v>517</v>
      </c>
      <c r="I235" s="136" t="n">
        <v>0</v>
      </c>
      <c r="J235" s="47"/>
    </row>
    <row r="236" customFormat="false" ht="14.25" hidden="false" customHeight="false" outlineLevel="0" collapsed="false">
      <c r="A236" s="39" t="n">
        <v>301135</v>
      </c>
      <c r="B236" s="39" t="s">
        <v>416</v>
      </c>
      <c r="C236" s="39" t="s">
        <v>109</v>
      </c>
      <c r="D236" s="39" t="s">
        <v>643</v>
      </c>
      <c r="E236" s="132" t="s">
        <v>47</v>
      </c>
      <c r="F236" s="136" t="n">
        <v>289</v>
      </c>
      <c r="G236" s="132" t="s">
        <v>376</v>
      </c>
      <c r="H236" s="136" t="n">
        <v>289</v>
      </c>
      <c r="I236" s="136" t="n">
        <v>0</v>
      </c>
      <c r="J236" s="47"/>
    </row>
    <row r="237" customFormat="false" ht="14.25" hidden="false" customHeight="false" outlineLevel="0" collapsed="false">
      <c r="A237" s="39" t="n">
        <v>301136</v>
      </c>
      <c r="B237" s="39" t="s">
        <v>416</v>
      </c>
      <c r="C237" s="39" t="s">
        <v>109</v>
      </c>
      <c r="D237" s="39" t="s">
        <v>644</v>
      </c>
      <c r="E237" s="132" t="s">
        <v>47</v>
      </c>
      <c r="F237" s="136" t="n">
        <v>691</v>
      </c>
      <c r="G237" s="132" t="s">
        <v>376</v>
      </c>
      <c r="H237" s="136" t="n">
        <v>691</v>
      </c>
      <c r="I237" s="136" t="n">
        <v>0</v>
      </c>
      <c r="J237" s="47"/>
    </row>
    <row r="238" customFormat="false" ht="14.25" hidden="false" customHeight="false" outlineLevel="0" collapsed="false">
      <c r="A238" s="39" t="n">
        <v>301137</v>
      </c>
      <c r="B238" s="39" t="s">
        <v>416</v>
      </c>
      <c r="C238" s="39" t="s">
        <v>109</v>
      </c>
      <c r="D238" s="39" t="s">
        <v>645</v>
      </c>
      <c r="E238" s="132" t="s">
        <v>47</v>
      </c>
      <c r="F238" s="136" t="n">
        <v>524</v>
      </c>
      <c r="G238" s="132" t="s">
        <v>376</v>
      </c>
      <c r="H238" s="136" t="n">
        <v>524</v>
      </c>
      <c r="I238" s="136" t="n">
        <v>0</v>
      </c>
      <c r="J238" s="47"/>
    </row>
    <row r="239" s="150" customFormat="true" ht="14.25" hidden="false" customHeight="false" outlineLevel="0" collapsed="false">
      <c r="A239" s="146" t="n">
        <v>300997</v>
      </c>
      <c r="B239" s="146" t="s">
        <v>389</v>
      </c>
      <c r="C239" s="146" t="s">
        <v>99</v>
      </c>
      <c r="D239" s="146" t="s">
        <v>646</v>
      </c>
      <c r="E239" s="147" t="s">
        <v>47</v>
      </c>
      <c r="F239" s="148" t="n">
        <v>162</v>
      </c>
      <c r="G239" s="147" t="s">
        <v>376</v>
      </c>
      <c r="H239" s="148" t="n">
        <v>162</v>
      </c>
      <c r="I239" s="148" t="n">
        <v>0</v>
      </c>
      <c r="J239" s="149"/>
    </row>
    <row r="240" customFormat="false" ht="14.25" hidden="false" customHeight="false" outlineLevel="0" collapsed="false">
      <c r="A240" s="151" t="n">
        <v>301165</v>
      </c>
      <c r="B240" s="151" t="s">
        <v>275</v>
      </c>
      <c r="C240" s="151" t="s">
        <v>84</v>
      </c>
      <c r="D240" s="151" t="s">
        <v>647</v>
      </c>
      <c r="E240" s="152" t="s">
        <v>47</v>
      </c>
      <c r="F240" s="153" t="n">
        <f aca="false">H240-I240</f>
        <v>230</v>
      </c>
      <c r="G240" s="152" t="s">
        <v>335</v>
      </c>
      <c r="H240" s="153" t="n">
        <v>419</v>
      </c>
      <c r="I240" s="153" t="n">
        <v>189</v>
      </c>
      <c r="J240" s="47"/>
    </row>
    <row r="241" customFormat="false" ht="14.25" hidden="false" customHeight="false" outlineLevel="0" collapsed="false">
      <c r="A241" s="151" t="n">
        <v>328739</v>
      </c>
      <c r="B241" s="151" t="s">
        <v>389</v>
      </c>
      <c r="C241" s="151" t="s">
        <v>67</v>
      </c>
      <c r="D241" s="151" t="s">
        <v>648</v>
      </c>
      <c r="E241" s="152" t="s">
        <v>47</v>
      </c>
      <c r="F241" s="153" t="n">
        <f aca="false">H241-I241</f>
        <v>42</v>
      </c>
      <c r="G241" s="152" t="s">
        <v>376</v>
      </c>
      <c r="H241" s="153" t="n">
        <v>42</v>
      </c>
      <c r="I241" s="153" t="n">
        <v>0</v>
      </c>
      <c r="J241" s="47"/>
    </row>
  </sheetData>
  <autoFilter ref="A2:J239"/>
  <mergeCells count="1">
    <mergeCell ref="A1:G1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&amp;L&amp;1#&amp;7C1 Public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47A0E1F9906E44A7CB31B657D2D48D" ma:contentTypeVersion="6" ma:contentTypeDescription="Crear nuevo documento." ma:contentTypeScope="" ma:versionID="4123ff3ff419c75b440ab5eebedf8e17">
  <xsd:schema xmlns:xsd="http://www.w3.org/2001/XMLSchema" xmlns:xs="http://www.w3.org/2001/XMLSchema" xmlns:p="http://schemas.microsoft.com/office/2006/metadata/properties" xmlns:ns2="f67c4595-522b-49a3-99d1-6d71d53bfb9c" xmlns:ns3="2e8fac9d-133b-4a13-9f8d-6d5abbfa33e9" targetNamespace="http://schemas.microsoft.com/office/2006/metadata/properties" ma:root="true" ma:fieldsID="baedec9a2b3dcde122ff43492df49734" ns2:_="" ns3:_="">
    <xsd:import namespace="f67c4595-522b-49a3-99d1-6d71d53bfb9c"/>
    <xsd:import namespace="2e8fac9d-133b-4a13-9f8d-6d5abbfa33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c4595-522b-49a3-99d1-6d71d53bfb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8fac9d-133b-4a13-9f8d-6d5abbfa33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3F47A2-E529-4571-9E79-CBAA795021B4}">
  <ds:schemaRefs>
    <ds:schemaRef ds:uri="http://schemas.microsoft.com/office/2006/metadata/properties"/>
    <ds:schemaRef ds:uri="2e8fac9d-133b-4a13-9f8d-6d5abbfa33e9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f67c4595-522b-49a3-99d1-6d71d53bfb9c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9A07164-4672-4532-AAFF-822B68DFCB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c4595-522b-49a3-99d1-6d71d53bfb9c"/>
    <ds:schemaRef ds:uri="2e8fac9d-133b-4a13-9f8d-6d5abbfa33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AFFBCC5-0424-4FF4-AF35-B672AA6F9B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Vodafone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2019-08-23T08:51:45Z</dcterms:created>
  <dc:creator>RAMOS, CRISTINA;RAMOS, CRISTINA ELVIRA, Vodafone Spain</dc:creator>
  <dc:description/>
  <dc:language>es-ES</dc:language>
  <cp:lastModifiedBy/>
  <dcterms:modified xsi:type="dcterms:W3CDTF">2024-03-19T10:03:30Z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0x0101009047A0E1F9906E44A7CB31B657D2D48D</vt:lpwstr>
  </property>
  <property fmtid="{D5CDD505-2E9C-101B-9397-08002B2CF9AE}" pid="3" name="MSIP_Label_910dda9e-e2e2-4af8-b1b5-a3b06c6d8782_ActionId">
    <vt:lpwstr>6448527b-1ab9-4a9b-8f4f-ac66d4535b88</vt:lpwstr>
  </property>
  <property fmtid="{D5CDD505-2E9C-101B-9397-08002B2CF9AE}" pid="4" name="MSIP_Label_910dda9e-e2e2-4af8-b1b5-a3b06c6d8782_ContentBits">
    <vt:lpwstr>2</vt:lpwstr>
  </property>
  <property fmtid="{D5CDD505-2E9C-101B-9397-08002B2CF9AE}" pid="5" name="MSIP_Label_910dda9e-e2e2-4af8-b1b5-a3b06c6d8782_Enabled">
    <vt:lpwstr>true</vt:lpwstr>
  </property>
  <property fmtid="{D5CDD505-2E9C-101B-9397-08002B2CF9AE}" pid="6" name="MSIP_Label_910dda9e-e2e2-4af8-b1b5-a3b06c6d8782_Method">
    <vt:lpwstr>Privileged</vt:lpwstr>
  </property>
  <property fmtid="{D5CDD505-2E9C-101B-9397-08002B2CF9AE}" pid="7" name="MSIP_Label_910dda9e-e2e2-4af8-b1b5-a3b06c6d8782_Name">
    <vt:lpwstr>910dda9e-e2e2-4af8-b1b5-a3b06c6d8782</vt:lpwstr>
  </property>
  <property fmtid="{D5CDD505-2E9C-101B-9397-08002B2CF9AE}" pid="8" name="MSIP_Label_910dda9e-e2e2-4af8-b1b5-a3b06c6d8782_SetDate">
    <vt:lpwstr>2024-03-13T08:08:10Z</vt:lpwstr>
  </property>
  <property fmtid="{D5CDD505-2E9C-101B-9397-08002B2CF9AE}" pid="9" name="MSIP_Label_910dda9e-e2e2-4af8-b1b5-a3b06c6d8782_SiteId">
    <vt:lpwstr>68283f3b-8487-4c86-adb3-a5228f18b893</vt:lpwstr>
  </property>
</Properties>
</file>