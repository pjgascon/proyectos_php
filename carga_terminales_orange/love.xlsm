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DC05BD20-4804-7139-695A-D245BE01A294}"/>
  <workbookPr codeName="ThisWorkbook" defaultThemeVersion="124226"/>
  <mc:AlternateContent xmlns:mc="http://schemas.openxmlformats.org/markup-compatibility/2006">
    <mc:Choice Requires="x15">
      <x15ac:absPath xmlns:x15ac="http://schemas.microsoft.com/office/spreadsheetml/2010/11/ac" url="C:\Users\Usuario\Nextcloud\Liquidaciones (NORTIA TELECOM SL.)\2025\enero\"/>
    </mc:Choice>
  </mc:AlternateContent>
  <xr:revisionPtr revIDLastSave="0" documentId="8_{F769A2DA-F117-4536-8E51-466838C3D47F}" xr6:coauthVersionLast="47" xr6:coauthVersionMax="47" xr10:uidLastSave="{00000000-0000-0000-0000-000000000000}"/>
  <bookViews>
    <workbookView xWindow="-28920" yWindow="-120" windowWidth="29040" windowHeight="15720" tabRatio="783" firstSheet="2" activeTab="2" xr2:uid="{00000000-000D-0000-FFFF-FFFF00000000}"/>
  </bookViews>
  <sheets>
    <sheet name="PVP VaP Auton-McrPyme (3)" sheetId="3" state="hidden" r:id="rId1"/>
    <sheet name="Comp.Permanencia" sheetId="15" r:id="rId2"/>
    <sheet name="PVP VaP Auton-McrPyme" sheetId="11" r:id="rId3"/>
    <sheet name="PVP VaP Linea Principal" sheetId="16" r:id="rId4"/>
    <sheet name="PVP Nuevo Modelo Financiación" sheetId="19" r:id="rId5"/>
    <sheet name="PVP VaP IEI Auton-McrPyme" sheetId="4" r:id="rId6"/>
    <sheet name="PVP VaP Mi Fijo Auton-McrPyme " sheetId="6" r:id="rId7"/>
    <sheet name="PVP Subv IEI Pro Auton-McrPyme" sheetId="7" r:id="rId8"/>
    <sheet name="PVP VaP 2º Dispo Auton-McrPyme" sheetId="8" r:id="rId9"/>
    <sheet name="PVP VaP Auton-McrPyme Riesg Alt" sheetId="10" r:id="rId10"/>
    <sheet name="BEW" sheetId="14" state="hidden" r:id="rId11"/>
  </sheets>
  <definedNames>
    <definedName name="_xlnm._FilterDatabase" localSheetId="10" hidden="1">BEW!$A$1:$C$47</definedName>
    <definedName name="_xlnm._FilterDatabase" localSheetId="4" hidden="1">'PVP Nuevo Modelo Financiación'!$B$28:$Y$414</definedName>
    <definedName name="_xlnm._FilterDatabase" localSheetId="7" hidden="1">'PVP Subv IEI Pro Auton-McrPyme'!$B$23:$Q$23</definedName>
    <definedName name="_xlnm._FilterDatabase" localSheetId="8" hidden="1">'PVP VaP 2º Dispo Auton-McrPyme'!$B$24:$P$24</definedName>
    <definedName name="_xlnm._FilterDatabase" localSheetId="2" hidden="1">'PVP VaP Auton-McrPyme'!$A$28:$CL$429</definedName>
    <definedName name="_xlnm._FilterDatabase" localSheetId="0" hidden="1">'PVP VaP Auton-McrPyme (3)'!$B$28:$C$28</definedName>
    <definedName name="_xlnm._FilterDatabase" localSheetId="9" hidden="1">'PVP VaP Auton-McrPyme Riesg Alt'!$A$28:$BI$28</definedName>
    <definedName name="_xlnm._FilterDatabase" localSheetId="5" hidden="1">'PVP VaP IEI Auton-McrPyme'!$B$24:$AH$24</definedName>
    <definedName name="_xlnm._FilterDatabase" localSheetId="3" hidden="1">'PVP VaP Linea Principal'!$A$30:$CM$32</definedName>
    <definedName name="_xlnm._FilterDatabase" localSheetId="6" hidden="1">'PVP VaP Mi Fijo Auton-McrPyme '!$B$24:$Z$24</definedName>
    <definedName name="_xlpm._" hidden="1" xlm="1">#NAME?</definedName>
    <definedName name="_xlpm._24" hidden="1" xlm="1">#NAME?</definedName>
    <definedName name="_xlpm._30" hidden="1" xlm="1">#NAME?</definedName>
    <definedName name="_xlpm._c24" hidden="1" xlm="1">#NAME?</definedName>
    <definedName name="_xlpm._c30" hidden="1" xlm="1">#NAME?</definedName>
    <definedName name="_xlpm._categoría" hidden="1" xlm="1">#NAME?</definedName>
    <definedName name="_xlpm._comentario" hidden="1" xlm="1">#NAME?</definedName>
    <definedName name="_xlpm._comentario2" hidden="1" xlm="1">#NAME?</definedName>
    <definedName name="_xlpm._comentarioN" hidden="1" xlm="1">#NAME?</definedName>
    <definedName name="_xlpm._comentarioN2" hidden="1" xlm="1">#NAME?</definedName>
    <definedName name="_xlpm._comentarioN24" hidden="1" xlm="1">#NAME?</definedName>
    <definedName name="_xlpm._comentarioN24na" hidden="1" xlm="1">#NAME?</definedName>
    <definedName name="_xlpm._comentarioN3" hidden="1" xlm="1">#NAME?</definedName>
    <definedName name="_xlpm._comentarioN30" hidden="1" xlm="1">#NAME?</definedName>
    <definedName name="_xlpm._comentarioN30na" hidden="1" xlm="1">#NAME?</definedName>
    <definedName name="_xlpm._comentarioN39" hidden="1" xlm="1">#NAME?</definedName>
    <definedName name="_xlpm._cu24" hidden="1" xlm="1">#NAME?</definedName>
    <definedName name="_xlpm._cu30" hidden="1" xlm="1">#NAME?</definedName>
    <definedName name="_xlpm._cuo24" hidden="1" xlm="1">#NAME?</definedName>
    <definedName name="_xlpm._cuo30" hidden="1" xlm="1">#NAME?</definedName>
    <definedName name="_xlpm._cuot24" hidden="1" xlm="1">#NAME?</definedName>
    <definedName name="_xlpm._cuot30" hidden="1" xlm="1">#NAME?</definedName>
    <definedName name="_xlpm._cuota24" hidden="1" xlm="1">#NAME?</definedName>
    <definedName name="_xlpm._cuota30" hidden="1" xlm="1">#NAME?</definedName>
    <definedName name="_xlpm._cuotas24" hidden="1" xlm="1">#NAME?</definedName>
    <definedName name="_xlpm._cuotas30" hidden="1" xlm="1">#NAME?</definedName>
    <definedName name="_xlpm._disp" hidden="1" xlm="1">#NAME?</definedName>
    <definedName name="_xlpm._dispAR" hidden="1" xlm="1">#NAME?</definedName>
    <definedName name="_xlpm._dispARnoACC" hidden="1" xlm="1">#NAME?</definedName>
    <definedName name="_xlpm._dispo" hidden="1" xlm="1">#NAME?</definedName>
    <definedName name="_xlpm._dispos" hidden="1" xlm="1">#NAME?</definedName>
    <definedName name="_xlpm._disposi" hidden="1" xlm="1">#NAME?</definedName>
    <definedName name="_xlpm._disposit" hidden="1" xlm="1">#NAME?</definedName>
    <definedName name="_xlpm._dispositi" hidden="1" xlm="1">#NAME?</definedName>
    <definedName name="_xlpm._dispositiv" hidden="1" xlm="1">#NAME?</definedName>
    <definedName name="_xlpm._dispositivo" hidden="1" xlm="1">#NAME?</definedName>
    <definedName name="_xlpm._igualdad" hidden="1" xlm="1">#NAME?</definedName>
    <definedName name="_xlpm._imp" hidden="1" xlm="1">#NAME?</definedName>
    <definedName name="_xlpm._imp1" hidden="1" xlm="1">#NAME?</definedName>
    <definedName name="_xlpm._imp1cLP" hidden="1" xlm="1">#NAME?</definedName>
    <definedName name="_xlpm._imp1cu" hidden="1" xlm="1">#NAME?</definedName>
    <definedName name="_xlpm._imp1cuL" hidden="1" xlm="1">#NAME?</definedName>
    <definedName name="_xlpm._imp1cuLA" hidden="1" xlm="1">#NAME?</definedName>
    <definedName name="_xlpm._imp1cuLP" hidden="1" xlm="1">#NAME?</definedName>
    <definedName name="_xlpm._imp1LP" hidden="1" xlm="1">#NAME?</definedName>
    <definedName name="_xlpm._imp1pi" hidden="1" xlm="1">#NAME?</definedName>
    <definedName name="_xlpm._imp1piL" hidden="1" xlm="1">#NAME?</definedName>
    <definedName name="_xlpm._imp1piLA" hidden="1" xlm="1">#NAME?</definedName>
    <definedName name="_xlpm._imp1piLP" hidden="1" xlm="1">#NAME?</definedName>
    <definedName name="_xlpm._imp1pLP" hidden="1" xlm="1">#NAME?</definedName>
    <definedName name="_xlpm._imp3" hidden="1" xlm="1">#NAME?</definedName>
    <definedName name="_xlpm._imp3cu" hidden="1" xlm="1">#NAME?</definedName>
    <definedName name="_xlpm._imp3cuLA" hidden="1" xlm="1">#NAME?</definedName>
    <definedName name="_xlpm._imp3cuLP" hidden="1" xlm="1">#NAME?</definedName>
    <definedName name="_xlpm._imp3pi" hidden="1" xlm="1">#NAME?</definedName>
    <definedName name="_xlpm._imp3piLA" hidden="1" xlm="1">#NAME?</definedName>
    <definedName name="_xlpm._imp3piLP" hidden="1" xlm="1">#NAME?</definedName>
    <definedName name="_xlpm._impcu1" hidden="1" xlm="1">#NAME?</definedName>
    <definedName name="_xlpm._impcu3" hidden="1" xlm="1">#NAME?</definedName>
    <definedName name="_xlpm._impcuLA" hidden="1" xlm="1">#NAME?</definedName>
    <definedName name="_xlpm._impcuLP" hidden="1" xlm="1">#NAME?</definedName>
    <definedName name="_xlpm._impecuLA" hidden="1" xlm="1">#NAME?</definedName>
    <definedName name="_xlpm._imppi1" hidden="1" xlm="1">#NAME?</definedName>
    <definedName name="_xlpm._imppi3" hidden="1" xlm="1">#NAME?</definedName>
    <definedName name="_xlpm._imppiLA" hidden="1" xlm="1">#NAME?</definedName>
    <definedName name="_xlpm._imppiLP" hidden="1" xlm="1">#NAME?</definedName>
    <definedName name="_xlpm._kk" hidden="1" xlm="1">#NAME?</definedName>
    <definedName name="_xlpm._m" hidden="1" xlm="1">#NAME?</definedName>
    <definedName name="_xlpm._m24" hidden="1" xlm="1">#NAME?</definedName>
    <definedName name="_xlpm._m30" hidden="1" xlm="1">#NAME?</definedName>
    <definedName name="_xlpm._ma" hidden="1" xlm="1">#NAME?</definedName>
    <definedName name="_xlpm._ma24" hidden="1" xlm="1">#NAME?</definedName>
    <definedName name="_xlpm._ma30" hidden="1" xlm="1">#NAME?</definedName>
    <definedName name="_xlpm._mat" hidden="1" xlm="1">#NAME?</definedName>
    <definedName name="_xlpm._mat24" hidden="1" xlm="1">#NAME?</definedName>
    <definedName name="_xlpm._mat30" hidden="1" xlm="1">#NAME?</definedName>
    <definedName name="_xlpm._matr" hidden="1" xlm="1">#NAME?</definedName>
    <definedName name="_xlpm._matr24" hidden="1" xlm="1">#NAME?</definedName>
    <definedName name="_xlpm._matr30" hidden="1" xlm="1">#NAME?</definedName>
    <definedName name="_xlpm._matri" hidden="1" xlm="1">#NAME?</definedName>
    <definedName name="_xlpm._matri24" hidden="1" xlm="1">#NAME?</definedName>
    <definedName name="_xlpm._matri30" hidden="1" xlm="1">#NAME?</definedName>
    <definedName name="_xlpm._matriz" hidden="1" xlm="1">#NAME?</definedName>
    <definedName name="_xlpm._matriz2" hidden="1" xlm="1">#NAME?</definedName>
    <definedName name="_xlpm._matriz24" hidden="1" xlm="1">#NAME?</definedName>
    <definedName name="_xlpm._matriz3" hidden="1" xlm="1">#NAME?</definedName>
    <definedName name="_xlpm._matriz30" hidden="1" xlm="1">#NAME?</definedName>
    <definedName name="_xlpm._me30" hidden="1" xlm="1">#NAME?</definedName>
    <definedName name="_xlpm._mes2" hidden="1" xlm="1">#NAME?</definedName>
    <definedName name="_xlpm._mes23" hidden="1" xlm="1">#NAME?</definedName>
    <definedName name="_xlpm._mes24" hidden="1" xlm="1">#NAME?</definedName>
    <definedName name="_xlpm._mes3" hidden="1" xlm="1">#NAME?</definedName>
    <definedName name="_xlpm._mes30" hidden="1" xlm="1">#NAME?</definedName>
    <definedName name="_xlpm._meses" hidden="1" xlm="1">#NAME?</definedName>
    <definedName name="_xlpm._nom24" hidden="1" xlm="1">#NAME?</definedName>
    <definedName name="_xlpm._nom24noACC" hidden="1" xlm="1">#NAME?</definedName>
    <definedName name="_xlpm._nom2noACC" hidden="1" xlm="1">#NAME?</definedName>
    <definedName name="_xlpm._nom30" hidden="1" xlm="1">#NAME?</definedName>
    <definedName name="_xlpm._nom30noACC" hidden="1" xlm="1">#NAME?</definedName>
    <definedName name="_xlpm._nom3noACC" hidden="1" xlm="1">#NAME?</definedName>
    <definedName name="_xlpm._nomnoACC" hidden="1" xlm="1">#NAME?</definedName>
    <definedName name="_xlpm._P" hidden="1" xlm="1">#NAME?</definedName>
    <definedName name="_xlpm._pCons" hidden="1" xlm="1">#NAME?</definedName>
    <definedName name="_xlpm._PI" hidden="1" xlm="1">#NAME?</definedName>
    <definedName name="_xlpm._PU" hidden="1" xlm="1">#NAME?</definedName>
    <definedName name="_xlpm._resultado" hidden="1" xlm="1">#NAME?</definedName>
    <definedName name="_xlnm.Print_Area" localSheetId="4">'PVP Nuevo Modelo Financiación'!$B$2:$S$67</definedName>
    <definedName name="_xlnm.Print_Area" localSheetId="7">'PVP Subv IEI Pro Auton-McrPyme'!$B$2:$K$33</definedName>
    <definedName name="_xlnm.Print_Area" localSheetId="2">'PVP VaP Auton-McrPyme'!$B$2:$AA$67</definedName>
    <definedName name="_xlnm.Print_Area" localSheetId="0">'PVP VaP Auton-McrPyme (3)'!$B$2:$AA$112</definedName>
    <definedName name="_xlnm.Print_Area" localSheetId="5">'PVP VaP IEI Auton-McrPyme'!$B$2:$T$36</definedName>
    <definedName name="_xlnm.Print_Area" localSheetId="3">'PVP VaP Linea Principal'!$B$2:$AC$30</definedName>
    <definedName name="_xlnm.Print_Area" localSheetId="6">'PVP VaP Mi Fijo Auton-McrPyme '!$B$2:$P$40</definedName>
    <definedName name="ID" localSheetId="10" hidden="1">"430a9376-cb49-406d-8edc-4d2162289c1b"</definedName>
    <definedName name="ID" localSheetId="1" hidden="1">"a42b918a-5d41-4b90-ba70-712c015a0519"</definedName>
    <definedName name="ID" localSheetId="4" hidden="1">"edb96ec6-a293-4be0-bda1-5c9c1661752d"</definedName>
    <definedName name="ID" localSheetId="7" hidden="1">"ff14c9d6-0ed5-46d5-9cc8-9e09dcf3a002"</definedName>
    <definedName name="ID" localSheetId="8" hidden="1">"b9085781-790e-4733-9a91-dec45eff1018"</definedName>
    <definedName name="ID" localSheetId="2" hidden="1">"eefb642f-43cd-4dd4-aa1c-35536ec2cb5a"</definedName>
    <definedName name="ID" localSheetId="0" hidden="1">"7ba26635-40a5-4132-983f-b649d8b85c2f"</definedName>
    <definedName name="ID" localSheetId="9" hidden="1">"16abfa87-f42b-4532-9c04-7306266bd759"</definedName>
    <definedName name="ID" localSheetId="5" hidden="1">"e490b3ee-c3df-4860-bfeb-7fcca33442c1"</definedName>
    <definedName name="ID" localSheetId="3" hidden="1">"4dd7ae40-cd35-4da6-974b-e062d5b3bffd"</definedName>
    <definedName name="ID" localSheetId="6" hidden="1">"2f2f3731-5e24-4f86-844d-0001ede775d3"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 i="14" l="1"/>
  <c r="B29" i="14"/>
  <c r="B27" i="14"/>
  <c r="B26" i="14"/>
  <c r="B24" i="14"/>
  <c r="B23" i="14"/>
  <c r="B22" i="14"/>
  <c r="B21" i="14"/>
  <c r="B20" i="14"/>
  <c r="B19" i="14"/>
  <c r="B18" i="14"/>
  <c r="B17" i="14"/>
  <c r="B16" i="14"/>
  <c r="B15" i="14"/>
  <c r="B14" i="14"/>
  <c r="B13" i="14"/>
  <c r="B12" i="14"/>
  <c r="B11" i="14"/>
  <c r="B10" i="14"/>
  <c r="B9" i="14"/>
  <c r="B8" i="14"/>
  <c r="B7" i="14"/>
  <c r="B6" i="14"/>
  <c r="B5" i="14"/>
  <c r="B4" i="14"/>
  <c r="B3" i="14"/>
  <c r="B2" i="14"/>
  <c r="CW194" i="3" l="1"/>
  <c r="CV194" i="3"/>
  <c r="CU194" i="3"/>
  <c r="CT194" i="3"/>
  <c r="CR194" i="3"/>
  <c r="CQ194" i="3"/>
  <c r="CP194" i="3"/>
  <c r="CO194" i="3"/>
  <c r="CM194" i="3"/>
  <c r="B4" i="3"/>
  <c r="C4" i="3"/>
  <c r="AE194" i="3"/>
  <c r="M115" i="3" l="1"/>
  <c r="AE115" i="3" s="1"/>
  <c r="K100" i="3"/>
  <c r="Y238" i="3"/>
  <c r="AC202" i="3"/>
  <c r="O213" i="3"/>
  <c r="Q182" i="3"/>
  <c r="O229" i="3"/>
  <c r="P186" i="3"/>
  <c r="O200" i="3"/>
  <c r="J192" i="3"/>
  <c r="T191" i="3"/>
  <c r="N161" i="3"/>
  <c r="E185" i="3"/>
  <c r="P217" i="3"/>
  <c r="AA62" i="3"/>
  <c r="V120" i="3"/>
  <c r="E211" i="3"/>
  <c r="F232" i="3"/>
  <c r="Y29" i="3"/>
  <c r="F74" i="3"/>
  <c r="X168" i="3"/>
  <c r="X187" i="3"/>
  <c r="P198" i="3"/>
  <c r="H134" i="3"/>
  <c r="M180" i="3"/>
  <c r="AE180" i="3" s="1"/>
  <c r="Z122" i="3"/>
  <c r="T169" i="3"/>
  <c r="P152" i="3"/>
  <c r="S227" i="3"/>
  <c r="Q130" i="3"/>
  <c r="V129" i="3"/>
  <c r="Y81" i="3"/>
  <c r="AA202" i="3"/>
  <c r="N49" i="3"/>
  <c r="F73" i="3"/>
  <c r="AB228" i="3"/>
  <c r="Z184" i="3"/>
  <c r="Y185" i="3"/>
  <c r="V211" i="3"/>
  <c r="E214" i="3"/>
  <c r="V150" i="3"/>
  <c r="Y219" i="3"/>
  <c r="W117" i="3"/>
  <c r="N132" i="3"/>
  <c r="V115" i="3"/>
  <c r="V140" i="3"/>
  <c r="R47" i="3"/>
  <c r="AB238" i="3"/>
  <c r="J116" i="3"/>
  <c r="V34" i="3"/>
  <c r="P166" i="3"/>
  <c r="M84" i="3"/>
  <c r="AE84" i="3" s="1"/>
  <c r="E226" i="3"/>
  <c r="T232" i="3"/>
  <c r="V177" i="3"/>
  <c r="H235" i="3"/>
  <c r="X213" i="3"/>
  <c r="R127" i="3"/>
  <c r="AB206" i="3"/>
  <c r="AC108" i="3"/>
  <c r="O230" i="3"/>
  <c r="AA185" i="3"/>
  <c r="E85" i="3"/>
  <c r="AB120" i="3"/>
  <c r="O220" i="3"/>
  <c r="P170" i="3"/>
  <c r="G46" i="3"/>
  <c r="W47" i="3"/>
  <c r="X153" i="3"/>
  <c r="AC178" i="3"/>
  <c r="AB195" i="3"/>
  <c r="X121" i="3"/>
  <c r="H227" i="3"/>
  <c r="X223" i="3"/>
  <c r="V147" i="3"/>
  <c r="O31" i="3"/>
  <c r="AB94" i="3"/>
  <c r="P150" i="3"/>
  <c r="Z102" i="3"/>
  <c r="V131" i="3"/>
  <c r="M92" i="3"/>
  <c r="AE92" i="3" s="1"/>
  <c r="G96" i="3"/>
  <c r="J66" i="3"/>
  <c r="E125" i="3"/>
  <c r="X141" i="3"/>
  <c r="AB74" i="3"/>
  <c r="W176" i="3"/>
  <c r="T189" i="3"/>
  <c r="R221" i="3"/>
  <c r="W151" i="3"/>
  <c r="Y213" i="3"/>
  <c r="J46" i="3"/>
  <c r="O124" i="3"/>
  <c r="Z97" i="3"/>
  <c r="Y209" i="3"/>
  <c r="D232" i="3"/>
  <c r="AA101" i="3"/>
  <c r="X163" i="3"/>
  <c r="K48" i="3"/>
  <c r="K59" i="3"/>
  <c r="S97" i="3"/>
  <c r="J121" i="3"/>
  <c r="E116" i="3"/>
  <c r="Z214" i="3"/>
  <c r="Q107" i="3"/>
  <c r="H109" i="3"/>
  <c r="AB200" i="3"/>
  <c r="AB189" i="3"/>
  <c r="X126" i="3"/>
  <c r="F181" i="3"/>
  <c r="AB124" i="3"/>
  <c r="G223" i="3"/>
  <c r="W142" i="3"/>
  <c r="H133" i="3"/>
  <c r="R201" i="3"/>
  <c r="H76" i="3"/>
  <c r="Y120" i="3"/>
  <c r="J233" i="3"/>
  <c r="T207" i="3"/>
  <c r="AA171" i="3"/>
  <c r="AB221" i="3"/>
  <c r="S149" i="3"/>
  <c r="AB202" i="3"/>
  <c r="P98" i="3"/>
  <c r="W227" i="3"/>
  <c r="Z126" i="3"/>
  <c r="P129" i="3"/>
  <c r="J128" i="3"/>
  <c r="D215" i="3"/>
  <c r="H96" i="3"/>
  <c r="S219" i="3"/>
  <c r="V123" i="3"/>
  <c r="V204" i="3"/>
  <c r="N210" i="3"/>
  <c r="Y62" i="3"/>
  <c r="S176" i="3"/>
  <c r="D161" i="3"/>
  <c r="T57" i="3"/>
  <c r="T157" i="3"/>
  <c r="G240" i="3"/>
  <c r="W185" i="3"/>
  <c r="P127" i="3"/>
  <c r="Y134" i="3"/>
  <c r="P158" i="3"/>
  <c r="W156" i="3"/>
  <c r="D103" i="3"/>
  <c r="N180" i="3"/>
  <c r="AA132" i="3"/>
  <c r="D225" i="3"/>
  <c r="N32" i="3"/>
  <c r="AB236" i="3"/>
  <c r="T100" i="3"/>
  <c r="W179" i="3"/>
  <c r="N55" i="3"/>
  <c r="Y205" i="3"/>
  <c r="Z232" i="3"/>
  <c r="N153" i="3"/>
  <c r="AC98" i="3"/>
  <c r="O41" i="3"/>
  <c r="J213" i="3"/>
  <c r="AC76" i="3"/>
  <c r="T29" i="3"/>
  <c r="K207" i="3"/>
  <c r="T148" i="3"/>
  <c r="Y91" i="3"/>
  <c r="K109" i="3"/>
  <c r="W218" i="3"/>
  <c r="V216" i="3"/>
  <c r="V215" i="3"/>
  <c r="O55" i="3"/>
  <c r="F224" i="3"/>
  <c r="R227" i="3"/>
  <c r="M157" i="3"/>
  <c r="AE157" i="3" s="1"/>
  <c r="D239" i="3"/>
  <c r="R151" i="3"/>
  <c r="Z88" i="3"/>
  <c r="AA96" i="3"/>
  <c r="AC139" i="3"/>
  <c r="T197" i="3"/>
  <c r="F212" i="3"/>
  <c r="N240" i="3"/>
  <c r="K153" i="3"/>
  <c r="E131" i="3"/>
  <c r="AC66" i="3"/>
  <c r="F151" i="3"/>
  <c r="X238" i="3"/>
  <c r="Y222" i="3"/>
  <c r="D122" i="3"/>
  <c r="G235" i="3"/>
  <c r="AB81" i="3"/>
  <c r="S237" i="3"/>
  <c r="AA144" i="3"/>
  <c r="AA204" i="3"/>
  <c r="O174" i="3"/>
  <c r="D188" i="3"/>
  <c r="AA33" i="3"/>
  <c r="K58" i="3"/>
  <c r="AA149" i="3"/>
  <c r="H228" i="3"/>
  <c r="T129" i="3"/>
  <c r="Z90" i="3"/>
  <c r="X35" i="3"/>
  <c r="V162" i="3"/>
  <c r="AA199" i="3"/>
  <c r="P160" i="3"/>
  <c r="P208" i="3"/>
  <c r="P84" i="3"/>
  <c r="H185" i="3"/>
  <c r="AA76" i="3"/>
  <c r="W236" i="3"/>
  <c r="P223" i="3"/>
  <c r="AB169" i="3"/>
  <c r="E232" i="3"/>
  <c r="AB217" i="3"/>
  <c r="V139" i="3"/>
  <c r="AA177" i="3"/>
  <c r="Q176" i="3"/>
  <c r="M220" i="3"/>
  <c r="AE220" i="3" s="1"/>
  <c r="R45" i="3"/>
  <c r="V197" i="3"/>
  <c r="R234" i="3"/>
  <c r="F237" i="3"/>
  <c r="W198" i="3"/>
  <c r="H177" i="3"/>
  <c r="V173" i="3"/>
  <c r="X234" i="3"/>
  <c r="V200" i="3"/>
  <c r="Y181" i="3"/>
  <c r="Y234" i="3"/>
  <c r="Q183" i="3"/>
  <c r="AC200" i="3"/>
  <c r="N216" i="3"/>
  <c r="W127" i="3"/>
  <c r="Q219" i="3"/>
  <c r="AA151" i="3"/>
  <c r="D141" i="3"/>
  <c r="W65" i="3"/>
  <c r="W168" i="3"/>
  <c r="Q238" i="3"/>
  <c r="M209" i="3"/>
  <c r="AE209" i="3" s="1"/>
  <c r="P220" i="3"/>
  <c r="K222" i="3"/>
  <c r="AC127" i="3"/>
  <c r="Q191" i="3"/>
  <c r="G210" i="3"/>
  <c r="AC217" i="3"/>
  <c r="G133" i="3"/>
  <c r="D220" i="3"/>
  <c r="X174" i="3"/>
  <c r="M185" i="3"/>
  <c r="AE185" i="3" s="1"/>
  <c r="AB214" i="3"/>
  <c r="T211" i="3"/>
  <c r="Z96" i="3"/>
  <c r="T183" i="3"/>
  <c r="AA69" i="3"/>
  <c r="G216" i="3"/>
  <c r="K212" i="3"/>
  <c r="F43" i="3"/>
  <c r="P211" i="3"/>
  <c r="M164" i="3"/>
  <c r="AE164" i="3" s="1"/>
  <c r="J234" i="3"/>
  <c r="D231" i="3"/>
  <c r="Z39" i="3"/>
  <c r="W165" i="3"/>
  <c r="S102" i="3"/>
  <c r="P31" i="3"/>
  <c r="F159" i="3"/>
  <c r="H207" i="3"/>
  <c r="X156" i="3"/>
  <c r="V213" i="3"/>
  <c r="Q73" i="3"/>
  <c r="O80" i="3"/>
  <c r="Q190" i="3"/>
  <c r="W233" i="3"/>
  <c r="W110" i="3"/>
  <c r="G184" i="3"/>
  <c r="G212" i="3"/>
  <c r="E132" i="3"/>
  <c r="O187" i="3"/>
  <c r="F86" i="3"/>
  <c r="M143" i="3"/>
  <c r="AE143" i="3" s="1"/>
  <c r="P141" i="3"/>
  <c r="W29" i="3"/>
  <c r="H79" i="3"/>
  <c r="N221" i="3"/>
  <c r="P173" i="3"/>
  <c r="H36" i="3"/>
  <c r="E165" i="3"/>
  <c r="Z225" i="3"/>
  <c r="N71" i="3"/>
  <c r="S162" i="3"/>
  <c r="M240" i="3"/>
  <c r="AE240" i="3" s="1"/>
  <c r="AC232" i="3"/>
  <c r="Q203" i="3"/>
  <c r="V141" i="3"/>
  <c r="J55" i="3"/>
  <c r="P189" i="3"/>
  <c r="H212" i="3"/>
  <c r="S213" i="3"/>
  <c r="G145" i="3"/>
  <c r="N127" i="3"/>
  <c r="N65" i="3"/>
  <c r="E128" i="3"/>
  <c r="W112" i="3"/>
  <c r="X237" i="3"/>
  <c r="H106" i="3"/>
  <c r="M96" i="3"/>
  <c r="AE96" i="3" s="1"/>
  <c r="F180" i="3"/>
  <c r="N97" i="3"/>
  <c r="M221" i="3"/>
  <c r="AE221" i="3" s="1"/>
  <c r="T237" i="3"/>
  <c r="R175" i="3"/>
  <c r="Q220" i="3"/>
  <c r="P34" i="3"/>
  <c r="Q150" i="3"/>
  <c r="G152" i="3"/>
  <c r="S225" i="3"/>
  <c r="Z187" i="3"/>
  <c r="H225" i="3"/>
  <c r="Y190" i="3"/>
  <c r="Z142" i="3"/>
  <c r="S129" i="3"/>
  <c r="N213" i="3"/>
  <c r="X68" i="3"/>
  <c r="H176" i="3"/>
  <c r="K157" i="3"/>
  <c r="AA46" i="3"/>
  <c r="BJ46" i="3" s="1"/>
  <c r="O68" i="3"/>
  <c r="R235" i="3"/>
  <c r="Y226" i="3"/>
  <c r="X154" i="3"/>
  <c r="Q148" i="3"/>
  <c r="R217" i="3"/>
  <c r="Y212" i="3"/>
  <c r="V236" i="3"/>
  <c r="M232" i="3"/>
  <c r="AE232" i="3" s="1"/>
  <c r="M197" i="3"/>
  <c r="AE197" i="3" s="1"/>
  <c r="J133" i="3"/>
  <c r="AB153" i="3"/>
  <c r="AC175" i="3"/>
  <c r="X65" i="3"/>
  <c r="S238" i="3"/>
  <c r="V232" i="3"/>
  <c r="N76" i="3"/>
  <c r="Q180" i="3"/>
  <c r="R164" i="3"/>
  <c r="P54" i="3"/>
  <c r="H89" i="3"/>
  <c r="W184" i="3"/>
  <c r="E160" i="3"/>
  <c r="W72" i="3"/>
  <c r="T203" i="3"/>
  <c r="J134" i="3"/>
  <c r="F69" i="3"/>
  <c r="Z75" i="3"/>
  <c r="V193" i="3"/>
  <c r="Y142" i="3"/>
  <c r="X133" i="3"/>
  <c r="G30" i="3"/>
  <c r="F36" i="3"/>
  <c r="H68" i="3"/>
  <c r="Y80" i="3"/>
  <c r="AA82" i="3"/>
  <c r="R220" i="3"/>
  <c r="Q134" i="3"/>
  <c r="K34" i="3"/>
  <c r="F223" i="3"/>
  <c r="Q209" i="3"/>
  <c r="T235" i="3"/>
  <c r="R123" i="3"/>
  <c r="M139" i="3"/>
  <c r="AE139" i="3" s="1"/>
  <c r="Y176" i="3"/>
  <c r="X184" i="3"/>
  <c r="T170" i="3"/>
  <c r="J120" i="3"/>
  <c r="R84" i="3"/>
  <c r="W228" i="3"/>
  <c r="J162" i="3"/>
  <c r="R152" i="3"/>
  <c r="W159" i="3"/>
  <c r="N209" i="3"/>
  <c r="K226" i="3"/>
  <c r="V70" i="3"/>
  <c r="X34" i="3"/>
  <c r="Z158" i="3"/>
  <c r="Y119" i="3"/>
  <c r="Q58" i="3"/>
  <c r="AB46" i="3"/>
  <c r="AB78" i="3"/>
  <c r="E155" i="3"/>
  <c r="Q172" i="3"/>
  <c r="D206" i="3"/>
  <c r="R177" i="3"/>
  <c r="N66" i="3"/>
  <c r="O224" i="3"/>
  <c r="G102" i="3"/>
  <c r="J58" i="3"/>
  <c r="X203" i="3"/>
  <c r="J223" i="3"/>
  <c r="F62" i="3"/>
  <c r="P196" i="3"/>
  <c r="AA73" i="3"/>
  <c r="X155" i="3"/>
  <c r="E216" i="3"/>
  <c r="N230" i="3"/>
  <c r="R226" i="3"/>
  <c r="AC174" i="3"/>
  <c r="J229" i="3"/>
  <c r="D155" i="3"/>
  <c r="H165" i="3"/>
  <c r="O49" i="3"/>
  <c r="R80" i="3"/>
  <c r="T219" i="3"/>
  <c r="R75" i="3"/>
  <c r="W119" i="3"/>
  <c r="Y189" i="3"/>
  <c r="AB66" i="3"/>
  <c r="D114" i="3"/>
  <c r="K46" i="3"/>
  <c r="G203" i="3"/>
  <c r="H208" i="3"/>
  <c r="F190" i="3"/>
  <c r="G80" i="3"/>
  <c r="Z205" i="3"/>
  <c r="AA109" i="3"/>
  <c r="AB61" i="3"/>
  <c r="Z180" i="3"/>
  <c r="O50" i="3"/>
  <c r="E73" i="3"/>
  <c r="R230" i="3"/>
  <c r="X230" i="3"/>
  <c r="X49" i="3"/>
  <c r="AA105" i="3"/>
  <c r="Z100" i="3"/>
  <c r="AA113" i="3"/>
  <c r="E231" i="3"/>
  <c r="O176" i="3"/>
  <c r="X171" i="3"/>
  <c r="F158" i="3"/>
  <c r="H80" i="3"/>
  <c r="V48" i="3"/>
  <c r="E136" i="3"/>
  <c r="Q160" i="3"/>
  <c r="W140" i="3"/>
  <c r="V192" i="3"/>
  <c r="H231" i="3"/>
  <c r="X228" i="3"/>
  <c r="X114" i="3"/>
  <c r="V142" i="3"/>
  <c r="R62" i="3"/>
  <c r="T231" i="3"/>
  <c r="D184" i="3"/>
  <c r="H196" i="3"/>
  <c r="F34" i="3"/>
  <c r="R99" i="3"/>
  <c r="N96" i="3"/>
  <c r="AW96" i="3" s="1"/>
  <c r="Z68" i="3"/>
  <c r="J62" i="3"/>
  <c r="M76" i="3"/>
  <c r="AE76" i="3" s="1"/>
  <c r="O188" i="3"/>
  <c r="AC71" i="3"/>
  <c r="W177" i="3"/>
  <c r="R96" i="3"/>
  <c r="BA96" i="3" s="1"/>
  <c r="T96" i="3"/>
  <c r="BC96" i="3" s="1"/>
  <c r="J89" i="3"/>
  <c r="K83" i="3"/>
  <c r="W59" i="3"/>
  <c r="T113" i="3"/>
  <c r="J164" i="3"/>
  <c r="J205" i="3"/>
  <c r="F160" i="3"/>
  <c r="F61" i="3"/>
  <c r="E218" i="3"/>
  <c r="X159" i="3"/>
  <c r="J165" i="3"/>
  <c r="G137" i="3"/>
  <c r="AA84" i="3"/>
  <c r="P178" i="3"/>
  <c r="P63" i="3"/>
  <c r="G71" i="3"/>
  <c r="V86" i="3"/>
  <c r="M40" i="3"/>
  <c r="AE40" i="3" s="1"/>
  <c r="J131" i="3"/>
  <c r="AB65" i="3"/>
  <c r="F209" i="3"/>
  <c r="W122" i="3"/>
  <c r="AC235" i="3"/>
  <c r="S114" i="3"/>
  <c r="AB79" i="3"/>
  <c r="AC37" i="3"/>
  <c r="G38" i="3"/>
  <c r="AA234" i="3"/>
  <c r="O43" i="3"/>
  <c r="Z73" i="3"/>
  <c r="Z80" i="3"/>
  <c r="Q30" i="3"/>
  <c r="V36" i="3"/>
  <c r="D212" i="3"/>
  <c r="R97" i="3"/>
  <c r="F162" i="3"/>
  <c r="Z136" i="3"/>
  <c r="P227" i="3"/>
  <c r="O125" i="3"/>
  <c r="X139" i="3"/>
  <c r="Y139" i="3"/>
  <c r="R65" i="3"/>
  <c r="F230" i="3"/>
  <c r="Z130" i="3"/>
  <c r="J207" i="3"/>
  <c r="H138" i="3"/>
  <c r="AB235" i="3"/>
  <c r="K234" i="3"/>
  <c r="AC158" i="3"/>
  <c r="R117" i="3"/>
  <c r="N239" i="3"/>
  <c r="T78" i="3"/>
  <c r="Q232" i="3"/>
  <c r="K39" i="3"/>
  <c r="O210" i="3"/>
  <c r="X160" i="3"/>
  <c r="R64" i="3"/>
  <c r="T122" i="3"/>
  <c r="W202" i="3"/>
  <c r="V176" i="3"/>
  <c r="K190" i="3"/>
  <c r="K110" i="3"/>
  <c r="P33" i="3"/>
  <c r="O177" i="3"/>
  <c r="P240" i="3"/>
  <c r="E101" i="3"/>
  <c r="E82" i="3"/>
  <c r="AC107" i="3"/>
  <c r="X118" i="3"/>
  <c r="P123" i="3"/>
  <c r="Y57" i="3"/>
  <c r="F136" i="3"/>
  <c r="K148" i="3"/>
  <c r="G182" i="3"/>
  <c r="R196" i="3"/>
  <c r="M148" i="3"/>
  <c r="AE148" i="3" s="1"/>
  <c r="W222" i="3"/>
  <c r="E78" i="3"/>
  <c r="AC213" i="3"/>
  <c r="Q44" i="3"/>
  <c r="Y88" i="3"/>
  <c r="W169" i="3"/>
  <c r="Q108" i="3"/>
  <c r="Z218" i="3"/>
  <c r="E51" i="3"/>
  <c r="N224" i="3"/>
  <c r="W221" i="3"/>
  <c r="Q37" i="3"/>
  <c r="D201" i="3"/>
  <c r="R191" i="3"/>
  <c r="Z140" i="3"/>
  <c r="R178" i="3"/>
  <c r="Y71" i="3"/>
  <c r="O66" i="3"/>
  <c r="E188" i="3"/>
  <c r="X97" i="3"/>
  <c r="W74" i="3"/>
  <c r="G87" i="3"/>
  <c r="M152" i="3"/>
  <c r="AE152" i="3" s="1"/>
  <c r="R133" i="3"/>
  <c r="R86" i="3"/>
  <c r="D85" i="3"/>
  <c r="AB198" i="3"/>
  <c r="E106" i="3"/>
  <c r="D157" i="3"/>
  <c r="Q202" i="3"/>
  <c r="P97" i="3"/>
  <c r="H210" i="3"/>
  <c r="Z72" i="3"/>
  <c r="S92" i="3"/>
  <c r="Y230" i="3"/>
  <c r="AB139" i="3"/>
  <c r="N46" i="3"/>
  <c r="AW46" i="3" s="1"/>
  <c r="H192" i="3"/>
  <c r="W98" i="3"/>
  <c r="M175" i="3"/>
  <c r="AE175" i="3" s="1"/>
  <c r="V49" i="3"/>
  <c r="X80" i="3"/>
  <c r="S233" i="3"/>
  <c r="AC109" i="3"/>
  <c r="Y133" i="3"/>
  <c r="F202" i="3"/>
  <c r="Y117" i="3"/>
  <c r="AA184" i="3"/>
  <c r="T141" i="3"/>
  <c r="N36" i="3"/>
  <c r="AC121" i="3"/>
  <c r="R37" i="3"/>
  <c r="J52" i="3"/>
  <c r="AA167" i="3"/>
  <c r="H125" i="3"/>
  <c r="W131" i="3"/>
  <c r="AC151" i="3"/>
  <c r="T180" i="3"/>
  <c r="H144" i="3"/>
  <c r="K181" i="3"/>
  <c r="S206" i="3"/>
  <c r="T85" i="3"/>
  <c r="J33" i="3"/>
  <c r="Z216" i="3"/>
  <c r="R136" i="3"/>
  <c r="Q64" i="3"/>
  <c r="R228" i="3"/>
  <c r="M33" i="3"/>
  <c r="AE33" i="3" s="1"/>
  <c r="Q152" i="3"/>
  <c r="T171" i="3"/>
  <c r="H223" i="3"/>
  <c r="AC91" i="3"/>
  <c r="AB38" i="3"/>
  <c r="K186" i="3"/>
  <c r="AA191" i="3"/>
  <c r="AB179" i="3"/>
  <c r="Z114" i="3"/>
  <c r="Y110" i="3"/>
  <c r="J170" i="3"/>
  <c r="G78" i="3"/>
  <c r="N185" i="3"/>
  <c r="T45" i="3"/>
  <c r="W94" i="3"/>
  <c r="S236" i="3"/>
  <c r="AC104" i="3"/>
  <c r="AB97" i="3"/>
  <c r="M123" i="3"/>
  <c r="AE123" i="3" s="1"/>
  <c r="M130" i="3"/>
  <c r="AE130" i="3" s="1"/>
  <c r="K187" i="3"/>
  <c r="J175" i="3"/>
  <c r="Q75" i="3"/>
  <c r="V102" i="3"/>
  <c r="G158" i="3"/>
  <c r="AB82" i="3"/>
  <c r="O115" i="3"/>
  <c r="V175" i="3"/>
  <c r="AC228" i="3"/>
  <c r="AA50" i="3"/>
  <c r="Z61" i="3"/>
  <c r="AA78" i="3"/>
  <c r="V227" i="3"/>
  <c r="AB226" i="3"/>
  <c r="AA130" i="3"/>
  <c r="Z40" i="3"/>
  <c r="Q70" i="3"/>
  <c r="H137" i="3"/>
  <c r="H159" i="3"/>
  <c r="X51" i="3"/>
  <c r="S90" i="3"/>
  <c r="AA209" i="3"/>
  <c r="Z207" i="3"/>
  <c r="K60" i="3"/>
  <c r="F193" i="3"/>
  <c r="D229" i="3"/>
  <c r="F85" i="3"/>
  <c r="AC221" i="3"/>
  <c r="Z109" i="3"/>
  <c r="S96" i="3"/>
  <c r="AA85" i="3"/>
  <c r="F208" i="3"/>
  <c r="O212" i="3"/>
  <c r="T165" i="3"/>
  <c r="AA217" i="3"/>
  <c r="T70" i="3"/>
  <c r="P140" i="3"/>
  <c r="J102" i="3"/>
  <c r="AA216" i="3"/>
  <c r="BJ216" i="3" s="1"/>
  <c r="M168" i="3"/>
  <c r="AE168" i="3" s="1"/>
  <c r="E90" i="3"/>
  <c r="Q57" i="3"/>
  <c r="K89" i="3"/>
  <c r="G236" i="3"/>
  <c r="AA72" i="3"/>
  <c r="P157" i="3"/>
  <c r="Q184" i="3"/>
  <c r="S172" i="3"/>
  <c r="J146" i="3"/>
  <c r="O107" i="3"/>
  <c r="D237" i="3"/>
  <c r="AB219" i="3"/>
  <c r="H103" i="3"/>
  <c r="E148" i="3"/>
  <c r="G86" i="3"/>
  <c r="N109" i="3"/>
  <c r="Z177" i="3"/>
  <c r="N211" i="3"/>
  <c r="G47" i="3"/>
  <c r="X101" i="3"/>
  <c r="Z148" i="3"/>
  <c r="J212" i="3"/>
  <c r="Y221" i="3"/>
  <c r="T239" i="3"/>
  <c r="J140" i="3"/>
  <c r="S211" i="3"/>
  <c r="S173" i="3"/>
  <c r="N37" i="3"/>
  <c r="D45" i="3"/>
  <c r="J187" i="3"/>
  <c r="G146" i="3"/>
  <c r="Y202" i="3"/>
  <c r="K36" i="3"/>
  <c r="E104" i="3"/>
  <c r="P221" i="3"/>
  <c r="F133" i="3"/>
  <c r="W61" i="3"/>
  <c r="X157" i="3"/>
  <c r="K235" i="3"/>
  <c r="X115" i="3"/>
  <c r="J221" i="3"/>
  <c r="G81" i="3"/>
  <c r="O180" i="3"/>
  <c r="R57" i="3"/>
  <c r="K163" i="3"/>
  <c r="P202" i="3"/>
  <c r="AB116" i="3"/>
  <c r="T217" i="3"/>
  <c r="X186" i="3"/>
  <c r="E204" i="3"/>
  <c r="Z45" i="3"/>
  <c r="Z29" i="3"/>
  <c r="H85" i="3"/>
  <c r="K32" i="3"/>
  <c r="AC230" i="3"/>
  <c r="AB150" i="3"/>
  <c r="W89" i="3"/>
  <c r="Q103" i="3"/>
  <c r="P29" i="3"/>
  <c r="E167" i="3"/>
  <c r="S223" i="3"/>
  <c r="E237" i="3"/>
  <c r="R124" i="3"/>
  <c r="J240" i="3"/>
  <c r="P81" i="3"/>
  <c r="Y223" i="3"/>
  <c r="R215" i="3"/>
  <c r="S181" i="3"/>
  <c r="R49" i="3"/>
  <c r="N228" i="3"/>
  <c r="Y179" i="3"/>
  <c r="N90" i="3"/>
  <c r="X103" i="3"/>
  <c r="M235" i="3"/>
  <c r="AE235" i="3" s="1"/>
  <c r="Q39" i="3"/>
  <c r="K62" i="3"/>
  <c r="D56" i="3"/>
  <c r="AA207" i="3"/>
  <c r="Q175" i="3"/>
  <c r="O192" i="3"/>
  <c r="E195" i="3"/>
  <c r="Z49" i="3"/>
  <c r="J96" i="3"/>
  <c r="AA186" i="3"/>
  <c r="P168" i="3"/>
  <c r="Y89" i="3"/>
  <c r="W101" i="3"/>
  <c r="Y67" i="3"/>
  <c r="D127" i="3"/>
  <c r="F171" i="3"/>
  <c r="H213" i="3"/>
  <c r="M131" i="3"/>
  <c r="AE131" i="3" s="1"/>
  <c r="AC187" i="3"/>
  <c r="Q133" i="3"/>
  <c r="AC225" i="3"/>
  <c r="X63" i="3"/>
  <c r="T79" i="3"/>
  <c r="M227" i="3"/>
  <c r="AE227" i="3" s="1"/>
  <c r="X224" i="3"/>
  <c r="J109" i="3"/>
  <c r="S174" i="3"/>
  <c r="Q60" i="3"/>
  <c r="S184" i="3"/>
  <c r="P108" i="3"/>
  <c r="F216" i="3"/>
  <c r="D100" i="3"/>
  <c r="T152" i="3"/>
  <c r="BC152" i="3" s="1"/>
  <c r="AB138" i="3"/>
  <c r="D147" i="3"/>
  <c r="V78" i="3"/>
  <c r="K87" i="3"/>
  <c r="H155" i="3"/>
  <c r="H62" i="3"/>
  <c r="V233" i="3"/>
  <c r="V112" i="3"/>
  <c r="J168" i="3"/>
  <c r="R70" i="3"/>
  <c r="H203" i="3"/>
  <c r="O167" i="3"/>
  <c r="N82" i="3"/>
  <c r="R172" i="3"/>
  <c r="W87" i="3"/>
  <c r="K169" i="3"/>
  <c r="D235" i="3"/>
  <c r="AA176" i="3"/>
  <c r="S51" i="3"/>
  <c r="V107" i="3"/>
  <c r="X96" i="3"/>
  <c r="K74" i="3"/>
  <c r="O233" i="3"/>
  <c r="AC226" i="3"/>
  <c r="Y160" i="3"/>
  <c r="S139" i="3"/>
  <c r="W158" i="3"/>
  <c r="T218" i="3"/>
  <c r="F45" i="3"/>
  <c r="Y174" i="3"/>
  <c r="D226" i="3"/>
  <c r="K211" i="3"/>
  <c r="M109" i="3"/>
  <c r="AE109" i="3" s="1"/>
  <c r="R146" i="3"/>
  <c r="G237" i="3"/>
  <c r="H51" i="3"/>
  <c r="N205" i="3"/>
  <c r="Y41" i="3"/>
  <c r="D69" i="3"/>
  <c r="V239" i="3"/>
  <c r="AC155" i="3"/>
  <c r="P238" i="3"/>
  <c r="D73" i="3"/>
  <c r="V30" i="3"/>
  <c r="K99" i="3"/>
  <c r="S116" i="3"/>
  <c r="O123" i="3"/>
  <c r="V94" i="3"/>
  <c r="R208" i="3"/>
  <c r="AB216" i="3"/>
  <c r="Y169" i="3"/>
  <c r="M174" i="3"/>
  <c r="AE174" i="3" s="1"/>
  <c r="F56" i="3"/>
  <c r="S64" i="3"/>
  <c r="J39" i="3"/>
  <c r="D79" i="3"/>
  <c r="T196" i="3"/>
  <c r="F131" i="3"/>
  <c r="X145" i="3"/>
  <c r="J218" i="3"/>
  <c r="P187" i="3"/>
  <c r="Q213" i="3"/>
  <c r="P92" i="3"/>
  <c r="AB157" i="3"/>
  <c r="H160" i="3"/>
  <c r="D158" i="3"/>
  <c r="S81" i="3"/>
  <c r="E164" i="3"/>
  <c r="V196" i="3"/>
  <c r="Z222" i="3"/>
  <c r="Z37" i="3"/>
  <c r="O75" i="3"/>
  <c r="W66" i="3"/>
  <c r="E30" i="3"/>
  <c r="O222" i="3"/>
  <c r="S35" i="3"/>
  <c r="D42" i="3"/>
  <c r="Z55" i="3"/>
  <c r="AC239" i="3"/>
  <c r="M69" i="3"/>
  <c r="AE69" i="3" s="1"/>
  <c r="Q198" i="3"/>
  <c r="AC72" i="3"/>
  <c r="O225" i="3"/>
  <c r="Z53" i="3"/>
  <c r="N143" i="3"/>
  <c r="T47" i="3"/>
  <c r="P161" i="3"/>
  <c r="J70" i="3"/>
  <c r="K44" i="3"/>
  <c r="AC142" i="3"/>
  <c r="W51" i="3"/>
  <c r="X130" i="3"/>
  <c r="K80" i="3"/>
  <c r="V188" i="3"/>
  <c r="T76" i="3"/>
  <c r="E154" i="3"/>
  <c r="W86" i="3"/>
  <c r="O240" i="3"/>
  <c r="F126" i="3"/>
  <c r="W211" i="3"/>
  <c r="H93" i="3"/>
  <c r="Z132" i="3"/>
  <c r="D159" i="3"/>
  <c r="AA145" i="3"/>
  <c r="BJ145" i="3" s="1"/>
  <c r="P42" i="3"/>
  <c r="W226" i="3"/>
  <c r="S165" i="3"/>
  <c r="F163" i="3"/>
  <c r="J186" i="3"/>
  <c r="F157" i="3"/>
  <c r="S43" i="3"/>
  <c r="M233" i="3"/>
  <c r="AE233" i="3" s="1"/>
  <c r="M204" i="3"/>
  <c r="AE204" i="3" s="1"/>
  <c r="W125" i="3"/>
  <c r="D204" i="3"/>
  <c r="H188" i="3"/>
  <c r="G141" i="3"/>
  <c r="M198" i="3"/>
  <c r="AE198" i="3" s="1"/>
  <c r="AA68" i="3"/>
  <c r="O117" i="3"/>
  <c r="Z165" i="3"/>
  <c r="W64" i="3"/>
  <c r="O219" i="3"/>
  <c r="Y115" i="3"/>
  <c r="X123" i="3"/>
  <c r="R110" i="3"/>
  <c r="Y148" i="3"/>
  <c r="G67" i="3"/>
  <c r="J65" i="3"/>
  <c r="Z145" i="3"/>
  <c r="X54" i="3"/>
  <c r="AB192" i="3"/>
  <c r="G239" i="3"/>
  <c r="Y156" i="3"/>
  <c r="S189" i="3"/>
  <c r="P228" i="3"/>
  <c r="P142" i="3"/>
  <c r="E91" i="3"/>
  <c r="R69" i="3"/>
  <c r="AC102" i="3"/>
  <c r="Y178" i="3"/>
  <c r="R112" i="3"/>
  <c r="H157" i="3"/>
  <c r="Z52" i="3"/>
  <c r="V80" i="3"/>
  <c r="Y59" i="3"/>
  <c r="AB239" i="3"/>
  <c r="D58" i="3"/>
  <c r="Y217" i="3"/>
  <c r="K52" i="3"/>
  <c r="M133" i="3"/>
  <c r="AE133" i="3" s="1"/>
  <c r="K170" i="3"/>
  <c r="X71" i="3"/>
  <c r="N92" i="3"/>
  <c r="AB213" i="3"/>
  <c r="S76" i="3"/>
  <c r="Y63" i="3"/>
  <c r="G221" i="3"/>
  <c r="H232" i="3"/>
  <c r="P192" i="3"/>
  <c r="J122" i="3"/>
  <c r="G225" i="3"/>
  <c r="Z238" i="3"/>
  <c r="D238" i="3"/>
  <c r="M156" i="3"/>
  <c r="AE156" i="3" s="1"/>
  <c r="K67" i="3"/>
  <c r="R128" i="3"/>
  <c r="T54" i="3"/>
  <c r="X161" i="3"/>
  <c r="AB110" i="3"/>
  <c r="AB128" i="3"/>
  <c r="H222" i="3"/>
  <c r="N141" i="3"/>
  <c r="F229" i="3"/>
  <c r="Q230" i="3"/>
  <c r="G125" i="3"/>
  <c r="AC181" i="3"/>
  <c r="H99" i="3"/>
  <c r="R38" i="3"/>
  <c r="H97" i="3"/>
  <c r="M103" i="3"/>
  <c r="AE103" i="3" s="1"/>
  <c r="T62" i="3"/>
  <c r="E208" i="3"/>
  <c r="N226" i="3"/>
  <c r="S183" i="3"/>
  <c r="J230" i="3"/>
  <c r="X38" i="3"/>
  <c r="Z228" i="3"/>
  <c r="Z162" i="3"/>
  <c r="E179" i="3"/>
  <c r="R224" i="3"/>
  <c r="J193" i="3"/>
  <c r="Y161" i="3"/>
  <c r="Y39" i="3"/>
  <c r="Y46" i="3"/>
  <c r="BH46" i="3" s="1"/>
  <c r="G149" i="3"/>
  <c r="M46" i="3"/>
  <c r="AE46" i="3" s="1"/>
  <c r="N115" i="3"/>
  <c r="Z41" i="3"/>
  <c r="D234" i="3"/>
  <c r="D209" i="3"/>
  <c r="F41" i="3"/>
  <c r="F120" i="3"/>
  <c r="S188" i="3"/>
  <c r="AA124" i="3"/>
  <c r="M119" i="3"/>
  <c r="AE119" i="3" s="1"/>
  <c r="E74" i="3"/>
  <c r="X119" i="3"/>
  <c r="Q114" i="3"/>
  <c r="AB215" i="3"/>
  <c r="J42" i="3"/>
  <c r="P155" i="3"/>
  <c r="F203" i="3"/>
  <c r="R155" i="3"/>
  <c r="G230" i="3"/>
  <c r="E123" i="3"/>
  <c r="F118" i="3"/>
  <c r="Y175" i="3"/>
  <c r="Z151" i="3"/>
  <c r="Z198" i="3"/>
  <c r="O161" i="3"/>
  <c r="V66" i="3"/>
  <c r="AC112" i="3"/>
  <c r="S62" i="3"/>
  <c r="J152" i="3"/>
  <c r="T65" i="3"/>
  <c r="S125" i="3"/>
  <c r="O227" i="3"/>
  <c r="AA53" i="3"/>
  <c r="J135" i="3"/>
  <c r="Z82" i="3"/>
  <c r="R118" i="3"/>
  <c r="E110" i="3"/>
  <c r="Q69" i="3"/>
  <c r="G169" i="3"/>
  <c r="H199" i="3"/>
  <c r="R59" i="3"/>
  <c r="R171" i="3"/>
  <c r="E183" i="3"/>
  <c r="W41" i="3"/>
  <c r="X41" i="3"/>
  <c r="K114" i="3"/>
  <c r="AB68" i="3"/>
  <c r="Z157" i="3"/>
  <c r="D84" i="3"/>
  <c r="M34" i="3"/>
  <c r="AE34" i="3" s="1"/>
  <c r="O109" i="3"/>
  <c r="R209" i="3"/>
  <c r="P109" i="3"/>
  <c r="E94" i="3"/>
  <c r="J30" i="3"/>
  <c r="W130" i="3"/>
  <c r="R108" i="3"/>
  <c r="P171" i="3"/>
  <c r="O153" i="3"/>
  <c r="AA119" i="3"/>
  <c r="G187" i="3"/>
  <c r="AA231" i="3"/>
  <c r="G162" i="3"/>
  <c r="AC90" i="3"/>
  <c r="G206" i="3"/>
  <c r="V58" i="3"/>
  <c r="G118" i="3"/>
  <c r="AB45" i="3"/>
  <c r="Z164" i="3"/>
  <c r="Z51" i="3"/>
  <c r="P59" i="3"/>
  <c r="AC43" i="3"/>
  <c r="AC99" i="3"/>
  <c r="O217" i="3"/>
  <c r="F186" i="3"/>
  <c r="AC153" i="3"/>
  <c r="K230" i="3"/>
  <c r="Q167" i="3"/>
  <c r="Y82" i="3"/>
  <c r="Q170" i="3"/>
  <c r="S91" i="3"/>
  <c r="Q159" i="3"/>
  <c r="D230" i="3"/>
  <c r="F231" i="3"/>
  <c r="V159" i="3"/>
  <c r="Q192" i="3"/>
  <c r="Z81" i="3"/>
  <c r="P230" i="3"/>
  <c r="Z154" i="3"/>
  <c r="R129" i="3"/>
  <c r="V212" i="3"/>
  <c r="J114" i="3"/>
  <c r="T68" i="3"/>
  <c r="AA66" i="3"/>
  <c r="O119" i="3"/>
  <c r="R130" i="3"/>
  <c r="S71" i="3"/>
  <c r="X61" i="3"/>
  <c r="AB54" i="3"/>
  <c r="Q100" i="3"/>
  <c r="M108" i="3"/>
  <c r="AE108" i="3" s="1"/>
  <c r="X216" i="3"/>
  <c r="D98" i="3"/>
  <c r="T168" i="3"/>
  <c r="V210" i="3"/>
  <c r="AA137" i="3"/>
  <c r="BJ137" i="3" s="1"/>
  <c r="AA224" i="3"/>
  <c r="M145" i="3"/>
  <c r="AE145" i="3" s="1"/>
  <c r="M147" i="3"/>
  <c r="AE147" i="3" s="1"/>
  <c r="AB203" i="3"/>
  <c r="T177" i="3"/>
  <c r="T147" i="3"/>
  <c r="H81" i="3"/>
  <c r="S143" i="3"/>
  <c r="V163" i="3"/>
  <c r="Z54" i="3"/>
  <c r="AB230" i="3"/>
  <c r="K68" i="3"/>
  <c r="R213" i="3"/>
  <c r="O148" i="3"/>
  <c r="X147" i="3"/>
  <c r="Z71" i="3"/>
  <c r="S73" i="3"/>
  <c r="AB123" i="3"/>
  <c r="G50" i="3"/>
  <c r="AA86" i="3"/>
  <c r="F139" i="3"/>
  <c r="H112" i="3"/>
  <c r="Z209" i="3"/>
  <c r="P86" i="3"/>
  <c r="AC84" i="3"/>
  <c r="G132" i="3"/>
  <c r="E63" i="3"/>
  <c r="S68" i="3"/>
  <c r="S94" i="3"/>
  <c r="W45" i="3"/>
  <c r="S168" i="3"/>
  <c r="S220" i="3"/>
  <c r="AA157" i="3"/>
  <c r="T91" i="3"/>
  <c r="W214" i="3"/>
  <c r="W186" i="3"/>
  <c r="E36" i="3"/>
  <c r="P233" i="3"/>
  <c r="Z173" i="3"/>
  <c r="X205" i="3"/>
  <c r="Y74" i="3"/>
  <c r="V234" i="3"/>
  <c r="F81" i="3"/>
  <c r="D210" i="3"/>
  <c r="Q222" i="3"/>
  <c r="Y116" i="3"/>
  <c r="Z43" i="3"/>
  <c r="V118" i="3"/>
  <c r="G227" i="3"/>
  <c r="N225" i="3"/>
  <c r="Q208" i="3"/>
  <c r="P43" i="3"/>
  <c r="H54" i="3"/>
  <c r="AC189" i="3"/>
  <c r="D82" i="3"/>
  <c r="AA135" i="3"/>
  <c r="P218" i="3"/>
  <c r="J155" i="3"/>
  <c r="V184" i="3"/>
  <c r="Z35" i="3"/>
  <c r="AA123" i="3"/>
  <c r="G53" i="3"/>
  <c r="AC60" i="3"/>
  <c r="M100" i="3"/>
  <c r="AE100" i="3" s="1"/>
  <c r="AB88" i="3"/>
  <c r="P104" i="3"/>
  <c r="V99" i="3"/>
  <c r="Y225" i="3"/>
  <c r="F170" i="3"/>
  <c r="M226" i="3"/>
  <c r="AE226" i="3" s="1"/>
  <c r="H56" i="3"/>
  <c r="R165" i="3"/>
  <c r="X215" i="3"/>
  <c r="O67" i="3"/>
  <c r="F227" i="3"/>
  <c r="AC80" i="3"/>
  <c r="AB30" i="3"/>
  <c r="K150" i="3"/>
  <c r="D115" i="3"/>
  <c r="V38" i="3"/>
  <c r="H150" i="3"/>
  <c r="Z107" i="3"/>
  <c r="P195" i="3"/>
  <c r="H100" i="3"/>
  <c r="S217" i="3"/>
  <c r="N186" i="3"/>
  <c r="W31" i="3"/>
  <c r="K111" i="3"/>
  <c r="W200" i="3"/>
  <c r="D90" i="3"/>
  <c r="AC208" i="3"/>
  <c r="AB131" i="3"/>
  <c r="D152" i="3"/>
  <c r="S180" i="3"/>
  <c r="AB210" i="3"/>
  <c r="S54" i="3"/>
  <c r="K45" i="3"/>
  <c r="W147" i="3"/>
  <c r="O94" i="3"/>
  <c r="D142" i="3"/>
  <c r="N191" i="3"/>
  <c r="AA230" i="3"/>
  <c r="D228" i="3"/>
  <c r="T89" i="3"/>
  <c r="W79" i="3"/>
  <c r="Z155" i="3"/>
  <c r="W46" i="3"/>
  <c r="BF46" i="3" s="1"/>
  <c r="AC92" i="3"/>
  <c r="M114" i="3"/>
  <c r="AE114" i="3" s="1"/>
  <c r="G35" i="3"/>
  <c r="R159" i="3"/>
  <c r="P143" i="3"/>
  <c r="N172" i="3"/>
  <c r="G69" i="3"/>
  <c r="V113" i="3"/>
  <c r="M125" i="3"/>
  <c r="AE125" i="3" s="1"/>
  <c r="F233" i="3"/>
  <c r="O196" i="3"/>
  <c r="O179" i="3"/>
  <c r="F57" i="3"/>
  <c r="Y162" i="3"/>
  <c r="AC36" i="3"/>
  <c r="H126" i="3"/>
  <c r="S229" i="3"/>
  <c r="R231" i="3"/>
  <c r="J209" i="3"/>
  <c r="D88" i="3"/>
  <c r="F30" i="3"/>
  <c r="AA183" i="3"/>
  <c r="R31" i="3"/>
  <c r="AC148" i="3"/>
  <c r="W104" i="3"/>
  <c r="X232" i="3"/>
  <c r="J145" i="3"/>
  <c r="R46" i="3"/>
  <c r="BA46" i="3" s="1"/>
  <c r="Z153" i="3"/>
  <c r="X128" i="3"/>
  <c r="AB212" i="3"/>
  <c r="AB164" i="3"/>
  <c r="Z169" i="3"/>
  <c r="P239" i="3"/>
  <c r="V237" i="3"/>
  <c r="V165" i="3"/>
  <c r="J127" i="3"/>
  <c r="Y167" i="3"/>
  <c r="R109" i="3"/>
  <c r="D108" i="3"/>
  <c r="Q144" i="3"/>
  <c r="AA164" i="3"/>
  <c r="Y218" i="3"/>
  <c r="Y38" i="3"/>
  <c r="H83" i="3"/>
  <c r="V87" i="3"/>
  <c r="F178" i="3"/>
  <c r="M59" i="3"/>
  <c r="AE59" i="3" s="1"/>
  <c r="W232" i="3"/>
  <c r="X193" i="3"/>
  <c r="G41" i="3"/>
  <c r="AC118" i="3"/>
  <c r="AA29" i="3"/>
  <c r="P100" i="3"/>
  <c r="Y171" i="3"/>
  <c r="M73" i="3"/>
  <c r="AE73" i="3" s="1"/>
  <c r="V145" i="3"/>
  <c r="N93" i="3"/>
  <c r="H204" i="3"/>
  <c r="O175" i="3"/>
  <c r="F129" i="3"/>
  <c r="Q63" i="3"/>
  <c r="K203" i="3"/>
  <c r="R141" i="3"/>
  <c r="V100" i="3"/>
  <c r="K120" i="3"/>
  <c r="M58" i="3"/>
  <c r="AE58" i="3" s="1"/>
  <c r="V43" i="3"/>
  <c r="H217" i="3"/>
  <c r="J51" i="3"/>
  <c r="AC29" i="3"/>
  <c r="Z128" i="3"/>
  <c r="Y107" i="3"/>
  <c r="H168" i="3"/>
  <c r="T175" i="3"/>
  <c r="K77" i="3"/>
  <c r="O127" i="3"/>
  <c r="W163" i="3"/>
  <c r="AB134" i="3"/>
  <c r="G55" i="3"/>
  <c r="Q85" i="3"/>
  <c r="K92" i="3"/>
  <c r="M29" i="3"/>
  <c r="AE29" i="3" s="1"/>
  <c r="S100" i="3"/>
  <c r="H142" i="3"/>
  <c r="V101" i="3"/>
  <c r="M95" i="3"/>
  <c r="AE95" i="3" s="1"/>
  <c r="K231" i="3"/>
  <c r="N189" i="3"/>
  <c r="Y47" i="3"/>
  <c r="BH47" i="3" s="1"/>
  <c r="D211" i="3"/>
  <c r="AC125" i="3"/>
  <c r="F91" i="3"/>
  <c r="R72" i="3"/>
  <c r="AC59" i="3"/>
  <c r="E135" i="3"/>
  <c r="W219" i="3"/>
  <c r="G215" i="3"/>
  <c r="Q51" i="3"/>
  <c r="Y182" i="3"/>
  <c r="H63" i="3"/>
  <c r="V33" i="3"/>
  <c r="Z76" i="3"/>
  <c r="E145" i="3"/>
  <c r="S82" i="3"/>
  <c r="V238" i="3"/>
  <c r="G164" i="3"/>
  <c r="R34" i="3"/>
  <c r="AA100" i="3"/>
  <c r="T52" i="3"/>
  <c r="X62" i="3"/>
  <c r="S186" i="3"/>
  <c r="S58" i="3"/>
  <c r="Q116" i="3"/>
  <c r="P232" i="3"/>
  <c r="K160" i="3"/>
  <c r="K139" i="3"/>
  <c r="S192" i="3"/>
  <c r="T63" i="3"/>
  <c r="AA232" i="3"/>
  <c r="F240" i="3"/>
  <c r="N150" i="3"/>
  <c r="K164" i="3"/>
  <c r="J177" i="3"/>
  <c r="J239" i="3"/>
  <c r="G231" i="3"/>
  <c r="AC196" i="3"/>
  <c r="Z181" i="3"/>
  <c r="AA60" i="3"/>
  <c r="Z239" i="3"/>
  <c r="M176" i="3"/>
  <c r="AE176" i="3" s="1"/>
  <c r="N50" i="3"/>
  <c r="J226" i="3"/>
  <c r="K47" i="3"/>
  <c r="W197" i="3"/>
  <c r="V41" i="3"/>
  <c r="N215" i="3"/>
  <c r="Q109" i="3"/>
  <c r="W129" i="3"/>
  <c r="E186" i="3"/>
  <c r="AB197" i="3"/>
  <c r="J141" i="3"/>
  <c r="R169" i="3"/>
  <c r="F211" i="3"/>
  <c r="P209" i="3"/>
  <c r="V214" i="3"/>
  <c r="N157" i="3"/>
  <c r="Q91" i="3"/>
  <c r="Y108" i="3"/>
  <c r="V119" i="3"/>
  <c r="O38" i="3"/>
  <c r="X55" i="3"/>
  <c r="AA169" i="3"/>
  <c r="O231" i="3"/>
  <c r="M184" i="3"/>
  <c r="AE184" i="3" s="1"/>
  <c r="Z34" i="3"/>
  <c r="F152" i="3"/>
  <c r="G135" i="3"/>
  <c r="T139" i="3"/>
  <c r="AB147" i="3"/>
  <c r="X31" i="3"/>
  <c r="V217" i="3"/>
  <c r="H186" i="3"/>
  <c r="J156" i="3"/>
  <c r="N197" i="3"/>
  <c r="Z47" i="3"/>
  <c r="K202" i="3"/>
  <c r="S205" i="3"/>
  <c r="Q168" i="3"/>
  <c r="K104" i="3"/>
  <c r="T136" i="3"/>
  <c r="W181" i="3"/>
  <c r="AC110" i="3"/>
  <c r="J188" i="3"/>
  <c r="M91" i="3"/>
  <c r="AE91" i="3" s="1"/>
  <c r="AA117" i="3"/>
  <c r="F117" i="3"/>
  <c r="N126" i="3"/>
  <c r="S52" i="3"/>
  <c r="K176" i="3"/>
  <c r="AA160" i="3"/>
  <c r="AC132" i="3"/>
  <c r="N103" i="3"/>
  <c r="E29" i="3"/>
  <c r="W235" i="3"/>
  <c r="N38" i="3"/>
  <c r="AW38" i="3" s="1"/>
  <c r="V124" i="3"/>
  <c r="S109" i="3"/>
  <c r="V143" i="3"/>
  <c r="E170" i="3"/>
  <c r="Q41" i="3"/>
  <c r="X88" i="3"/>
  <c r="W220" i="3"/>
  <c r="G112" i="3"/>
  <c r="Z57" i="3"/>
  <c r="W146" i="3"/>
  <c r="G79" i="3"/>
  <c r="V63" i="3"/>
  <c r="O72" i="3"/>
  <c r="T186" i="3"/>
  <c r="P120" i="3"/>
  <c r="AA108" i="3"/>
  <c r="X33" i="3"/>
  <c r="AA220" i="3"/>
  <c r="T212" i="3"/>
  <c r="M186" i="3"/>
  <c r="AE186" i="3" s="1"/>
  <c r="H189" i="3"/>
  <c r="AC201" i="3"/>
  <c r="AB199" i="3"/>
  <c r="K49" i="3"/>
  <c r="Q155" i="3"/>
  <c r="Z236" i="3"/>
  <c r="T103" i="3"/>
  <c r="N149" i="3"/>
  <c r="AB111" i="3"/>
  <c r="J64" i="3"/>
  <c r="T33" i="3"/>
  <c r="J211" i="3"/>
  <c r="G37" i="3"/>
  <c r="E197" i="3"/>
  <c r="J86" i="3"/>
  <c r="W42" i="3"/>
  <c r="E33" i="3"/>
  <c r="V67" i="3"/>
  <c r="Y112" i="3"/>
  <c r="S153" i="3"/>
  <c r="O202" i="3"/>
  <c r="M142" i="3"/>
  <c r="AE142" i="3" s="1"/>
  <c r="AB232" i="3"/>
  <c r="W39" i="3"/>
  <c r="AA206" i="3"/>
  <c r="G91" i="3"/>
  <c r="K206" i="3"/>
  <c r="Y95" i="3"/>
  <c r="E34" i="3"/>
  <c r="Q171" i="3"/>
  <c r="AA90" i="3"/>
  <c r="AC171" i="3"/>
  <c r="S127" i="3"/>
  <c r="J80" i="3"/>
  <c r="H74" i="3"/>
  <c r="F108" i="3"/>
  <c r="H33" i="3"/>
  <c r="F121" i="3"/>
  <c r="Q177" i="3"/>
  <c r="D53" i="3"/>
  <c r="H198" i="3"/>
  <c r="X152" i="3"/>
  <c r="AC100" i="3"/>
  <c r="V149" i="3"/>
  <c r="AB161" i="3"/>
  <c r="Q187" i="3"/>
  <c r="N56" i="3"/>
  <c r="AA166" i="3"/>
  <c r="AC172" i="3"/>
  <c r="V155" i="3"/>
  <c r="M159" i="3"/>
  <c r="AE159" i="3" s="1"/>
  <c r="M201" i="3"/>
  <c r="AE201" i="3" s="1"/>
  <c r="Q80" i="3"/>
  <c r="M155" i="3"/>
  <c r="AE155" i="3" s="1"/>
  <c r="Z115" i="3"/>
  <c r="P78" i="3"/>
  <c r="S200" i="3"/>
  <c r="Z221" i="3"/>
  <c r="AC134" i="3"/>
  <c r="O40" i="3"/>
  <c r="M56" i="3"/>
  <c r="AE56" i="3" s="1"/>
  <c r="N135" i="3"/>
  <c r="M42" i="3"/>
  <c r="AE42" i="3" s="1"/>
  <c r="X206" i="3"/>
  <c r="AB67" i="3"/>
  <c r="P37" i="3"/>
  <c r="AA200" i="3"/>
  <c r="AC129" i="3"/>
  <c r="X150" i="3"/>
  <c r="K37" i="3"/>
  <c r="AC234" i="3"/>
  <c r="AB57" i="3"/>
  <c r="F156" i="3"/>
  <c r="M217" i="3"/>
  <c r="AE217" i="3" s="1"/>
  <c r="AA208" i="3"/>
  <c r="T115" i="3"/>
  <c r="P169" i="3"/>
  <c r="X221" i="3"/>
  <c r="V183" i="3"/>
  <c r="AB129" i="3"/>
  <c r="G208" i="3"/>
  <c r="O98" i="3"/>
  <c r="P32" i="3"/>
  <c r="S224" i="3"/>
  <c r="N42" i="3"/>
  <c r="M124" i="3"/>
  <c r="AE124" i="3" s="1"/>
  <c r="O238" i="3"/>
  <c r="AC57" i="3"/>
  <c r="Y90" i="3"/>
  <c r="W144" i="3"/>
  <c r="O207" i="3"/>
  <c r="J176" i="3"/>
  <c r="P131" i="3"/>
  <c r="AA51" i="3"/>
  <c r="H143" i="3"/>
  <c r="H129" i="3"/>
  <c r="AA165" i="3"/>
  <c r="K126" i="3"/>
  <c r="V156" i="3"/>
  <c r="M239" i="3"/>
  <c r="AE239" i="3" s="1"/>
  <c r="E31" i="3"/>
  <c r="K227" i="3"/>
  <c r="F119" i="3"/>
  <c r="AA228" i="3"/>
  <c r="Q88" i="3"/>
  <c r="M223" i="3"/>
  <c r="AE223" i="3" s="1"/>
  <c r="N121" i="3"/>
  <c r="AB39" i="3"/>
  <c r="T222" i="3"/>
  <c r="V73" i="3"/>
  <c r="Q53" i="3"/>
  <c r="Z192" i="3"/>
  <c r="M106" i="3"/>
  <c r="AE106" i="3" s="1"/>
  <c r="E59" i="3"/>
  <c r="N91" i="3"/>
  <c r="AC165" i="3"/>
  <c r="F71" i="3"/>
  <c r="Q79" i="3"/>
  <c r="M53" i="3"/>
  <c r="AE53" i="3" s="1"/>
  <c r="S60" i="3"/>
  <c r="AA187" i="3"/>
  <c r="G185" i="3"/>
  <c r="P30" i="3"/>
  <c r="K143" i="3"/>
  <c r="H170" i="3"/>
  <c r="S86" i="3"/>
  <c r="N233" i="3"/>
  <c r="M187" i="3"/>
  <c r="AE187" i="3" s="1"/>
  <c r="O184" i="3"/>
  <c r="R32" i="3"/>
  <c r="D112" i="3"/>
  <c r="M183" i="3"/>
  <c r="AE183" i="3" s="1"/>
  <c r="D222" i="3"/>
  <c r="J236" i="3"/>
  <c r="O92" i="3"/>
  <c r="F55" i="3"/>
  <c r="X183" i="3"/>
  <c r="G64" i="3"/>
  <c r="AB99" i="3"/>
  <c r="E134" i="3"/>
  <c r="W208" i="3"/>
  <c r="O36" i="3"/>
  <c r="AB152" i="3"/>
  <c r="W209" i="3"/>
  <c r="V226" i="3"/>
  <c r="V53" i="3"/>
  <c r="E169" i="3"/>
  <c r="Y31" i="3"/>
  <c r="G49" i="3"/>
  <c r="O182" i="3"/>
  <c r="W33" i="3"/>
  <c r="M237" i="3"/>
  <c r="AE237" i="3" s="1"/>
  <c r="R51" i="3"/>
  <c r="E103" i="3"/>
  <c r="AB144" i="3"/>
  <c r="E102" i="3"/>
  <c r="O236" i="3"/>
  <c r="K225" i="3"/>
  <c r="Q125" i="3"/>
  <c r="M199" i="3"/>
  <c r="AE199" i="3" s="1"/>
  <c r="R195" i="3"/>
  <c r="Z129" i="3"/>
  <c r="Z210" i="3"/>
  <c r="D217" i="3"/>
  <c r="T110" i="3"/>
  <c r="AC35" i="3"/>
  <c r="AB49" i="3"/>
  <c r="E207" i="3"/>
  <c r="F115" i="3"/>
  <c r="Z144" i="3"/>
  <c r="X47" i="3"/>
  <c r="S137" i="3"/>
  <c r="AC215" i="3"/>
  <c r="R100" i="3"/>
  <c r="N182" i="3"/>
  <c r="Q200" i="3"/>
  <c r="K179" i="3"/>
  <c r="Y118" i="3"/>
  <c r="R111" i="3"/>
  <c r="E56" i="3"/>
  <c r="K208" i="3"/>
  <c r="M212" i="3"/>
  <c r="AE212" i="3" s="1"/>
  <c r="AC38" i="3"/>
  <c r="S231" i="3"/>
  <c r="S163" i="3"/>
  <c r="O203" i="3"/>
  <c r="W216" i="3"/>
  <c r="BF216" i="3" s="1"/>
  <c r="T229" i="3"/>
  <c r="E191" i="3"/>
  <c r="M41" i="3"/>
  <c r="AE41" i="3" s="1"/>
  <c r="V228" i="3"/>
  <c r="G42" i="3"/>
  <c r="R142" i="3"/>
  <c r="F50" i="3"/>
  <c r="AC33" i="3"/>
  <c r="H31" i="3"/>
  <c r="S78" i="3"/>
  <c r="D207" i="3"/>
  <c r="AC199" i="3"/>
  <c r="X190" i="3"/>
  <c r="D139" i="3"/>
  <c r="H174" i="3"/>
  <c r="K167" i="3"/>
  <c r="E174" i="3"/>
  <c r="R120" i="3"/>
  <c r="T185" i="3"/>
  <c r="D172" i="3"/>
  <c r="H32" i="3"/>
  <c r="G61" i="3"/>
  <c r="G193" i="3"/>
  <c r="V189" i="3"/>
  <c r="P101" i="3"/>
  <c r="N147" i="3"/>
  <c r="Y48" i="3"/>
  <c r="F40" i="3"/>
  <c r="J195" i="3"/>
  <c r="F54" i="3"/>
  <c r="R192" i="3"/>
  <c r="O171" i="3"/>
  <c r="Q185" i="3"/>
  <c r="W190" i="3"/>
  <c r="F219" i="3"/>
  <c r="K56" i="3"/>
  <c r="X175" i="3"/>
  <c r="P115" i="3"/>
  <c r="O185" i="3"/>
  <c r="O83" i="3"/>
  <c r="N204" i="3"/>
  <c r="K214" i="3"/>
  <c r="M205" i="3"/>
  <c r="AE205" i="3" s="1"/>
  <c r="O136" i="3"/>
  <c r="K64" i="3"/>
  <c r="P231" i="3"/>
  <c r="V103" i="3"/>
  <c r="V229" i="3"/>
  <c r="H53" i="3"/>
  <c r="J132" i="3"/>
  <c r="G190" i="3"/>
  <c r="AC157" i="3"/>
  <c r="P76" i="3"/>
  <c r="M127" i="3"/>
  <c r="AE127" i="3" s="1"/>
  <c r="V125" i="3"/>
  <c r="O214" i="3"/>
  <c r="D31" i="3"/>
  <c r="S84" i="3"/>
  <c r="V79" i="3"/>
  <c r="Q35" i="3"/>
  <c r="W84" i="3"/>
  <c r="AB135" i="3"/>
  <c r="J160" i="3"/>
  <c r="E109" i="3"/>
  <c r="J83" i="3"/>
  <c r="W49" i="3"/>
  <c r="D173" i="3"/>
  <c r="AA142" i="3"/>
  <c r="Y229" i="3"/>
  <c r="AC146" i="3"/>
  <c r="S216" i="3"/>
  <c r="Y131" i="3"/>
  <c r="J204" i="3"/>
  <c r="R219" i="3"/>
  <c r="AA70" i="3"/>
  <c r="Z217" i="3"/>
  <c r="S38" i="3"/>
  <c r="AB196" i="3"/>
  <c r="Q68" i="3"/>
  <c r="AC117" i="3"/>
  <c r="J82" i="3"/>
  <c r="T98" i="3"/>
  <c r="Q38" i="3"/>
  <c r="S56" i="3"/>
  <c r="Y164" i="3"/>
  <c r="Y130" i="3"/>
  <c r="Z167" i="3"/>
  <c r="N156" i="3"/>
  <c r="O65" i="3"/>
  <c r="O132" i="3"/>
  <c r="AA223" i="3"/>
  <c r="R223" i="3"/>
  <c r="D94" i="3"/>
  <c r="G82" i="3"/>
  <c r="AA180" i="3"/>
  <c r="S107" i="3"/>
  <c r="M74" i="3"/>
  <c r="AE74" i="3" s="1"/>
  <c r="W188" i="3"/>
  <c r="M203" i="3"/>
  <c r="AE203" i="3" s="1"/>
  <c r="V69" i="3"/>
  <c r="H46" i="3"/>
  <c r="T226" i="3"/>
  <c r="T224" i="3"/>
  <c r="Q32" i="3"/>
  <c r="F169" i="3"/>
  <c r="AB53" i="3"/>
  <c r="Q149" i="3"/>
  <c r="E181" i="3"/>
  <c r="X48" i="3"/>
  <c r="AA233" i="3"/>
  <c r="H169" i="3"/>
  <c r="F228" i="3"/>
  <c r="Y140" i="3"/>
  <c r="E213" i="3"/>
  <c r="AC229" i="3"/>
  <c r="R82" i="3"/>
  <c r="H52" i="3"/>
  <c r="AB209" i="3"/>
  <c r="W217" i="3"/>
  <c r="J231" i="3"/>
  <c r="G68" i="3"/>
  <c r="R154" i="3"/>
  <c r="P40" i="3"/>
  <c r="N120" i="3"/>
  <c r="E210" i="3"/>
  <c r="K180" i="3"/>
  <c r="J208" i="3"/>
  <c r="R168" i="3"/>
  <c r="Z146" i="3"/>
  <c r="E38" i="3"/>
  <c r="AA181" i="3"/>
  <c r="S147" i="3"/>
  <c r="Y195" i="3"/>
  <c r="G195" i="3"/>
  <c r="AC183" i="3"/>
  <c r="J179" i="3"/>
  <c r="AB34" i="3"/>
  <c r="O181" i="3"/>
  <c r="Z150" i="3"/>
  <c r="W231" i="3"/>
  <c r="W237" i="3"/>
  <c r="AB231" i="3"/>
  <c r="V137" i="3"/>
  <c r="AC85" i="3"/>
  <c r="N173" i="3"/>
  <c r="AB160" i="3"/>
  <c r="S145" i="3"/>
  <c r="O77" i="3"/>
  <c r="AA71" i="3"/>
  <c r="E70" i="3"/>
  <c r="D196" i="3"/>
  <c r="F148" i="3"/>
  <c r="V72" i="3"/>
  <c r="H70" i="3"/>
  <c r="F98" i="3"/>
  <c r="J215" i="3"/>
  <c r="E209" i="3"/>
  <c r="P145" i="3"/>
  <c r="AY145" i="3" s="1"/>
  <c r="T238" i="3"/>
  <c r="K112" i="3"/>
  <c r="N176" i="3"/>
  <c r="D74" i="3"/>
  <c r="AC156" i="3"/>
  <c r="E107" i="3"/>
  <c r="K177" i="3"/>
  <c r="AA40" i="3"/>
  <c r="X233" i="3"/>
  <c r="AC206" i="3"/>
  <c r="AC238" i="3"/>
  <c r="K130" i="3"/>
  <c r="M99" i="3"/>
  <c r="AE99" i="3" s="1"/>
  <c r="O170" i="3"/>
  <c r="J228" i="3"/>
  <c r="Q126" i="3"/>
  <c r="AC136" i="3"/>
  <c r="E171" i="3"/>
  <c r="P148" i="3"/>
  <c r="O140" i="3"/>
  <c r="M189" i="3"/>
  <c r="AE189" i="3" s="1"/>
  <c r="K172" i="3"/>
  <c r="P128" i="3"/>
  <c r="AA67" i="3"/>
  <c r="H39" i="3"/>
  <c r="V152" i="3"/>
  <c r="O71" i="3"/>
  <c r="X99" i="3"/>
  <c r="G160" i="3"/>
  <c r="AB180" i="3"/>
  <c r="O169" i="3"/>
  <c r="P229" i="3"/>
  <c r="N200" i="3"/>
  <c r="AC145" i="3"/>
  <c r="BL145" i="3" s="1"/>
  <c r="N59" i="3"/>
  <c r="K107" i="3"/>
  <c r="AC45" i="3"/>
  <c r="T160" i="3"/>
  <c r="AC93" i="3"/>
  <c r="P117" i="3"/>
  <c r="D240" i="3"/>
  <c r="J214" i="3"/>
  <c r="P191" i="3"/>
  <c r="Q145" i="3"/>
  <c r="S203" i="3"/>
  <c r="W70" i="3"/>
  <c r="M144" i="3"/>
  <c r="AE144" i="3" s="1"/>
  <c r="J97" i="3"/>
  <c r="Q164" i="3"/>
  <c r="AA118" i="3"/>
  <c r="P45" i="3"/>
  <c r="F92" i="3"/>
  <c r="Y135" i="3"/>
  <c r="BH135" i="3" s="1"/>
  <c r="Q228" i="3"/>
  <c r="D195" i="3"/>
  <c r="M215" i="3"/>
  <c r="AE215" i="3" s="1"/>
  <c r="Y150" i="3"/>
  <c r="N131" i="3"/>
  <c r="R238" i="3"/>
  <c r="O218" i="3"/>
  <c r="AC133" i="3"/>
  <c r="X100" i="3"/>
  <c r="Z89" i="3"/>
  <c r="J138" i="3"/>
  <c r="K41" i="3"/>
  <c r="AB136" i="3"/>
  <c r="Y123" i="3"/>
  <c r="O103" i="3"/>
  <c r="V199" i="3"/>
  <c r="Y224" i="3"/>
  <c r="M171" i="3"/>
  <c r="AE171" i="3" s="1"/>
  <c r="AB151" i="3"/>
  <c r="Q120" i="3"/>
  <c r="F142" i="3"/>
  <c r="K218" i="3"/>
  <c r="E68" i="3"/>
  <c r="W111" i="3"/>
  <c r="D170" i="3"/>
  <c r="V186" i="3"/>
  <c r="Z111" i="3"/>
  <c r="S37" i="3"/>
  <c r="K117" i="3"/>
  <c r="O191" i="3"/>
  <c r="AA52" i="3"/>
  <c r="Y151" i="3"/>
  <c r="P124" i="3"/>
  <c r="W77" i="3"/>
  <c r="Y211" i="3"/>
  <c r="P121" i="3"/>
  <c r="O142" i="3"/>
  <c r="S199" i="3"/>
  <c r="AC47" i="3"/>
  <c r="BL47" i="3" s="1"/>
  <c r="T87" i="3"/>
  <c r="X195" i="3"/>
  <c r="T126" i="3"/>
  <c r="T80" i="3"/>
  <c r="F235" i="3"/>
  <c r="Z113" i="3"/>
  <c r="D218" i="3"/>
  <c r="AC170" i="3"/>
  <c r="T216" i="3"/>
  <c r="BC216" i="3" s="1"/>
  <c r="X198" i="3"/>
  <c r="S222" i="3"/>
  <c r="H34" i="3"/>
  <c r="N54" i="3"/>
  <c r="Z99" i="3"/>
  <c r="E127" i="3"/>
  <c r="Q215" i="3"/>
  <c r="E176" i="3"/>
  <c r="Z196" i="3"/>
  <c r="H172" i="3"/>
  <c r="M112" i="3"/>
  <c r="AE112" i="3" s="1"/>
  <c r="Y166" i="3"/>
  <c r="N223" i="3"/>
  <c r="O86" i="3"/>
  <c r="D178" i="3"/>
  <c r="Q157" i="3"/>
  <c r="W180" i="3"/>
  <c r="S209" i="3"/>
  <c r="W134" i="3"/>
  <c r="F168" i="3"/>
  <c r="X134" i="3"/>
  <c r="Q124" i="3"/>
  <c r="N51" i="3"/>
  <c r="N43" i="3"/>
  <c r="J32" i="3"/>
  <c r="K156" i="3"/>
  <c r="AB165" i="3"/>
  <c r="X84" i="3"/>
  <c r="Q143" i="3"/>
  <c r="P212" i="3"/>
  <c r="H230" i="3"/>
  <c r="AB75" i="3"/>
  <c r="Y240" i="3"/>
  <c r="X64" i="3"/>
  <c r="N77" i="3"/>
  <c r="AA102" i="3"/>
  <c r="F226" i="3"/>
  <c r="AC140" i="3"/>
  <c r="D131" i="3"/>
  <c r="X108" i="3"/>
  <c r="R179" i="3"/>
  <c r="R78" i="3"/>
  <c r="BA78" i="3" s="1"/>
  <c r="J232" i="3"/>
  <c r="D137" i="3"/>
  <c r="F110" i="3"/>
  <c r="R189" i="3"/>
  <c r="F200" i="3"/>
  <c r="AA65" i="3"/>
  <c r="P137" i="3"/>
  <c r="AY137" i="3" s="1"/>
  <c r="Y37" i="3"/>
  <c r="AC231" i="3"/>
  <c r="BL231" i="3" s="1"/>
  <c r="D198" i="3"/>
  <c r="Z227" i="3"/>
  <c r="AA226" i="3"/>
  <c r="S170" i="3"/>
  <c r="T159" i="3"/>
  <c r="V208" i="3"/>
  <c r="D77" i="3"/>
  <c r="R39" i="3"/>
  <c r="O130" i="3"/>
  <c r="O211" i="3"/>
  <c r="W193" i="3"/>
  <c r="N69" i="3"/>
  <c r="H219" i="3"/>
  <c r="X204" i="3"/>
  <c r="AA158" i="3"/>
  <c r="H57" i="3"/>
  <c r="F187" i="3"/>
  <c r="W154" i="3"/>
  <c r="E46" i="3"/>
  <c r="E184" i="3"/>
  <c r="AC223" i="3"/>
  <c r="Q117" i="3"/>
  <c r="AC106" i="3"/>
  <c r="P62" i="3"/>
  <c r="Z233" i="3"/>
  <c r="H221" i="3"/>
  <c r="Y69" i="3"/>
  <c r="J53" i="3"/>
  <c r="F225" i="3"/>
  <c r="X185" i="3"/>
  <c r="AC86" i="3"/>
  <c r="BL86" i="3" s="1"/>
  <c r="Y149" i="3"/>
  <c r="AC55" i="3"/>
  <c r="O63" i="3"/>
  <c r="H115" i="3"/>
  <c r="W48" i="3"/>
  <c r="D93" i="3"/>
  <c r="AC105" i="3"/>
  <c r="N145" i="3"/>
  <c r="AW145" i="3" s="1"/>
  <c r="Y168" i="3"/>
  <c r="K102" i="3"/>
  <c r="AA175" i="3"/>
  <c r="M102" i="3"/>
  <c r="AE102" i="3" s="1"/>
  <c r="T143" i="3"/>
  <c r="Z179" i="3"/>
  <c r="AC209" i="3"/>
  <c r="S214" i="3"/>
  <c r="P226" i="3"/>
  <c r="G205" i="3"/>
  <c r="R77" i="3"/>
  <c r="AB58" i="3"/>
  <c r="F197" i="3"/>
  <c r="AA98" i="3"/>
  <c r="AB55" i="3"/>
  <c r="R138" i="3"/>
  <c r="F205" i="3"/>
  <c r="R113" i="3"/>
  <c r="Y124" i="3"/>
  <c r="Q206" i="3"/>
  <c r="Q201" i="3"/>
  <c r="E198" i="3"/>
  <c r="P94" i="3"/>
  <c r="W76" i="3"/>
  <c r="Q154" i="3"/>
  <c r="D109" i="3"/>
  <c r="M66" i="3"/>
  <c r="AE66" i="3" s="1"/>
  <c r="J159" i="3"/>
  <c r="R56" i="3"/>
  <c r="X98" i="3"/>
  <c r="D111" i="3"/>
  <c r="K113" i="3"/>
  <c r="V31" i="3"/>
  <c r="O111" i="3"/>
  <c r="AC212" i="3"/>
  <c r="R161" i="3"/>
  <c r="M128" i="3"/>
  <c r="AE128" i="3" s="1"/>
  <c r="Q96" i="3"/>
  <c r="W128" i="3"/>
  <c r="K123" i="3"/>
  <c r="M172" i="3"/>
  <c r="AE172" i="3" s="1"/>
  <c r="K145" i="3"/>
  <c r="V240" i="3"/>
  <c r="X151" i="3"/>
  <c r="N148" i="3"/>
  <c r="P56" i="3"/>
  <c r="P103" i="3"/>
  <c r="H164" i="3"/>
  <c r="AB193" i="3"/>
  <c r="G222" i="3"/>
  <c r="AC52" i="3"/>
  <c r="E149" i="3"/>
  <c r="AB95" i="3"/>
  <c r="AC114" i="3"/>
  <c r="G106" i="3"/>
  <c r="Z50" i="3"/>
  <c r="E221" i="3"/>
  <c r="P234" i="3"/>
  <c r="T166" i="3"/>
  <c r="AC240" i="3"/>
  <c r="J171" i="3"/>
  <c r="V96" i="3"/>
  <c r="N158" i="3"/>
  <c r="AW158" i="3" s="1"/>
  <c r="AB35" i="3"/>
  <c r="AA143" i="3"/>
  <c r="E173" i="3"/>
  <c r="R182" i="3"/>
  <c r="AC77" i="3"/>
  <c r="J85" i="3"/>
  <c r="AB173" i="3"/>
  <c r="H237" i="3"/>
  <c r="E47" i="3"/>
  <c r="M211" i="3"/>
  <c r="AE211" i="3" s="1"/>
  <c r="M182" i="3"/>
  <c r="AE182" i="3" s="1"/>
  <c r="D166" i="3"/>
  <c r="S133" i="3"/>
  <c r="AA237" i="3"/>
  <c r="M36" i="3"/>
  <c r="AE36" i="3" s="1"/>
  <c r="T59" i="3"/>
  <c r="AA190" i="3"/>
  <c r="F166" i="3"/>
  <c r="Z44" i="3"/>
  <c r="Z171" i="3"/>
  <c r="J219" i="3"/>
  <c r="R157" i="3"/>
  <c r="M179" i="3"/>
  <c r="AE179" i="3" s="1"/>
  <c r="D36" i="3"/>
  <c r="H49" i="3"/>
  <c r="AC166" i="3"/>
  <c r="R54" i="3"/>
  <c r="R50" i="3"/>
  <c r="F66" i="3"/>
  <c r="E65" i="3"/>
  <c r="T215" i="3"/>
  <c r="H59" i="3"/>
  <c r="X225" i="3"/>
  <c r="AB184" i="3"/>
  <c r="AA211" i="3"/>
  <c r="N124" i="3"/>
  <c r="AA74" i="3"/>
  <c r="AA235" i="3"/>
  <c r="BJ235" i="3" s="1"/>
  <c r="T153" i="3"/>
  <c r="P236" i="3"/>
  <c r="H191" i="3"/>
  <c r="O97" i="3"/>
  <c r="J150" i="3"/>
  <c r="T162" i="3"/>
  <c r="D190" i="3"/>
  <c r="J227" i="3"/>
  <c r="V54" i="3"/>
  <c r="O100" i="3"/>
  <c r="G218" i="3"/>
  <c r="K229" i="3"/>
  <c r="R173" i="3"/>
  <c r="M43" i="3"/>
  <c r="AE43" i="3" s="1"/>
  <c r="T172" i="3"/>
  <c r="Q104" i="3"/>
  <c r="M77" i="3"/>
  <c r="AE77" i="3" s="1"/>
  <c r="Q36" i="3"/>
  <c r="H183" i="3"/>
  <c r="AC163" i="3"/>
  <c r="R163" i="3"/>
  <c r="AA239" i="3"/>
  <c r="E196" i="3"/>
  <c r="J210" i="3"/>
  <c r="J77" i="3"/>
  <c r="R60" i="3"/>
  <c r="E88" i="3"/>
  <c r="X58" i="3"/>
  <c r="E219" i="3"/>
  <c r="T106" i="3"/>
  <c r="S159" i="3"/>
  <c r="T111" i="3"/>
  <c r="O64" i="3"/>
  <c r="J224" i="3"/>
  <c r="AC32" i="3"/>
  <c r="J88" i="3"/>
  <c r="E66" i="3"/>
  <c r="P79" i="3"/>
  <c r="F177" i="3"/>
  <c r="AA192" i="3"/>
  <c r="AB33" i="3"/>
  <c r="S160" i="3"/>
  <c r="P77" i="3"/>
  <c r="K198" i="3"/>
  <c r="D176" i="3"/>
  <c r="G209" i="3"/>
  <c r="AC147" i="3"/>
  <c r="V172" i="3"/>
  <c r="F31" i="3"/>
  <c r="Q50" i="3"/>
  <c r="W150" i="3"/>
  <c r="J71" i="3"/>
  <c r="V218" i="3"/>
  <c r="AA31" i="3"/>
  <c r="M87" i="3"/>
  <c r="AE87" i="3" s="1"/>
  <c r="S87" i="3"/>
  <c r="Z159" i="3"/>
  <c r="P181" i="3"/>
  <c r="M137" i="3"/>
  <c r="AE137" i="3" s="1"/>
  <c r="X111" i="3"/>
  <c r="X122" i="3"/>
  <c r="G60" i="3"/>
  <c r="AC39" i="3"/>
  <c r="AB166" i="3"/>
  <c r="AB208" i="3"/>
  <c r="S32" i="3"/>
  <c r="Y137" i="3"/>
  <c r="BH137" i="3" s="1"/>
  <c r="E83" i="3"/>
  <c r="E87" i="3"/>
  <c r="E139" i="3"/>
  <c r="M210" i="3"/>
  <c r="AE210" i="3" s="1"/>
  <c r="D48" i="3"/>
  <c r="Y75" i="3"/>
  <c r="J81" i="3"/>
  <c r="O60" i="3"/>
  <c r="Z117" i="3"/>
  <c r="J174" i="3"/>
  <c r="E53" i="3"/>
  <c r="N235" i="3"/>
  <c r="AA136" i="3"/>
  <c r="W80" i="3"/>
  <c r="H167" i="3"/>
  <c r="V168" i="3"/>
  <c r="G214" i="3"/>
  <c r="AB143" i="3"/>
  <c r="Z87" i="3"/>
  <c r="G213" i="3"/>
  <c r="X37" i="3"/>
  <c r="S142" i="3"/>
  <c r="D87" i="3"/>
  <c r="N40" i="3"/>
  <c r="X136" i="3"/>
  <c r="V202" i="3"/>
  <c r="H61" i="3"/>
  <c r="D154" i="3"/>
  <c r="W182" i="3"/>
  <c r="V220" i="3"/>
  <c r="S215" i="3"/>
  <c r="S46" i="3"/>
  <c r="V185" i="3"/>
  <c r="Z46" i="3"/>
  <c r="G104" i="3"/>
  <c r="X60" i="3"/>
  <c r="AA81" i="3"/>
  <c r="BJ81" i="3" s="1"/>
  <c r="X82" i="3"/>
  <c r="O143" i="3"/>
  <c r="K141" i="3"/>
  <c r="N229" i="3"/>
  <c r="T225" i="3"/>
  <c r="BC225" i="3" s="1"/>
  <c r="V179" i="3"/>
  <c r="Q33" i="3"/>
  <c r="O70" i="3"/>
  <c r="N81" i="3"/>
  <c r="P133" i="3"/>
  <c r="G224" i="3"/>
  <c r="M188" i="3"/>
  <c r="AE188" i="3" s="1"/>
  <c r="W139" i="3"/>
  <c r="Q193" i="3"/>
  <c r="AA99" i="3"/>
  <c r="D145" i="3"/>
  <c r="N155" i="3"/>
  <c r="K236" i="3"/>
  <c r="K106" i="3"/>
  <c r="AA189" i="3"/>
  <c r="D151" i="3"/>
  <c r="J36" i="3"/>
  <c r="H140" i="3"/>
  <c r="F217" i="3"/>
  <c r="K101" i="3"/>
  <c r="K131" i="3"/>
  <c r="R42" i="3"/>
  <c r="Z186" i="3"/>
  <c r="V195" i="3"/>
  <c r="X127" i="3"/>
  <c r="M67" i="3"/>
  <c r="AE67" i="3" s="1"/>
  <c r="T240" i="3"/>
  <c r="S77" i="3"/>
  <c r="P154" i="3"/>
  <c r="E206" i="3"/>
  <c r="G144" i="3"/>
  <c r="S141" i="3"/>
  <c r="G153" i="3"/>
  <c r="Q65" i="3"/>
  <c r="S44" i="3"/>
  <c r="V121" i="3"/>
  <c r="T184" i="3"/>
  <c r="T102" i="3"/>
  <c r="E138" i="3"/>
  <c r="J41" i="3"/>
  <c r="R36" i="3"/>
  <c r="X105" i="3"/>
  <c r="T151" i="3"/>
  <c r="Y132" i="3"/>
  <c r="F183" i="3"/>
  <c r="M49" i="3"/>
  <c r="AE49" i="3" s="1"/>
  <c r="F161" i="3"/>
  <c r="Q173" i="3"/>
  <c r="Q101" i="3"/>
  <c r="G36" i="3"/>
  <c r="D185" i="3"/>
  <c r="E235" i="3"/>
  <c r="S136" i="3"/>
  <c r="M173" i="3"/>
  <c r="AE173" i="3" s="1"/>
  <c r="X131" i="3"/>
  <c r="X120" i="3"/>
  <c r="M167" i="3"/>
  <c r="AE167" i="3" s="1"/>
  <c r="Y96" i="3"/>
  <c r="BH96" i="3" s="1"/>
  <c r="X240" i="3"/>
  <c r="S99" i="3"/>
  <c r="R203" i="3"/>
  <c r="G200" i="3"/>
  <c r="H65" i="3"/>
  <c r="F51" i="3"/>
  <c r="W153" i="3"/>
  <c r="Q235" i="3"/>
  <c r="P215" i="3"/>
  <c r="W155" i="3"/>
  <c r="Z105" i="3"/>
  <c r="H86" i="3"/>
  <c r="S150" i="3"/>
  <c r="D52" i="3"/>
  <c r="K223" i="3"/>
  <c r="AC233" i="3"/>
  <c r="X231" i="3"/>
  <c r="Y77" i="3"/>
  <c r="AC191" i="3"/>
  <c r="T107" i="3"/>
  <c r="N206" i="3"/>
  <c r="S164" i="3"/>
  <c r="J173" i="3"/>
  <c r="F109" i="3"/>
  <c r="X210" i="3"/>
  <c r="W133" i="3"/>
  <c r="Y125" i="3"/>
  <c r="BH125" i="3" s="1"/>
  <c r="AA112" i="3"/>
  <c r="AA195" i="3"/>
  <c r="O166" i="3"/>
  <c r="T77" i="3"/>
  <c r="V180" i="3"/>
  <c r="S63" i="3"/>
  <c r="G88" i="3"/>
  <c r="H132" i="3"/>
  <c r="O108" i="3"/>
  <c r="V37" i="3"/>
  <c r="AB100" i="3"/>
  <c r="R90" i="3"/>
  <c r="AA37" i="3"/>
  <c r="AC126" i="3"/>
  <c r="H107" i="3"/>
  <c r="AA193" i="3"/>
  <c r="O33" i="3"/>
  <c r="S201" i="3"/>
  <c r="Z77" i="3"/>
  <c r="X207" i="3"/>
  <c r="T190" i="3"/>
  <c r="X85" i="3"/>
  <c r="T201" i="3"/>
  <c r="M44" i="3"/>
  <c r="AE44" i="3" s="1"/>
  <c r="R236" i="3"/>
  <c r="BA236" i="3" s="1"/>
  <c r="Y208" i="3"/>
  <c r="AB187" i="3"/>
  <c r="J48" i="3"/>
  <c r="S40" i="3"/>
  <c r="Z127" i="3"/>
  <c r="Q141" i="3"/>
  <c r="X52" i="3"/>
  <c r="Y84" i="3"/>
  <c r="AC182" i="3"/>
  <c r="Z91" i="3"/>
  <c r="AC204" i="3"/>
  <c r="Q223" i="3"/>
  <c r="AA77" i="3"/>
  <c r="H48" i="3"/>
  <c r="N73" i="3"/>
  <c r="D32" i="3"/>
  <c r="AA170" i="3"/>
  <c r="D165" i="3"/>
  <c r="V95" i="3"/>
  <c r="V47" i="3"/>
  <c r="Y203" i="3"/>
  <c r="D55" i="3"/>
  <c r="Q31" i="3"/>
  <c r="AC144" i="3"/>
  <c r="S193" i="3"/>
  <c r="W91" i="3"/>
  <c r="BF91" i="3" s="1"/>
  <c r="Y113" i="3"/>
  <c r="G130" i="3"/>
  <c r="D61" i="3"/>
  <c r="S108" i="3"/>
  <c r="W135" i="3"/>
  <c r="BF135" i="3" s="1"/>
  <c r="N163" i="3"/>
  <c r="O155" i="3"/>
  <c r="V35" i="3"/>
  <c r="O110" i="3"/>
  <c r="E240" i="3"/>
  <c r="F82" i="3"/>
  <c r="O106" i="3"/>
  <c r="N116" i="3"/>
  <c r="AC160" i="3"/>
  <c r="E112" i="3"/>
  <c r="D214" i="3"/>
  <c r="R83" i="3"/>
  <c r="P47" i="3"/>
  <c r="E119" i="3"/>
  <c r="Y101" i="3"/>
  <c r="AC58" i="3"/>
  <c r="P35" i="3"/>
  <c r="G33" i="3"/>
  <c r="AC54" i="3"/>
  <c r="Z94" i="3"/>
  <c r="F125" i="3"/>
  <c r="D223" i="3"/>
  <c r="T99" i="3"/>
  <c r="V130" i="3"/>
  <c r="F102" i="3"/>
  <c r="AC124" i="3"/>
  <c r="Q231" i="3"/>
  <c r="Q56" i="3"/>
  <c r="M181" i="3"/>
  <c r="AE181" i="3" s="1"/>
  <c r="Z174" i="3"/>
  <c r="K184" i="3"/>
  <c r="G228" i="3"/>
  <c r="P53" i="3"/>
  <c r="AA42" i="3"/>
  <c r="Z182" i="3"/>
  <c r="H69" i="3"/>
  <c r="M107" i="3"/>
  <c r="AE107" i="3" s="1"/>
  <c r="W95" i="3"/>
  <c r="N217" i="3"/>
  <c r="O126" i="3"/>
  <c r="Q86" i="3"/>
  <c r="N171" i="3"/>
  <c r="G95" i="3"/>
  <c r="AB176" i="3"/>
  <c r="F53" i="3"/>
  <c r="E161" i="3"/>
  <c r="F239" i="3"/>
  <c r="K90" i="3"/>
  <c r="K149" i="3"/>
  <c r="H94" i="3"/>
  <c r="H220" i="3"/>
  <c r="O39" i="3"/>
  <c r="T74" i="3"/>
  <c r="D121" i="3"/>
  <c r="Z139" i="3"/>
  <c r="G143" i="3"/>
  <c r="O56" i="3"/>
  <c r="R98" i="3"/>
  <c r="J45" i="3"/>
  <c r="Q179" i="3"/>
  <c r="S45" i="3"/>
  <c r="F48" i="3"/>
  <c r="AB125" i="3"/>
  <c r="K151" i="3"/>
  <c r="S103" i="3"/>
  <c r="F150" i="3"/>
  <c r="D180" i="3"/>
  <c r="H162" i="3"/>
  <c r="R233" i="3"/>
  <c r="O122" i="3"/>
  <c r="J139" i="3"/>
  <c r="Y93" i="3"/>
  <c r="D134" i="3"/>
  <c r="O35" i="3"/>
  <c r="AB117" i="3"/>
  <c r="Z70" i="3"/>
  <c r="V146" i="3"/>
  <c r="P130" i="3"/>
  <c r="W32" i="3"/>
  <c r="S208" i="3"/>
  <c r="Q94" i="3"/>
  <c r="S178" i="3"/>
  <c r="V98" i="3"/>
  <c r="E233" i="3"/>
  <c r="X165" i="3"/>
  <c r="Y33" i="3"/>
  <c r="G122" i="3"/>
  <c r="R205" i="3"/>
  <c r="N64" i="3"/>
  <c r="AW64" i="3" s="1"/>
  <c r="K66" i="3"/>
  <c r="AC190" i="3"/>
  <c r="BL190" i="3" s="1"/>
  <c r="V231" i="3"/>
  <c r="T67" i="3"/>
  <c r="N146" i="3"/>
  <c r="O197" i="3"/>
  <c r="M206" i="3"/>
  <c r="AE206" i="3" s="1"/>
  <c r="N30" i="3"/>
  <c r="X144" i="3"/>
  <c r="P91" i="3"/>
  <c r="W105" i="3"/>
  <c r="AC113" i="3"/>
  <c r="Q46" i="3"/>
  <c r="Q207" i="3"/>
  <c r="D62" i="3"/>
  <c r="AA127" i="3"/>
  <c r="Q147" i="3"/>
  <c r="X196" i="3"/>
  <c r="K175" i="3"/>
  <c r="Y147" i="3"/>
  <c r="AC64" i="3"/>
  <c r="AC94" i="3"/>
  <c r="F94" i="3"/>
  <c r="T135" i="3"/>
  <c r="BC135" i="3" s="1"/>
  <c r="N104" i="3"/>
  <c r="D203" i="3"/>
  <c r="T120" i="3"/>
  <c r="P110" i="3"/>
  <c r="E151" i="3"/>
  <c r="O74" i="3"/>
  <c r="F182" i="3"/>
  <c r="K53" i="3"/>
  <c r="AB185" i="3"/>
  <c r="J69" i="3"/>
  <c r="K237" i="3"/>
  <c r="AB43" i="3"/>
  <c r="M178" i="3"/>
  <c r="AE178" i="3" s="1"/>
  <c r="V157" i="3"/>
  <c r="AA107" i="3"/>
  <c r="E236" i="3"/>
  <c r="P64" i="3"/>
  <c r="AA92" i="3"/>
  <c r="R81" i="3"/>
  <c r="T34" i="3"/>
  <c r="Z237" i="3"/>
  <c r="D67" i="3"/>
  <c r="V178" i="3"/>
  <c r="D120" i="3"/>
  <c r="T228" i="3"/>
  <c r="P38" i="3"/>
  <c r="Q210" i="3"/>
  <c r="H201" i="3"/>
  <c r="F175" i="3"/>
  <c r="W164" i="3"/>
  <c r="AB44" i="3"/>
  <c r="J191" i="3"/>
  <c r="Q189" i="3"/>
  <c r="O232" i="3"/>
  <c r="V110" i="3"/>
  <c r="G211" i="3"/>
  <c r="M222" i="3"/>
  <c r="AE222" i="3" s="1"/>
  <c r="P65" i="3"/>
  <c r="AA79" i="3"/>
  <c r="R156" i="3"/>
  <c r="AB234" i="3"/>
  <c r="H67" i="3"/>
  <c r="S118" i="3"/>
  <c r="F128" i="3"/>
  <c r="Z36" i="3"/>
  <c r="J184" i="3"/>
  <c r="W118" i="3"/>
  <c r="P184" i="3"/>
  <c r="AB62" i="3"/>
  <c r="W43" i="3"/>
  <c r="W78" i="3"/>
  <c r="BF78" i="3" s="1"/>
  <c r="P204" i="3"/>
  <c r="T49" i="3"/>
  <c r="Y233" i="3"/>
  <c r="P116" i="3"/>
  <c r="W126" i="3"/>
  <c r="R106" i="3"/>
  <c r="M71" i="3"/>
  <c r="AE71" i="3" s="1"/>
  <c r="AA198" i="3"/>
  <c r="H118" i="3"/>
  <c r="G126" i="3"/>
  <c r="N192" i="3"/>
  <c r="AC141" i="3"/>
  <c r="G159" i="3"/>
  <c r="AB119" i="3"/>
  <c r="AB70" i="3"/>
  <c r="G139" i="3"/>
  <c r="T83" i="3"/>
  <c r="Z230" i="3"/>
  <c r="F149" i="3"/>
  <c r="Y104" i="3"/>
  <c r="D106" i="3"/>
  <c r="G57" i="3"/>
  <c r="O183" i="3"/>
  <c r="S119" i="3"/>
  <c r="X95" i="3"/>
  <c r="W85" i="3"/>
  <c r="Z133" i="3"/>
  <c r="G238" i="3"/>
  <c r="E172" i="3"/>
  <c r="Y232" i="3"/>
  <c r="Z79" i="3"/>
  <c r="F195" i="3"/>
  <c r="Q161" i="3"/>
  <c r="N80" i="3"/>
  <c r="J148" i="3"/>
  <c r="AA168" i="3"/>
  <c r="AA83" i="3"/>
  <c r="O234" i="3"/>
  <c r="T179" i="3"/>
  <c r="T71" i="3"/>
  <c r="AB122" i="3"/>
  <c r="G226" i="3"/>
  <c r="T84" i="3"/>
  <c r="AC222" i="3"/>
  <c r="K35" i="3"/>
  <c r="AB37" i="3"/>
  <c r="Y239" i="3"/>
  <c r="Y172" i="3"/>
  <c r="V133" i="3"/>
  <c r="H101" i="3"/>
  <c r="S221" i="3"/>
  <c r="R41" i="3"/>
  <c r="Y180" i="3"/>
  <c r="X236" i="3"/>
  <c r="F164" i="3"/>
  <c r="Z224" i="3"/>
  <c r="AB73" i="3"/>
  <c r="AA140" i="3"/>
  <c r="M151" i="3"/>
  <c r="AE151" i="3" s="1"/>
  <c r="R176" i="3"/>
  <c r="AA155" i="3"/>
  <c r="Z220" i="3"/>
  <c r="R107" i="3"/>
  <c r="W234" i="3"/>
  <c r="E143" i="3"/>
  <c r="G99" i="3"/>
  <c r="E146" i="3"/>
  <c r="S166" i="3"/>
  <c r="J136" i="3"/>
  <c r="Q217" i="3"/>
  <c r="X40" i="3"/>
  <c r="F238" i="3"/>
  <c r="J178" i="3"/>
  <c r="D97" i="3"/>
  <c r="D49" i="3"/>
  <c r="H181" i="3"/>
  <c r="AB47" i="3"/>
  <c r="N138" i="3"/>
  <c r="R87" i="3"/>
  <c r="Y159" i="3"/>
  <c r="Z240" i="3"/>
  <c r="E92" i="3"/>
  <c r="M122" i="3"/>
  <c r="AE122" i="3" s="1"/>
  <c r="T233" i="3"/>
  <c r="W113" i="3"/>
  <c r="M82" i="3"/>
  <c r="AE82" i="3" s="1"/>
  <c r="G175" i="3"/>
  <c r="W161" i="3"/>
  <c r="AB63" i="3"/>
  <c r="S195" i="3"/>
  <c r="Y109" i="3"/>
  <c r="D162" i="3"/>
  <c r="J237" i="3"/>
  <c r="E45" i="3"/>
  <c r="J129" i="3"/>
  <c r="X104" i="3"/>
  <c r="O87" i="3"/>
  <c r="AC192" i="3"/>
  <c r="K79" i="3"/>
  <c r="N98" i="3"/>
  <c r="G128" i="3"/>
  <c r="Q111" i="3"/>
  <c r="M30" i="3"/>
  <c r="AE30" i="3" s="1"/>
  <c r="W44" i="3"/>
  <c r="P82" i="3"/>
  <c r="AA179" i="3"/>
  <c r="G134" i="3"/>
  <c r="AB112" i="3"/>
  <c r="AA64" i="3"/>
  <c r="V91" i="3"/>
  <c r="N48" i="3"/>
  <c r="P36" i="3"/>
  <c r="N119" i="3"/>
  <c r="S59" i="3"/>
  <c r="S177" i="3"/>
  <c r="J235" i="3"/>
  <c r="N114" i="3"/>
  <c r="E89" i="3"/>
  <c r="S72" i="3"/>
  <c r="H180" i="3"/>
  <c r="Z135" i="3"/>
  <c r="P136" i="3"/>
  <c r="AB87" i="3"/>
  <c r="J123" i="3"/>
  <c r="E69" i="3"/>
  <c r="M80" i="3"/>
  <c r="AE80" i="3" s="1"/>
  <c r="X110" i="3"/>
  <c r="Y183" i="3"/>
  <c r="AA95" i="3"/>
  <c r="S218" i="3"/>
  <c r="O30" i="3"/>
  <c r="P188" i="3"/>
  <c r="K98" i="3"/>
  <c r="M162" i="3"/>
  <c r="AE162" i="3" s="1"/>
  <c r="K135" i="3"/>
  <c r="H29" i="3"/>
  <c r="Y44" i="3"/>
  <c r="W174" i="3"/>
  <c r="R71" i="3"/>
  <c r="P175" i="3"/>
  <c r="S39" i="3"/>
  <c r="H178" i="3"/>
  <c r="N169" i="3"/>
  <c r="N238" i="3"/>
  <c r="O199" i="3"/>
  <c r="F172" i="3"/>
  <c r="X179" i="3"/>
  <c r="M32" i="3"/>
  <c r="AE32" i="3" s="1"/>
  <c r="G220" i="3"/>
  <c r="X43" i="3"/>
  <c r="G108" i="3"/>
  <c r="P214" i="3"/>
  <c r="AY214" i="3" s="1"/>
  <c r="W170" i="3"/>
  <c r="Z86" i="3"/>
  <c r="F114" i="3"/>
  <c r="F147" i="3"/>
  <c r="O95" i="3"/>
  <c r="Q112" i="3"/>
  <c r="V161" i="3"/>
  <c r="Q61" i="3"/>
  <c r="Z64" i="3"/>
  <c r="Q48" i="3"/>
  <c r="W205" i="3"/>
  <c r="W107" i="3"/>
  <c r="H87" i="3"/>
  <c r="Y40" i="3"/>
  <c r="H60" i="3"/>
  <c r="F29" i="3"/>
  <c r="W204" i="3"/>
  <c r="M31" i="3"/>
  <c r="AE31" i="3" s="1"/>
  <c r="T163" i="3"/>
  <c r="R74" i="3"/>
  <c r="G204" i="3"/>
  <c r="E122" i="3"/>
  <c r="W62" i="3"/>
  <c r="F107" i="3"/>
  <c r="F33" i="3"/>
  <c r="E64" i="3"/>
  <c r="V154" i="3"/>
  <c r="D169" i="3"/>
  <c r="J201" i="3"/>
  <c r="E177" i="3"/>
  <c r="N39" i="3"/>
  <c r="Y56" i="3"/>
  <c r="T51" i="3"/>
  <c r="Q140" i="3"/>
  <c r="T144" i="3"/>
  <c r="O216" i="3"/>
  <c r="Q221" i="3"/>
  <c r="E117" i="3"/>
  <c r="AA58" i="3"/>
  <c r="X67" i="3"/>
  <c r="G110" i="3"/>
  <c r="J157" i="3"/>
  <c r="V61" i="3"/>
  <c r="S151" i="3"/>
  <c r="T81" i="3"/>
  <c r="BC81" i="3" s="1"/>
  <c r="K76" i="3"/>
  <c r="Q83" i="3"/>
  <c r="S182" i="3"/>
  <c r="J167" i="3"/>
  <c r="P164" i="3"/>
  <c r="H182" i="3"/>
  <c r="R204" i="3"/>
  <c r="N108" i="3"/>
  <c r="R212" i="3"/>
  <c r="Y50" i="3"/>
  <c r="BH50" i="3" s="1"/>
  <c r="H187" i="3"/>
  <c r="V76" i="3"/>
  <c r="H119" i="3"/>
  <c r="E166" i="3"/>
  <c r="V108" i="3"/>
  <c r="K136" i="3"/>
  <c r="K119" i="3"/>
  <c r="G219" i="3"/>
  <c r="F112" i="3"/>
  <c r="N58" i="3"/>
  <c r="D216" i="3"/>
  <c r="M228" i="3"/>
  <c r="AE228" i="3" s="1"/>
  <c r="V191" i="3"/>
  <c r="S65" i="3"/>
  <c r="G188" i="3"/>
  <c r="V75" i="3"/>
  <c r="AC207" i="3"/>
  <c r="D208" i="3"/>
  <c r="G217" i="3"/>
  <c r="AB109" i="3"/>
  <c r="AC96" i="3"/>
  <c r="BL96" i="3" s="1"/>
  <c r="J238" i="3"/>
  <c r="N74" i="3"/>
  <c r="AA150" i="3"/>
  <c r="J103" i="3"/>
  <c r="AA188" i="3"/>
  <c r="AA59" i="3"/>
  <c r="AB142" i="3"/>
  <c r="T32" i="3"/>
  <c r="G107" i="3"/>
  <c r="S204" i="3"/>
  <c r="M169" i="3"/>
  <c r="AE169" i="3" s="1"/>
  <c r="K192" i="3"/>
  <c r="AA210" i="3"/>
  <c r="O102" i="3"/>
  <c r="W189" i="3"/>
  <c r="R149" i="3"/>
  <c r="BA149" i="3" s="1"/>
  <c r="P125" i="3"/>
  <c r="AY125" i="3" s="1"/>
  <c r="AC83" i="3"/>
  <c r="Z66" i="3"/>
  <c r="X124" i="3"/>
  <c r="W120" i="3"/>
  <c r="AC185" i="3"/>
  <c r="Q225" i="3"/>
  <c r="Y192" i="3"/>
  <c r="M35" i="3"/>
  <c r="AE35" i="3" s="1"/>
  <c r="AA39" i="3"/>
  <c r="V40" i="3"/>
  <c r="G131" i="3"/>
  <c r="X142" i="3"/>
  <c r="Y193" i="3"/>
  <c r="G163" i="3"/>
  <c r="D91" i="3"/>
  <c r="S128" i="3"/>
  <c r="K133" i="3"/>
  <c r="AA178" i="3"/>
  <c r="F134" i="3"/>
  <c r="T192" i="3"/>
  <c r="F72" i="3"/>
  <c r="F49" i="3"/>
  <c r="Y220" i="3"/>
  <c r="N159" i="3"/>
  <c r="D174" i="3"/>
  <c r="AC216" i="3"/>
  <c r="BL216" i="3" s="1"/>
  <c r="Y184" i="3"/>
  <c r="S226" i="3"/>
  <c r="AC63" i="3"/>
  <c r="X201" i="3"/>
  <c r="J151" i="3"/>
  <c r="F135" i="3"/>
  <c r="T39" i="3"/>
  <c r="H64" i="3"/>
  <c r="E162" i="3"/>
  <c r="N179" i="3"/>
  <c r="J43" i="3"/>
  <c r="G66" i="3"/>
  <c r="M234" i="3"/>
  <c r="AE234" i="3" s="1"/>
  <c r="O228" i="3"/>
  <c r="W143" i="3"/>
  <c r="W171" i="3"/>
  <c r="V65" i="3"/>
  <c r="N130" i="3"/>
  <c r="Y49" i="3"/>
  <c r="M52" i="3"/>
  <c r="AE52" i="3" s="1"/>
  <c r="Z58" i="3"/>
  <c r="AB40" i="3"/>
  <c r="T93" i="3"/>
  <c r="H209" i="3"/>
  <c r="W149" i="3"/>
  <c r="Z206" i="3"/>
  <c r="F199" i="3"/>
  <c r="O193" i="3"/>
  <c r="Z85" i="3"/>
  <c r="M231" i="3"/>
  <c r="AE231" i="3" s="1"/>
  <c r="AC101" i="3"/>
  <c r="S239" i="3"/>
  <c r="N232" i="3"/>
  <c r="E133" i="3"/>
  <c r="V32" i="3"/>
  <c r="G201" i="3"/>
  <c r="T75" i="3"/>
  <c r="Z234" i="3"/>
  <c r="M161" i="3"/>
  <c r="AE161" i="3" s="1"/>
  <c r="Z215" i="3"/>
  <c r="Y92" i="3"/>
  <c r="X39" i="3"/>
  <c r="D182" i="3"/>
  <c r="Y177" i="3"/>
  <c r="N212" i="3"/>
  <c r="D43" i="3"/>
  <c r="E93" i="3"/>
  <c r="N154" i="3"/>
  <c r="Q42" i="3"/>
  <c r="G232" i="3"/>
  <c r="P156" i="3"/>
  <c r="R101" i="3"/>
  <c r="D83" i="3"/>
  <c r="K161" i="3"/>
  <c r="S47" i="3"/>
  <c r="J147" i="3"/>
  <c r="R206" i="3"/>
  <c r="T142" i="3"/>
  <c r="R134" i="3"/>
  <c r="H147" i="3"/>
  <c r="V151" i="3"/>
  <c r="X29" i="3"/>
  <c r="O118" i="3"/>
  <c r="W196" i="3"/>
  <c r="J100" i="3"/>
  <c r="T50" i="3"/>
  <c r="N101" i="3"/>
  <c r="H151" i="3"/>
  <c r="M62" i="3"/>
  <c r="AE62" i="3" s="1"/>
  <c r="G48" i="3"/>
  <c r="AB170" i="3"/>
  <c r="AB60" i="3"/>
  <c r="P177" i="3"/>
  <c r="E108" i="3"/>
  <c r="Q105" i="3"/>
  <c r="AA120" i="3"/>
  <c r="J92" i="3"/>
  <c r="P206" i="3"/>
  <c r="AB140" i="3"/>
  <c r="D57" i="3"/>
  <c r="AA35" i="3"/>
  <c r="AB29" i="3"/>
  <c r="Z110" i="3"/>
  <c r="N202" i="3"/>
  <c r="Q66" i="3"/>
  <c r="M117" i="3"/>
  <c r="AE117" i="3" s="1"/>
  <c r="E75" i="3"/>
  <c r="V90" i="3"/>
  <c r="M48" i="3"/>
  <c r="AE48" i="3" s="1"/>
  <c r="R200" i="3"/>
  <c r="N234" i="3"/>
  <c r="AC67" i="3"/>
  <c r="G173" i="3"/>
  <c r="K84" i="3"/>
  <c r="P55" i="3"/>
  <c r="AY55" i="3" s="1"/>
  <c r="E39" i="3"/>
  <c r="Q234" i="3"/>
  <c r="E130" i="3"/>
  <c r="R160" i="3"/>
  <c r="S57" i="3"/>
  <c r="Z124" i="3"/>
  <c r="T88" i="3"/>
  <c r="Y191" i="3"/>
  <c r="D39" i="3"/>
  <c r="M177" i="3"/>
  <c r="AE177" i="3" s="1"/>
  <c r="H122" i="3"/>
  <c r="D68" i="3"/>
  <c r="T195" i="3"/>
  <c r="X87" i="3"/>
  <c r="Q199" i="3"/>
  <c r="S106" i="3"/>
  <c r="AA161" i="3"/>
  <c r="Q123" i="3"/>
  <c r="K152" i="3"/>
  <c r="G234" i="3"/>
  <c r="Z60" i="3"/>
  <c r="H240" i="3"/>
  <c r="M141" i="3"/>
  <c r="AE141" i="3" s="1"/>
  <c r="AC169" i="3"/>
  <c r="K121" i="3"/>
  <c r="AA201" i="3"/>
  <c r="G101" i="3"/>
  <c r="X209" i="3"/>
  <c r="T204" i="3"/>
  <c r="S104" i="3"/>
  <c r="K29" i="3"/>
  <c r="W50" i="3"/>
  <c r="BF50" i="3" s="1"/>
  <c r="O223" i="3"/>
  <c r="T138" i="3"/>
  <c r="AB201" i="3"/>
  <c r="P126" i="3"/>
  <c r="Q146" i="3"/>
  <c r="M165" i="3"/>
  <c r="AE165" i="3" s="1"/>
  <c r="Y86" i="3"/>
  <c r="BH86" i="3" s="1"/>
  <c r="P135" i="3"/>
  <c r="AY135" i="3" s="1"/>
  <c r="F155" i="3"/>
  <c r="AC41" i="3"/>
  <c r="AB211" i="3"/>
  <c r="Z166" i="3"/>
  <c r="G196" i="3"/>
  <c r="Z131" i="3"/>
  <c r="X83" i="3"/>
  <c r="S30" i="3"/>
  <c r="R174" i="3"/>
  <c r="T236" i="3"/>
  <c r="K129" i="3"/>
  <c r="N79" i="3"/>
  <c r="G100" i="3"/>
  <c r="R68" i="3"/>
  <c r="F218" i="3"/>
  <c r="H38" i="3"/>
  <c r="R95" i="3"/>
  <c r="K168" i="3"/>
  <c r="T104" i="3"/>
  <c r="V74" i="3"/>
  <c r="N181" i="3"/>
  <c r="D29" i="3"/>
  <c r="Q226" i="3"/>
  <c r="K134" i="3"/>
  <c r="T41" i="3"/>
  <c r="Z137" i="3"/>
  <c r="Z190" i="3"/>
  <c r="D81" i="3"/>
  <c r="V187" i="3"/>
  <c r="AB158" i="3"/>
  <c r="Q113" i="3"/>
  <c r="F206" i="3"/>
  <c r="T158" i="3"/>
  <c r="BC158" i="3" s="1"/>
  <c r="M93" i="3"/>
  <c r="AE93" i="3" s="1"/>
  <c r="J91" i="3"/>
  <c r="P95" i="3"/>
  <c r="E111" i="3"/>
  <c r="AC120" i="3"/>
  <c r="F103" i="3"/>
  <c r="N84" i="3"/>
  <c r="M72" i="3"/>
  <c r="AE72" i="3" s="1"/>
  <c r="D129" i="3"/>
  <c r="V221" i="3"/>
  <c r="G138" i="3"/>
  <c r="G56" i="3"/>
  <c r="F213" i="3"/>
  <c r="K197" i="3"/>
  <c r="E118" i="3"/>
  <c r="W206" i="3"/>
  <c r="BF206" i="3" s="1"/>
  <c r="R239" i="3"/>
  <c r="T155" i="3"/>
  <c r="Y58" i="3"/>
  <c r="AB218" i="3"/>
  <c r="H218" i="3"/>
  <c r="O204" i="3"/>
  <c r="J49" i="3"/>
  <c r="AA162" i="3"/>
  <c r="O47" i="3"/>
  <c r="W137" i="3"/>
  <c r="BF137" i="3" s="1"/>
  <c r="Z231" i="3"/>
  <c r="D101" i="3"/>
  <c r="J142" i="3"/>
  <c r="Y72" i="3"/>
  <c r="O135" i="3"/>
  <c r="AC48" i="3"/>
  <c r="N152" i="3"/>
  <c r="D192" i="3"/>
  <c r="AB85" i="3"/>
  <c r="E203" i="3"/>
  <c r="F222" i="3"/>
  <c r="P72" i="3"/>
  <c r="S196" i="3"/>
  <c r="P61" i="3"/>
  <c r="Q186" i="3"/>
  <c r="D37" i="3"/>
  <c r="AB156" i="3"/>
  <c r="D146" i="3"/>
  <c r="G181" i="3"/>
  <c r="Y114" i="3"/>
  <c r="T167" i="3"/>
  <c r="M50" i="3"/>
  <c r="AE50" i="3" s="1"/>
  <c r="Z138" i="3"/>
  <c r="N61" i="3"/>
  <c r="V97" i="3"/>
  <c r="Z188" i="3"/>
  <c r="AB113" i="3"/>
  <c r="N227" i="3"/>
  <c r="W230" i="3"/>
  <c r="BF230" i="3" s="1"/>
  <c r="X93" i="3"/>
  <c r="X77" i="3"/>
  <c r="Z197" i="3"/>
  <c r="K228" i="3"/>
  <c r="AA75" i="3"/>
  <c r="P163" i="3"/>
  <c r="X81" i="3"/>
  <c r="G76" i="3"/>
  <c r="H114" i="3"/>
  <c r="K78" i="3"/>
  <c r="H179" i="3"/>
  <c r="S70" i="3"/>
  <c r="G77" i="3"/>
  <c r="Q178" i="3"/>
  <c r="D177" i="3"/>
  <c r="J202" i="3"/>
  <c r="W123" i="3"/>
  <c r="R184" i="3"/>
  <c r="R162" i="3"/>
  <c r="Z213" i="3"/>
  <c r="D164" i="3"/>
  <c r="AB229" i="3"/>
  <c r="AC227" i="3"/>
  <c r="N162" i="3"/>
  <c r="W75" i="3"/>
  <c r="E141" i="3"/>
  <c r="X200" i="3"/>
  <c r="T221" i="3"/>
  <c r="H95" i="3"/>
  <c r="S169" i="3"/>
  <c r="K95" i="3"/>
  <c r="AB223" i="3"/>
  <c r="AC218" i="3"/>
  <c r="F153" i="3"/>
  <c r="E113" i="3"/>
  <c r="M65" i="3"/>
  <c r="AE65" i="3" s="1"/>
  <c r="E79" i="3"/>
  <c r="S120" i="3"/>
  <c r="S50" i="3"/>
  <c r="Q45" i="3"/>
  <c r="S212" i="3"/>
  <c r="Q237" i="3"/>
  <c r="J125" i="3"/>
  <c r="Y43" i="3"/>
  <c r="M219" i="3"/>
  <c r="AE219" i="3" s="1"/>
  <c r="X218" i="3"/>
  <c r="F93" i="3"/>
  <c r="G105" i="3"/>
  <c r="H163" i="3"/>
  <c r="E200" i="3"/>
  <c r="R153" i="3"/>
  <c r="E190" i="3"/>
  <c r="AC188" i="3"/>
  <c r="D34" i="3"/>
  <c r="M146" i="3"/>
  <c r="AE146" i="3" s="1"/>
  <c r="Y68" i="3"/>
  <c r="BH68" i="3" s="1"/>
  <c r="S167" i="3"/>
  <c r="E49" i="3"/>
  <c r="O59" i="3"/>
  <c r="AB69" i="3"/>
  <c r="K204" i="3"/>
  <c r="R85" i="3"/>
  <c r="M81" i="3"/>
  <c r="AE81" i="3" s="1"/>
  <c r="Y97" i="3"/>
  <c r="M236" i="3"/>
  <c r="AE236" i="3" s="1"/>
  <c r="Z175" i="3"/>
  <c r="F165" i="3"/>
  <c r="W52" i="3"/>
  <c r="AB127" i="3"/>
  <c r="Z56" i="3"/>
  <c r="R137" i="3"/>
  <c r="BA137" i="3" s="1"/>
  <c r="E158" i="3"/>
  <c r="K57" i="3"/>
  <c r="Z195" i="3"/>
  <c r="X69" i="3"/>
  <c r="K185" i="3"/>
  <c r="X239" i="3"/>
  <c r="AC237" i="3"/>
  <c r="BL237" i="3" s="1"/>
  <c r="N237" i="3"/>
  <c r="AW237" i="3" s="1"/>
  <c r="AV237" i="3" s="1"/>
  <c r="K219" i="3"/>
  <c r="AC111" i="3"/>
  <c r="T146" i="3"/>
  <c r="BC146" i="3" s="1"/>
  <c r="V64" i="3"/>
  <c r="N47" i="3"/>
  <c r="Z172" i="3"/>
  <c r="AB86" i="3"/>
  <c r="E178" i="3"/>
  <c r="E144" i="3"/>
  <c r="J113" i="3"/>
  <c r="P87" i="3"/>
  <c r="W212" i="3"/>
  <c r="AA44" i="3"/>
  <c r="N107" i="3"/>
  <c r="K213" i="3"/>
  <c r="Z235" i="3"/>
  <c r="H202" i="3"/>
  <c r="W203" i="3"/>
  <c r="P235" i="3"/>
  <c r="H139" i="3"/>
  <c r="T42" i="3"/>
  <c r="J44" i="3"/>
  <c r="G192" i="3"/>
  <c r="AA205" i="3"/>
  <c r="J197" i="3"/>
  <c r="S111" i="3"/>
  <c r="R144" i="3"/>
  <c r="W97" i="3"/>
  <c r="AA61" i="3"/>
  <c r="Y128" i="3"/>
  <c r="J144" i="3"/>
  <c r="P119" i="3"/>
  <c r="S232" i="3"/>
  <c r="O76" i="3"/>
  <c r="R181" i="3"/>
  <c r="S190" i="3"/>
  <c r="E223" i="3"/>
  <c r="R207" i="3"/>
  <c r="AB59" i="3"/>
  <c r="F174" i="3"/>
  <c r="X116" i="3"/>
  <c r="S89" i="3"/>
  <c r="AB84" i="3"/>
  <c r="AB162" i="3"/>
  <c r="R126" i="3"/>
  <c r="E42" i="3"/>
  <c r="O52" i="3"/>
  <c r="E54" i="3"/>
  <c r="N183" i="3"/>
  <c r="P183" i="3"/>
  <c r="M129" i="3"/>
  <c r="AE129" i="3" s="1"/>
  <c r="R119" i="3"/>
  <c r="R43" i="3"/>
  <c r="N222" i="3"/>
  <c r="AW222" i="3" s="1"/>
  <c r="AB191" i="3"/>
  <c r="AB91" i="3"/>
  <c r="Y42" i="3"/>
  <c r="K200" i="3"/>
  <c r="O190" i="3"/>
  <c r="X177" i="3"/>
  <c r="J169" i="3"/>
  <c r="F236" i="3"/>
  <c r="F124" i="3"/>
  <c r="G31" i="3"/>
  <c r="V190" i="3"/>
  <c r="D197" i="3"/>
  <c r="R135" i="3"/>
  <c r="BA135" i="3" s="1"/>
  <c r="Q229" i="3"/>
  <c r="N45" i="3"/>
  <c r="R185" i="3"/>
  <c r="D191" i="3"/>
  <c r="N83" i="3"/>
  <c r="T223" i="3"/>
  <c r="BC223" i="3" s="1"/>
  <c r="J106" i="3"/>
  <c r="AB222" i="3"/>
  <c r="X146" i="3"/>
  <c r="W96" i="3"/>
  <c r="BF96" i="3" s="1"/>
  <c r="P44" i="3"/>
  <c r="Y127" i="3"/>
  <c r="H116" i="3"/>
  <c r="AB71" i="3"/>
  <c r="F192" i="3"/>
  <c r="J67" i="3"/>
  <c r="N177" i="3"/>
  <c r="K43" i="3"/>
  <c r="Q119" i="3"/>
  <c r="AC211" i="3"/>
  <c r="AC51" i="3"/>
  <c r="T230" i="3"/>
  <c r="K146" i="3"/>
  <c r="T200" i="3"/>
  <c r="Z103" i="3"/>
  <c r="O34" i="3"/>
  <c r="V57" i="3"/>
  <c r="AB233" i="3"/>
  <c r="F97" i="3"/>
  <c r="X94" i="3"/>
  <c r="R66" i="3"/>
  <c r="Q87" i="3"/>
  <c r="AB204" i="3"/>
  <c r="P80" i="3"/>
  <c r="T131" i="3"/>
  <c r="K210" i="3"/>
  <c r="G167" i="3"/>
  <c r="D175" i="3"/>
  <c r="K50" i="3"/>
  <c r="M55" i="3"/>
  <c r="AE55" i="3" s="1"/>
  <c r="V206" i="3"/>
  <c r="E168" i="3"/>
  <c r="Z202" i="3"/>
  <c r="AB102" i="3"/>
  <c r="G39" i="3"/>
  <c r="F122" i="3"/>
  <c r="M230" i="3"/>
  <c r="AE230" i="3" s="1"/>
  <c r="T173" i="3"/>
  <c r="J99" i="3"/>
  <c r="S161" i="3"/>
  <c r="G191" i="3"/>
  <c r="P105" i="3"/>
  <c r="M57" i="3"/>
  <c r="AE57" i="3" s="1"/>
  <c r="S48" i="3"/>
  <c r="N220" i="3"/>
  <c r="N166" i="3"/>
  <c r="P179" i="3"/>
  <c r="T35" i="3"/>
  <c r="BC35" i="3" s="1"/>
  <c r="Y153" i="3"/>
  <c r="O58" i="3"/>
  <c r="AB178" i="3"/>
  <c r="K166" i="3"/>
  <c r="P151" i="3"/>
  <c r="S187" i="3"/>
  <c r="X135" i="3"/>
  <c r="X109" i="3"/>
  <c r="K233" i="3"/>
  <c r="AA236" i="3"/>
  <c r="D63" i="3"/>
  <c r="Z106" i="3"/>
  <c r="F77" i="3"/>
  <c r="V114" i="3"/>
  <c r="W192" i="3"/>
  <c r="R158" i="3"/>
  <c r="BA158" i="3" s="1"/>
  <c r="W121" i="3"/>
  <c r="E140" i="3"/>
  <c r="AC50" i="3"/>
  <c r="G168" i="3"/>
  <c r="W152" i="3"/>
  <c r="BF152" i="3" s="1"/>
  <c r="AA213" i="3"/>
  <c r="O150" i="3"/>
  <c r="W100" i="3"/>
  <c r="X137" i="3"/>
  <c r="S130" i="3"/>
  <c r="Z161" i="3"/>
  <c r="K75" i="3"/>
  <c r="N203" i="3"/>
  <c r="AW203" i="3" s="1"/>
  <c r="H82" i="3"/>
  <c r="G43" i="3"/>
  <c r="J217" i="3"/>
  <c r="G97" i="3"/>
  <c r="N199" i="3"/>
  <c r="P197" i="3"/>
  <c r="Q205" i="3"/>
  <c r="S36" i="3"/>
  <c r="M138" i="3"/>
  <c r="AE138" i="3" s="1"/>
  <c r="E35" i="3"/>
  <c r="P185" i="3"/>
  <c r="D107" i="3"/>
  <c r="AC65" i="3"/>
  <c r="AB220" i="3"/>
  <c r="AC137" i="3"/>
  <c r="BL137" i="3" s="1"/>
  <c r="V223" i="3"/>
  <c r="AA91" i="3"/>
  <c r="F145" i="3"/>
  <c r="N174" i="3"/>
  <c r="T137" i="3"/>
  <c r="BC137" i="3" s="1"/>
  <c r="N35" i="3"/>
  <c r="E189" i="3"/>
  <c r="AC130" i="3"/>
  <c r="M150" i="3"/>
  <c r="AE150" i="3" s="1"/>
  <c r="AB225" i="3"/>
  <c r="E40" i="3"/>
  <c r="AA227" i="3"/>
  <c r="R73" i="3"/>
  <c r="X45" i="3"/>
  <c r="J61" i="3"/>
  <c r="D148" i="3"/>
  <c r="W224" i="3"/>
  <c r="Q34" i="3"/>
  <c r="G51" i="3"/>
  <c r="X72" i="3"/>
  <c r="S53" i="3"/>
  <c r="P112" i="3"/>
  <c r="N102" i="3"/>
  <c r="AC203" i="3"/>
  <c r="E228" i="3"/>
  <c r="T174" i="3"/>
  <c r="Y126" i="3"/>
  <c r="W199" i="3"/>
  <c r="W124" i="3"/>
  <c r="D221" i="3"/>
  <c r="Z160" i="3"/>
  <c r="D153" i="3"/>
  <c r="T193" i="3"/>
  <c r="E180" i="3"/>
  <c r="O78" i="3"/>
  <c r="H105" i="3"/>
  <c r="W30" i="3"/>
  <c r="BF30" i="3" s="1"/>
  <c r="Y210" i="3"/>
  <c r="T109" i="3"/>
  <c r="Q93" i="3"/>
  <c r="R232" i="3"/>
  <c r="Q122" i="3"/>
  <c r="T117" i="3"/>
  <c r="Q214" i="3"/>
  <c r="E120" i="3"/>
  <c r="AB154" i="3"/>
  <c r="N113" i="3"/>
  <c r="AB118" i="3"/>
  <c r="O146" i="3"/>
  <c r="N72" i="3"/>
  <c r="O48" i="3"/>
  <c r="H166" i="3"/>
  <c r="W115" i="3"/>
  <c r="X222" i="3"/>
  <c r="E81" i="3"/>
  <c r="M158" i="3"/>
  <c r="AE158" i="3" s="1"/>
  <c r="O42" i="3"/>
  <c r="R210" i="3"/>
  <c r="R52" i="3"/>
  <c r="J107" i="3"/>
  <c r="V42" i="3"/>
  <c r="J38" i="3"/>
  <c r="S155" i="3"/>
  <c r="M132" i="3"/>
  <c r="AE132" i="3" s="1"/>
  <c r="AC236" i="3"/>
  <c r="BL236" i="3" s="1"/>
  <c r="O113" i="3"/>
  <c r="Y60" i="3"/>
  <c r="N201" i="3"/>
  <c r="X106" i="3"/>
  <c r="R58" i="3"/>
  <c r="F173" i="3"/>
  <c r="S33" i="3"/>
  <c r="H71" i="3"/>
  <c r="AA153" i="3"/>
  <c r="P132" i="3"/>
  <c r="AC176" i="3"/>
  <c r="Q95" i="3"/>
  <c r="M79" i="3"/>
  <c r="AE79" i="3" s="1"/>
  <c r="M78" i="3"/>
  <c r="AE78" i="3" s="1"/>
  <c r="F106" i="3"/>
  <c r="AC122" i="3"/>
  <c r="J216" i="3"/>
  <c r="M54" i="3"/>
  <c r="AE54" i="3" s="1"/>
  <c r="AC56" i="3"/>
  <c r="AC53" i="3"/>
  <c r="AB175" i="3"/>
  <c r="J105" i="3"/>
  <c r="D123" i="3"/>
  <c r="V29" i="3"/>
  <c r="H175" i="3"/>
  <c r="G189" i="3"/>
  <c r="K215" i="3"/>
  <c r="M88" i="3"/>
  <c r="AE88" i="3" s="1"/>
  <c r="P66" i="3"/>
  <c r="AC184" i="3"/>
  <c r="R91" i="3"/>
  <c r="Z63" i="3"/>
  <c r="M166" i="3"/>
  <c r="AE166" i="3" s="1"/>
  <c r="Y65" i="3"/>
  <c r="AA122" i="3"/>
  <c r="T134" i="3"/>
  <c r="J163" i="3"/>
  <c r="R214" i="3"/>
  <c r="BA214" i="3" s="1"/>
  <c r="K189" i="3"/>
  <c r="D96" i="3"/>
  <c r="H92" i="3"/>
  <c r="Q204" i="3"/>
  <c r="H37" i="3"/>
  <c r="M213" i="3"/>
  <c r="AE213" i="3" s="1"/>
  <c r="Z208" i="3"/>
  <c r="AC103" i="3"/>
  <c r="AC73" i="3"/>
  <c r="K224" i="3"/>
  <c r="E60" i="3"/>
  <c r="AC167" i="3"/>
  <c r="AC89" i="3"/>
  <c r="S138" i="3"/>
  <c r="W68" i="3"/>
  <c r="X181" i="3"/>
  <c r="Y52" i="3"/>
  <c r="E227" i="3"/>
  <c r="K71" i="3"/>
  <c r="G84" i="3"/>
  <c r="G178" i="3"/>
  <c r="J190" i="3"/>
  <c r="S61" i="3"/>
  <c r="S69" i="3"/>
  <c r="H55" i="3"/>
  <c r="F70" i="3"/>
  <c r="W191" i="3"/>
  <c r="Y198" i="3"/>
  <c r="K93" i="3"/>
  <c r="G176" i="3"/>
  <c r="X158" i="3"/>
  <c r="V219" i="3"/>
  <c r="X36" i="3"/>
  <c r="S80" i="3"/>
  <c r="AA174" i="3"/>
  <c r="H216" i="3"/>
  <c r="K158" i="3"/>
  <c r="M214" i="3"/>
  <c r="AE214" i="3" s="1"/>
  <c r="V56" i="3"/>
  <c r="K147" i="3"/>
  <c r="P93" i="3"/>
  <c r="D213" i="3"/>
  <c r="S74" i="3"/>
  <c r="Y64" i="3"/>
  <c r="R35" i="3"/>
  <c r="R183" i="3"/>
  <c r="W223" i="3"/>
  <c r="BF223" i="3" s="1"/>
  <c r="N144" i="3"/>
  <c r="AB107" i="3"/>
  <c r="T94" i="3"/>
  <c r="V106" i="3"/>
  <c r="V225" i="3"/>
  <c r="W88" i="3"/>
  <c r="R61" i="3"/>
  <c r="O186" i="3"/>
  <c r="N175" i="3"/>
  <c r="S121" i="3"/>
  <c r="J110" i="3"/>
  <c r="O189" i="3"/>
  <c r="G83" i="3"/>
  <c r="S123" i="3"/>
  <c r="J126" i="3"/>
  <c r="T209" i="3"/>
  <c r="G117" i="3"/>
  <c r="J87" i="3"/>
  <c r="Y188" i="3"/>
  <c r="AC177" i="3"/>
  <c r="N196" i="3"/>
  <c r="N170" i="3"/>
  <c r="M94" i="3"/>
  <c r="AE94" i="3" s="1"/>
  <c r="Q196" i="3"/>
  <c r="R94" i="3"/>
  <c r="W162" i="3"/>
  <c r="X199" i="3"/>
  <c r="K201" i="3"/>
  <c r="K193" i="3"/>
  <c r="H149" i="3"/>
  <c r="K137" i="3"/>
  <c r="Z178" i="3"/>
  <c r="J90" i="3"/>
  <c r="V83" i="3"/>
  <c r="D40" i="3"/>
  <c r="G121" i="3"/>
  <c r="M47" i="3"/>
  <c r="AE47" i="3" s="1"/>
  <c r="K69" i="3"/>
  <c r="H124" i="3"/>
  <c r="M70" i="3"/>
  <c r="AE70" i="3" s="1"/>
  <c r="Z170" i="3"/>
  <c r="X172" i="3"/>
  <c r="V160" i="3"/>
  <c r="Q163" i="3"/>
  <c r="F154" i="3"/>
  <c r="F185" i="3"/>
  <c r="Z121" i="3"/>
  <c r="F204" i="3"/>
  <c r="AA63" i="3"/>
  <c r="E95" i="3"/>
  <c r="K73" i="3"/>
  <c r="H135" i="3"/>
  <c r="N231" i="3"/>
  <c r="AW231" i="3" s="1"/>
  <c r="AC70" i="3"/>
  <c r="O37" i="3"/>
  <c r="X197" i="3"/>
  <c r="H205" i="3"/>
  <c r="N78" i="3"/>
  <c r="AW78" i="3" s="1"/>
  <c r="G34" i="3"/>
  <c r="O209" i="3"/>
  <c r="X56" i="3"/>
  <c r="Y102" i="3"/>
  <c r="Q102" i="3"/>
  <c r="E62" i="3"/>
  <c r="T182" i="3"/>
  <c r="BC182" i="3" s="1"/>
  <c r="G70" i="3"/>
  <c r="R140" i="3"/>
  <c r="M160" i="3"/>
  <c r="AE160" i="3" s="1"/>
  <c r="AC161" i="3"/>
  <c r="Y100" i="3"/>
  <c r="M225" i="3"/>
  <c r="AE225" i="3" s="1"/>
  <c r="S124" i="3"/>
  <c r="Y228" i="3"/>
  <c r="AC88" i="3"/>
  <c r="K162" i="3"/>
  <c r="J161" i="3"/>
  <c r="D65" i="3"/>
  <c r="T227" i="3"/>
  <c r="Z83" i="3"/>
  <c r="M121" i="3"/>
  <c r="AE121" i="3" s="1"/>
  <c r="D116" i="3"/>
  <c r="G172" i="3"/>
  <c r="O144" i="3"/>
  <c r="M89" i="3"/>
  <c r="AE89" i="3" s="1"/>
  <c r="E193" i="3"/>
  <c r="W173" i="3"/>
  <c r="O221" i="3"/>
  <c r="F76" i="3"/>
  <c r="P73" i="3"/>
  <c r="V77" i="3"/>
  <c r="Y54" i="3"/>
  <c r="K240" i="3"/>
  <c r="W172" i="3"/>
  <c r="Q158" i="3"/>
  <c r="O152" i="3"/>
  <c r="G127" i="3"/>
  <c r="N88" i="3"/>
  <c r="AW88" i="3" s="1"/>
  <c r="D227" i="3"/>
  <c r="D171" i="3"/>
  <c r="S140" i="3"/>
  <c r="T44" i="3"/>
  <c r="E129" i="3"/>
  <c r="E97" i="3"/>
  <c r="T114" i="3"/>
  <c r="N129" i="3"/>
  <c r="AB163" i="3"/>
  <c r="P75" i="3"/>
  <c r="M207" i="3"/>
  <c r="AE207" i="3" s="1"/>
  <c r="T97" i="3"/>
  <c r="Y200" i="3"/>
  <c r="AB51" i="3"/>
  <c r="T48" i="3"/>
  <c r="Y106" i="3"/>
  <c r="K124" i="3"/>
  <c r="Z141" i="3"/>
  <c r="E234" i="3"/>
  <c r="Z168" i="3"/>
  <c r="D183" i="3"/>
  <c r="D46" i="3"/>
  <c r="V88" i="3"/>
  <c r="J198" i="3"/>
  <c r="P167" i="3"/>
  <c r="Y235" i="3"/>
  <c r="Z223" i="3"/>
  <c r="E230" i="3"/>
  <c r="M216" i="3"/>
  <c r="AE216" i="3" s="1"/>
  <c r="D33" i="3"/>
  <c r="O112" i="3"/>
  <c r="D104" i="3"/>
  <c r="AA163" i="3"/>
  <c r="AA159" i="3"/>
  <c r="O121" i="3"/>
  <c r="P102" i="3"/>
  <c r="AB149" i="3"/>
  <c r="F59" i="3"/>
  <c r="Z48" i="3"/>
  <c r="M126" i="3"/>
  <c r="AE126" i="3" s="1"/>
  <c r="P48" i="3"/>
  <c r="W114" i="3"/>
  <c r="Y85" i="3"/>
  <c r="D168" i="3"/>
  <c r="H91" i="3"/>
  <c r="X220" i="3"/>
  <c r="V158" i="3"/>
  <c r="AC116" i="3"/>
  <c r="R199" i="3"/>
  <c r="Q174" i="3"/>
  <c r="AA88" i="3"/>
  <c r="AB64" i="3"/>
  <c r="J95" i="3"/>
  <c r="E225" i="3"/>
  <c r="V52" i="3"/>
  <c r="D72" i="3"/>
  <c r="Z200" i="3"/>
  <c r="S29" i="3"/>
  <c r="X167" i="3"/>
  <c r="AB141" i="3"/>
  <c r="AC168" i="3"/>
  <c r="J182" i="3"/>
  <c r="P200" i="3"/>
  <c r="T73" i="3"/>
  <c r="F84" i="3"/>
  <c r="X148" i="3"/>
  <c r="R147" i="3"/>
  <c r="W109" i="3"/>
  <c r="AB93" i="3"/>
  <c r="Q74" i="3"/>
  <c r="X92" i="3"/>
  <c r="G72" i="3"/>
  <c r="G140" i="3"/>
  <c r="AB41" i="3"/>
  <c r="G90" i="3"/>
  <c r="Y122" i="3"/>
  <c r="M202" i="3"/>
  <c r="AE202" i="3" s="1"/>
  <c r="J79" i="3"/>
  <c r="K40" i="3"/>
  <c r="P88" i="3"/>
  <c r="AA221" i="3"/>
  <c r="N34" i="3"/>
  <c r="D60" i="3"/>
  <c r="G65" i="3"/>
  <c r="N198" i="3"/>
  <c r="D89" i="3"/>
  <c r="Q82" i="3"/>
  <c r="AA148" i="3"/>
  <c r="D119" i="3"/>
  <c r="N134" i="3"/>
  <c r="X140" i="3"/>
  <c r="F220" i="3"/>
  <c r="X132" i="3"/>
  <c r="D199" i="3"/>
  <c r="R216" i="3"/>
  <c r="BA216" i="3" s="1"/>
  <c r="W225" i="3"/>
  <c r="BF225" i="3" s="1"/>
  <c r="O93" i="3"/>
  <c r="D92" i="3"/>
  <c r="J37" i="3"/>
  <c r="AA128" i="3"/>
  <c r="BJ128" i="3" s="1"/>
  <c r="O85" i="3"/>
  <c r="Y45" i="3"/>
  <c r="AB36" i="3"/>
  <c r="O134" i="3"/>
  <c r="N86" i="3"/>
  <c r="AW86" i="3" s="1"/>
  <c r="R132" i="3"/>
  <c r="S132" i="3"/>
  <c r="S230" i="3"/>
  <c r="T154" i="3"/>
  <c r="H117" i="3"/>
  <c r="Q92" i="3"/>
  <c r="W148" i="3"/>
  <c r="J225" i="3"/>
  <c r="H43" i="3"/>
  <c r="J154" i="3"/>
  <c r="G171" i="3"/>
  <c r="Q106" i="3"/>
  <c r="AA126" i="3"/>
  <c r="AA41" i="3"/>
  <c r="S146" i="3"/>
  <c r="F111" i="3"/>
  <c r="M110" i="3"/>
  <c r="AE110" i="3" s="1"/>
  <c r="S67" i="3"/>
  <c r="G197" i="3"/>
  <c r="K205" i="3"/>
  <c r="F116" i="3"/>
  <c r="E98" i="3"/>
  <c r="Y32" i="3"/>
  <c r="S34" i="3"/>
  <c r="R125" i="3"/>
  <c r="BA125" i="3" s="1"/>
  <c r="V104" i="3"/>
  <c r="M196" i="3"/>
  <c r="AE196" i="3" s="1"/>
  <c r="X73" i="3"/>
  <c r="K159" i="3"/>
  <c r="AB181" i="3"/>
  <c r="AB148" i="3"/>
  <c r="O116" i="3"/>
  <c r="H152" i="3"/>
  <c r="AA36" i="3"/>
  <c r="P172" i="3"/>
  <c r="E32" i="3"/>
  <c r="AC46" i="3"/>
  <c r="BL46" i="3" s="1"/>
  <c r="R187" i="3"/>
  <c r="K55" i="3"/>
  <c r="Y136" i="3"/>
  <c r="G174" i="3"/>
  <c r="Q121" i="3"/>
  <c r="K220" i="3"/>
  <c r="AB103" i="3"/>
  <c r="W183" i="3"/>
  <c r="Q131" i="3"/>
  <c r="AA138" i="3"/>
  <c r="Z191" i="3"/>
  <c r="O226" i="3"/>
  <c r="G111" i="3"/>
  <c r="V55" i="3"/>
  <c r="AA212" i="3"/>
  <c r="T150" i="3"/>
  <c r="J183" i="3"/>
  <c r="K209" i="3"/>
  <c r="R150" i="3"/>
  <c r="E205" i="3"/>
  <c r="AA129" i="3"/>
  <c r="AC205" i="3"/>
  <c r="O29" i="3"/>
  <c r="K81" i="3"/>
  <c r="N68" i="3"/>
  <c r="AW68" i="3" s="1"/>
  <c r="R237" i="3"/>
  <c r="BA237" i="3" s="1"/>
  <c r="F196" i="3"/>
  <c r="K182" i="3"/>
  <c r="Y66" i="3"/>
  <c r="V39" i="3"/>
  <c r="G180" i="3"/>
  <c r="X189" i="3"/>
  <c r="G75" i="3"/>
  <c r="Q40" i="3"/>
  <c r="V144" i="3"/>
  <c r="AB83" i="3"/>
  <c r="E126" i="3"/>
  <c r="T119" i="3"/>
  <c r="J118" i="3"/>
  <c r="Y111" i="3"/>
  <c r="R114" i="3"/>
  <c r="P146" i="3"/>
  <c r="Y36" i="3"/>
  <c r="X86" i="3"/>
  <c r="AB174" i="3"/>
  <c r="G156" i="3"/>
  <c r="K54" i="3"/>
  <c r="P213" i="3"/>
  <c r="S93" i="3"/>
  <c r="Y227" i="3"/>
  <c r="Q84" i="3"/>
  <c r="R89" i="3"/>
  <c r="AC159" i="3"/>
  <c r="G54" i="3"/>
  <c r="H233" i="3"/>
  <c r="AC186" i="3"/>
  <c r="F65" i="3"/>
  <c r="T187" i="3"/>
  <c r="BC187" i="3" s="1"/>
  <c r="D30" i="3"/>
  <c r="H215" i="3"/>
  <c r="AC81" i="3"/>
  <c r="D44" i="3"/>
  <c r="Y55" i="3"/>
  <c r="X143" i="3"/>
  <c r="J200" i="3"/>
  <c r="V171" i="3"/>
  <c r="M39" i="3"/>
  <c r="AE39" i="3" s="1"/>
  <c r="V169" i="3"/>
  <c r="S101" i="3"/>
  <c r="X44" i="3"/>
  <c r="D156" i="3"/>
  <c r="Y70" i="3"/>
  <c r="F201" i="3"/>
  <c r="D71" i="3"/>
  <c r="M163" i="3"/>
  <c r="AE163" i="3" s="1"/>
  <c r="N193" i="3"/>
  <c r="J74" i="3"/>
  <c r="O96" i="3"/>
  <c r="F127" i="3"/>
  <c r="T198" i="3"/>
  <c r="K88" i="3"/>
  <c r="Q67" i="3"/>
  <c r="F52" i="3"/>
  <c r="R145" i="3"/>
  <c r="BA145" i="3" s="1"/>
  <c r="P205" i="3"/>
  <c r="X180" i="3"/>
  <c r="X113" i="3"/>
  <c r="AB50" i="3"/>
  <c r="N41" i="3"/>
  <c r="Q138" i="3"/>
  <c r="AC197" i="3"/>
  <c r="X78" i="3"/>
  <c r="Q110" i="3"/>
  <c r="AA125" i="3"/>
  <c r="BJ125" i="3" s="1"/>
  <c r="M238" i="3"/>
  <c r="AE238" i="3" s="1"/>
  <c r="H78" i="3"/>
  <c r="AA196" i="3"/>
  <c r="M224" i="3"/>
  <c r="AE224" i="3" s="1"/>
  <c r="J111" i="3"/>
  <c r="P60" i="3"/>
  <c r="X32" i="3"/>
  <c r="AA215" i="3"/>
  <c r="E152" i="3"/>
  <c r="E159" i="3"/>
  <c r="J206" i="3"/>
  <c r="AB186" i="3"/>
  <c r="AB92" i="3"/>
  <c r="S135" i="3"/>
  <c r="F198" i="3"/>
  <c r="E175" i="3"/>
  <c r="F105" i="3"/>
  <c r="E142" i="3"/>
  <c r="E212" i="3"/>
  <c r="D124" i="3"/>
  <c r="E182" i="3"/>
  <c r="AB90" i="3"/>
  <c r="X191" i="3"/>
  <c r="O45" i="3"/>
  <c r="AB145" i="3"/>
  <c r="Q169" i="3"/>
  <c r="F80" i="3"/>
  <c r="E238" i="3"/>
  <c r="W83" i="3"/>
  <c r="AB182" i="3"/>
  <c r="F32" i="3"/>
  <c r="Y170" i="3"/>
  <c r="X125" i="3"/>
  <c r="AB205" i="3"/>
  <c r="S158" i="3"/>
  <c r="F90" i="3"/>
  <c r="J59" i="3"/>
  <c r="M113" i="3"/>
  <c r="AE113" i="3" s="1"/>
  <c r="Q81" i="3"/>
  <c r="P51" i="3"/>
  <c r="F60" i="3"/>
  <c r="W167" i="3"/>
  <c r="M60" i="3"/>
  <c r="AE60" i="3" s="1"/>
  <c r="Y158" i="3"/>
  <c r="BH158" i="3" s="1"/>
  <c r="Y51" i="3"/>
  <c r="Q139" i="3"/>
  <c r="Q127" i="3"/>
  <c r="AC195" i="3"/>
  <c r="V105" i="3"/>
  <c r="G148" i="3"/>
  <c r="X188" i="3"/>
  <c r="T40" i="3"/>
  <c r="X208" i="3"/>
  <c r="AC164" i="3"/>
  <c r="BL164" i="3" s="1"/>
  <c r="O101" i="3"/>
  <c r="F189" i="3"/>
  <c r="P176" i="3"/>
  <c r="AC224" i="3"/>
  <c r="P46" i="3"/>
  <c r="AY46" i="3" s="1"/>
  <c r="J57" i="3"/>
  <c r="Q49" i="3"/>
  <c r="E61" i="3"/>
  <c r="Y186" i="3"/>
  <c r="F78" i="3"/>
  <c r="AB137" i="3"/>
  <c r="Y34" i="3"/>
  <c r="H102" i="3"/>
  <c r="AA34" i="3"/>
  <c r="D80" i="3"/>
  <c r="F137" i="3"/>
  <c r="P67" i="3"/>
  <c r="K85" i="3"/>
  <c r="P159" i="3"/>
  <c r="O201" i="3"/>
  <c r="O159" i="3"/>
  <c r="M218" i="3"/>
  <c r="AE218" i="3" s="1"/>
  <c r="V45" i="3"/>
  <c r="N208" i="3"/>
  <c r="T46" i="3"/>
  <c r="BC46" i="3" s="1"/>
  <c r="N87" i="3"/>
  <c r="G136" i="3"/>
  <c r="F99" i="3"/>
  <c r="X219" i="3"/>
  <c r="D224" i="3"/>
  <c r="D41" i="3"/>
  <c r="F123" i="3"/>
  <c r="N137" i="3"/>
  <c r="AW137" i="3" s="1"/>
  <c r="Z33" i="3"/>
  <c r="E115" i="3"/>
  <c r="N188" i="3"/>
  <c r="P138" i="3"/>
  <c r="P99" i="3"/>
  <c r="AY99" i="3" s="1"/>
  <c r="F130" i="3"/>
  <c r="J73" i="3"/>
  <c r="E137" i="3"/>
  <c r="X170" i="3"/>
  <c r="D35" i="3"/>
  <c r="H239" i="3"/>
  <c r="X192" i="3"/>
  <c r="E50" i="3"/>
  <c r="H123" i="3"/>
  <c r="AB76" i="3"/>
  <c r="Z93" i="3"/>
  <c r="T53" i="3"/>
  <c r="N110" i="3"/>
  <c r="AW110" i="3" s="1"/>
  <c r="G142" i="3"/>
  <c r="E84" i="3"/>
  <c r="R48" i="3"/>
  <c r="M135" i="3"/>
  <c r="AE135" i="3" s="1"/>
  <c r="X46" i="3"/>
  <c r="G154" i="3"/>
  <c r="K174" i="3"/>
  <c r="R131" i="3"/>
  <c r="O91" i="3"/>
  <c r="F100" i="3"/>
  <c r="AA97" i="3"/>
  <c r="P118" i="3"/>
  <c r="AY118" i="3" s="1"/>
  <c r="D186" i="3"/>
  <c r="R188" i="3"/>
  <c r="M111" i="3"/>
  <c r="AE111" i="3" s="1"/>
  <c r="G165" i="3"/>
  <c r="D189" i="3"/>
  <c r="N140" i="3"/>
  <c r="Z95" i="3"/>
  <c r="N190" i="3"/>
  <c r="AW190" i="3" s="1"/>
  <c r="D126" i="3"/>
  <c r="AA47" i="3"/>
  <c r="BJ47" i="3" s="1"/>
  <c r="O138" i="3"/>
  <c r="M192" i="3"/>
  <c r="AE192" i="3" s="1"/>
  <c r="P219" i="3"/>
  <c r="G151" i="3"/>
  <c r="G202" i="3"/>
  <c r="Y207" i="3"/>
  <c r="T58" i="3"/>
  <c r="J34" i="3"/>
  <c r="X162" i="3"/>
  <c r="Z152" i="3"/>
  <c r="G170" i="3"/>
  <c r="AB89" i="3"/>
  <c r="G113" i="3"/>
  <c r="F47" i="3"/>
  <c r="F75" i="3"/>
  <c r="Q118" i="3"/>
  <c r="Y157" i="3"/>
  <c r="AA80" i="3"/>
  <c r="R180" i="3"/>
  <c r="X74" i="3"/>
  <c r="J112" i="3"/>
  <c r="H98" i="3"/>
  <c r="AB133" i="3"/>
  <c r="N122" i="3"/>
  <c r="M85" i="3"/>
  <c r="AE85" i="3" s="1"/>
  <c r="Q212" i="3"/>
  <c r="O164" i="3"/>
  <c r="X202" i="3"/>
  <c r="G155" i="3"/>
  <c r="E41" i="3"/>
  <c r="Q59" i="3"/>
  <c r="F64" i="3"/>
  <c r="Q181" i="3"/>
  <c r="E76" i="3"/>
  <c r="X91" i="3"/>
  <c r="G119" i="3"/>
  <c r="D167" i="3"/>
  <c r="Q77" i="3"/>
  <c r="R139" i="3"/>
  <c r="BA139" i="3" s="1"/>
  <c r="M61" i="3"/>
  <c r="AE61" i="3" s="1"/>
  <c r="H90" i="3"/>
  <c r="R103" i="3"/>
  <c r="AA116" i="3"/>
  <c r="H41" i="3"/>
  <c r="Q55" i="3"/>
  <c r="D202" i="3"/>
  <c r="J29" i="3"/>
  <c r="J181" i="3"/>
  <c r="X79" i="3"/>
  <c r="AB80" i="3"/>
  <c r="Q43" i="3"/>
  <c r="O62" i="3"/>
  <c r="M63" i="3"/>
  <c r="AE63" i="3" s="1"/>
  <c r="K221" i="3"/>
  <c r="O160" i="3"/>
  <c r="E192" i="3"/>
  <c r="X76" i="3"/>
  <c r="F221" i="3"/>
  <c r="G74" i="3"/>
  <c r="AC87" i="3"/>
  <c r="G58" i="3"/>
  <c r="W71" i="3"/>
  <c r="G44" i="3"/>
  <c r="D86" i="3"/>
  <c r="X89" i="3"/>
  <c r="Z226" i="3"/>
  <c r="N236" i="3"/>
  <c r="AW236" i="3" s="1"/>
  <c r="E217" i="3"/>
  <c r="Y197" i="3"/>
  <c r="H40" i="3"/>
  <c r="S79" i="3"/>
  <c r="G186" i="3"/>
  <c r="N218" i="3"/>
  <c r="D135" i="3"/>
  <c r="F101" i="3"/>
  <c r="H73" i="3"/>
  <c r="W145" i="3"/>
  <c r="BF145" i="3" s="1"/>
  <c r="S144" i="3"/>
  <c r="Y79" i="3"/>
  <c r="BH79" i="3" s="1"/>
  <c r="F207" i="3"/>
  <c r="W215" i="3"/>
  <c r="H226" i="3"/>
  <c r="M104" i="3"/>
  <c r="AE104" i="3" s="1"/>
  <c r="J101" i="3"/>
  <c r="AB207" i="3"/>
  <c r="S117" i="3"/>
  <c r="D205" i="3"/>
  <c r="W210" i="3"/>
  <c r="BF210" i="3" s="1"/>
  <c r="BE210" i="3" s="1"/>
  <c r="M64" i="3"/>
  <c r="AE64" i="3" s="1"/>
  <c r="V222" i="3"/>
  <c r="J93" i="3"/>
  <c r="H88" i="3"/>
  <c r="R102" i="3"/>
  <c r="T31" i="3"/>
  <c r="BC31" i="3" s="1"/>
  <c r="P165" i="3"/>
  <c r="D219" i="3"/>
  <c r="W38" i="3"/>
  <c r="X66" i="3"/>
  <c r="X166" i="3"/>
  <c r="AB101" i="3"/>
  <c r="F42" i="3"/>
  <c r="S115" i="3"/>
  <c r="T64" i="3"/>
  <c r="BC64" i="3" s="1"/>
  <c r="N195" i="3"/>
  <c r="AA38" i="3"/>
  <c r="Q52" i="3"/>
  <c r="N70" i="3"/>
  <c r="AB32" i="3"/>
  <c r="E80" i="3"/>
  <c r="J117" i="3"/>
  <c r="V164" i="3"/>
  <c r="T37" i="3"/>
  <c r="BC37" i="3" s="1"/>
  <c r="H193" i="3"/>
  <c r="Q227" i="3"/>
  <c r="N111" i="3"/>
  <c r="K42" i="3"/>
  <c r="F104" i="3"/>
  <c r="O128" i="3"/>
  <c r="Z149" i="3"/>
  <c r="S122" i="3"/>
  <c r="T145" i="3"/>
  <c r="BC145" i="3" s="1"/>
  <c r="K178" i="3"/>
  <c r="T86" i="3"/>
  <c r="BC86" i="3" s="1"/>
  <c r="E224" i="3"/>
  <c r="V122" i="3"/>
  <c r="D75" i="3"/>
  <c r="E114" i="3"/>
  <c r="P147" i="3"/>
  <c r="F184" i="3"/>
  <c r="V134" i="3"/>
  <c r="S156" i="3"/>
  <c r="Y35" i="3"/>
  <c r="O208" i="3"/>
  <c r="AB126" i="3"/>
  <c r="R122" i="3"/>
  <c r="BA122" i="3" s="1"/>
  <c r="S88" i="3"/>
  <c r="J196" i="3"/>
  <c r="K144" i="3"/>
  <c r="K97" i="3"/>
  <c r="Y199" i="3"/>
  <c r="Z42" i="3"/>
  <c r="K94" i="3"/>
  <c r="R143" i="3"/>
  <c r="BA143" i="3" s="1"/>
  <c r="R166" i="3"/>
  <c r="P49" i="3"/>
  <c r="AC34" i="3"/>
  <c r="K122" i="3"/>
  <c r="O154" i="3"/>
  <c r="V59" i="3"/>
  <c r="K105" i="3"/>
  <c r="T101" i="3"/>
  <c r="BC101" i="3" s="1"/>
  <c r="K154" i="3"/>
  <c r="P69" i="3"/>
  <c r="K33" i="3"/>
  <c r="P68" i="3"/>
  <c r="AY68" i="3" s="1"/>
  <c r="N118" i="3"/>
  <c r="AW118" i="3" s="1"/>
  <c r="J189" i="3"/>
  <c r="X42" i="3"/>
  <c r="V205" i="3"/>
  <c r="G114" i="3"/>
  <c r="S154" i="3"/>
  <c r="Z78" i="3"/>
  <c r="Z59" i="3"/>
  <c r="R63" i="3"/>
  <c r="AC193" i="3"/>
  <c r="AA94" i="3"/>
  <c r="S228" i="3"/>
  <c r="W73" i="3"/>
  <c r="P201" i="3"/>
  <c r="T105" i="3"/>
  <c r="M229" i="3"/>
  <c r="AE229" i="3" s="1"/>
  <c r="Y214" i="3"/>
  <c r="R167" i="3"/>
  <c r="R115" i="3"/>
  <c r="AC61" i="3"/>
  <c r="AC119" i="3"/>
  <c r="D102" i="3"/>
  <c r="Z212" i="3"/>
  <c r="J180" i="3"/>
  <c r="T92" i="3"/>
  <c r="E239" i="3"/>
  <c r="Q135" i="3"/>
  <c r="K171" i="3"/>
  <c r="K63" i="3"/>
  <c r="H148" i="3"/>
  <c r="F38" i="3"/>
  <c r="K216" i="3"/>
  <c r="Z120" i="3"/>
  <c r="Z199" i="3"/>
  <c r="H75" i="3"/>
  <c r="N57" i="3"/>
  <c r="J31" i="3"/>
  <c r="D144" i="3"/>
  <c r="V181" i="3"/>
  <c r="D50" i="3"/>
  <c r="AC69" i="3"/>
  <c r="S85" i="3"/>
  <c r="W213" i="3"/>
  <c r="E55" i="3"/>
  <c r="AB105" i="3"/>
  <c r="R55" i="3"/>
  <c r="BA55" i="3" s="1"/>
  <c r="G116" i="3"/>
  <c r="P149" i="3"/>
  <c r="F176" i="3"/>
  <c r="AC152" i="3"/>
  <c r="BL152" i="3" s="1"/>
  <c r="H161" i="3"/>
  <c r="T36" i="3"/>
  <c r="Z176" i="3"/>
  <c r="V111" i="3"/>
  <c r="Q195" i="3"/>
  <c r="AC180" i="3"/>
  <c r="V198" i="3"/>
  <c r="Z185" i="3"/>
  <c r="O90" i="3"/>
  <c r="T164" i="3"/>
  <c r="BC164" i="3" s="1"/>
  <c r="Q224" i="3"/>
  <c r="P107" i="3"/>
  <c r="J130" i="3"/>
  <c r="H42" i="3"/>
  <c r="AA154" i="3"/>
  <c r="Q78" i="3"/>
  <c r="Z101" i="3"/>
  <c r="R229" i="3"/>
  <c r="G147" i="3"/>
  <c r="K173" i="3"/>
  <c r="Y30" i="3"/>
  <c r="Z163" i="3"/>
  <c r="T72" i="3"/>
  <c r="F39" i="3"/>
  <c r="F79" i="3"/>
  <c r="Q137" i="3"/>
  <c r="V174" i="3"/>
  <c r="Y155" i="3"/>
  <c r="H214" i="3"/>
  <c r="W60" i="3"/>
  <c r="O114" i="3"/>
  <c r="F44" i="3"/>
  <c r="R170" i="3"/>
  <c r="N139" i="3"/>
  <c r="AW139" i="3" s="1"/>
  <c r="AB132" i="3"/>
  <c r="AC162" i="3"/>
  <c r="H111" i="3"/>
  <c r="G103" i="3"/>
  <c r="V201" i="3"/>
  <c r="N62" i="3"/>
  <c r="S42" i="3"/>
  <c r="O81" i="3"/>
  <c r="AC78" i="3"/>
  <c r="BL78" i="3" s="1"/>
  <c r="V71" i="3"/>
  <c r="Z118" i="3"/>
  <c r="J153" i="3"/>
  <c r="AB224" i="3"/>
  <c r="AC79" i="3"/>
  <c r="BL79" i="3" s="1"/>
  <c r="D47" i="3"/>
  <c r="D130" i="3"/>
  <c r="Y206" i="3"/>
  <c r="Y105" i="3"/>
  <c r="BH105" i="3" s="1"/>
  <c r="H154" i="3"/>
  <c r="F37" i="3"/>
  <c r="N133" i="3"/>
  <c r="T43" i="3"/>
  <c r="M83" i="3"/>
  <c r="AE83" i="3" s="1"/>
  <c r="AB108" i="3"/>
  <c r="P39" i="3"/>
  <c r="D132" i="3"/>
  <c r="P144" i="3"/>
  <c r="AY144" i="3" s="1"/>
  <c r="F46" i="3"/>
  <c r="V117" i="3"/>
  <c r="W178" i="3"/>
  <c r="BF178" i="3" s="1"/>
  <c r="E57" i="3"/>
  <c r="P222" i="3"/>
  <c r="AY222" i="3" s="1"/>
  <c r="W35" i="3"/>
  <c r="V89" i="3"/>
  <c r="H104" i="3"/>
  <c r="R198" i="3"/>
  <c r="AA121" i="3"/>
  <c r="P237" i="3"/>
  <c r="AY237" i="3" s="1"/>
  <c r="E222" i="3"/>
  <c r="V92" i="3"/>
  <c r="G120" i="3"/>
  <c r="R67" i="3"/>
  <c r="G92" i="3"/>
  <c r="P180" i="3"/>
  <c r="AY180" i="3" s="1"/>
  <c r="W81" i="3"/>
  <c r="J119" i="3"/>
  <c r="AB98" i="3"/>
  <c r="V127" i="3"/>
  <c r="AC31" i="3"/>
  <c r="D51" i="3"/>
  <c r="T128" i="3"/>
  <c r="BC128" i="3" s="1"/>
  <c r="R104" i="3"/>
  <c r="K38" i="3"/>
  <c r="S75" i="3"/>
  <c r="R30" i="3"/>
  <c r="BA30" i="3" s="1"/>
  <c r="N60" i="3"/>
  <c r="Q132" i="3"/>
  <c r="P139" i="3"/>
  <c r="K128" i="3"/>
  <c r="E147" i="3"/>
  <c r="N75" i="3"/>
  <c r="N117" i="3"/>
  <c r="G73" i="3"/>
  <c r="W166" i="3"/>
  <c r="M191" i="3"/>
  <c r="AE191" i="3" s="1"/>
  <c r="O206" i="3"/>
  <c r="X227" i="3"/>
  <c r="S31" i="3"/>
  <c r="AB167" i="3"/>
  <c r="E105" i="3"/>
  <c r="X53" i="3"/>
  <c r="W40" i="3"/>
  <c r="S112" i="3"/>
  <c r="V116" i="3"/>
  <c r="E215" i="3"/>
  <c r="J149" i="3"/>
  <c r="Q162" i="3"/>
  <c r="V209" i="3"/>
  <c r="V126" i="3"/>
  <c r="J115" i="3"/>
  <c r="X235" i="3"/>
  <c r="P111" i="3"/>
  <c r="AB56" i="3"/>
  <c r="Q188" i="3"/>
  <c r="V230" i="3"/>
  <c r="AA238" i="3"/>
  <c r="J68" i="3"/>
  <c r="E153" i="3"/>
  <c r="Z32" i="3"/>
  <c r="G29" i="3"/>
  <c r="X169" i="3"/>
  <c r="AA54" i="3"/>
  <c r="AB42" i="3"/>
  <c r="H156" i="3"/>
  <c r="T124" i="3"/>
  <c r="F35" i="3"/>
  <c r="Q166" i="3"/>
  <c r="X107" i="3"/>
  <c r="Z74" i="3"/>
  <c r="T108" i="3"/>
  <c r="T188" i="3"/>
  <c r="N207" i="3"/>
  <c r="Q54" i="3"/>
  <c r="AA49" i="3"/>
  <c r="T82" i="3"/>
  <c r="O205" i="3"/>
  <c r="F88" i="3"/>
  <c r="Q62" i="3"/>
  <c r="X226" i="3"/>
  <c r="AB171" i="3"/>
  <c r="M208" i="3"/>
  <c r="AE208" i="3" s="1"/>
  <c r="K155" i="3"/>
  <c r="G85" i="3"/>
  <c r="AB159" i="3"/>
  <c r="S148" i="3"/>
  <c r="AB190" i="3"/>
  <c r="S131" i="3"/>
  <c r="S210" i="3"/>
  <c r="X173" i="3"/>
  <c r="AB237" i="3"/>
  <c r="J172" i="3"/>
  <c r="J222" i="3"/>
  <c r="R121" i="3"/>
  <c r="K96" i="3"/>
  <c r="Q197" i="3"/>
  <c r="W92" i="3"/>
  <c r="Q115" i="3"/>
  <c r="H141" i="3"/>
  <c r="O215" i="3"/>
  <c r="AA182" i="3"/>
  <c r="S105" i="3"/>
  <c r="P210" i="3"/>
  <c r="O120" i="3"/>
  <c r="H44" i="3"/>
  <c r="G93" i="3"/>
  <c r="AA214" i="3"/>
  <c r="BJ214" i="3" s="1"/>
  <c r="AA146" i="3"/>
  <c r="J35" i="3"/>
  <c r="N164" i="3"/>
  <c r="AW164" i="3" s="1"/>
  <c r="P193" i="3"/>
  <c r="P57" i="3"/>
  <c r="S171" i="3"/>
  <c r="P224" i="3"/>
  <c r="P89" i="3"/>
  <c r="O157" i="3"/>
  <c r="T140" i="3"/>
  <c r="E156" i="3"/>
  <c r="AC75" i="3"/>
  <c r="BL75" i="3" s="1"/>
  <c r="AC30" i="3"/>
  <c r="O172" i="3"/>
  <c r="G161" i="3"/>
  <c r="AA152" i="3"/>
  <c r="BJ152" i="3" s="1"/>
  <c r="W69" i="3"/>
  <c r="AC62" i="3"/>
  <c r="G32" i="3"/>
  <c r="G177" i="3"/>
  <c r="AC128" i="3"/>
  <c r="BL128" i="3" s="1"/>
  <c r="Y78" i="3"/>
  <c r="BH78" i="3" s="1"/>
  <c r="T133" i="3"/>
  <c r="M200" i="3"/>
  <c r="AE200" i="3" s="1"/>
  <c r="V235" i="3"/>
  <c r="D76" i="3"/>
  <c r="AA89" i="3"/>
  <c r="K132" i="3"/>
  <c r="M86" i="3"/>
  <c r="AE86" i="3" s="1"/>
  <c r="S207" i="3"/>
  <c r="G198" i="3"/>
  <c r="Q47" i="3"/>
  <c r="H173" i="3"/>
  <c r="V182" i="3"/>
  <c r="G45" i="3"/>
  <c r="Z229" i="3"/>
  <c r="K70" i="3"/>
  <c r="X112" i="3"/>
  <c r="T156" i="3"/>
  <c r="D117" i="3"/>
  <c r="N151" i="3"/>
  <c r="N187" i="3"/>
  <c r="AW187" i="3" s="1"/>
  <c r="G98" i="3"/>
  <c r="R197" i="3"/>
  <c r="O84" i="3"/>
  <c r="W240" i="3"/>
  <c r="V148" i="3"/>
  <c r="P153" i="3"/>
  <c r="AA141" i="3"/>
  <c r="D38" i="3"/>
  <c r="V85" i="3"/>
  <c r="AC198" i="3"/>
  <c r="G109" i="3"/>
  <c r="AA87" i="3"/>
  <c r="S197" i="3"/>
  <c r="N85" i="3"/>
  <c r="S41" i="3"/>
  <c r="G52" i="3"/>
  <c r="V203" i="3"/>
  <c r="AC82" i="3"/>
  <c r="BL82" i="3" s="1"/>
  <c r="AB168" i="3"/>
  <c r="X229" i="3"/>
  <c r="AB115" i="3"/>
  <c r="W116" i="3"/>
  <c r="Q90" i="3"/>
  <c r="S198" i="3"/>
  <c r="AA56" i="3"/>
  <c r="Y165" i="3"/>
  <c r="N219" i="3"/>
  <c r="N100" i="3"/>
  <c r="AW100" i="3" s="1"/>
  <c r="O237" i="3"/>
  <c r="M116" i="3"/>
  <c r="AE116" i="3" s="1"/>
  <c r="AA156" i="3"/>
  <c r="D233" i="3"/>
  <c r="AA139" i="3"/>
  <c r="X212" i="3"/>
  <c r="P113" i="3"/>
  <c r="W53" i="3"/>
  <c r="AB130" i="3"/>
  <c r="W175" i="3"/>
  <c r="BF175" i="3" s="1"/>
  <c r="V84" i="3"/>
  <c r="AA103" i="3"/>
  <c r="O198" i="3"/>
  <c r="G207" i="3"/>
  <c r="F63" i="3"/>
  <c r="AC214" i="3"/>
  <c r="BL214" i="3" s="1"/>
  <c r="W187" i="3"/>
  <c r="X70" i="3"/>
  <c r="Q156" i="3"/>
  <c r="V128" i="3"/>
  <c r="AA197" i="3"/>
  <c r="O147" i="3"/>
  <c r="M98" i="3"/>
  <c r="AE98" i="3" s="1"/>
  <c r="R44" i="3"/>
  <c r="O173" i="3"/>
  <c r="P207" i="3"/>
  <c r="Y215" i="3"/>
  <c r="AC154" i="3"/>
  <c r="V135" i="3"/>
  <c r="O137" i="3"/>
  <c r="O162" i="3"/>
  <c r="Q153" i="3"/>
  <c r="Q98" i="3"/>
  <c r="W157" i="3"/>
  <c r="N165" i="3"/>
  <c r="AC131" i="3"/>
  <c r="Y83" i="3"/>
  <c r="H58" i="3"/>
  <c r="AC95" i="3"/>
  <c r="Q239" i="3"/>
  <c r="F167" i="3"/>
  <c r="Q233" i="3"/>
  <c r="N214" i="3"/>
  <c r="E43" i="3"/>
  <c r="AA55" i="3"/>
  <c r="BJ55" i="3" s="1"/>
  <c r="D78" i="3"/>
  <c r="T90" i="3"/>
  <c r="T127" i="3"/>
  <c r="W55" i="3"/>
  <c r="O61" i="3"/>
  <c r="H128" i="3"/>
  <c r="J84" i="3"/>
  <c r="E48" i="3"/>
  <c r="P216" i="3"/>
  <c r="AY216" i="3" s="1"/>
  <c r="K51" i="3"/>
  <c r="D143" i="3"/>
  <c r="N89" i="3"/>
  <c r="P96" i="3"/>
  <c r="AY96" i="3" s="1"/>
  <c r="V136" i="3"/>
  <c r="W207" i="3"/>
  <c r="M154" i="3"/>
  <c r="AE154" i="3" s="1"/>
  <c r="W201" i="3"/>
  <c r="AA131" i="3"/>
  <c r="AC173" i="3"/>
  <c r="AC49" i="3"/>
  <c r="K82" i="3"/>
  <c r="AC42" i="3"/>
  <c r="K239" i="3"/>
  <c r="R40" i="3"/>
  <c r="M90" i="3"/>
  <c r="AE90" i="3" s="1"/>
  <c r="X176" i="3"/>
  <c r="M37" i="3"/>
  <c r="AE37" i="3" s="1"/>
  <c r="T60" i="3"/>
  <c r="S126" i="3"/>
  <c r="R53" i="3"/>
  <c r="V51" i="3"/>
  <c r="AC97" i="3"/>
  <c r="BL97" i="3" s="1"/>
  <c r="D99" i="3"/>
  <c r="K115" i="3"/>
  <c r="T149" i="3"/>
  <c r="F215" i="3"/>
  <c r="G229" i="3"/>
  <c r="N105" i="3"/>
  <c r="Q136" i="3"/>
  <c r="M153" i="3"/>
  <c r="AE153" i="3" s="1"/>
  <c r="K103" i="3"/>
  <c r="AB114" i="3"/>
  <c r="H236" i="3"/>
  <c r="T38" i="3"/>
  <c r="Y99" i="3"/>
  <c r="Z112" i="3"/>
  <c r="S175" i="3"/>
  <c r="AC179" i="3"/>
  <c r="J54" i="3"/>
  <c r="O195" i="3"/>
  <c r="N112" i="3"/>
  <c r="AW112" i="3" s="1"/>
  <c r="X117" i="3"/>
  <c r="D110" i="3"/>
  <c r="T123" i="3"/>
  <c r="R92" i="3"/>
  <c r="F179" i="3"/>
  <c r="O69" i="3"/>
  <c r="P203" i="3"/>
  <c r="X75" i="3"/>
  <c r="O53" i="3"/>
  <c r="Z143" i="3"/>
  <c r="S179" i="3"/>
  <c r="N95" i="3"/>
  <c r="AW95" i="3" s="1"/>
  <c r="O158" i="3"/>
  <c r="T118" i="3"/>
  <c r="BC118" i="3" s="1"/>
  <c r="T55" i="3"/>
  <c r="BC55" i="3" s="1"/>
  <c r="N33" i="3"/>
  <c r="E67" i="3"/>
  <c r="E71" i="3"/>
  <c r="Z219" i="3"/>
  <c r="K30" i="3"/>
  <c r="X50" i="3"/>
  <c r="Y196" i="3"/>
  <c r="S191" i="3"/>
  <c r="F89" i="3"/>
  <c r="N106" i="3"/>
  <c r="K108" i="3"/>
  <c r="AC150" i="3"/>
  <c r="M149" i="3"/>
  <c r="AE149" i="3" s="1"/>
  <c r="W132" i="3"/>
  <c r="J98" i="3"/>
  <c r="AC74" i="3"/>
  <c r="H131" i="3"/>
  <c r="D179" i="3"/>
  <c r="Z156" i="3"/>
  <c r="S202" i="3"/>
  <c r="G183" i="3"/>
  <c r="F58" i="3"/>
  <c r="Y216" i="3"/>
  <c r="BH216" i="3" s="1"/>
  <c r="N128" i="3"/>
  <c r="AW128" i="3" s="1"/>
  <c r="Z108" i="3"/>
  <c r="P58" i="3"/>
  <c r="W108" i="3"/>
  <c r="G166" i="3"/>
  <c r="V46" i="3"/>
  <c r="O151" i="3"/>
  <c r="H234" i="3"/>
  <c r="AA133" i="3"/>
  <c r="BJ133" i="3" s="1"/>
  <c r="D118" i="3"/>
  <c r="W136" i="3"/>
  <c r="Z38" i="3"/>
  <c r="F188" i="3"/>
  <c r="Y163" i="3"/>
  <c r="M134" i="3"/>
  <c r="AE134" i="3" s="1"/>
  <c r="J94" i="3"/>
  <c r="T95" i="3"/>
  <c r="O51" i="3"/>
  <c r="Q71" i="3"/>
  <c r="S55" i="3"/>
  <c r="AA57" i="3"/>
  <c r="W239" i="3"/>
  <c r="V170" i="3"/>
  <c r="AA222" i="3"/>
  <c r="Z84" i="3"/>
  <c r="AB52" i="3"/>
  <c r="T213" i="3"/>
  <c r="AC210" i="3"/>
  <c r="O104" i="3"/>
  <c r="K91" i="3"/>
  <c r="O46" i="3"/>
  <c r="Y98" i="3"/>
  <c r="O54" i="3"/>
  <c r="AB146" i="3"/>
  <c r="W67" i="3"/>
  <c r="P199" i="3"/>
  <c r="D64" i="3"/>
  <c r="D95" i="3"/>
  <c r="N31" i="3"/>
  <c r="J56" i="3"/>
  <c r="Y73" i="3"/>
  <c r="Y173" i="3"/>
  <c r="F143" i="3"/>
  <c r="M105" i="3"/>
  <c r="AE105" i="3" s="1"/>
  <c r="P114" i="3"/>
  <c r="V166" i="3"/>
  <c r="O156" i="3"/>
  <c r="G62" i="3"/>
  <c r="J108" i="3"/>
  <c r="N142" i="3"/>
  <c r="H238" i="3"/>
  <c r="AA114" i="3"/>
  <c r="F140" i="3"/>
  <c r="W160" i="3"/>
  <c r="BF160" i="3" s="1"/>
  <c r="O145" i="3"/>
  <c r="Q218" i="3"/>
  <c r="H84" i="3"/>
  <c r="AA173" i="3"/>
  <c r="P174" i="3"/>
  <c r="AY174" i="3" s="1"/>
  <c r="E77" i="3"/>
  <c r="H197" i="3"/>
  <c r="K116" i="3"/>
  <c r="Q29" i="3"/>
  <c r="W34" i="3"/>
  <c r="Y146" i="3"/>
  <c r="BH146" i="3" s="1"/>
  <c r="P182" i="3"/>
  <c r="H47" i="3"/>
  <c r="AB96" i="3"/>
  <c r="W141" i="3"/>
  <c r="W90" i="3"/>
  <c r="AB48" i="3"/>
  <c r="AA30" i="3"/>
  <c r="BJ30" i="3" s="1"/>
  <c r="F144" i="3"/>
  <c r="P122" i="3"/>
  <c r="X30" i="3"/>
  <c r="Y144" i="3"/>
  <c r="O235" i="3"/>
  <c r="H50" i="3"/>
  <c r="Q165" i="3"/>
  <c r="S95" i="3"/>
  <c r="J199" i="3"/>
  <c r="AC219" i="3"/>
  <c r="BL219" i="3" s="1"/>
  <c r="AA104" i="3"/>
  <c r="AA45" i="3"/>
  <c r="V167" i="3"/>
  <c r="O129" i="3"/>
  <c r="P74" i="3"/>
  <c r="AC115" i="3"/>
  <c r="Y76" i="3"/>
  <c r="O57" i="3"/>
  <c r="Y94" i="3"/>
  <c r="Z92" i="3"/>
  <c r="O131" i="3"/>
  <c r="Q72" i="3"/>
  <c r="N178" i="3"/>
  <c r="AA240" i="3"/>
  <c r="BJ240" i="3" s="1"/>
  <c r="J40" i="3"/>
  <c r="S152" i="3"/>
  <c r="R105" i="3"/>
  <c r="M120" i="3"/>
  <c r="AE120" i="3" s="1"/>
  <c r="X182" i="3"/>
  <c r="N125" i="3"/>
  <c r="AW125" i="3" s="1"/>
  <c r="J47" i="3"/>
  <c r="S185" i="3"/>
  <c r="AA111" i="3"/>
  <c r="K118" i="3"/>
  <c r="N160" i="3"/>
  <c r="H184" i="3"/>
  <c r="K125" i="3"/>
  <c r="G199" i="3"/>
  <c r="T199" i="3"/>
  <c r="G157" i="3"/>
  <c r="H35" i="3"/>
  <c r="O32" i="3"/>
  <c r="E52" i="3"/>
  <c r="K199" i="3"/>
  <c r="N63" i="3"/>
  <c r="J203" i="3"/>
  <c r="Y138" i="3"/>
  <c r="AA203" i="3"/>
  <c r="J143" i="3"/>
  <c r="W229" i="3"/>
  <c r="T202" i="3"/>
  <c r="O239" i="3"/>
  <c r="O82" i="3"/>
  <c r="F113" i="3"/>
  <c r="T220" i="3"/>
  <c r="W106" i="3"/>
  <c r="W99" i="3"/>
  <c r="W138" i="3"/>
  <c r="AA48" i="3"/>
  <c r="D133" i="3"/>
  <c r="P106" i="3"/>
  <c r="Q211" i="3"/>
  <c r="K86" i="3"/>
  <c r="AA229" i="3"/>
  <c r="V93" i="3"/>
  <c r="K31" i="3"/>
  <c r="K238" i="3"/>
  <c r="G123" i="3"/>
  <c r="O44" i="3"/>
  <c r="P83" i="3"/>
  <c r="Z62" i="3"/>
  <c r="F83" i="3"/>
  <c r="AC135" i="3"/>
  <c r="BL135" i="3" s="1"/>
  <c r="X164" i="3"/>
  <c r="E187" i="3"/>
  <c r="N44" i="3"/>
  <c r="AW44" i="3" s="1"/>
  <c r="E37" i="3"/>
  <c r="H113" i="3"/>
  <c r="Y121" i="3"/>
  <c r="AB72" i="3"/>
  <c r="T208" i="3"/>
  <c r="H77" i="3"/>
  <c r="R88" i="3"/>
  <c r="BA88" i="3" s="1"/>
  <c r="AA225" i="3"/>
  <c r="BJ225" i="3" s="1"/>
  <c r="BI225" i="3" s="1"/>
  <c r="G179" i="3"/>
  <c r="S240" i="3"/>
  <c r="V138" i="3"/>
  <c r="Z65" i="3"/>
  <c r="AB177" i="3"/>
  <c r="D70" i="3"/>
  <c r="W93" i="3"/>
  <c r="D149" i="3"/>
  <c r="F95" i="3"/>
  <c r="E99" i="3"/>
  <c r="O139" i="3"/>
  <c r="D128" i="3"/>
  <c r="AA219" i="3"/>
  <c r="H30" i="3"/>
  <c r="E86" i="3"/>
  <c r="P134" i="3"/>
  <c r="AY134" i="3" s="1"/>
  <c r="X149" i="3"/>
  <c r="M101" i="3"/>
  <c r="AE101" i="3" s="1"/>
  <c r="K165" i="3"/>
  <c r="M136" i="3"/>
  <c r="AE136" i="3" s="1"/>
  <c r="G89" i="3"/>
  <c r="E121" i="3"/>
  <c r="Z201" i="3"/>
  <c r="E199" i="3"/>
  <c r="R222" i="3"/>
  <c r="BA222" i="3" s="1"/>
  <c r="D187" i="3"/>
  <c r="W58" i="3"/>
  <c r="V81" i="3"/>
  <c r="R193" i="3"/>
  <c r="Z67" i="3"/>
  <c r="N184" i="3"/>
  <c r="AW184" i="3" s="1"/>
  <c r="AV184" i="3" s="1"/>
  <c r="Y141" i="3"/>
  <c r="BH141" i="3" s="1"/>
  <c r="J78" i="3"/>
  <c r="R225" i="3"/>
  <c r="BA225" i="3" s="1"/>
  <c r="Q151" i="3"/>
  <c r="W82" i="3"/>
  <c r="Q236" i="3"/>
  <c r="H145" i="3"/>
  <c r="M170" i="3"/>
  <c r="AE170" i="3" s="1"/>
  <c r="R76" i="3"/>
  <c r="D125" i="3"/>
  <c r="Z134" i="3"/>
  <c r="AA43" i="3"/>
  <c r="P70" i="3"/>
  <c r="D136" i="3"/>
  <c r="K183" i="3"/>
  <c r="J185" i="3"/>
  <c r="AB183" i="3"/>
  <c r="Y145" i="3"/>
  <c r="BH145" i="3" s="1"/>
  <c r="BG145" i="3" s="1"/>
  <c r="Z104" i="3"/>
  <c r="D193" i="3"/>
  <c r="T130" i="3"/>
  <c r="V82" i="3"/>
  <c r="T61" i="3"/>
  <c r="R202" i="3"/>
  <c r="E72" i="3"/>
  <c r="N136" i="3"/>
  <c r="W56" i="3"/>
  <c r="Z125" i="3"/>
  <c r="H127" i="3"/>
  <c r="X178" i="3"/>
  <c r="F138" i="3"/>
  <c r="M195" i="3"/>
  <c r="AE195" i="3" s="1"/>
  <c r="H158" i="3"/>
  <c r="Z147" i="3"/>
  <c r="Y129" i="3"/>
  <c r="AB172" i="3"/>
  <c r="J166" i="3"/>
  <c r="Q76" i="3"/>
  <c r="K61" i="3"/>
  <c r="Z116" i="3"/>
  <c r="X57" i="3"/>
  <c r="S49" i="3"/>
  <c r="X59" i="3"/>
  <c r="N29" i="3"/>
  <c r="D163" i="3"/>
  <c r="D59" i="3"/>
  <c r="K188" i="3"/>
  <c r="K195" i="3"/>
  <c r="M45" i="3"/>
  <c r="AE45" i="3" s="1"/>
  <c r="X129" i="3"/>
  <c r="K196" i="3"/>
  <c r="AA93" i="3"/>
  <c r="S110" i="3"/>
  <c r="F141" i="3"/>
  <c r="G40" i="3"/>
  <c r="Y236" i="3"/>
  <c r="BH236" i="3" s="1"/>
  <c r="R218" i="3"/>
  <c r="T112" i="3"/>
  <c r="AB240" i="3"/>
  <c r="K142" i="3"/>
  <c r="V109" i="3"/>
  <c r="AA115" i="3"/>
  <c r="V50" i="3"/>
  <c r="O165" i="3"/>
  <c r="V132" i="3"/>
  <c r="T69" i="3"/>
  <c r="J50" i="3"/>
  <c r="Q97" i="3"/>
  <c r="W195" i="3"/>
  <c r="X211" i="3"/>
  <c r="H171" i="3"/>
  <c r="W102" i="3"/>
  <c r="G129" i="3"/>
  <c r="D138" i="3"/>
  <c r="P71" i="3"/>
  <c r="Z203" i="3"/>
  <c r="X138" i="3"/>
  <c r="E44" i="3"/>
  <c r="G233" i="3"/>
  <c r="K65" i="3"/>
  <c r="H45" i="3"/>
  <c r="D160" i="3"/>
  <c r="F96" i="3"/>
  <c r="P190" i="3"/>
  <c r="AY190" i="3" s="1"/>
  <c r="F68" i="3"/>
  <c r="AC40" i="3"/>
  <c r="Q99" i="3"/>
  <c r="V207" i="3"/>
  <c r="E58" i="3"/>
  <c r="O178" i="3"/>
  <c r="T161" i="3"/>
  <c r="BC161" i="3" s="1"/>
  <c r="G115" i="3"/>
  <c r="E96" i="3"/>
  <c r="H146" i="3"/>
  <c r="R186" i="3"/>
  <c r="E220" i="3"/>
  <c r="W103" i="3"/>
  <c r="J124" i="3"/>
  <c r="P90" i="3"/>
  <c r="AY90" i="3" s="1"/>
  <c r="J158" i="3"/>
  <c r="R33" i="3"/>
  <c r="T132" i="3"/>
  <c r="K140" i="3"/>
  <c r="Q129" i="3"/>
  <c r="M193" i="3"/>
  <c r="AE193" i="3" s="1"/>
  <c r="D105" i="3"/>
  <c r="P85" i="3"/>
  <c r="E163" i="3"/>
  <c r="H190" i="3"/>
  <c r="Y87" i="3"/>
  <c r="N52" i="3"/>
  <c r="O88" i="3"/>
  <c r="J63" i="3"/>
  <c r="W63" i="3"/>
  <c r="T176" i="3"/>
  <c r="T30" i="3"/>
  <c r="E100" i="3"/>
  <c r="G94" i="3"/>
  <c r="AA32" i="3"/>
  <c r="X217" i="3"/>
  <c r="O163" i="3"/>
  <c r="S234" i="3"/>
  <c r="J76" i="3"/>
  <c r="K127" i="3"/>
  <c r="Z98" i="3"/>
  <c r="AB121" i="3"/>
  <c r="V60" i="3"/>
  <c r="F146" i="3"/>
  <c r="Y154" i="3"/>
  <c r="AB77" i="3"/>
  <c r="M51" i="3"/>
  <c r="AE51" i="3" s="1"/>
  <c r="AB106" i="3"/>
  <c r="E201" i="3"/>
  <c r="D113" i="3"/>
  <c r="V62" i="3"/>
  <c r="E229" i="3"/>
  <c r="AB31" i="3"/>
  <c r="H108" i="3"/>
  <c r="S113" i="3"/>
  <c r="AA218" i="3"/>
  <c r="S235" i="3"/>
  <c r="J60" i="3"/>
  <c r="K191" i="3"/>
  <c r="S157" i="3"/>
  <c r="O73" i="3"/>
  <c r="T116" i="3"/>
  <c r="BC116" i="3" s="1"/>
  <c r="AC123" i="3"/>
  <c r="H195" i="3"/>
  <c r="N53" i="3"/>
  <c r="M97" i="3"/>
  <c r="AE97" i="3" s="1"/>
  <c r="R190" i="3"/>
  <c r="BA190" i="3" s="1"/>
  <c r="T205" i="3"/>
  <c r="F132" i="3"/>
  <c r="Z31" i="3"/>
  <c r="V224" i="3"/>
  <c r="AC220" i="3"/>
  <c r="O89" i="3"/>
  <c r="AC68" i="3"/>
  <c r="E202" i="3"/>
  <c r="G63" i="3"/>
  <c r="Z123" i="3"/>
  <c r="Z189" i="3"/>
  <c r="E157" i="3"/>
  <c r="D200" i="3"/>
  <c r="H66" i="3"/>
  <c r="O141" i="3"/>
  <c r="H224" i="3"/>
  <c r="S83" i="3"/>
  <c r="Y204" i="3"/>
  <c r="E124" i="3"/>
  <c r="J137" i="3"/>
  <c r="AC44" i="3"/>
  <c r="H136" i="3"/>
  <c r="H211" i="3"/>
  <c r="Z69" i="3"/>
  <c r="T125" i="3"/>
  <c r="BC125" i="3" s="1"/>
  <c r="P162" i="3"/>
  <c r="R116" i="3"/>
  <c r="Y231" i="3"/>
  <c r="AC143" i="3"/>
  <c r="BL143" i="3" s="1"/>
  <c r="S98" i="3"/>
  <c r="W37" i="3"/>
  <c r="R240" i="3"/>
  <c r="O99" i="3"/>
  <c r="J72" i="3"/>
  <c r="J75" i="3"/>
  <c r="AA134" i="3"/>
  <c r="BJ134" i="3" s="1"/>
  <c r="F191" i="3"/>
  <c r="H153" i="3"/>
  <c r="H121" i="3"/>
  <c r="W36" i="3"/>
  <c r="F234" i="3"/>
  <c r="T210" i="3"/>
  <c r="BC210" i="3" s="1"/>
  <c r="T66" i="3"/>
  <c r="BC66" i="3" s="1"/>
  <c r="AA147" i="3"/>
  <c r="N67" i="3"/>
  <c r="AW67" i="3" s="1"/>
  <c r="Y237" i="3"/>
  <c r="BH237" i="3" s="1"/>
  <c r="F67" i="3"/>
  <c r="M190" i="3"/>
  <c r="AE190" i="3" s="1"/>
  <c r="AA106" i="3"/>
  <c r="K217" i="3"/>
  <c r="N94" i="3"/>
  <c r="H206" i="3"/>
  <c r="H110" i="3"/>
  <c r="Z183" i="3"/>
  <c r="S66" i="3"/>
  <c r="K138" i="3"/>
  <c r="X102" i="3"/>
  <c r="J220" i="3"/>
  <c r="O149" i="3"/>
  <c r="K72" i="3"/>
  <c r="F87" i="3"/>
  <c r="Y143" i="3"/>
  <c r="BH143" i="3" s="1"/>
  <c r="P52" i="3"/>
  <c r="V44" i="3"/>
  <c r="G59" i="3"/>
  <c r="R211" i="3"/>
  <c r="BA211" i="3" s="1"/>
  <c r="Z193" i="3"/>
  <c r="Y61" i="3"/>
  <c r="E150" i="3"/>
  <c r="O168" i="3"/>
  <c r="K232" i="3"/>
  <c r="T178" i="3"/>
  <c r="BC178" i="3" s="1"/>
  <c r="F210" i="3"/>
  <c r="Y53" i="3"/>
  <c r="T206" i="3"/>
  <c r="Q216" i="3"/>
  <c r="T56" i="3"/>
  <c r="M38" i="3"/>
  <c r="AE38" i="3" s="1"/>
  <c r="R29" i="3"/>
  <c r="M140" i="3"/>
  <c r="AE140" i="3" s="1"/>
  <c r="Z30" i="3"/>
  <c r="AA110" i="3"/>
  <c r="BJ110" i="3" s="1"/>
  <c r="AC138" i="3"/>
  <c r="O133" i="3"/>
  <c r="R79" i="3"/>
  <c r="BA79" i="3" s="1"/>
  <c r="Y201" i="3"/>
  <c r="D150" i="3"/>
  <c r="H130" i="3"/>
  <c r="W54" i="3"/>
  <c r="BF54" i="3" s="1"/>
  <c r="Y152" i="3"/>
  <c r="Z211" i="3"/>
  <c r="G124" i="3"/>
  <c r="Z119" i="3"/>
  <c r="AB227" i="3"/>
  <c r="P50" i="3"/>
  <c r="AY50" i="3" s="1"/>
  <c r="AB155" i="3"/>
  <c r="O105" i="3"/>
  <c r="M118" i="3"/>
  <c r="AE118" i="3" s="1"/>
  <c r="H200" i="3"/>
  <c r="AC149" i="3"/>
  <c r="BL149" i="3" s="1"/>
  <c r="N168" i="3"/>
  <c r="D66" i="3"/>
  <c r="R93" i="3"/>
  <c r="T234" i="3"/>
  <c r="T181" i="3"/>
  <c r="D54" i="3"/>
  <c r="V153" i="3"/>
  <c r="Q89" i="3"/>
  <c r="W57" i="3"/>
  <c r="O79" i="3"/>
  <c r="M68" i="3"/>
  <c r="AE68" i="3" s="1"/>
  <c r="T214" i="3"/>
  <c r="BC214" i="3" s="1"/>
  <c r="P41" i="3"/>
  <c r="D236" i="3"/>
  <c r="Y187" i="3"/>
  <c r="H120" i="3"/>
  <c r="AB188" i="3"/>
  <c r="N123" i="3"/>
  <c r="Q240" i="3"/>
  <c r="AB104" i="3"/>
  <c r="Q142" i="3"/>
  <c r="AA172" i="3"/>
  <c r="N167" i="3"/>
  <c r="M75" i="3"/>
  <c r="AE75" i="3" s="1"/>
  <c r="J104" i="3"/>
  <c r="R148" i="3"/>
  <c r="Y103" i="3"/>
  <c r="D140" i="3"/>
  <c r="F214" i="3"/>
  <c r="H72" i="3"/>
  <c r="H229" i="3"/>
  <c r="W238" i="3"/>
  <c r="P225" i="3"/>
  <c r="AY225" i="3" s="1"/>
  <c r="S134" i="3"/>
  <c r="Q128" i="3"/>
  <c r="G150" i="3"/>
  <c r="N99" i="3"/>
  <c r="AW99" i="3" s="1"/>
  <c r="Z204" i="3"/>
  <c r="V68" i="3"/>
  <c r="D181" i="3"/>
  <c r="X214" i="3"/>
  <c r="X90" i="3"/>
  <c r="T121" i="3"/>
  <c r="BA188" i="3" l="1"/>
  <c r="BB178" i="3"/>
  <c r="BL222" i="3"/>
  <c r="BF118" i="3"/>
  <c r="BH225" i="3"/>
  <c r="BJ86" i="3"/>
  <c r="BJ236" i="3"/>
  <c r="BC230" i="3"/>
  <c r="AW225" i="3"/>
  <c r="BC36" i="3"/>
  <c r="AZ222" i="3"/>
  <c r="AY80" i="3"/>
  <c r="AX80" i="3" s="1"/>
  <c r="BA106" i="3"/>
  <c r="BH204" i="3"/>
  <c r="BG204" i="3" s="1"/>
  <c r="BL195" i="3"/>
  <c r="BK195" i="3" s="1"/>
  <c r="BH188" i="3"/>
  <c r="BG188" i="3" s="1"/>
  <c r="BA148" i="3"/>
  <c r="AW106" i="3"/>
  <c r="AV106" i="3" s="1"/>
  <c r="BA68" i="3"/>
  <c r="BA50" i="3"/>
  <c r="BF68" i="3"/>
  <c r="BJ79" i="3"/>
  <c r="BA121" i="3"/>
  <c r="BF195" i="3"/>
  <c r="AY107" i="3"/>
  <c r="AX68" i="3"/>
  <c r="BH235" i="3"/>
  <c r="BG235" i="3" s="1"/>
  <c r="BC134" i="3"/>
  <c r="BB134" i="3" s="1"/>
  <c r="BL50" i="3"/>
  <c r="BK50" i="3" s="1"/>
  <c r="AW79" i="3"/>
  <c r="AV79" i="3" s="1"/>
  <c r="AW75" i="3"/>
  <c r="AV75" i="3" s="1"/>
  <c r="BC130" i="3"/>
  <c r="BB130" i="3" s="1"/>
  <c r="BF106" i="3"/>
  <c r="AW188" i="3"/>
  <c r="BA184" i="3"/>
  <c r="BJ159" i="3"/>
  <c r="BH106" i="3"/>
  <c r="BG106" i="3" s="1"/>
  <c r="AX78" i="3"/>
  <c r="AY106" i="3"/>
  <c r="AX106" i="3" s="1"/>
  <c r="BJ106" i="3"/>
  <c r="BH70" i="3"/>
  <c r="BF162" i="3"/>
  <c r="BE162" i="3" s="1"/>
  <c r="BH60" i="3"/>
  <c r="BG60" i="3" s="1"/>
  <c r="BC236" i="3"/>
  <c r="AY215" i="3"/>
  <c r="AY236" i="3"/>
  <c r="AX236" i="3" s="1"/>
  <c r="BC188" i="3"/>
  <c r="BB188" i="3" s="1"/>
  <c r="AW195" i="3"/>
  <c r="AV195" i="3" s="1"/>
  <c r="AY78" i="3"/>
  <c r="AY86" i="3"/>
  <c r="BJ96" i="3"/>
  <c r="BC87" i="3"/>
  <c r="BF133" i="3"/>
  <c r="BF141" i="3"/>
  <c r="BJ131" i="3"/>
  <c r="BJ141" i="3"/>
  <c r="AW87" i="3"/>
  <c r="AW30" i="3"/>
  <c r="BH30" i="3"/>
  <c r="BL95" i="3"/>
  <c r="BK95" i="3" s="1"/>
  <c r="BL30" i="3"/>
  <c r="BK30" i="3" s="1"/>
  <c r="AY139" i="3"/>
  <c r="AX139" i="3" s="1"/>
  <c r="BC181" i="3"/>
  <c r="BB181" i="3" s="1"/>
  <c r="BC30" i="3"/>
  <c r="BB30" i="3" s="1"/>
  <c r="AX90" i="3"/>
  <c r="BA193" i="3"/>
  <c r="AZ193" i="3" s="1"/>
  <c r="BH121" i="3"/>
  <c r="BG121" i="3" s="1"/>
  <c r="AW60" i="3"/>
  <c r="BH197" i="3"/>
  <c r="BC193" i="3"/>
  <c r="BA144" i="3"/>
  <c r="BC69" i="3"/>
  <c r="AW160" i="3"/>
  <c r="BJ139" i="3"/>
  <c r="BJ87" i="3"/>
  <c r="BI87" i="3" s="1"/>
  <c r="BA197" i="3"/>
  <c r="BL69" i="3"/>
  <c r="BK69" i="3" s="1"/>
  <c r="BA102" i="3"/>
  <c r="AZ102" i="3" s="1"/>
  <c r="BA187" i="3"/>
  <c r="AZ187" i="3" s="1"/>
  <c r="AW220" i="3"/>
  <c r="AV220" i="3" s="1"/>
  <c r="AZ30" i="3"/>
  <c r="BF182" i="3"/>
  <c r="BE182" i="3" s="1"/>
  <c r="AW182" i="3"/>
  <c r="BL102" i="3"/>
  <c r="BA133" i="3"/>
  <c r="BF56" i="3"/>
  <c r="BI86" i="3"/>
  <c r="BH102" i="3"/>
  <c r="BG102" i="3" s="1"/>
  <c r="AY66" i="3"/>
  <c r="BF224" i="3"/>
  <c r="BE224" i="3" s="1"/>
  <c r="BB137" i="3"/>
  <c r="AY87" i="3"/>
  <c r="AX87" i="3" s="1"/>
  <c r="AW162" i="3"/>
  <c r="AV162" i="3" s="1"/>
  <c r="BC144" i="3"/>
  <c r="BB144" i="3" s="1"/>
  <c r="BL182" i="3"/>
  <c r="BA203" i="3"/>
  <c r="AZ203" i="3" s="1"/>
  <c r="BH203" i="3"/>
  <c r="BG203" i="3" s="1"/>
  <c r="AY47" i="3"/>
  <c r="AX47" i="3" s="1"/>
  <c r="BL133" i="3"/>
  <c r="AY30" i="3"/>
  <c r="BJ184" i="3"/>
  <c r="BI184" i="3" s="1"/>
  <c r="BK82" i="3"/>
  <c r="BL193" i="3"/>
  <c r="BA200" i="3"/>
  <c r="BE133" i="3"/>
  <c r="BC60" i="3"/>
  <c r="BB60" i="3" s="1"/>
  <c r="BH83" i="3"/>
  <c r="BG83" i="3" s="1"/>
  <c r="BJ121" i="3"/>
  <c r="BI121" i="3" s="1"/>
  <c r="BL87" i="3"/>
  <c r="BK87" i="3" s="1"/>
  <c r="AY60" i="3"/>
  <c r="AW193" i="3"/>
  <c r="BJ102" i="3"/>
  <c r="BI102" i="3" s="1"/>
  <c r="BA81" i="3"/>
  <c r="AZ81" i="3" s="1"/>
  <c r="AY133" i="3"/>
  <c r="AX133" i="3" s="1"/>
  <c r="BJ187" i="3"/>
  <c r="BA141" i="3"/>
  <c r="AY69" i="3"/>
  <c r="AY200" i="3"/>
  <c r="BH76" i="3"/>
  <c r="BG76" i="3" s="1"/>
  <c r="AZ88" i="3"/>
  <c r="AY193" i="3"/>
  <c r="BL203" i="3"/>
  <c r="BK203" i="3" s="1"/>
  <c r="BG237" i="3"/>
  <c r="BF60" i="3"/>
  <c r="BA131" i="3"/>
  <c r="AZ131" i="3" s="1"/>
  <c r="AW102" i="3"/>
  <c r="AV102" i="3" s="1"/>
  <c r="BA87" i="3"/>
  <c r="AZ87" i="3" s="1"/>
  <c r="AW81" i="3"/>
  <c r="AV81" i="3" s="1"/>
  <c r="BC162" i="3"/>
  <c r="BB162" i="3" s="1"/>
  <c r="BF235" i="3"/>
  <c r="BE235" i="3" s="1"/>
  <c r="AW151" i="3"/>
  <c r="AY70" i="3"/>
  <c r="BF69" i="3"/>
  <c r="BH200" i="3"/>
  <c r="BC121" i="3"/>
  <c r="BB121" i="3" s="1"/>
  <c r="BC56" i="3"/>
  <c r="BB56" i="3" s="1"/>
  <c r="BL131" i="3"/>
  <c r="BK131" i="3" s="1"/>
  <c r="BH87" i="3"/>
  <c r="BG87" i="3" s="1"/>
  <c r="BA76" i="3"/>
  <c r="BH144" i="3"/>
  <c r="AY203" i="3"/>
  <c r="AX203" i="3" s="1"/>
  <c r="AW70" i="3"/>
  <c r="AV70" i="3" s="1"/>
  <c r="BL81" i="3"/>
  <c r="BK81" i="3" s="1"/>
  <c r="BE152" i="3"/>
  <c r="BF203" i="3"/>
  <c r="BE203" i="3" s="1"/>
  <c r="AW47" i="3"/>
  <c r="AV47" i="3" s="1"/>
  <c r="AY64" i="3"/>
  <c r="BK152" i="3"/>
  <c r="BH187" i="3"/>
  <c r="BF102" i="3"/>
  <c r="AV222" i="3"/>
  <c r="BJ203" i="3"/>
  <c r="BI203" i="3" s="1"/>
  <c r="AW178" i="3"/>
  <c r="AV178" i="3" s="1"/>
  <c r="AY74" i="3"/>
  <c r="AX74" i="3" s="1"/>
  <c r="BC95" i="3"/>
  <c r="BB95" i="3" s="1"/>
  <c r="BC133" i="3"/>
  <c r="BB133" i="3" s="1"/>
  <c r="BF81" i="3"/>
  <c r="BE81" i="3" s="1"/>
  <c r="AW133" i="3"/>
  <c r="AV133" i="3" s="1"/>
  <c r="BH66" i="3"/>
  <c r="BG66" i="3" s="1"/>
  <c r="AY102" i="3"/>
  <c r="AX102" i="3" s="1"/>
  <c r="AW144" i="3"/>
  <c r="AV144" i="3" s="1"/>
  <c r="BC106" i="3"/>
  <c r="BH133" i="3"/>
  <c r="BC235" i="3"/>
  <c r="AZ184" i="3"/>
  <c r="BL141" i="3"/>
  <c r="BF158" i="3"/>
  <c r="BA182" i="3"/>
  <c r="AZ182" i="3" s="1"/>
  <c r="BJ158" i="3"/>
  <c r="BI158" i="3" s="1"/>
  <c r="BA235" i="3"/>
  <c r="AZ235" i="3" s="1"/>
  <c r="BJ112" i="3"/>
  <c r="BI112" i="3" s="1"/>
  <c r="BC102" i="3"/>
  <c r="BB102" i="3" s="1"/>
  <c r="BI110" i="3"/>
  <c r="BF67" i="3"/>
  <c r="BE67" i="3" s="1"/>
  <c r="BK97" i="3"/>
  <c r="BJ210" i="3"/>
  <c r="BI210" i="3" s="1"/>
  <c r="BJ237" i="3"/>
  <c r="BI237" i="3" s="1"/>
  <c r="BH223" i="3"/>
  <c r="BJ146" i="3"/>
  <c r="AW117" i="3"/>
  <c r="BE178" i="3"/>
  <c r="BJ163" i="3"/>
  <c r="AY132" i="3"/>
  <c r="AX132" i="3" s="1"/>
  <c r="AY164" i="3"/>
  <c r="AX164" i="3" s="1"/>
  <c r="AW146" i="3"/>
  <c r="AY223" i="3"/>
  <c r="BC67" i="3"/>
  <c r="BB67" i="3" s="1"/>
  <c r="AW69" i="3"/>
  <c r="AV69" i="3" s="1"/>
  <c r="BJ218" i="3"/>
  <c r="BI218" i="3" s="1"/>
  <c r="AY153" i="3"/>
  <c r="AX153" i="3" s="1"/>
  <c r="AV99" i="3"/>
  <c r="BJ227" i="3"/>
  <c r="BI227" i="3" s="1"/>
  <c r="BH49" i="3"/>
  <c r="BG49" i="3" s="1"/>
  <c r="BH193" i="3"/>
  <c r="BL223" i="3"/>
  <c r="BK223" i="3" s="1"/>
  <c r="AW223" i="3"/>
  <c r="BF237" i="3"/>
  <c r="BK214" i="3"/>
  <c r="BI214" i="3"/>
  <c r="BH163" i="3"/>
  <c r="BG163" i="3" s="1"/>
  <c r="AY67" i="3"/>
  <c r="AY146" i="3"/>
  <c r="BC200" i="3"/>
  <c r="BB200" i="3" s="1"/>
  <c r="BL218" i="3"/>
  <c r="BK218" i="3" s="1"/>
  <c r="BL41" i="3"/>
  <c r="BK41" i="3" s="1"/>
  <c r="AX214" i="3"/>
  <c r="BJ64" i="3"/>
  <c r="BI64" i="3" s="1"/>
  <c r="BL64" i="3"/>
  <c r="BK64" i="3" s="1"/>
  <c r="BA223" i="3"/>
  <c r="AZ223" i="3" s="1"/>
  <c r="BF146" i="3"/>
  <c r="BL74" i="3"/>
  <c r="BK74" i="3" s="1"/>
  <c r="AW57" i="3"/>
  <c r="AV57" i="3" s="1"/>
  <c r="BF164" i="3"/>
  <c r="BL146" i="3"/>
  <c r="BJ48" i="3"/>
  <c r="BH227" i="3"/>
  <c r="BJ223" i="3"/>
  <c r="BF138" i="3"/>
  <c r="BA67" i="3"/>
  <c r="AZ67" i="3" s="1"/>
  <c r="AY138" i="3"/>
  <c r="BJ138" i="3"/>
  <c r="BI138" i="3" s="1"/>
  <c r="BJ221" i="3"/>
  <c r="BL227" i="3"/>
  <c r="BK227" i="3" s="1"/>
  <c r="BC212" i="3"/>
  <c r="BB212" i="3" s="1"/>
  <c r="BF57" i="3"/>
  <c r="BE57" i="3" s="1"/>
  <c r="BA218" i="3"/>
  <c r="AZ218" i="3" s="1"/>
  <c r="BJ57" i="3"/>
  <c r="BI57" i="3" s="1"/>
  <c r="BL119" i="3"/>
  <c r="BK119" i="3" s="1"/>
  <c r="AW227" i="3"/>
  <c r="AV227" i="3" s="1"/>
  <c r="BL67" i="3"/>
  <c r="BL144" i="3"/>
  <c r="AW218" i="3"/>
  <c r="AV218" i="3" s="1"/>
  <c r="AY57" i="3"/>
  <c r="AX57" i="3" s="1"/>
  <c r="AX222" i="3"/>
  <c r="BH64" i="3"/>
  <c r="BA210" i="3"/>
  <c r="AZ210" i="3" s="1"/>
  <c r="BC221" i="3"/>
  <c r="BB221" i="3" s="1"/>
  <c r="AY163" i="3"/>
  <c r="AX163" i="3" s="1"/>
  <c r="BC227" i="3"/>
  <c r="BB227" i="3" s="1"/>
  <c r="BJ193" i="3"/>
  <c r="BI193" i="3" s="1"/>
  <c r="BE106" i="3"/>
  <c r="BC202" i="3"/>
  <c r="BB202" i="3" s="1"/>
  <c r="BB36" i="3"/>
  <c r="BB223" i="3"/>
  <c r="BI131" i="3"/>
  <c r="BG197" i="3"/>
  <c r="BC48" i="3"/>
  <c r="BB48" i="3" s="1"/>
  <c r="BA202" i="3"/>
  <c r="AZ202" i="3" s="1"/>
  <c r="AY51" i="3"/>
  <c r="AX51" i="3" s="1"/>
  <c r="BJ190" i="3"/>
  <c r="BI190" i="3" s="1"/>
  <c r="BC190" i="3"/>
  <c r="BB190" i="3" s="1"/>
  <c r="BJ67" i="3"/>
  <c r="BI67" i="3" s="1"/>
  <c r="AW165" i="3"/>
  <c r="AV165" i="3" s="1"/>
  <c r="BA48" i="3"/>
  <c r="AZ48" i="3" s="1"/>
  <c r="AY48" i="3"/>
  <c r="AX48" i="3" s="1"/>
  <c r="BJ156" i="3"/>
  <c r="BI156" i="3" s="1"/>
  <c r="BL180" i="3"/>
  <c r="BK180" i="3" s="1"/>
  <c r="BC156" i="3"/>
  <c r="BA160" i="3"/>
  <c r="BL125" i="3"/>
  <c r="BK125" i="3" s="1"/>
  <c r="AW141" i="3"/>
  <c r="AX67" i="3"/>
  <c r="BB116" i="3"/>
  <c r="BJ219" i="3"/>
  <c r="AW219" i="3"/>
  <c r="AV219" i="3" s="1"/>
  <c r="BA35" i="3"/>
  <c r="AZ35" i="3" s="1"/>
  <c r="BC50" i="3"/>
  <c r="BB50" i="3" s="1"/>
  <c r="BA206" i="3"/>
  <c r="AZ206" i="3" s="1"/>
  <c r="BH239" i="3"/>
  <c r="BG239" i="3" s="1"/>
  <c r="BF82" i="3"/>
  <c r="BE82" i="3" s="1"/>
  <c r="BC208" i="3"/>
  <c r="BB208" i="3" s="1"/>
  <c r="AY182" i="3"/>
  <c r="AX182" i="3" s="1"/>
  <c r="BF132" i="3"/>
  <c r="BE132" i="3" s="1"/>
  <c r="BH196" i="3"/>
  <c r="BG196" i="3" s="1"/>
  <c r="AW105" i="3"/>
  <c r="AX216" i="3"/>
  <c r="AW214" i="3"/>
  <c r="AV214" i="3" s="1"/>
  <c r="BJ197" i="3"/>
  <c r="BI197" i="3" s="1"/>
  <c r="BH165" i="3"/>
  <c r="BG165" i="3" s="1"/>
  <c r="BC82" i="3"/>
  <c r="BB82" i="3" s="1"/>
  <c r="BL162" i="3"/>
  <c r="AY149" i="3"/>
  <c r="AX149" i="3" s="1"/>
  <c r="BH35" i="3"/>
  <c r="BG35" i="3" s="1"/>
  <c r="BB145" i="3"/>
  <c r="BF88" i="3"/>
  <c r="BE88" i="3" s="1"/>
  <c r="BH210" i="3"/>
  <c r="BG210" i="3" s="1"/>
  <c r="AY112" i="3"/>
  <c r="AX112" i="3" s="1"/>
  <c r="AW107" i="3"/>
  <c r="AV107" i="3" s="1"/>
  <c r="BL185" i="3"/>
  <c r="BK185" i="3" s="1"/>
  <c r="BB225" i="3"/>
  <c r="BH36" i="3"/>
  <c r="BH231" i="3"/>
  <c r="BG231" i="3" s="1"/>
  <c r="AW108" i="3"/>
  <c r="AV108" i="3" s="1"/>
  <c r="AY91" i="3"/>
  <c r="AY41" i="3"/>
  <c r="BH53" i="3"/>
  <c r="BG53" i="3" s="1"/>
  <c r="BL68" i="3"/>
  <c r="BK68" i="3" s="1"/>
  <c r="AZ225" i="3"/>
  <c r="BJ173" i="3"/>
  <c r="BI173" i="3" s="1"/>
  <c r="BL210" i="3"/>
  <c r="BK210" i="3" s="1"/>
  <c r="BH99" i="3"/>
  <c r="BG99" i="3" s="1"/>
  <c r="AY224" i="3"/>
  <c r="AX224" i="3" s="1"/>
  <c r="AY210" i="3"/>
  <c r="AX210" i="3" s="1"/>
  <c r="BJ49" i="3"/>
  <c r="BI49" i="3" s="1"/>
  <c r="BK79" i="3"/>
  <c r="BH214" i="3"/>
  <c r="AV87" i="3"/>
  <c r="AZ237" i="3"/>
  <c r="BJ88" i="3"/>
  <c r="BI88" i="3" s="1"/>
  <c r="BJ162" i="3"/>
  <c r="AY82" i="3"/>
  <c r="AW80" i="3"/>
  <c r="AV80" i="3" s="1"/>
  <c r="BC184" i="3"/>
  <c r="BB184" i="3" s="1"/>
  <c r="BL235" i="3"/>
  <c r="BK235" i="3" s="1"/>
  <c r="BF35" i="3"/>
  <c r="BE35" i="3" s="1"/>
  <c r="BH201" i="3"/>
  <c r="BG201" i="3" s="1"/>
  <c r="BF201" i="3"/>
  <c r="BE201" i="3" s="1"/>
  <c r="BH42" i="3"/>
  <c r="BG42" i="3" s="1"/>
  <c r="BI139" i="3"/>
  <c r="BC206" i="3"/>
  <c r="BB206" i="3" s="1"/>
  <c r="BC205" i="3"/>
  <c r="BB205" i="3" s="1"/>
  <c r="BE56" i="3"/>
  <c r="AY71" i="3"/>
  <c r="AX71" i="3" s="1"/>
  <c r="BC38" i="3"/>
  <c r="BB38" i="3" s="1"/>
  <c r="AY206" i="3"/>
  <c r="AX206" i="3" s="1"/>
  <c r="AY35" i="3"/>
  <c r="AX35" i="3" s="1"/>
  <c r="BL205" i="3"/>
  <c r="BK205" i="3" s="1"/>
  <c r="AY122" i="3"/>
  <c r="AX122" i="3" s="1"/>
  <c r="BI152" i="3"/>
  <c r="BE175" i="3"/>
  <c r="BC42" i="3"/>
  <c r="BB42" i="3" s="1"/>
  <c r="BC149" i="3"/>
  <c r="BB149" i="3" s="1"/>
  <c r="BF240" i="3"/>
  <c r="BE240" i="3" s="1"/>
  <c r="BC105" i="3"/>
  <c r="BB105" i="3" s="1"/>
  <c r="AY162" i="3"/>
  <c r="AX162" i="3" s="1"/>
  <c r="BC132" i="3"/>
  <c r="BB132" i="3" s="1"/>
  <c r="AX225" i="3"/>
  <c r="BC234" i="3"/>
  <c r="BC112" i="3"/>
  <c r="BB112" i="3" s="1"/>
  <c r="BL31" i="3"/>
  <c r="BK31" i="3" s="1"/>
  <c r="AY49" i="3"/>
  <c r="AX49" i="3" s="1"/>
  <c r="BJ80" i="3"/>
  <c r="AY205" i="3"/>
  <c r="AX205" i="3" s="1"/>
  <c r="BH55" i="3"/>
  <c r="BG55" i="3" s="1"/>
  <c r="AY88" i="3"/>
  <c r="AX88" i="3" s="1"/>
  <c r="BA185" i="3"/>
  <c r="AZ185" i="3" s="1"/>
  <c r="AW206" i="3"/>
  <c r="AV206" i="3" s="1"/>
  <c r="BF80" i="3"/>
  <c r="BE80" i="3" s="1"/>
  <c r="BL206" i="3"/>
  <c r="BK206" i="3" s="1"/>
  <c r="BF239" i="3"/>
  <c r="BE239" i="3" s="1"/>
  <c r="AY185" i="3"/>
  <c r="AX185" i="3" s="1"/>
  <c r="BF184" i="3"/>
  <c r="BE184" i="3" s="1"/>
  <c r="BF99" i="3"/>
  <c r="BE99" i="3" s="1"/>
  <c r="BL88" i="3"/>
  <c r="BK88" i="3" s="1"/>
  <c r="BJ43" i="3"/>
  <c r="BI43" i="3" s="1"/>
  <c r="BA105" i="3"/>
  <c r="AZ105" i="3" s="1"/>
  <c r="BF187" i="3"/>
  <c r="BA91" i="3"/>
  <c r="AZ91" i="3" s="1"/>
  <c r="AY184" i="3"/>
  <c r="AX184" i="3" s="1"/>
  <c r="AZ148" i="3"/>
  <c r="AZ79" i="3"/>
  <c r="BA240" i="3"/>
  <c r="AZ240" i="3" s="1"/>
  <c r="BF37" i="3"/>
  <c r="BE37" i="3" s="1"/>
  <c r="BF58" i="3"/>
  <c r="BF90" i="3"/>
  <c r="BE90" i="3" s="1"/>
  <c r="BF108" i="3"/>
  <c r="BE108" i="3" s="1"/>
  <c r="BL49" i="3"/>
  <c r="BK49" i="3" s="1"/>
  <c r="BF55" i="3"/>
  <c r="BE55" i="3" s="1"/>
  <c r="BJ182" i="3"/>
  <c r="BI182" i="3" s="1"/>
  <c r="AZ121" i="3"/>
  <c r="AX180" i="3"/>
  <c r="AW208" i="3"/>
  <c r="BL184" i="3"/>
  <c r="BJ91" i="3"/>
  <c r="BI91" i="3" s="1"/>
  <c r="BL160" i="3"/>
  <c r="BH149" i="3"/>
  <c r="BG149" i="3" s="1"/>
  <c r="BC80" i="3"/>
  <c r="BB80" i="3" s="1"/>
  <c r="BH182" i="3"/>
  <c r="BG182" i="3" s="1"/>
  <c r="AW35" i="3"/>
  <c r="AV35" i="3" s="1"/>
  <c r="BH206" i="3"/>
  <c r="BG206" i="3" s="1"/>
  <c r="BJ36" i="3"/>
  <c r="BI36" i="3" s="1"/>
  <c r="AW134" i="3"/>
  <c r="AV134" i="3" s="1"/>
  <c r="BH138" i="3"/>
  <c r="BG138" i="3" s="1"/>
  <c r="AY219" i="3"/>
  <c r="AX219" i="3" s="1"/>
  <c r="BL55" i="3"/>
  <c r="BK55" i="3" s="1"/>
  <c r="BA33" i="3"/>
  <c r="AZ33" i="3" s="1"/>
  <c r="AY83" i="3"/>
  <c r="AX83" i="3" s="1"/>
  <c r="AX96" i="3"/>
  <c r="BC127" i="3"/>
  <c r="BB127" i="3" s="1"/>
  <c r="AY235" i="3"/>
  <c r="AX235" i="3" s="1"/>
  <c r="BH184" i="3"/>
  <c r="BG184" i="3" s="1"/>
  <c r="BH132" i="3"/>
  <c r="AW235" i="3"/>
  <c r="AV235" i="3" s="1"/>
  <c r="BF231" i="3"/>
  <c r="BE231" i="3" s="1"/>
  <c r="BL80" i="3"/>
  <c r="BK80" i="3" s="1"/>
  <c r="BJ239" i="3"/>
  <c r="BI239" i="3" s="1"/>
  <c r="BH173" i="3"/>
  <c r="BG173" i="3" s="1"/>
  <c r="AV139" i="3"/>
  <c r="BF36" i="3"/>
  <c r="BE36" i="3" s="1"/>
  <c r="BL42" i="3"/>
  <c r="BK42" i="3" s="1"/>
  <c r="BK75" i="3"/>
  <c r="AW152" i="3"/>
  <c r="AV152" i="3" s="1"/>
  <c r="BE102" i="3"/>
  <c r="BG141" i="3"/>
  <c r="BC220" i="3"/>
  <c r="BB220" i="3" s="1"/>
  <c r="AW31" i="3"/>
  <c r="AV31" i="3" s="1"/>
  <c r="BJ222" i="3"/>
  <c r="BI222" i="3" s="1"/>
  <c r="AY58" i="3"/>
  <c r="AX58" i="3" s="1"/>
  <c r="AW33" i="3"/>
  <c r="AV33" i="3" s="1"/>
  <c r="BL173" i="3"/>
  <c r="BK173" i="3" s="1"/>
  <c r="BH152" i="3"/>
  <c r="BG152" i="3" s="1"/>
  <c r="BL138" i="3"/>
  <c r="BK138" i="3" s="1"/>
  <c r="BL220" i="3"/>
  <c r="BE141" i="3"/>
  <c r="BC90" i="3"/>
  <c r="BB90" i="3" s="1"/>
  <c r="BC108" i="3"/>
  <c r="BB108" i="3" s="1"/>
  <c r="AY165" i="3"/>
  <c r="BF71" i="3"/>
  <c r="BE71" i="3" s="1"/>
  <c r="BL224" i="3"/>
  <c r="BK224" i="3" s="1"/>
  <c r="BA132" i="3"/>
  <c r="BA162" i="3"/>
  <c r="AZ162" i="3" s="1"/>
  <c r="BA239" i="3"/>
  <c r="BJ35" i="3"/>
  <c r="BI35" i="3" s="1"/>
  <c r="BF149" i="3"/>
  <c r="BE149" i="3" s="1"/>
  <c r="BA66" i="3"/>
  <c r="AZ66" i="3" s="1"/>
  <c r="BA42" i="3"/>
  <c r="AZ42" i="3" s="1"/>
  <c r="BC97" i="3"/>
  <c r="BB97" i="3" s="1"/>
  <c r="AY105" i="3"/>
  <c r="AX105" i="3" s="1"/>
  <c r="BA204" i="3"/>
  <c r="AZ204" i="3" s="1"/>
  <c r="BJ206" i="3"/>
  <c r="BI206" i="3" s="1"/>
  <c r="BJ97" i="3"/>
  <c r="BI97" i="3" s="1"/>
  <c r="BJ93" i="3"/>
  <c r="BI93" i="3" s="1"/>
  <c r="BJ154" i="3"/>
  <c r="BI154" i="3" s="1"/>
  <c r="BC204" i="3"/>
  <c r="BB204" i="3" s="1"/>
  <c r="BH154" i="3"/>
  <c r="BG154" i="3" s="1"/>
  <c r="BF93" i="3"/>
  <c r="BE93" i="3" s="1"/>
  <c r="AW85" i="3"/>
  <c r="AV85" i="3" s="1"/>
  <c r="AY239" i="3"/>
  <c r="BA134" i="3"/>
  <c r="AZ134" i="3" s="1"/>
  <c r="AX107" i="3"/>
  <c r="AW41" i="3"/>
  <c r="AV41" i="3" s="1"/>
  <c r="BJ41" i="3"/>
  <c r="BI41" i="3" s="1"/>
  <c r="BI159" i="3"/>
  <c r="BH212" i="3"/>
  <c r="BG212" i="3" s="1"/>
  <c r="AW167" i="3"/>
  <c r="BA167" i="3"/>
  <c r="AZ167" i="3" s="1"/>
  <c r="BA61" i="3"/>
  <c r="AZ61" i="3" s="1"/>
  <c r="BL53" i="3"/>
  <c r="BK53" i="3" s="1"/>
  <c r="AY38" i="3"/>
  <c r="AX38" i="3" s="1"/>
  <c r="BL38" i="3"/>
  <c r="AY114" i="3"/>
  <c r="AX114" i="3" s="1"/>
  <c r="BA212" i="3"/>
  <c r="AZ212" i="3" s="1"/>
  <c r="BA38" i="3"/>
  <c r="BJ172" i="3"/>
  <c r="AZ190" i="3"/>
  <c r="BC213" i="3"/>
  <c r="BB213" i="3" s="1"/>
  <c r="BA104" i="3"/>
  <c r="AZ104" i="3" s="1"/>
  <c r="BC104" i="3"/>
  <c r="BB104" i="3" s="1"/>
  <c r="BL212" i="3"/>
  <c r="BK212" i="3" s="1"/>
  <c r="AY240" i="3"/>
  <c r="AX240" i="3" s="1"/>
  <c r="BF212" i="3"/>
  <c r="BE212" i="3" s="1"/>
  <c r="BH33" i="3"/>
  <c r="BG33" i="3" s="1"/>
  <c r="BH240" i="3"/>
  <c r="BG240" i="3" s="1"/>
  <c r="AY52" i="3"/>
  <c r="AX52" i="3" s="1"/>
  <c r="BJ238" i="3"/>
  <c r="BI238" i="3" s="1"/>
  <c r="BJ196" i="3"/>
  <c r="BI196" i="3" s="1"/>
  <c r="BL132" i="3"/>
  <c r="BK132" i="3" s="1"/>
  <c r="BH71" i="3"/>
  <c r="AY172" i="3"/>
  <c r="AW104" i="3"/>
  <c r="AV104" i="3" s="1"/>
  <c r="BF238" i="3"/>
  <c r="BE238" i="3" s="1"/>
  <c r="BC43" i="3"/>
  <c r="BB43" i="3" s="1"/>
  <c r="BF213" i="3"/>
  <c r="BE213" i="3" s="1"/>
  <c r="AW135" i="3"/>
  <c r="AV135" i="3" s="1"/>
  <c r="AW50" i="3"/>
  <c r="AV50" i="3" s="1"/>
  <c r="BF41" i="3"/>
  <c r="BE41" i="3" s="1"/>
  <c r="AW240" i="3"/>
  <c r="AV240" i="3" s="1"/>
  <c r="BF38" i="3"/>
  <c r="BE38" i="3" s="1"/>
  <c r="BC41" i="3"/>
  <c r="BA41" i="3"/>
  <c r="AZ41" i="3" s="1"/>
  <c r="BC240" i="3"/>
  <c r="AY212" i="3"/>
  <c r="AX212" i="3" s="1"/>
  <c r="AW149" i="3"/>
  <c r="AZ211" i="3"/>
  <c r="BJ38" i="3"/>
  <c r="AY213" i="3"/>
  <c r="AX213" i="3" s="1"/>
  <c r="BJ212" i="3"/>
  <c r="BI212" i="3" s="1"/>
  <c r="BK184" i="3"/>
  <c r="AX50" i="3"/>
  <c r="BF172" i="3"/>
  <c r="BE172" i="3" s="1"/>
  <c r="AW212" i="3"/>
  <c r="AV212" i="3" s="1"/>
  <c r="BA71" i="3"/>
  <c r="AZ71" i="3" s="1"/>
  <c r="BJ104" i="3"/>
  <c r="BI104" i="3" s="1"/>
  <c r="AW196" i="3"/>
  <c r="AV196" i="3" s="1"/>
  <c r="AW175" i="3"/>
  <c r="AV175" i="3" s="1"/>
  <c r="BL240" i="3"/>
  <c r="BK240" i="3" s="1"/>
  <c r="BJ230" i="3"/>
  <c r="BA146" i="3"/>
  <c r="BJ213" i="3"/>
  <c r="BC71" i="3"/>
  <c r="BB71" i="3" s="1"/>
  <c r="BH104" i="3"/>
  <c r="BG104" i="3" s="1"/>
  <c r="BJ71" i="3"/>
  <c r="BI71" i="3" s="1"/>
  <c r="BH38" i="3"/>
  <c r="BG38" i="3" s="1"/>
  <c r="AW29" i="3"/>
  <c r="AV29" i="3" s="1"/>
  <c r="BC173" i="3"/>
  <c r="BB173" i="3" s="1"/>
  <c r="BJ205" i="3"/>
  <c r="BI205" i="3" s="1"/>
  <c r="BA153" i="3"/>
  <c r="AZ153" i="3" s="1"/>
  <c r="AW130" i="3"/>
  <c r="AV130" i="3" s="1"/>
  <c r="BJ114" i="3"/>
  <c r="BI114" i="3" s="1"/>
  <c r="BL154" i="3"/>
  <c r="BK154" i="3" s="1"/>
  <c r="BK162" i="3"/>
  <c r="BH100" i="3"/>
  <c r="BG100" i="3" s="1"/>
  <c r="BJ153" i="3"/>
  <c r="BL130" i="3"/>
  <c r="BK130" i="3" s="1"/>
  <c r="AW101" i="3"/>
  <c r="AW159" i="3"/>
  <c r="AV159" i="3" s="1"/>
  <c r="BH122" i="3"/>
  <c r="BG122" i="3" s="1"/>
  <c r="BJ95" i="3"/>
  <c r="BI95" i="3" s="1"/>
  <c r="BH37" i="3"/>
  <c r="BG37" i="3" s="1"/>
  <c r="BA29" i="3"/>
  <c r="BB164" i="3"/>
  <c r="BJ122" i="3"/>
  <c r="BI122" i="3" s="1"/>
  <c r="BK149" i="3"/>
  <c r="AX134" i="3"/>
  <c r="BK164" i="3"/>
  <c r="BC195" i="3"/>
  <c r="BB195" i="3" s="1"/>
  <c r="BF153" i="3"/>
  <c r="AY37" i="3"/>
  <c r="AX37" i="3" s="1"/>
  <c r="BH103" i="3"/>
  <c r="BG103" i="3" s="1"/>
  <c r="AY201" i="3"/>
  <c r="AX201" i="3" s="1"/>
  <c r="BJ126" i="3"/>
  <c r="BI126" i="3" s="1"/>
  <c r="AW232" i="3"/>
  <c r="BH208" i="3"/>
  <c r="BG208" i="3" s="1"/>
  <c r="BJ37" i="3"/>
  <c r="BI37" i="3" s="1"/>
  <c r="BL122" i="3"/>
  <c r="BK122" i="3" s="1"/>
  <c r="AY95" i="3"/>
  <c r="AX95" i="3" s="1"/>
  <c r="BA95" i="3"/>
  <c r="AZ95" i="3" s="1"/>
  <c r="BF205" i="3"/>
  <c r="BE205" i="3" s="1"/>
  <c r="BA93" i="3"/>
  <c r="AZ93" i="3" s="1"/>
  <c r="AW142" i="3"/>
  <c r="AV142" i="3" s="1"/>
  <c r="BH98" i="3"/>
  <c r="BG98" i="3" s="1"/>
  <c r="AW122" i="3"/>
  <c r="AV122" i="3" s="1"/>
  <c r="BG158" i="3"/>
  <c r="BF173" i="3"/>
  <c r="BE173" i="3" s="1"/>
  <c r="AW168" i="3"/>
  <c r="AV168" i="3" s="1"/>
  <c r="BH97" i="3"/>
  <c r="BG97" i="3" s="1"/>
  <c r="BL48" i="3"/>
  <c r="BJ188" i="3"/>
  <c r="BI188" i="3" s="1"/>
  <c r="AY159" i="3"/>
  <c r="AX159" i="3" s="1"/>
  <c r="BC209" i="3"/>
  <c r="BB209" i="3" s="1"/>
  <c r="BE237" i="3"/>
  <c r="BL159" i="3"/>
  <c r="BK159" i="3" s="1"/>
  <c r="BA205" i="3"/>
  <c r="AZ205" i="3" s="1"/>
  <c r="BJ195" i="3"/>
  <c r="BI195" i="3" s="1"/>
  <c r="AW201" i="3"/>
  <c r="AV201" i="3" s="1"/>
  <c r="BA232" i="3"/>
  <c r="AZ232" i="3" s="1"/>
  <c r="BH126" i="3"/>
  <c r="BH153" i="3"/>
  <c r="BG153" i="3" s="1"/>
  <c r="BA126" i="3"/>
  <c r="BJ201" i="3"/>
  <c r="BC49" i="3"/>
  <c r="BJ42" i="3"/>
  <c r="BI42" i="3" s="1"/>
  <c r="BA44" i="3"/>
  <c r="AZ44" i="3" s="1"/>
  <c r="BJ32" i="3"/>
  <c r="BI32" i="3" s="1"/>
  <c r="BA180" i="3"/>
  <c r="AZ180" i="3" s="1"/>
  <c r="AV88" i="3"/>
  <c r="AW140" i="3"/>
  <c r="AV140" i="3" s="1"/>
  <c r="BA140" i="3"/>
  <c r="AZ140" i="3" s="1"/>
  <c r="BG143" i="3"/>
  <c r="BF103" i="3"/>
  <c r="BE103" i="3" s="1"/>
  <c r="BL44" i="3"/>
  <c r="BK44" i="3" s="1"/>
  <c r="BF229" i="3"/>
  <c r="BE229" i="3" s="1"/>
  <c r="BJ111" i="3"/>
  <c r="AY113" i="3"/>
  <c r="AY111" i="3"/>
  <c r="AX111" i="3" s="1"/>
  <c r="BI48" i="3"/>
  <c r="BC140" i="3"/>
  <c r="BB140" i="3" s="1"/>
  <c r="BL101" i="3"/>
  <c r="BK101" i="3" s="1"/>
  <c r="AY36" i="3"/>
  <c r="AX36" i="3" s="1"/>
  <c r="AW111" i="3"/>
  <c r="AV111" i="3" s="1"/>
  <c r="BA152" i="3"/>
  <c r="AZ152" i="3" s="1"/>
  <c r="BJ103" i="3"/>
  <c r="BI103" i="3" s="1"/>
  <c r="BG36" i="3"/>
  <c r="BH73" i="3"/>
  <c r="BG73" i="3" s="1"/>
  <c r="BL35" i="3"/>
  <c r="BK35" i="3" s="1"/>
  <c r="AZ197" i="3"/>
  <c r="AX60" i="3"/>
  <c r="BH159" i="3"/>
  <c r="BG159" i="3" s="1"/>
  <c r="BF166" i="3"/>
  <c r="BH111" i="3"/>
  <c r="BF49" i="3"/>
  <c r="BE49" i="3" s="1"/>
  <c r="BH232" i="3"/>
  <c r="BG232" i="3" s="1"/>
  <c r="BC88" i="3"/>
  <c r="BB88" i="3" s="1"/>
  <c r="BF167" i="3"/>
  <c r="BE167" i="3" s="1"/>
  <c r="BL188" i="3"/>
  <c r="BK188" i="3" s="1"/>
  <c r="BC47" i="3"/>
  <c r="BB47" i="3" s="1"/>
  <c r="AW53" i="3"/>
  <c r="AV53" i="3" s="1"/>
  <c r="AY85" i="3"/>
  <c r="AX85" i="3" s="1"/>
  <c r="AY39" i="3"/>
  <c r="AX39" i="3" s="1"/>
  <c r="BA92" i="3"/>
  <c r="AZ92" i="3" s="1"/>
  <c r="AZ76" i="3"/>
  <c r="BC92" i="3"/>
  <c r="BB92" i="3" s="1"/>
  <c r="BL56" i="3"/>
  <c r="BK56" i="3" s="1"/>
  <c r="BF34" i="3"/>
  <c r="BE34" i="3" s="1"/>
  <c r="BB156" i="3"/>
  <c r="BL211" i="3"/>
  <c r="BK211" i="3" s="1"/>
  <c r="BC138" i="3"/>
  <c r="BB138" i="3" s="1"/>
  <c r="BL34" i="3"/>
  <c r="BK34" i="3" s="1"/>
  <c r="AW34" i="3"/>
  <c r="AV34" i="3" s="1"/>
  <c r="BC228" i="3"/>
  <c r="BB228" i="3" s="1"/>
  <c r="BK219" i="3"/>
  <c r="BI141" i="3"/>
  <c r="BI219" i="3"/>
  <c r="BG78" i="3"/>
  <c r="BC72" i="3"/>
  <c r="BB72" i="3" s="1"/>
  <c r="BJ34" i="3"/>
  <c r="BI34" i="3" s="1"/>
  <c r="BH228" i="3"/>
  <c r="BG228" i="3" s="1"/>
  <c r="AW91" i="3"/>
  <c r="AV91" i="3" s="1"/>
  <c r="BH34" i="3"/>
  <c r="BG34" i="3" s="1"/>
  <c r="BI133" i="3"/>
  <c r="AY176" i="3"/>
  <c r="AX176" i="3" s="1"/>
  <c r="BC176" i="3"/>
  <c r="BB176" i="3" s="1"/>
  <c r="BI213" i="3"/>
  <c r="BH162" i="3"/>
  <c r="BG162" i="3" s="1"/>
  <c r="BF204" i="3"/>
  <c r="BE204" i="3" s="1"/>
  <c r="BJ56" i="3"/>
  <c r="BI56" i="3" s="1"/>
  <c r="BL169" i="3"/>
  <c r="BK169" i="3" s="1"/>
  <c r="BA53" i="3"/>
  <c r="BF53" i="3"/>
  <c r="BE53" i="3" s="1"/>
  <c r="BC53" i="3"/>
  <c r="BH61" i="3"/>
  <c r="BG61" i="3" s="1"/>
  <c r="AY53" i="3"/>
  <c r="AX53" i="3" s="1"/>
  <c r="AW52" i="3"/>
  <c r="AV52" i="3" s="1"/>
  <c r="BH51" i="3"/>
  <c r="BG51" i="3" s="1"/>
  <c r="BJ215" i="3"/>
  <c r="BI215" i="3" s="1"/>
  <c r="BF100" i="3"/>
  <c r="BE100" i="3" s="1"/>
  <c r="BF143" i="3"/>
  <c r="BE143" i="3" s="1"/>
  <c r="AW238" i="3"/>
  <c r="AY231" i="3"/>
  <c r="AX231" i="3" s="1"/>
  <c r="BJ169" i="3"/>
  <c r="BA169" i="3"/>
  <c r="BF87" i="3"/>
  <c r="BL71" i="3"/>
  <c r="BK71" i="3" s="1"/>
  <c r="AY199" i="3"/>
  <c r="AX199" i="3" s="1"/>
  <c r="AW169" i="3"/>
  <c r="AV169" i="3" s="1"/>
  <c r="BL215" i="3"/>
  <c r="BK215" i="3" s="1"/>
  <c r="BF136" i="3"/>
  <c r="BE136" i="3" s="1"/>
  <c r="BJ61" i="3"/>
  <c r="BI61" i="3" s="1"/>
  <c r="AY61" i="3"/>
  <c r="AX61" i="3" s="1"/>
  <c r="AZ200" i="3"/>
  <c r="BA186" i="3"/>
  <c r="AZ186" i="3" s="1"/>
  <c r="BC61" i="3"/>
  <c r="BB61" i="3" s="1"/>
  <c r="BI55" i="3"/>
  <c r="BK220" i="3"/>
  <c r="BC215" i="3"/>
  <c r="BB215" i="3" s="1"/>
  <c r="AW136" i="3"/>
  <c r="AV136" i="3" s="1"/>
  <c r="BL61" i="3"/>
  <c r="BK61" i="3" s="1"/>
  <c r="BB101" i="3"/>
  <c r="AW61" i="3"/>
  <c r="AV61" i="3" s="1"/>
  <c r="BC199" i="3"/>
  <c r="BB199" i="3" s="1"/>
  <c r="BH215" i="3"/>
  <c r="BG215" i="3" s="1"/>
  <c r="AX55" i="3"/>
  <c r="AW215" i="3"/>
  <c r="AV215" i="3" s="1"/>
  <c r="BJ147" i="3"/>
  <c r="BI147" i="3" s="1"/>
  <c r="BF215" i="3"/>
  <c r="AY169" i="3"/>
  <c r="AX169" i="3" s="1"/>
  <c r="BH170" i="3"/>
  <c r="BG170" i="3" s="1"/>
  <c r="AY75" i="3"/>
  <c r="BA170" i="3"/>
  <c r="AZ143" i="3"/>
  <c r="BB86" i="3"/>
  <c r="BC185" i="3"/>
  <c r="BB185" i="3" s="1"/>
  <c r="BA116" i="3"/>
  <c r="AZ116" i="3" s="1"/>
  <c r="BJ118" i="3"/>
  <c r="BB128" i="3"/>
  <c r="BJ164" i="3"/>
  <c r="BI164" i="3" s="1"/>
  <c r="BF116" i="3"/>
  <c r="BE116" i="3" s="1"/>
  <c r="BG144" i="3"/>
  <c r="BH128" i="3"/>
  <c r="BG128" i="3" s="1"/>
  <c r="BF83" i="3"/>
  <c r="BE83" i="3" s="1"/>
  <c r="BH164" i="3"/>
  <c r="AY79" i="3"/>
  <c r="AX79" i="3" s="1"/>
  <c r="BB125" i="3"/>
  <c r="BL40" i="3"/>
  <c r="BK40" i="3" s="1"/>
  <c r="AX144" i="3"/>
  <c r="BH69" i="3"/>
  <c r="BG69" i="3" s="1"/>
  <c r="BJ229" i="3"/>
  <c r="BI229" i="3" s="1"/>
  <c r="BH155" i="3"/>
  <c r="BG155" i="3" s="1"/>
  <c r="BL168" i="3"/>
  <c r="BA101" i="3"/>
  <c r="BF86" i="3"/>
  <c r="BE86" i="3" s="1"/>
  <c r="BJ78" i="3"/>
  <c r="BL118" i="3"/>
  <c r="BK118" i="3" s="1"/>
  <c r="BK78" i="3"/>
  <c r="BL51" i="3"/>
  <c r="BK51" i="3" s="1"/>
  <c r="BF139" i="3"/>
  <c r="BE139" i="3" s="1"/>
  <c r="BH118" i="3"/>
  <c r="BL123" i="3"/>
  <c r="BK123" i="3" s="1"/>
  <c r="BF92" i="3"/>
  <c r="BE92" i="3" s="1"/>
  <c r="AY126" i="3"/>
  <c r="AX126" i="3" s="1"/>
  <c r="BA229" i="3"/>
  <c r="AZ229" i="3" s="1"/>
  <c r="BL62" i="3"/>
  <c r="BK62" i="3" s="1"/>
  <c r="BJ107" i="3"/>
  <c r="BI107" i="3" s="1"/>
  <c r="BE223" i="3"/>
  <c r="BF97" i="3"/>
  <c r="BE97" i="3" s="1"/>
  <c r="BC58" i="3"/>
  <c r="BB58" i="3" s="1"/>
  <c r="BA181" i="3"/>
  <c r="BL204" i="3"/>
  <c r="BK204" i="3" s="1"/>
  <c r="BF208" i="3"/>
  <c r="BE208" i="3" s="1"/>
  <c r="BF63" i="3"/>
  <c r="BE63" i="3" s="1"/>
  <c r="BF207" i="3"/>
  <c r="BE207" i="3" s="1"/>
  <c r="BL198" i="3"/>
  <c r="BK198" i="3" s="1"/>
  <c r="BH199" i="3"/>
  <c r="BG199" i="3" s="1"/>
  <c r="BA103" i="3"/>
  <c r="AZ103" i="3" s="1"/>
  <c r="BH207" i="3"/>
  <c r="BG207" i="3" s="1"/>
  <c r="BF148" i="3"/>
  <c r="AW198" i="3"/>
  <c r="AV198" i="3" s="1"/>
  <c r="BH85" i="3"/>
  <c r="BG85" i="3" s="1"/>
  <c r="BL161" i="3"/>
  <c r="BL73" i="3"/>
  <c r="BK73" i="3" s="1"/>
  <c r="BH127" i="3"/>
  <c r="BG127" i="3" s="1"/>
  <c r="BF75" i="3"/>
  <c r="BE75" i="3" s="1"/>
  <c r="AW84" i="3"/>
  <c r="AV84" i="3" s="1"/>
  <c r="AZ68" i="3"/>
  <c r="BJ161" i="3"/>
  <c r="BI161" i="3" s="1"/>
  <c r="BC75" i="3"/>
  <c r="BB75" i="3" s="1"/>
  <c r="AW179" i="3"/>
  <c r="AV179" i="3" s="1"/>
  <c r="AW74" i="3"/>
  <c r="AV74" i="3" s="1"/>
  <c r="BG50" i="3"/>
  <c r="AY188" i="3"/>
  <c r="AX188" i="3" s="1"/>
  <c r="AW98" i="3"/>
  <c r="AV98" i="3" s="1"/>
  <c r="BC179" i="3"/>
  <c r="BB179" i="3" s="1"/>
  <c r="AW192" i="3"/>
  <c r="AV192" i="3" s="1"/>
  <c r="BL94" i="3"/>
  <c r="BK94" i="3" s="1"/>
  <c r="AV146" i="3"/>
  <c r="AY130" i="3"/>
  <c r="AX130" i="3" s="1"/>
  <c r="BB55" i="3"/>
  <c r="BL191" i="3"/>
  <c r="BK191" i="3" s="1"/>
  <c r="BC151" i="3"/>
  <c r="BB151" i="3" s="1"/>
  <c r="AY154" i="3"/>
  <c r="AX154" i="3" s="1"/>
  <c r="BF150" i="3"/>
  <c r="BE150" i="3" s="1"/>
  <c r="BA60" i="3"/>
  <c r="AZ60" i="3" s="1"/>
  <c r="BG236" i="3"/>
  <c r="AW123" i="3"/>
  <c r="AV123" i="3" s="1"/>
  <c r="BB66" i="3"/>
  <c r="AW63" i="3"/>
  <c r="AV63" i="3" s="1"/>
  <c r="BJ45" i="3"/>
  <c r="BI45" i="3" s="1"/>
  <c r="BC124" i="3"/>
  <c r="BB124" i="3" s="1"/>
  <c r="BG105" i="3"/>
  <c r="AZ55" i="3"/>
  <c r="BG79" i="3"/>
  <c r="BH186" i="3"/>
  <c r="BG186" i="3" s="1"/>
  <c r="BA150" i="3"/>
  <c r="AZ150" i="3" s="1"/>
  <c r="BF114" i="3"/>
  <c r="BE114" i="3" s="1"/>
  <c r="AY73" i="3"/>
  <c r="AX73" i="3" s="1"/>
  <c r="BL103" i="3"/>
  <c r="BK103" i="3" s="1"/>
  <c r="BK236" i="3"/>
  <c r="BL65" i="3"/>
  <c r="BK65" i="3" s="1"/>
  <c r="BC131" i="3"/>
  <c r="BB131" i="3" s="1"/>
  <c r="AY44" i="3"/>
  <c r="AX44" i="3" s="1"/>
  <c r="AW83" i="3"/>
  <c r="AV83" i="3" s="1"/>
  <c r="AZ135" i="3"/>
  <c r="BG68" i="3"/>
  <c r="BC167" i="3"/>
  <c r="AW181" i="3"/>
  <c r="AV181" i="3" s="1"/>
  <c r="BC51" i="3"/>
  <c r="BB51" i="3" s="1"/>
  <c r="BF62" i="3"/>
  <c r="BE62" i="3" s="1"/>
  <c r="BF174" i="3"/>
  <c r="BE174" i="3" s="1"/>
  <c r="AY204" i="3"/>
  <c r="AX204" i="3" s="1"/>
  <c r="BJ92" i="3"/>
  <c r="BI92" i="3" s="1"/>
  <c r="BH101" i="3"/>
  <c r="BG101" i="3" s="1"/>
  <c r="AY181" i="3"/>
  <c r="AX181" i="3" s="1"/>
  <c r="BH94" i="3"/>
  <c r="BG94" i="3" s="1"/>
  <c r="BC123" i="3"/>
  <c r="BB123" i="3" s="1"/>
  <c r="BA114" i="3"/>
  <c r="AZ114" i="3" s="1"/>
  <c r="BJ174" i="3"/>
  <c r="BI174" i="3" s="1"/>
  <c r="BH52" i="3"/>
  <c r="BG52" i="3" s="1"/>
  <c r="BE30" i="3"/>
  <c r="AV101" i="3"/>
  <c r="BC93" i="3"/>
  <c r="BB93" i="3" s="1"/>
  <c r="BH192" i="3"/>
  <c r="BG192" i="3" s="1"/>
  <c r="BK96" i="3"/>
  <c r="AW114" i="3"/>
  <c r="AV114" i="3" s="1"/>
  <c r="BF113" i="3"/>
  <c r="BE113" i="3" s="1"/>
  <c r="BJ140" i="3"/>
  <c r="BI140" i="3" s="1"/>
  <c r="BI79" i="3"/>
  <c r="BH147" i="3"/>
  <c r="BG147" i="3" s="1"/>
  <c r="BA36" i="3"/>
  <c r="AZ36" i="3" s="1"/>
  <c r="BJ189" i="3"/>
  <c r="BI189" i="3" s="1"/>
  <c r="BC111" i="3"/>
  <c r="BB111" i="3" s="1"/>
  <c r="BL105" i="3"/>
  <c r="BK105" i="3" s="1"/>
  <c r="BL93" i="3"/>
  <c r="BK93" i="3" s="1"/>
  <c r="BK145" i="3"/>
  <c r="BL186" i="3"/>
  <c r="BK186" i="3" s="1"/>
  <c r="BH65" i="3"/>
  <c r="BG65" i="3" s="1"/>
  <c r="BF121" i="3"/>
  <c r="BE121" i="3" s="1"/>
  <c r="AY119" i="3"/>
  <c r="AX119" i="3" s="1"/>
  <c r="BJ44" i="3"/>
  <c r="BI44" i="3" s="1"/>
  <c r="BL120" i="3"/>
  <c r="BK120" i="3" s="1"/>
  <c r="BH220" i="3"/>
  <c r="BG220" i="3" s="1"/>
  <c r="BH40" i="3"/>
  <c r="BG40" i="3" s="1"/>
  <c r="BC233" i="3"/>
  <c r="BB233" i="3" s="1"/>
  <c r="BH172" i="3"/>
  <c r="BG172" i="3" s="1"/>
  <c r="BJ83" i="3"/>
  <c r="BI83" i="3" s="1"/>
  <c r="BC83" i="3"/>
  <c r="BB83" i="3" s="1"/>
  <c r="BE78" i="3"/>
  <c r="BA233" i="3"/>
  <c r="AZ233" i="3" s="1"/>
  <c r="BC74" i="3"/>
  <c r="BL124" i="3"/>
  <c r="BK124" i="3" s="1"/>
  <c r="BH77" i="3"/>
  <c r="BG77" i="3" s="1"/>
  <c r="AY77" i="3"/>
  <c r="AX77" i="3" s="1"/>
  <c r="AW77" i="3"/>
  <c r="AV77" i="3" s="1"/>
  <c r="BE160" i="3"/>
  <c r="BA198" i="3"/>
  <c r="AZ198" i="3" s="1"/>
  <c r="AX118" i="3"/>
  <c r="BC40" i="3"/>
  <c r="BB40" i="3" s="1"/>
  <c r="AV68" i="3"/>
  <c r="AX75" i="3"/>
  <c r="BE68" i="3"/>
  <c r="AZ158" i="3"/>
  <c r="AY151" i="3"/>
  <c r="AX151" i="3" s="1"/>
  <c r="BK237" i="3"/>
  <c r="BH114" i="3"/>
  <c r="BG114" i="3" s="1"/>
  <c r="AW154" i="3"/>
  <c r="AV154" i="3" s="1"/>
  <c r="BF171" i="3"/>
  <c r="BE171" i="3" s="1"/>
  <c r="BC39" i="3"/>
  <c r="BB39" i="3" s="1"/>
  <c r="BC32" i="3"/>
  <c r="BB32" i="3" s="1"/>
  <c r="BH56" i="3"/>
  <c r="BG56" i="3" s="1"/>
  <c r="BH44" i="3"/>
  <c r="BG44" i="3" s="1"/>
  <c r="BL192" i="3"/>
  <c r="BK192" i="3" s="1"/>
  <c r="BH109" i="3"/>
  <c r="BG109" i="3" s="1"/>
  <c r="BJ168" i="3"/>
  <c r="BI168" i="3" s="1"/>
  <c r="AY65" i="3"/>
  <c r="AX65" i="3" s="1"/>
  <c r="AY110" i="3"/>
  <c r="AX110" i="3" s="1"/>
  <c r="BL113" i="3"/>
  <c r="BK113" i="3" s="1"/>
  <c r="AY226" i="3"/>
  <c r="AX226" i="3" s="1"/>
  <c r="BA39" i="3"/>
  <c r="AZ39" i="3" s="1"/>
  <c r="BF134" i="3"/>
  <c r="BE134" i="3" s="1"/>
  <c r="BH211" i="3"/>
  <c r="BG211" i="3" s="1"/>
  <c r="BF111" i="3"/>
  <c r="BE111" i="3" s="1"/>
  <c r="BG135" i="3"/>
  <c r="AV160" i="3"/>
  <c r="AW207" i="3"/>
  <c r="AV207" i="3" s="1"/>
  <c r="BJ54" i="3"/>
  <c r="BI54" i="3" s="1"/>
  <c r="BF73" i="3"/>
  <c r="BE73" i="3" s="1"/>
  <c r="AZ139" i="3"/>
  <c r="BC154" i="3"/>
  <c r="BC73" i="3"/>
  <c r="BB73" i="3" s="1"/>
  <c r="BF192" i="3"/>
  <c r="BE192" i="3" s="1"/>
  <c r="BI162" i="3"/>
  <c r="AW234" i="3"/>
  <c r="AV234" i="3" s="1"/>
  <c r="BH92" i="3"/>
  <c r="BG92" i="3" s="1"/>
  <c r="AW39" i="3"/>
  <c r="AV39" i="3" s="1"/>
  <c r="AV238" i="3"/>
  <c r="BJ179" i="3"/>
  <c r="BI179" i="3" s="1"/>
  <c r="BF85" i="3"/>
  <c r="BE85" i="3" s="1"/>
  <c r="BJ198" i="3"/>
  <c r="BI198" i="3" s="1"/>
  <c r="BC120" i="3"/>
  <c r="BB120" i="3" s="1"/>
  <c r="BF105" i="3"/>
  <c r="BE105" i="3" s="1"/>
  <c r="AW217" i="3"/>
  <c r="AV217" i="3" s="1"/>
  <c r="BA83" i="3"/>
  <c r="AZ83" i="3" s="1"/>
  <c r="BH113" i="3"/>
  <c r="BG113" i="3" s="1"/>
  <c r="BL233" i="3"/>
  <c r="BK233" i="3" s="1"/>
  <c r="BL147" i="3"/>
  <c r="BK147" i="3" s="1"/>
  <c r="AV117" i="3"/>
  <c r="AW62" i="3"/>
  <c r="AV62" i="3" s="1"/>
  <c r="BI125" i="3"/>
  <c r="BG70" i="3"/>
  <c r="BC150" i="3"/>
  <c r="BB150" i="3" s="1"/>
  <c r="BF183" i="3"/>
  <c r="BE183" i="3" s="1"/>
  <c r="AX200" i="3"/>
  <c r="AY93" i="3"/>
  <c r="AX93" i="3" s="1"/>
  <c r="AW113" i="3"/>
  <c r="AV113" i="3" s="1"/>
  <c r="BE148" i="3"/>
  <c r="AW174" i="3"/>
  <c r="AW177" i="3"/>
  <c r="AV177" i="3" s="1"/>
  <c r="BE96" i="3"/>
  <c r="AW202" i="3"/>
  <c r="AV202" i="3" s="1"/>
  <c r="BF120" i="3"/>
  <c r="BE120" i="3" s="1"/>
  <c r="BJ58" i="3"/>
  <c r="BI58" i="3" s="1"/>
  <c r="BA74" i="3"/>
  <c r="AZ74" i="3" s="1"/>
  <c r="BH183" i="3"/>
  <c r="BG183" i="3" s="1"/>
  <c r="BL54" i="3"/>
  <c r="BK54" i="3" s="1"/>
  <c r="AW229" i="3"/>
  <c r="AV229" i="3" s="1"/>
  <c r="BJ192" i="3"/>
  <c r="BI192" i="3" s="1"/>
  <c r="BC59" i="3"/>
  <c r="BB59" i="3" s="1"/>
  <c r="BH124" i="3"/>
  <c r="BG124" i="3" s="1"/>
  <c r="AX137" i="3"/>
  <c r="BB216" i="3"/>
  <c r="AY124" i="3"/>
  <c r="AX124" i="3" s="1"/>
  <c r="BH224" i="3"/>
  <c r="BG224" i="3" s="1"/>
  <c r="BA238" i="3"/>
  <c r="AZ238" i="3" s="1"/>
  <c r="BL45" i="3"/>
  <c r="BK45" i="3" s="1"/>
  <c r="AY229" i="3"/>
  <c r="AX229" i="3" s="1"/>
  <c r="AW89" i="3"/>
  <c r="AV89" i="3" s="1"/>
  <c r="BJ94" i="3"/>
  <c r="BI94" i="3" s="1"/>
  <c r="BA166" i="3"/>
  <c r="AZ166" i="3" s="1"/>
  <c r="BI38" i="3"/>
  <c r="AV208" i="3"/>
  <c r="BA199" i="3"/>
  <c r="AZ199" i="3" s="1"/>
  <c r="AW129" i="3"/>
  <c r="AV129" i="3" s="1"/>
  <c r="BC94" i="3"/>
  <c r="BB94" i="3" s="1"/>
  <c r="BL89" i="3"/>
  <c r="BK89" i="3" s="1"/>
  <c r="BA43" i="3"/>
  <c r="AZ43" i="3" s="1"/>
  <c r="BA207" i="3"/>
  <c r="BG193" i="3"/>
  <c r="BF189" i="3"/>
  <c r="BE189" i="3" s="1"/>
  <c r="BC163" i="3"/>
  <c r="BB163" i="3" s="1"/>
  <c r="AW119" i="3"/>
  <c r="AV119" i="3" s="1"/>
  <c r="AX82" i="3"/>
  <c r="BF43" i="3"/>
  <c r="BE43" i="3" s="1"/>
  <c r="BK190" i="3"/>
  <c r="BJ170" i="3"/>
  <c r="BI170" i="3" s="1"/>
  <c r="BL126" i="3"/>
  <c r="BK126" i="3" s="1"/>
  <c r="AW155" i="3"/>
  <c r="AV155" i="3" s="1"/>
  <c r="BL166" i="3"/>
  <c r="BK166" i="3" s="1"/>
  <c r="BL52" i="3"/>
  <c r="BK52" i="3" s="1"/>
  <c r="BJ98" i="3"/>
  <c r="BI98" i="3" s="1"/>
  <c r="BL209" i="3"/>
  <c r="BK209" i="3" s="1"/>
  <c r="BJ65" i="3"/>
  <c r="BI65" i="3" s="1"/>
  <c r="BL170" i="3"/>
  <c r="BK170" i="3" s="1"/>
  <c r="BL115" i="3"/>
  <c r="BK115" i="3" s="1"/>
  <c r="BJ89" i="3"/>
  <c r="BI89" i="3" s="1"/>
  <c r="AX193" i="3"/>
  <c r="AX165" i="3"/>
  <c r="AX46" i="3"/>
  <c r="BL116" i="3"/>
  <c r="BK116" i="3" s="1"/>
  <c r="AV78" i="3"/>
  <c r="BJ63" i="3"/>
  <c r="BI63" i="3" s="1"/>
  <c r="BA58" i="3"/>
  <c r="AZ58" i="3" s="1"/>
  <c r="BF115" i="3"/>
  <c r="BE115" i="3" s="1"/>
  <c r="BI236" i="3"/>
  <c r="BL111" i="3"/>
  <c r="BK111" i="3" s="1"/>
  <c r="BF123" i="3"/>
  <c r="BE123" i="3" s="1"/>
  <c r="BE230" i="3"/>
  <c r="AZ160" i="3"/>
  <c r="BF196" i="3"/>
  <c r="BE196" i="3" s="1"/>
  <c r="BJ59" i="3"/>
  <c r="BI59" i="3" s="1"/>
  <c r="BF107" i="3"/>
  <c r="BE107" i="3" s="1"/>
  <c r="BF161" i="3"/>
  <c r="BE161" i="3" s="1"/>
  <c r="AZ106" i="3"/>
  <c r="BJ127" i="3"/>
  <c r="BI127" i="3" s="1"/>
  <c r="BA98" i="3"/>
  <c r="AZ98" i="3" s="1"/>
  <c r="BF95" i="3"/>
  <c r="BE95" i="3" s="1"/>
  <c r="BE91" i="3"/>
  <c r="BC172" i="3"/>
  <c r="BB172" i="3" s="1"/>
  <c r="AV158" i="3"/>
  <c r="BF128" i="3"/>
  <c r="BE128" i="3" s="1"/>
  <c r="BE138" i="3"/>
  <c r="BC114" i="3"/>
  <c r="BB114" i="3" s="1"/>
  <c r="BA183" i="3"/>
  <c r="AZ183" i="3" s="1"/>
  <c r="BH198" i="3"/>
  <c r="BG198" i="3" s="1"/>
  <c r="BF124" i="3"/>
  <c r="BE124" i="3" s="1"/>
  <c r="BA73" i="3"/>
  <c r="AZ73" i="3" s="1"/>
  <c r="AV164" i="3"/>
  <c r="BB236" i="3"/>
  <c r="AY136" i="3"/>
  <c r="AX136" i="3" s="1"/>
  <c r="BH180" i="3"/>
  <c r="BG180" i="3" s="1"/>
  <c r="BE164" i="3"/>
  <c r="AV30" i="3"/>
  <c r="BH84" i="3"/>
  <c r="BG84" i="3" s="1"/>
  <c r="AZ236" i="3"/>
  <c r="BC153" i="3"/>
  <c r="BB153" i="3" s="1"/>
  <c r="BA113" i="3"/>
  <c r="AZ113" i="3" s="1"/>
  <c r="BC143" i="3"/>
  <c r="BB143" i="3" s="1"/>
  <c r="BH168" i="3"/>
  <c r="BC159" i="3"/>
  <c r="BB159" i="3" s="1"/>
  <c r="BF180" i="3"/>
  <c r="BE180" i="3" s="1"/>
  <c r="BL238" i="3"/>
  <c r="BK238" i="3" s="1"/>
  <c r="BL229" i="3"/>
  <c r="BK229" i="3" s="1"/>
  <c r="BI30" i="3"/>
  <c r="BB118" i="3"/>
  <c r="BG30" i="3"/>
  <c r="BB31" i="3"/>
  <c r="AX41" i="3"/>
  <c r="BL197" i="3"/>
  <c r="BK197" i="3" s="1"/>
  <c r="AW170" i="3"/>
  <c r="AV170" i="3" s="1"/>
  <c r="AX66" i="3"/>
  <c r="BC117" i="3"/>
  <c r="BB117" i="3" s="1"/>
  <c r="BA119" i="3"/>
  <c r="AZ119" i="3" s="1"/>
  <c r="AZ144" i="3"/>
  <c r="BB41" i="3"/>
  <c r="BA174" i="3"/>
  <c r="AZ174" i="3" s="1"/>
  <c r="AX135" i="3"/>
  <c r="BL63" i="3"/>
  <c r="BL207" i="3"/>
  <c r="BK207" i="3" s="1"/>
  <c r="AW48" i="3"/>
  <c r="AV48" i="3" s="1"/>
  <c r="BF44" i="3"/>
  <c r="BE44" i="3" s="1"/>
  <c r="BF234" i="3"/>
  <c r="BE234" i="3" s="1"/>
  <c r="BC84" i="3"/>
  <c r="BB84" i="3" s="1"/>
  <c r="BF126" i="3"/>
  <c r="BE126" i="3" s="1"/>
  <c r="BB135" i="3"/>
  <c r="AW73" i="3"/>
  <c r="AV73" i="3" s="1"/>
  <c r="BC77" i="3"/>
  <c r="BB77" i="3" s="1"/>
  <c r="AW40" i="3"/>
  <c r="AV40" i="3" s="1"/>
  <c r="BH75" i="3"/>
  <c r="BG75" i="3" s="1"/>
  <c r="BA163" i="3"/>
  <c r="AZ163" i="3" s="1"/>
  <c r="BI235" i="3"/>
  <c r="BA157" i="3"/>
  <c r="AZ157" i="3" s="1"/>
  <c r="AV145" i="3"/>
  <c r="BA189" i="3"/>
  <c r="AZ189" i="3" s="1"/>
  <c r="BA179" i="3"/>
  <c r="AZ179" i="3" s="1"/>
  <c r="AW43" i="3"/>
  <c r="AV43" i="3" s="1"/>
  <c r="BH136" i="3"/>
  <c r="BG136" i="3" s="1"/>
  <c r="AV86" i="3"/>
  <c r="BE225" i="3"/>
  <c r="BJ148" i="3"/>
  <c r="BI148" i="3" s="1"/>
  <c r="BH54" i="3"/>
  <c r="BG54" i="3" s="1"/>
  <c r="BF191" i="3"/>
  <c r="BE191" i="3" s="1"/>
  <c r="BF199" i="3"/>
  <c r="BE199" i="3" s="1"/>
  <c r="BJ75" i="3"/>
  <c r="BI75" i="3" s="1"/>
  <c r="BK48" i="3"/>
  <c r="BH58" i="3"/>
  <c r="BG58" i="3" s="1"/>
  <c r="BJ120" i="3"/>
  <c r="BI120" i="3" s="1"/>
  <c r="BC192" i="3"/>
  <c r="BB192" i="3" s="1"/>
  <c r="BL83" i="3"/>
  <c r="BK83" i="3" s="1"/>
  <c r="AW58" i="3"/>
  <c r="AY175" i="3"/>
  <c r="AX175" i="3" s="1"/>
  <c r="BA107" i="3"/>
  <c r="AZ107" i="3" s="1"/>
  <c r="BC34" i="3"/>
  <c r="BB34" i="3" s="1"/>
  <c r="BA90" i="3"/>
  <c r="AZ90" i="3" s="1"/>
  <c r="BJ99" i="3"/>
  <c r="BI99" i="3" s="1"/>
  <c r="BL39" i="3"/>
  <c r="BK39" i="3" s="1"/>
  <c r="BA173" i="3"/>
  <c r="AZ173" i="3" s="1"/>
  <c r="BJ74" i="3"/>
  <c r="BI74" i="3" s="1"/>
  <c r="AY62" i="3"/>
  <c r="AX62" i="3" s="1"/>
  <c r="AW51" i="3"/>
  <c r="AV51" i="3" s="1"/>
  <c r="AW131" i="3"/>
  <c r="AV131" i="3" s="1"/>
  <c r="BH129" i="3"/>
  <c r="BG129" i="3" s="1"/>
  <c r="AV118" i="3"/>
  <c r="AY147" i="3"/>
  <c r="AX147" i="3" s="1"/>
  <c r="AV236" i="3"/>
  <c r="BH157" i="3"/>
  <c r="BG157" i="3" s="1"/>
  <c r="BI47" i="3"/>
  <c r="AX99" i="3"/>
  <c r="BA89" i="3"/>
  <c r="AZ89" i="3" s="1"/>
  <c r="BC119" i="3"/>
  <c r="BB119" i="3" s="1"/>
  <c r="BH32" i="3"/>
  <c r="BG32" i="3" s="1"/>
  <c r="BF109" i="3"/>
  <c r="BE109" i="3" s="1"/>
  <c r="BK168" i="3"/>
  <c r="AY167" i="3"/>
  <c r="AX167" i="3" s="1"/>
  <c r="BC44" i="3"/>
  <c r="BB44" i="3" s="1"/>
  <c r="BL167" i="3"/>
  <c r="BK167" i="3" s="1"/>
  <c r="BA52" i="3"/>
  <c r="AZ52" i="3" s="1"/>
  <c r="AW72" i="3"/>
  <c r="AV72" i="3" s="1"/>
  <c r="BG126" i="3"/>
  <c r="BK137" i="3"/>
  <c r="AY197" i="3"/>
  <c r="AX197" i="3" s="1"/>
  <c r="AW45" i="3"/>
  <c r="AV45" i="3" s="1"/>
  <c r="BC155" i="3"/>
  <c r="BB155" i="3" s="1"/>
  <c r="BB158" i="3"/>
  <c r="BG86" i="3"/>
  <c r="AZ101" i="3"/>
  <c r="AW138" i="3"/>
  <c r="AV138" i="3" s="1"/>
  <c r="AY116" i="3"/>
  <c r="AX116" i="3" s="1"/>
  <c r="BE118" i="3"/>
  <c r="AW171" i="3"/>
  <c r="AV171" i="3" s="1"/>
  <c r="AW163" i="3"/>
  <c r="AV163" i="3" s="1"/>
  <c r="BC201" i="3"/>
  <c r="BB201" i="3" s="1"/>
  <c r="AW124" i="3"/>
  <c r="AV124" i="3" s="1"/>
  <c r="BA161" i="3"/>
  <c r="AZ161" i="3" s="1"/>
  <c r="BK128" i="3"/>
  <c r="BF40" i="3"/>
  <c r="BE40" i="3" s="1"/>
  <c r="BA115" i="3"/>
  <c r="AZ115" i="3" s="1"/>
  <c r="AV110" i="3"/>
  <c r="AX138" i="3"/>
  <c r="BC198" i="3"/>
  <c r="BB198" i="3" s="1"/>
  <c r="AV193" i="3"/>
  <c r="BL70" i="3"/>
  <c r="BK70" i="3" s="1"/>
  <c r="BL176" i="3"/>
  <c r="BK176" i="3" s="1"/>
  <c r="BC174" i="3"/>
  <c r="BB174" i="3" s="1"/>
  <c r="BB230" i="3"/>
  <c r="AY183" i="3"/>
  <c r="AX183" i="3" s="1"/>
  <c r="AZ126" i="3"/>
  <c r="BA85" i="3"/>
  <c r="AZ85" i="3" s="1"/>
  <c r="BH72" i="3"/>
  <c r="BG72" i="3" s="1"/>
  <c r="AZ239" i="3"/>
  <c r="BH191" i="3"/>
  <c r="BG191" i="3" s="1"/>
  <c r="BH177" i="3"/>
  <c r="BG177" i="3" s="1"/>
  <c r="BH233" i="3"/>
  <c r="BG233" i="3" s="1"/>
  <c r="BC99" i="3"/>
  <c r="BB99" i="3" s="1"/>
  <c r="BK160" i="3"/>
  <c r="BK144" i="3"/>
  <c r="BJ77" i="3"/>
  <c r="BI77" i="3" s="1"/>
  <c r="BJ136" i="3"/>
  <c r="BI136" i="3" s="1"/>
  <c r="BJ31" i="3"/>
  <c r="BI31" i="3" s="1"/>
  <c r="BF76" i="3"/>
  <c r="BE76" i="3" s="1"/>
  <c r="BL150" i="3"/>
  <c r="BK150" i="3" s="1"/>
  <c r="AY89" i="3"/>
  <c r="AX89" i="3" s="1"/>
  <c r="BA63" i="3"/>
  <c r="AZ63" i="3" s="1"/>
  <c r="AV190" i="3"/>
  <c r="BH45" i="3"/>
  <c r="BG45" i="3" s="1"/>
  <c r="BA147" i="3"/>
  <c r="AZ147" i="3" s="1"/>
  <c r="BG200" i="3"/>
  <c r="BL177" i="3"/>
  <c r="BK177" i="3" s="1"/>
  <c r="AW199" i="3"/>
  <c r="AV199" i="3" s="1"/>
  <c r="AY179" i="3"/>
  <c r="AX179" i="3" s="1"/>
  <c r="AW183" i="3"/>
  <c r="AV183" i="3" s="1"/>
  <c r="BH43" i="3"/>
  <c r="BG43" i="3" s="1"/>
  <c r="AY72" i="3"/>
  <c r="AX72" i="3" s="1"/>
  <c r="BE206" i="3"/>
  <c r="BI201" i="3"/>
  <c r="BJ178" i="3"/>
  <c r="BI178" i="3" s="1"/>
  <c r="BJ39" i="3"/>
  <c r="BI39" i="3" s="1"/>
  <c r="BJ155" i="3"/>
  <c r="BI155" i="3" s="1"/>
  <c r="BA156" i="3"/>
  <c r="AZ156" i="3" s="1"/>
  <c r="BH93" i="3"/>
  <c r="BG93" i="3" s="1"/>
  <c r="AW116" i="3"/>
  <c r="AV116" i="3" s="1"/>
  <c r="BE135" i="3"/>
  <c r="BG96" i="3"/>
  <c r="BG132" i="3"/>
  <c r="BL32" i="3"/>
  <c r="BK32" i="3" s="1"/>
  <c r="BL140" i="3"/>
  <c r="BK140" i="3" s="1"/>
  <c r="BC238" i="3"/>
  <c r="BB238" i="3" s="1"/>
  <c r="BF84" i="3"/>
  <c r="BE84" i="3" s="1"/>
  <c r="AW94" i="3"/>
  <c r="AV94" i="3" s="1"/>
  <c r="BJ115" i="3"/>
  <c r="BI115" i="3" s="1"/>
  <c r="BL179" i="3"/>
  <c r="BK179" i="3" s="1"/>
  <c r="BA40" i="3"/>
  <c r="AZ40" i="3" s="1"/>
  <c r="BF157" i="3"/>
  <c r="BE157" i="3" s="1"/>
  <c r="AY207" i="3"/>
  <c r="BJ116" i="3"/>
  <c r="BI116" i="3" s="1"/>
  <c r="BJ129" i="3"/>
  <c r="BI129" i="3" s="1"/>
  <c r="BI163" i="3"/>
  <c r="BA94" i="3"/>
  <c r="AZ94" i="3" s="1"/>
  <c r="BC109" i="3"/>
  <c r="BB109" i="3" s="1"/>
  <c r="AW166" i="3"/>
  <c r="AV166" i="3" s="1"/>
  <c r="AZ181" i="3"/>
  <c r="BF52" i="3"/>
  <c r="BE52" i="3" s="1"/>
  <c r="AY177" i="3"/>
  <c r="AX177" i="3" s="1"/>
  <c r="BC142" i="3"/>
  <c r="BB142" i="3" s="1"/>
  <c r="AY156" i="3"/>
  <c r="AX156" i="3" s="1"/>
  <c r="BK216" i="3"/>
  <c r="AX125" i="3"/>
  <c r="BJ150" i="3"/>
  <c r="BI150" i="3" s="1"/>
  <c r="BF170" i="3"/>
  <c r="BE170" i="3" s="1"/>
  <c r="BA176" i="3"/>
  <c r="AZ176" i="3" s="1"/>
  <c r="BB49" i="3"/>
  <c r="BF32" i="3"/>
  <c r="BE32" i="3" s="1"/>
  <c r="BL58" i="3"/>
  <c r="BK58" i="3" s="1"/>
  <c r="BC107" i="3"/>
  <c r="BB107" i="3" s="1"/>
  <c r="BF155" i="3"/>
  <c r="BE155" i="3" s="1"/>
  <c r="AV151" i="3"/>
  <c r="BL163" i="3"/>
  <c r="BK163" i="3" s="1"/>
  <c r="BJ211" i="3"/>
  <c r="BI211" i="3" s="1"/>
  <c r="BC166" i="3"/>
  <c r="BB166" i="3" s="1"/>
  <c r="AY103" i="3"/>
  <c r="AX103" i="3" s="1"/>
  <c r="BA138" i="3"/>
  <c r="AZ138" i="3" s="1"/>
  <c r="BA77" i="3"/>
  <c r="AZ77" i="3" s="1"/>
  <c r="BJ175" i="3"/>
  <c r="BI175" i="3" s="1"/>
  <c r="BK86" i="3"/>
  <c r="BJ226" i="3"/>
  <c r="BI226" i="3" s="1"/>
  <c r="BC126" i="3"/>
  <c r="BB126" i="3" s="1"/>
  <c r="BH150" i="3"/>
  <c r="BG150" i="3" s="1"/>
  <c r="AY191" i="3"/>
  <c r="AX191" i="3" s="1"/>
  <c r="AY148" i="3"/>
  <c r="AX148" i="3" s="1"/>
  <c r="BL77" i="3"/>
  <c r="BK77" i="3" s="1"/>
  <c r="AY234" i="3"/>
  <c r="AX234" i="3" s="1"/>
  <c r="AY56" i="3"/>
  <c r="AX56" i="3" s="1"/>
  <c r="AY94" i="3"/>
  <c r="AX94" i="3" s="1"/>
  <c r="AV223" i="3"/>
  <c r="AW59" i="3"/>
  <c r="AV59" i="3" s="1"/>
  <c r="BJ180" i="3"/>
  <c r="BI180" i="3" s="1"/>
  <c r="BJ142" i="3"/>
  <c r="BI142" i="3" s="1"/>
  <c r="BA142" i="3"/>
  <c r="AZ142" i="3" s="1"/>
  <c r="BJ228" i="3"/>
  <c r="BI228" i="3" s="1"/>
  <c r="BC115" i="3"/>
  <c r="BB115" i="3" s="1"/>
  <c r="BJ166" i="3"/>
  <c r="BI166" i="3" s="1"/>
  <c r="BH112" i="3"/>
  <c r="BG112" i="3" s="1"/>
  <c r="BE146" i="3"/>
  <c r="AY209" i="3"/>
  <c r="AX209" i="3" s="1"/>
  <c r="BC175" i="3"/>
  <c r="BB175" i="3" s="1"/>
  <c r="BH218" i="3"/>
  <c r="BG218" i="3" s="1"/>
  <c r="BF104" i="3"/>
  <c r="BE104" i="3" s="1"/>
  <c r="BL189" i="3"/>
  <c r="BK189" i="3" s="1"/>
  <c r="BF45" i="3"/>
  <c r="BE45" i="3" s="1"/>
  <c r="BC147" i="3"/>
  <c r="BB147" i="3" s="1"/>
  <c r="AY230" i="3"/>
  <c r="AX230" i="3" s="1"/>
  <c r="BH39" i="3"/>
  <c r="BG39" i="3" s="1"/>
  <c r="BA128" i="3"/>
  <c r="AZ128" i="3" s="1"/>
  <c r="BC76" i="3"/>
  <c r="BB76" i="3" s="1"/>
  <c r="AW143" i="3"/>
  <c r="AV143" i="3" s="1"/>
  <c r="BL155" i="3"/>
  <c r="BK155" i="3" s="1"/>
  <c r="BL226" i="3"/>
  <c r="BK226" i="3" s="1"/>
  <c r="BL230" i="3"/>
  <c r="BK230" i="3" s="1"/>
  <c r="BC217" i="3"/>
  <c r="BB217" i="3" s="1"/>
  <c r="BL228" i="3"/>
  <c r="BK228" i="3" s="1"/>
  <c r="BH110" i="3"/>
  <c r="BG110" i="3" s="1"/>
  <c r="BC180" i="3"/>
  <c r="BB180" i="3" s="1"/>
  <c r="BL121" i="3"/>
  <c r="BK121" i="3" s="1"/>
  <c r="BF222" i="3"/>
  <c r="BE222" i="3" s="1"/>
  <c r="BJ234" i="3"/>
  <c r="BI234" i="3" s="1"/>
  <c r="BB96" i="3"/>
  <c r="BJ113" i="3"/>
  <c r="BI113" i="3" s="1"/>
  <c r="BA220" i="3"/>
  <c r="AZ220" i="3" s="1"/>
  <c r="AY189" i="3"/>
  <c r="AX189" i="3" s="1"/>
  <c r="BF127" i="3"/>
  <c r="BE127" i="3" s="1"/>
  <c r="BH234" i="3"/>
  <c r="BG234" i="3" s="1"/>
  <c r="BH91" i="3"/>
  <c r="BG91" i="3" s="1"/>
  <c r="AW55" i="3"/>
  <c r="AV55" i="3" s="1"/>
  <c r="BF185" i="3"/>
  <c r="BE185" i="3" s="1"/>
  <c r="BF151" i="3"/>
  <c r="BE151" i="3" s="1"/>
  <c r="AY170" i="3"/>
  <c r="AX170" i="3" s="1"/>
  <c r="BA47" i="3"/>
  <c r="AZ47" i="3" s="1"/>
  <c r="BH219" i="3"/>
  <c r="BG219" i="3" s="1"/>
  <c r="BJ202" i="3"/>
  <c r="BI202" i="3" s="1"/>
  <c r="BL202" i="3"/>
  <c r="BK202" i="3" s="1"/>
  <c r="AX190" i="3"/>
  <c r="BA54" i="3"/>
  <c r="AZ54" i="3" s="1"/>
  <c r="BL114" i="3"/>
  <c r="BK114" i="3" s="1"/>
  <c r="AW148" i="3"/>
  <c r="AV148" i="3" s="1"/>
  <c r="BA56" i="3"/>
  <c r="AZ56" i="3" s="1"/>
  <c r="BL106" i="3"/>
  <c r="BK106" i="3" s="1"/>
  <c r="BF154" i="3"/>
  <c r="BE154" i="3" s="1"/>
  <c r="BF193" i="3"/>
  <c r="BE193" i="3" s="1"/>
  <c r="AZ78" i="3"/>
  <c r="BH166" i="3"/>
  <c r="BG166" i="3" s="1"/>
  <c r="AW54" i="3"/>
  <c r="AV54" i="3" s="1"/>
  <c r="BI118" i="3"/>
  <c r="AY117" i="3"/>
  <c r="AX117" i="3" s="1"/>
  <c r="BL136" i="3"/>
  <c r="BK136" i="3" s="1"/>
  <c r="BH131" i="3"/>
  <c r="BG131" i="3" s="1"/>
  <c r="BL199" i="3"/>
  <c r="BK199" i="3" s="1"/>
  <c r="AW121" i="3"/>
  <c r="AV121" i="3" s="1"/>
  <c r="AY131" i="3"/>
  <c r="AX131" i="3" s="1"/>
  <c r="AW56" i="3"/>
  <c r="AV56" i="3" s="1"/>
  <c r="BJ220" i="3"/>
  <c r="BI220" i="3" s="1"/>
  <c r="AV38" i="3"/>
  <c r="AW126" i="3"/>
  <c r="AV126" i="3" s="1"/>
  <c r="BL196" i="3"/>
  <c r="BK196" i="3" s="1"/>
  <c r="AW189" i="3"/>
  <c r="AV189" i="3" s="1"/>
  <c r="AW93" i="3"/>
  <c r="AV93" i="3" s="1"/>
  <c r="AW191" i="3"/>
  <c r="AV191" i="3" s="1"/>
  <c r="BL208" i="3"/>
  <c r="BK208" i="3" s="1"/>
  <c r="AY192" i="3"/>
  <c r="AX192" i="3" s="1"/>
  <c r="BH217" i="3"/>
  <c r="BG217" i="3" s="1"/>
  <c r="AY161" i="3"/>
  <c r="AX161" i="3" s="1"/>
  <c r="BF66" i="3"/>
  <c r="BE66" i="3" s="1"/>
  <c r="BH169" i="3"/>
  <c r="BG169" i="3" s="1"/>
  <c r="AY168" i="3"/>
  <c r="AX168" i="3" s="1"/>
  <c r="BC239" i="3"/>
  <c r="BB239" i="3" s="1"/>
  <c r="BJ85" i="3"/>
  <c r="BI85" i="3" s="1"/>
  <c r="BL151" i="3"/>
  <c r="BK151" i="3" s="1"/>
  <c r="AW36" i="3"/>
  <c r="AV36" i="3" s="1"/>
  <c r="AZ96" i="3"/>
  <c r="AW66" i="3"/>
  <c r="AV66" i="3" s="1"/>
  <c r="AY34" i="3"/>
  <c r="AX34" i="3" s="1"/>
  <c r="BA175" i="3"/>
  <c r="AZ175" i="3" s="1"/>
  <c r="BA227" i="3"/>
  <c r="AZ227" i="3" s="1"/>
  <c r="BL98" i="3"/>
  <c r="BK98" i="3" s="1"/>
  <c r="BH120" i="3"/>
  <c r="BG120" i="3" s="1"/>
  <c r="BJ101" i="3"/>
  <c r="BI101" i="3" s="1"/>
  <c r="BH29" i="3"/>
  <c r="BG29" i="3" s="1"/>
  <c r="BJ40" i="3"/>
  <c r="BI40" i="3" s="1"/>
  <c r="BC224" i="3"/>
  <c r="BB224" i="3" s="1"/>
  <c r="BA120" i="3"/>
  <c r="AZ120" i="3" s="1"/>
  <c r="BC229" i="3"/>
  <c r="BB229" i="3" s="1"/>
  <c r="BC110" i="3"/>
  <c r="BB110" i="3" s="1"/>
  <c r="BA51" i="3"/>
  <c r="AZ51" i="3" s="1"/>
  <c r="BH95" i="3"/>
  <c r="BG95" i="3" s="1"/>
  <c r="BF219" i="3"/>
  <c r="BE219" i="3" s="1"/>
  <c r="BL148" i="3"/>
  <c r="BK148" i="3" s="1"/>
  <c r="AW172" i="3"/>
  <c r="AV172" i="3" s="1"/>
  <c r="BC177" i="3"/>
  <c r="BB177" i="3" s="1"/>
  <c r="BJ66" i="3"/>
  <c r="BI66" i="3" s="1"/>
  <c r="AY171" i="3"/>
  <c r="AX171" i="3" s="1"/>
  <c r="BH175" i="3"/>
  <c r="BG175" i="3" s="1"/>
  <c r="BH161" i="3"/>
  <c r="BG161" i="3" s="1"/>
  <c r="AW92" i="3"/>
  <c r="AV92" i="3" s="1"/>
  <c r="BH59" i="3"/>
  <c r="BG59" i="3" s="1"/>
  <c r="BF125" i="3"/>
  <c r="BE125" i="3" s="1"/>
  <c r="BC218" i="3"/>
  <c r="BB218" i="3" s="1"/>
  <c r="BL225" i="3"/>
  <c r="BK225" i="3" s="1"/>
  <c r="AW90" i="3"/>
  <c r="AV90" i="3" s="1"/>
  <c r="AY221" i="3"/>
  <c r="AW37" i="3"/>
  <c r="AV37" i="3" s="1"/>
  <c r="BH221" i="3"/>
  <c r="BG221" i="3" s="1"/>
  <c r="AY140" i="3"/>
  <c r="AX140" i="3" s="1"/>
  <c r="BF98" i="3"/>
  <c r="BE98" i="3" s="1"/>
  <c r="BF202" i="3"/>
  <c r="BE202" i="3" s="1"/>
  <c r="AY63" i="3"/>
  <c r="AX63" i="3" s="1"/>
  <c r="BH189" i="3"/>
  <c r="BG189" i="3" s="1"/>
  <c r="BI46" i="3"/>
  <c r="BC237" i="3"/>
  <c r="BB237" i="3" s="1"/>
  <c r="BH222" i="3"/>
  <c r="BG222" i="3" s="1"/>
  <c r="BC148" i="3"/>
  <c r="BB148" i="3" s="1"/>
  <c r="AW153" i="3"/>
  <c r="AV153" i="3" s="1"/>
  <c r="BF156" i="3"/>
  <c r="BE156" i="3" s="1"/>
  <c r="BC157" i="3"/>
  <c r="BB157" i="3" s="1"/>
  <c r="BH185" i="3"/>
  <c r="BG185" i="3" s="1"/>
  <c r="AY217" i="3"/>
  <c r="AX217" i="3" s="1"/>
  <c r="AY121" i="3"/>
  <c r="AX121" i="3" s="1"/>
  <c r="BK133" i="3"/>
  <c r="BC160" i="3"/>
  <c r="BB160" i="3" s="1"/>
  <c r="AW200" i="3"/>
  <c r="AV200" i="3" s="1"/>
  <c r="BJ181" i="3"/>
  <c r="BI181" i="3" s="1"/>
  <c r="BC226" i="3"/>
  <c r="BB226" i="3" s="1"/>
  <c r="AW204" i="3"/>
  <c r="AV204" i="3" s="1"/>
  <c r="BF190" i="3"/>
  <c r="BE190" i="3" s="1"/>
  <c r="BK38" i="3"/>
  <c r="AW233" i="3"/>
  <c r="AV233" i="3" s="1"/>
  <c r="BJ165" i="3"/>
  <c r="BI165" i="3" s="1"/>
  <c r="BH90" i="3"/>
  <c r="BG90" i="3" s="1"/>
  <c r="AY32" i="3"/>
  <c r="AX32" i="3" s="1"/>
  <c r="BJ208" i="3"/>
  <c r="BI208" i="3" s="1"/>
  <c r="BF197" i="3"/>
  <c r="BE197" i="3" s="1"/>
  <c r="AY232" i="3"/>
  <c r="AX232" i="3" s="1"/>
  <c r="AY104" i="3"/>
  <c r="AX104" i="3" s="1"/>
  <c r="AY43" i="3"/>
  <c r="AX43" i="3" s="1"/>
  <c r="BF186" i="3"/>
  <c r="BE186" i="3" s="1"/>
  <c r="BH82" i="3"/>
  <c r="BG82" i="3" s="1"/>
  <c r="BA108" i="3"/>
  <c r="AZ108" i="3" s="1"/>
  <c r="BA69" i="3"/>
  <c r="AZ69" i="3" s="1"/>
  <c r="BF64" i="3"/>
  <c r="BE64" i="3" s="1"/>
  <c r="BL239" i="3"/>
  <c r="BK239" i="3" s="1"/>
  <c r="BE158" i="3"/>
  <c r="BJ186" i="3"/>
  <c r="BI186" i="3" s="1"/>
  <c r="BH179" i="3"/>
  <c r="BG179" i="3" s="1"/>
  <c r="AY202" i="3"/>
  <c r="AX202" i="3" s="1"/>
  <c r="BJ209" i="3"/>
  <c r="BI209" i="3" s="1"/>
  <c r="BL91" i="3"/>
  <c r="BK91" i="3" s="1"/>
  <c r="BA196" i="3"/>
  <c r="AZ196" i="3" s="1"/>
  <c r="BC122" i="3"/>
  <c r="BB122" i="3" s="1"/>
  <c r="AY227" i="3"/>
  <c r="BL37" i="3"/>
  <c r="BK37" i="3" s="1"/>
  <c r="AY178" i="3"/>
  <c r="AX178" i="3" s="1"/>
  <c r="BC231" i="3"/>
  <c r="BB231" i="3" s="1"/>
  <c r="BJ109" i="3"/>
  <c r="BI109" i="3" s="1"/>
  <c r="BF119" i="3"/>
  <c r="BE119" i="3" s="1"/>
  <c r="BA177" i="3"/>
  <c r="AZ177" i="3" s="1"/>
  <c r="BB235" i="3"/>
  <c r="AY54" i="3"/>
  <c r="AX54" i="3" s="1"/>
  <c r="BL139" i="3"/>
  <c r="BK139" i="3" s="1"/>
  <c r="BC57" i="3"/>
  <c r="BB57" i="3" s="1"/>
  <c r="BF142" i="3"/>
  <c r="BE142" i="3" s="1"/>
  <c r="BL108" i="3"/>
  <c r="BK108" i="3" s="1"/>
  <c r="AW120" i="3"/>
  <c r="AV120" i="3" s="1"/>
  <c r="BK146" i="3"/>
  <c r="BL157" i="3"/>
  <c r="BK157" i="3" s="1"/>
  <c r="BH48" i="3"/>
  <c r="BG48" i="3" s="1"/>
  <c r="BL129" i="3"/>
  <c r="BK129" i="3" s="1"/>
  <c r="BJ117" i="3"/>
  <c r="BI117" i="3" s="1"/>
  <c r="BC139" i="3"/>
  <c r="BB139" i="3" s="1"/>
  <c r="BA31" i="3"/>
  <c r="AZ31" i="3" s="1"/>
  <c r="BF147" i="3"/>
  <c r="BE147" i="3" s="1"/>
  <c r="BA165" i="3"/>
  <c r="AZ165" i="3" s="1"/>
  <c r="BJ123" i="3"/>
  <c r="BI123" i="3" s="1"/>
  <c r="BH74" i="3"/>
  <c r="BG74" i="3" s="1"/>
  <c r="BF214" i="3"/>
  <c r="BE214" i="3" s="1"/>
  <c r="BC68" i="3"/>
  <c r="BB68" i="3" s="1"/>
  <c r="BF130" i="3"/>
  <c r="BE130" i="3" s="1"/>
  <c r="BC65" i="3"/>
  <c r="BB65" i="3" s="1"/>
  <c r="AZ38" i="3"/>
  <c r="BL187" i="3"/>
  <c r="BK187" i="3" s="1"/>
  <c r="AW109" i="3"/>
  <c r="AV109" i="3" s="1"/>
  <c r="BC70" i="3"/>
  <c r="BB70" i="3" s="1"/>
  <c r="BC85" i="3"/>
  <c r="BB85" i="3" s="1"/>
  <c r="BF131" i="3"/>
  <c r="BE131" i="3" s="1"/>
  <c r="BF221" i="3"/>
  <c r="BE221" i="3" s="1"/>
  <c r="BF169" i="3"/>
  <c r="BE169" i="3" s="1"/>
  <c r="BA64" i="3"/>
  <c r="AZ64" i="3" s="1"/>
  <c r="BJ84" i="3"/>
  <c r="BI84" i="3" s="1"/>
  <c r="BF177" i="3"/>
  <c r="BE177" i="3" s="1"/>
  <c r="BA230" i="3"/>
  <c r="AZ230" i="3" s="1"/>
  <c r="BJ82" i="3"/>
  <c r="BI82" i="3" s="1"/>
  <c r="BL217" i="3"/>
  <c r="BK217" i="3" s="1"/>
  <c r="BK141" i="3"/>
  <c r="BJ132" i="3"/>
  <c r="BI132" i="3" s="1"/>
  <c r="BJ171" i="3"/>
  <c r="BI171" i="3" s="1"/>
  <c r="BC232" i="3"/>
  <c r="BJ62" i="3"/>
  <c r="BI62" i="3" s="1"/>
  <c r="BJ143" i="3"/>
  <c r="BI143" i="3" s="1"/>
  <c r="BF48" i="3"/>
  <c r="BE48" i="3" s="1"/>
  <c r="BB87" i="3"/>
  <c r="BF77" i="3"/>
  <c r="BE77" i="3" s="1"/>
  <c r="BJ233" i="3"/>
  <c r="BI233" i="3" s="1"/>
  <c r="BH130" i="3"/>
  <c r="BG130" i="3" s="1"/>
  <c r="BJ70" i="3"/>
  <c r="BI70" i="3" s="1"/>
  <c r="BH229" i="3"/>
  <c r="BG229" i="3" s="1"/>
  <c r="BA100" i="3"/>
  <c r="AZ100" i="3" s="1"/>
  <c r="BL165" i="3"/>
  <c r="BK165" i="3" s="1"/>
  <c r="BJ200" i="3"/>
  <c r="BI200" i="3" s="1"/>
  <c r="BI169" i="3"/>
  <c r="AZ169" i="3"/>
  <c r="BL59" i="3"/>
  <c r="BK59" i="3" s="1"/>
  <c r="BJ183" i="3"/>
  <c r="BI183" i="3" s="1"/>
  <c r="BA118" i="3"/>
  <c r="AZ118" i="3" s="1"/>
  <c r="BA224" i="3"/>
  <c r="AZ224" i="3" s="1"/>
  <c r="BE87" i="3"/>
  <c r="AW228" i="3"/>
  <c r="AV228" i="3" s="1"/>
  <c r="BA57" i="3"/>
  <c r="AZ57" i="3" s="1"/>
  <c r="BJ217" i="3"/>
  <c r="BI217" i="3" s="1"/>
  <c r="BL221" i="3"/>
  <c r="BK221" i="3" s="1"/>
  <c r="BA62" i="3"/>
  <c r="AZ62" i="3" s="1"/>
  <c r="BC203" i="3"/>
  <c r="BB203" i="3" s="1"/>
  <c r="BA217" i="3"/>
  <c r="AZ217" i="3" s="1"/>
  <c r="AW97" i="3"/>
  <c r="AV97" i="3" s="1"/>
  <c r="BL200" i="3"/>
  <c r="BK200" i="3" s="1"/>
  <c r="BJ204" i="3"/>
  <c r="BI204" i="3" s="1"/>
  <c r="AW180" i="3"/>
  <c r="AV180" i="3" s="1"/>
  <c r="BF33" i="3"/>
  <c r="BE33" i="3" s="1"/>
  <c r="AV112" i="3"/>
  <c r="BF220" i="3"/>
  <c r="BE220" i="3" s="1"/>
  <c r="AW103" i="3"/>
  <c r="AV103" i="3" s="1"/>
  <c r="AW197" i="3"/>
  <c r="AV197" i="3" s="1"/>
  <c r="BF163" i="3"/>
  <c r="BE163" i="3" s="1"/>
  <c r="BH107" i="3"/>
  <c r="BG107" i="3" s="1"/>
  <c r="BH171" i="3"/>
  <c r="BG171" i="3" s="1"/>
  <c r="BF232" i="3"/>
  <c r="BE232" i="3" s="1"/>
  <c r="BA159" i="3"/>
  <c r="AZ159" i="3" s="1"/>
  <c r="BF200" i="3"/>
  <c r="BE200" i="3" s="1"/>
  <c r="AV225" i="3"/>
  <c r="BC91" i="3"/>
  <c r="BB91" i="3" s="1"/>
  <c r="BA129" i="3"/>
  <c r="AZ129" i="3" s="1"/>
  <c r="BL90" i="3"/>
  <c r="BK90" i="3" s="1"/>
  <c r="BH148" i="3"/>
  <c r="BG148" i="3" s="1"/>
  <c r="BF211" i="3"/>
  <c r="BE211" i="3" s="1"/>
  <c r="BF51" i="3"/>
  <c r="BE51" i="3" s="1"/>
  <c r="AY92" i="3"/>
  <c r="AX92" i="3" s="1"/>
  <c r="BA172" i="3"/>
  <c r="AZ172" i="3" s="1"/>
  <c r="BA70" i="3"/>
  <c r="AZ70" i="3" s="1"/>
  <c r="AW211" i="3"/>
  <c r="AV211" i="3" s="1"/>
  <c r="BJ130" i="3"/>
  <c r="BI130" i="3" s="1"/>
  <c r="BL104" i="3"/>
  <c r="BK104" i="3" s="1"/>
  <c r="BH117" i="3"/>
  <c r="BG117" i="3" s="1"/>
  <c r="BF140" i="3"/>
  <c r="BE140" i="3" s="1"/>
  <c r="BL174" i="3"/>
  <c r="BK174" i="3" s="1"/>
  <c r="BC170" i="3"/>
  <c r="BB170" i="3" s="1"/>
  <c r="BF72" i="3"/>
  <c r="BE72" i="3" s="1"/>
  <c r="BL175" i="3"/>
  <c r="BK175" i="3" s="1"/>
  <c r="AY173" i="3"/>
  <c r="AX173" i="3" s="1"/>
  <c r="BF110" i="3"/>
  <c r="BE110" i="3" s="1"/>
  <c r="BF168" i="3"/>
  <c r="BE168" i="3" s="1"/>
  <c r="BC129" i="3"/>
  <c r="BB129" i="3" s="1"/>
  <c r="BA151" i="3"/>
  <c r="AZ151" i="3" s="1"/>
  <c r="BF70" i="3"/>
  <c r="BE70" i="3" s="1"/>
  <c r="AY128" i="3"/>
  <c r="AX128" i="3" s="1"/>
  <c r="AW173" i="3"/>
  <c r="AV173" i="3" s="1"/>
  <c r="AY40" i="3"/>
  <c r="AX40" i="3" s="1"/>
  <c r="BA82" i="3"/>
  <c r="AZ82" i="3" s="1"/>
  <c r="BG164" i="3"/>
  <c r="BA219" i="3"/>
  <c r="AZ219" i="3" s="1"/>
  <c r="AX30" i="3"/>
  <c r="BF42" i="3"/>
  <c r="BE42" i="3" s="1"/>
  <c r="BJ108" i="3"/>
  <c r="BI108" i="3" s="1"/>
  <c r="BA109" i="3"/>
  <c r="AZ109" i="3" s="1"/>
  <c r="BF79" i="3"/>
  <c r="BE79" i="3" s="1"/>
  <c r="BA213" i="3"/>
  <c r="AZ213" i="3" s="1"/>
  <c r="BA155" i="3"/>
  <c r="AZ155" i="3" s="1"/>
  <c r="AW115" i="3"/>
  <c r="AV115" i="3" s="1"/>
  <c r="AY142" i="3"/>
  <c r="AX142" i="3" s="1"/>
  <c r="BJ68" i="3"/>
  <c r="BI68" i="3" s="1"/>
  <c r="BL142" i="3"/>
  <c r="BK142" i="3" s="1"/>
  <c r="BA49" i="3"/>
  <c r="AZ49" i="3" s="1"/>
  <c r="AY157" i="3"/>
  <c r="AX157" i="3" s="1"/>
  <c r="BC165" i="3"/>
  <c r="BB165" i="3" s="1"/>
  <c r="BG71" i="3"/>
  <c r="BA97" i="3"/>
  <c r="AZ97" i="3" s="1"/>
  <c r="BC113" i="3"/>
  <c r="BB113" i="3" s="1"/>
  <c r="BA75" i="3"/>
  <c r="AZ75" i="3" s="1"/>
  <c r="BA226" i="3"/>
  <c r="AZ226" i="3" s="1"/>
  <c r="AW127" i="3"/>
  <c r="AV127" i="3" s="1"/>
  <c r="AW221" i="3"/>
  <c r="AV221" i="3" s="1"/>
  <c r="BF233" i="3"/>
  <c r="BE233" i="3" s="1"/>
  <c r="AY31" i="3"/>
  <c r="AX31" i="3" s="1"/>
  <c r="BJ69" i="3"/>
  <c r="BI69" i="3" s="1"/>
  <c r="AY220" i="3"/>
  <c r="AX220" i="3" s="1"/>
  <c r="BF65" i="3"/>
  <c r="BE65" i="3" s="1"/>
  <c r="AX223" i="3"/>
  <c r="BI96" i="3"/>
  <c r="BA201" i="3"/>
  <c r="AZ201" i="3" s="1"/>
  <c r="BF176" i="3"/>
  <c r="BE176" i="3" s="1"/>
  <c r="AW49" i="3"/>
  <c r="AV49" i="3" s="1"/>
  <c r="AW161" i="3"/>
  <c r="AV161" i="3" s="1"/>
  <c r="BH151" i="3"/>
  <c r="BG151" i="3" s="1"/>
  <c r="BL156" i="3"/>
  <c r="BK156" i="3" s="1"/>
  <c r="BL85" i="3"/>
  <c r="BK85" i="3" s="1"/>
  <c r="BA154" i="3"/>
  <c r="AZ154" i="3" s="1"/>
  <c r="BL33" i="3"/>
  <c r="BK33" i="3" s="1"/>
  <c r="BF209" i="3"/>
  <c r="AW157" i="3"/>
  <c r="AV157" i="3" s="1"/>
  <c r="BA72" i="3"/>
  <c r="AZ72" i="3" s="1"/>
  <c r="BH167" i="3"/>
  <c r="BG167" i="3" s="1"/>
  <c r="BF31" i="3"/>
  <c r="BE31" i="3" s="1"/>
  <c r="AY218" i="3"/>
  <c r="AX218" i="3" s="1"/>
  <c r="BL99" i="3"/>
  <c r="BK99" i="3" s="1"/>
  <c r="BF94" i="3"/>
  <c r="BE94" i="3" s="1"/>
  <c r="BJ191" i="3"/>
  <c r="BI191" i="3" s="1"/>
  <c r="BC171" i="3"/>
  <c r="BB171" i="3" s="1"/>
  <c r="BC141" i="3"/>
  <c r="BB141" i="3" s="1"/>
  <c r="BA86" i="3"/>
  <c r="AZ86" i="3" s="1"/>
  <c r="BA178" i="3"/>
  <c r="AZ178" i="3" s="1"/>
  <c r="BH88" i="3"/>
  <c r="BG88" i="3" s="1"/>
  <c r="BH57" i="3"/>
  <c r="BG57" i="3" s="1"/>
  <c r="BF59" i="3"/>
  <c r="BE59" i="3" s="1"/>
  <c r="BC219" i="3"/>
  <c r="BB219" i="3" s="1"/>
  <c r="AW230" i="3"/>
  <c r="AV230" i="3" s="1"/>
  <c r="BH119" i="3"/>
  <c r="BG119" i="3" s="1"/>
  <c r="AW209" i="3"/>
  <c r="AV209" i="3" s="1"/>
  <c r="BH80" i="3"/>
  <c r="BG80" i="3" s="1"/>
  <c r="AW76" i="3"/>
  <c r="AV76" i="3" s="1"/>
  <c r="BH226" i="3"/>
  <c r="BG226" i="3" s="1"/>
  <c r="AW213" i="3"/>
  <c r="AV213" i="3" s="1"/>
  <c r="BJ76" i="3"/>
  <c r="BI76" i="3" s="1"/>
  <c r="BF218" i="3"/>
  <c r="BE218" i="3" s="1"/>
  <c r="BC29" i="3"/>
  <c r="BB29" i="3" s="1"/>
  <c r="AY158" i="3"/>
  <c r="AX158" i="3" s="1"/>
  <c r="AW210" i="3"/>
  <c r="AV210" i="3" s="1"/>
  <c r="BA127" i="3"/>
  <c r="AZ127" i="3" s="1"/>
  <c r="AY198" i="3"/>
  <c r="AX198" i="3" s="1"/>
  <c r="BH238" i="3"/>
  <c r="BG238" i="3" s="1"/>
  <c r="AY115" i="3"/>
  <c r="AX115" i="3" s="1"/>
  <c r="BL100" i="3"/>
  <c r="BK100" i="3" s="1"/>
  <c r="AY120" i="3"/>
  <c r="AX120" i="3" s="1"/>
  <c r="BL110" i="3"/>
  <c r="BK110" i="3" s="1"/>
  <c r="AW150" i="3"/>
  <c r="AV150" i="3" s="1"/>
  <c r="AZ141" i="3"/>
  <c r="AW186" i="3"/>
  <c r="AV186" i="3" s="1"/>
  <c r="BG225" i="3"/>
  <c r="BJ231" i="3"/>
  <c r="BI231" i="3" s="1"/>
  <c r="BJ124" i="3"/>
  <c r="BI124" i="3" s="1"/>
  <c r="BA110" i="3"/>
  <c r="AZ110" i="3" s="1"/>
  <c r="BL72" i="3"/>
  <c r="BK72" i="3" s="1"/>
  <c r="AY187" i="3"/>
  <c r="AX187" i="3" s="1"/>
  <c r="BH41" i="3"/>
  <c r="BG41" i="3" s="1"/>
  <c r="BJ72" i="3"/>
  <c r="BI72" i="3" s="1"/>
  <c r="AY123" i="3"/>
  <c r="AX123" i="3" s="1"/>
  <c r="BF122" i="3"/>
  <c r="BE122" i="3" s="1"/>
  <c r="BA80" i="3"/>
  <c r="AZ80" i="3" s="1"/>
  <c r="BF228" i="3"/>
  <c r="BE228" i="3" s="1"/>
  <c r="BF29" i="3"/>
  <c r="BE29" i="3" s="1"/>
  <c r="BC211" i="3"/>
  <c r="BB211" i="3" s="1"/>
  <c r="BF198" i="3"/>
  <c r="BE198" i="3" s="1"/>
  <c r="AY208" i="3"/>
  <c r="AX208" i="3" s="1"/>
  <c r="BC207" i="3"/>
  <c r="BB207" i="3" s="1"/>
  <c r="BC191" i="3"/>
  <c r="BB191" i="3" s="1"/>
  <c r="BK47" i="3"/>
  <c r="BJ52" i="3"/>
  <c r="BI52" i="3" s="1"/>
  <c r="BH123" i="3"/>
  <c r="BG123" i="3" s="1"/>
  <c r="AY45" i="3"/>
  <c r="AX45" i="3" s="1"/>
  <c r="BL183" i="3"/>
  <c r="BK183" i="3" s="1"/>
  <c r="BA168" i="3"/>
  <c r="AZ168" i="3" s="1"/>
  <c r="BA192" i="3"/>
  <c r="AZ192" i="3" s="1"/>
  <c r="BA32" i="3"/>
  <c r="AZ32" i="3" s="1"/>
  <c r="BL57" i="3"/>
  <c r="BK57" i="3" s="1"/>
  <c r="BF39" i="3"/>
  <c r="BE39" i="3" s="1"/>
  <c r="BL201" i="3"/>
  <c r="BK201" i="3" s="1"/>
  <c r="BC186" i="3"/>
  <c r="BB186" i="3" s="1"/>
  <c r="BF181" i="3"/>
  <c r="BE181" i="3" s="1"/>
  <c r="BF129" i="3"/>
  <c r="BE129" i="3" s="1"/>
  <c r="AY100" i="3"/>
  <c r="AX100" i="3" s="1"/>
  <c r="BJ135" i="3"/>
  <c r="BI135" i="3" s="1"/>
  <c r="BJ157" i="3"/>
  <c r="BI157" i="3" s="1"/>
  <c r="BL84" i="3"/>
  <c r="BK84" i="3" s="1"/>
  <c r="BJ224" i="3"/>
  <c r="BI224" i="3" s="1"/>
  <c r="BL43" i="3"/>
  <c r="BK43" i="3" s="1"/>
  <c r="BF226" i="3"/>
  <c r="BE226" i="3" s="1"/>
  <c r="BA208" i="3"/>
  <c r="AZ208" i="3" s="1"/>
  <c r="AW82" i="3"/>
  <c r="AV82" i="3" s="1"/>
  <c r="BB152" i="3"/>
  <c r="BA215" i="3"/>
  <c r="AZ215" i="3" s="1"/>
  <c r="BH202" i="3"/>
  <c r="BG202" i="3" s="1"/>
  <c r="BC45" i="3"/>
  <c r="BB45" i="3" s="1"/>
  <c r="BH230" i="3"/>
  <c r="BG230" i="3" s="1"/>
  <c r="AZ133" i="3"/>
  <c r="BA191" i="3"/>
  <c r="AZ191" i="3" s="1"/>
  <c r="AY33" i="3"/>
  <c r="AX33" i="3" s="1"/>
  <c r="BC78" i="3"/>
  <c r="BB78" i="3" s="1"/>
  <c r="BJ105" i="3"/>
  <c r="BI105" i="3" s="1"/>
  <c r="BH142" i="3"/>
  <c r="BG142" i="3" s="1"/>
  <c r="BA164" i="3"/>
  <c r="AZ164" i="3" s="1"/>
  <c r="BJ151" i="3"/>
  <c r="BI151" i="3" s="1"/>
  <c r="BF236" i="3"/>
  <c r="BE236" i="3" s="1"/>
  <c r="BF179" i="3"/>
  <c r="BE179" i="3" s="1"/>
  <c r="AY129" i="3"/>
  <c r="AX129" i="3" s="1"/>
  <c r="BC189" i="3"/>
  <c r="BB189" i="3" s="1"/>
  <c r="AY150" i="3"/>
  <c r="AX150" i="3" s="1"/>
  <c r="BL178" i="3"/>
  <c r="BK178" i="3" s="1"/>
  <c r="AY166" i="3"/>
  <c r="AX166" i="3" s="1"/>
  <c r="AY152" i="3"/>
  <c r="AX152" i="3" s="1"/>
  <c r="BF188" i="3"/>
  <c r="BE188" i="3" s="1"/>
  <c r="BI223" i="3"/>
  <c r="BC98" i="3"/>
  <c r="BB98" i="3" s="1"/>
  <c r="AW147" i="3"/>
  <c r="AV147" i="3" s="1"/>
  <c r="BA111" i="3"/>
  <c r="AZ111" i="3" s="1"/>
  <c r="BA195" i="3"/>
  <c r="AZ195" i="3" s="1"/>
  <c r="AV149" i="3"/>
  <c r="BJ160" i="3"/>
  <c r="BI160" i="3" s="1"/>
  <c r="BC136" i="3"/>
  <c r="BB136" i="3" s="1"/>
  <c r="BJ29" i="3"/>
  <c r="BI29" i="3" s="1"/>
  <c r="BL36" i="3"/>
  <c r="BK36" i="3" s="1"/>
  <c r="AY143" i="3"/>
  <c r="AX143" i="3" s="1"/>
  <c r="BC89" i="3"/>
  <c r="BB89" i="3" s="1"/>
  <c r="BH116" i="3"/>
  <c r="BG116" i="3" s="1"/>
  <c r="BI137" i="3"/>
  <c r="AY59" i="3"/>
  <c r="AX59" i="3" s="1"/>
  <c r="AY109" i="3"/>
  <c r="AX109" i="3" s="1"/>
  <c r="AY155" i="3"/>
  <c r="AX155" i="3" s="1"/>
  <c r="AW226" i="3"/>
  <c r="AV226" i="3" s="1"/>
  <c r="BL181" i="3"/>
  <c r="BK181" i="3" s="1"/>
  <c r="AV141" i="3"/>
  <c r="BA112" i="3"/>
  <c r="AZ112" i="3" s="1"/>
  <c r="AY42" i="3"/>
  <c r="AX42" i="3" s="1"/>
  <c r="AW205" i="3"/>
  <c r="AV205" i="3" s="1"/>
  <c r="BH174" i="3"/>
  <c r="BG174" i="3" s="1"/>
  <c r="BG223" i="3"/>
  <c r="BA228" i="3"/>
  <c r="AZ228" i="3" s="1"/>
  <c r="AW239" i="3"/>
  <c r="AV239" i="3" s="1"/>
  <c r="BF159" i="3"/>
  <c r="BE159" i="3" s="1"/>
  <c r="AW71" i="3"/>
  <c r="AV71" i="3" s="1"/>
  <c r="BH181" i="3"/>
  <c r="BG181" i="3" s="1"/>
  <c r="BA234" i="3"/>
  <c r="AZ234" i="3" s="1"/>
  <c r="AY160" i="3"/>
  <c r="AX160" i="3" s="1"/>
  <c r="BH205" i="3"/>
  <c r="BG205" i="3" s="1"/>
  <c r="BH134" i="3"/>
  <c r="BG134" i="3" s="1"/>
  <c r="AY98" i="3"/>
  <c r="AX98" i="3" s="1"/>
  <c r="AW132" i="3"/>
  <c r="AV132" i="3" s="1"/>
  <c r="BH81" i="3"/>
  <c r="BG81" i="3" s="1"/>
  <c r="BC169" i="3"/>
  <c r="BB169" i="3" s="1"/>
  <c r="AW176" i="3"/>
  <c r="AV176" i="3" s="1"/>
  <c r="BE216" i="3"/>
  <c r="BH31" i="3"/>
  <c r="BG31" i="3" s="1"/>
  <c r="BL234" i="3"/>
  <c r="BK234" i="3" s="1"/>
  <c r="BJ232" i="3"/>
  <c r="BI232" i="3" s="1"/>
  <c r="BC52" i="3"/>
  <c r="BB52" i="3" s="1"/>
  <c r="BL29" i="3"/>
  <c r="BK29" i="3" s="1"/>
  <c r="BA231" i="3"/>
  <c r="AZ231" i="3" s="1"/>
  <c r="AY233" i="3"/>
  <c r="AX233" i="3" s="1"/>
  <c r="AX86" i="3"/>
  <c r="BL153" i="3"/>
  <c r="BK153" i="3" s="1"/>
  <c r="BA209" i="3"/>
  <c r="BJ53" i="3"/>
  <c r="BI53" i="3" s="1"/>
  <c r="BL112" i="3"/>
  <c r="BK112" i="3" s="1"/>
  <c r="BC54" i="3"/>
  <c r="BB54" i="3" s="1"/>
  <c r="AY228" i="3"/>
  <c r="AX228" i="3" s="1"/>
  <c r="BH67" i="3"/>
  <c r="BG67" i="3" s="1"/>
  <c r="AY29" i="3"/>
  <c r="AX29" i="3" s="1"/>
  <c r="BI78" i="3"/>
  <c r="AW185" i="3"/>
  <c r="AV185" i="3" s="1"/>
  <c r="AV46" i="3"/>
  <c r="BL213" i="3"/>
  <c r="BK213" i="3" s="1"/>
  <c r="BL107" i="3"/>
  <c r="BK107" i="3" s="1"/>
  <c r="BJ73" i="3"/>
  <c r="BI73" i="3" s="1"/>
  <c r="BA84" i="3"/>
  <c r="AZ84" i="3" s="1"/>
  <c r="BH176" i="3"/>
  <c r="BG176" i="3" s="1"/>
  <c r="BH190" i="3"/>
  <c r="BG190" i="3" s="1"/>
  <c r="AY141" i="3"/>
  <c r="AX141" i="3" s="1"/>
  <c r="AW216" i="3"/>
  <c r="AV216" i="3" s="1"/>
  <c r="BJ177" i="3"/>
  <c r="BI177" i="3" s="1"/>
  <c r="BL66" i="3"/>
  <c r="BK66" i="3" s="1"/>
  <c r="BL76" i="3"/>
  <c r="BK76" i="3" s="1"/>
  <c r="BA221" i="3"/>
  <c r="AZ221" i="3" s="1"/>
  <c r="BF47" i="3"/>
  <c r="BE47" i="3" s="1"/>
  <c r="BH140" i="3"/>
  <c r="BG140" i="3" s="1"/>
  <c r="BL117" i="3"/>
  <c r="BK117" i="3" s="1"/>
  <c r="AY101" i="3"/>
  <c r="AX101" i="3" s="1"/>
  <c r="BC222" i="3"/>
  <c r="BB222" i="3" s="1"/>
  <c r="BL171" i="3"/>
  <c r="BK171" i="3" s="1"/>
  <c r="BJ60" i="3"/>
  <c r="BI60" i="3" s="1"/>
  <c r="BC63" i="3"/>
  <c r="BB63" i="3" s="1"/>
  <c r="BJ100" i="3"/>
  <c r="BI100" i="3" s="1"/>
  <c r="BL60" i="3"/>
  <c r="BK60" i="3" s="1"/>
  <c r="BA130" i="3"/>
  <c r="AZ130" i="3" s="1"/>
  <c r="BA171" i="3"/>
  <c r="AZ171" i="3" s="1"/>
  <c r="BH178" i="3"/>
  <c r="BG178" i="3" s="1"/>
  <c r="BH115" i="3"/>
  <c r="BG115" i="3" s="1"/>
  <c r="BJ176" i="3"/>
  <c r="BI176" i="3" s="1"/>
  <c r="BC79" i="3"/>
  <c r="BB79" i="3" s="1"/>
  <c r="BF101" i="3"/>
  <c r="BE101" i="3" s="1"/>
  <c r="AY81" i="3"/>
  <c r="AX81" i="3" s="1"/>
  <c r="BA136" i="3"/>
  <c r="AZ136" i="3" s="1"/>
  <c r="BJ167" i="3"/>
  <c r="BI167" i="3" s="1"/>
  <c r="BG133" i="3"/>
  <c r="AW224" i="3"/>
  <c r="AV224" i="3" s="1"/>
  <c r="BA117" i="3"/>
  <c r="AZ117" i="3" s="1"/>
  <c r="BH139" i="3"/>
  <c r="BG139" i="3" s="1"/>
  <c r="AV96" i="3"/>
  <c r="AY196" i="3"/>
  <c r="AX196" i="3" s="1"/>
  <c r="AY211" i="3"/>
  <c r="AX211" i="3" s="1"/>
  <c r="BA45" i="3"/>
  <c r="AZ45" i="3" s="1"/>
  <c r="AY84" i="3"/>
  <c r="AX84" i="3" s="1"/>
  <c r="BJ149" i="3"/>
  <c r="BI149" i="3" s="1"/>
  <c r="AW32" i="3"/>
  <c r="AV32" i="3" s="1"/>
  <c r="BF227" i="3"/>
  <c r="BE227" i="3" s="1"/>
  <c r="BH209" i="3"/>
  <c r="BG209" i="3" s="1"/>
  <c r="BH213" i="3"/>
  <c r="BG213" i="3" s="1"/>
  <c r="BG118" i="3"/>
  <c r="BL172" i="3"/>
  <c r="BK172" i="3" s="1"/>
  <c r="BC103" i="3"/>
  <c r="BB103" i="3" s="1"/>
  <c r="BA34" i="3"/>
  <c r="AZ34" i="3" s="1"/>
  <c r="BG47" i="3"/>
  <c r="AX239" i="3"/>
  <c r="BI230" i="3"/>
  <c r="BJ119" i="3"/>
  <c r="BI119" i="3" s="1"/>
  <c r="BA59" i="3"/>
  <c r="AZ59" i="3" s="1"/>
  <c r="BC62" i="3"/>
  <c r="BB62" i="3" s="1"/>
  <c r="BH63" i="3"/>
  <c r="BK102" i="3"/>
  <c r="AZ146" i="3"/>
  <c r="BH160" i="3"/>
  <c r="BG160" i="3" s="1"/>
  <c r="BH89" i="3"/>
  <c r="BG89" i="3" s="1"/>
  <c r="BF89" i="3"/>
  <c r="BE89" i="3" s="1"/>
  <c r="BF61" i="3"/>
  <c r="BE61" i="3" s="1"/>
  <c r="BL109" i="3"/>
  <c r="BK109" i="3" s="1"/>
  <c r="AW65" i="3"/>
  <c r="AV65" i="3" s="1"/>
  <c r="BL232" i="3"/>
  <c r="BK232" i="3" s="1"/>
  <c r="BL127" i="3"/>
  <c r="BK127" i="3" s="1"/>
  <c r="BJ199" i="3"/>
  <c r="BI199" i="3" s="1"/>
  <c r="BC197" i="3"/>
  <c r="BB197" i="3" s="1"/>
  <c r="BC100" i="3"/>
  <c r="BB100" i="3" s="1"/>
  <c r="BH62" i="3"/>
  <c r="BG62" i="3" s="1"/>
  <c r="BF117" i="3"/>
  <c r="BE117" i="3" s="1"/>
  <c r="BH195" i="3"/>
  <c r="BG195" i="3" s="1"/>
  <c r="BF217" i="3"/>
  <c r="BE217" i="3" s="1"/>
  <c r="AW156" i="3"/>
  <c r="AV156" i="3" s="1"/>
  <c r="AY76" i="3"/>
  <c r="AX76" i="3" s="1"/>
  <c r="BJ51" i="3"/>
  <c r="BI51" i="3" s="1"/>
  <c r="BF144" i="3"/>
  <c r="BE144" i="3" s="1"/>
  <c r="AW42" i="3"/>
  <c r="AV42" i="3" s="1"/>
  <c r="BL134" i="3"/>
  <c r="BK134" i="3" s="1"/>
  <c r="BJ90" i="3"/>
  <c r="BI90" i="3" s="1"/>
  <c r="BC33" i="3"/>
  <c r="BB33" i="3" s="1"/>
  <c r="BH108" i="3"/>
  <c r="BG108" i="3" s="1"/>
  <c r="BL92" i="3"/>
  <c r="BK92" i="3" s="1"/>
  <c r="AY195" i="3"/>
  <c r="AX195" i="3" s="1"/>
  <c r="BC168" i="3"/>
  <c r="BB168" i="3" s="1"/>
  <c r="BH156" i="3"/>
  <c r="BG156" i="3" s="1"/>
  <c r="BC196" i="3"/>
  <c r="BB196" i="3" s="1"/>
  <c r="AY238" i="3"/>
  <c r="AX238" i="3" s="1"/>
  <c r="AY108" i="3"/>
  <c r="AX108" i="3" s="1"/>
  <c r="BJ207" i="3"/>
  <c r="BI207" i="3" s="1"/>
  <c r="BA124" i="3"/>
  <c r="AZ124" i="3" s="1"/>
  <c r="AX237" i="3"/>
  <c r="BJ50" i="3"/>
  <c r="BI50" i="3" s="1"/>
  <c r="BA37" i="3"/>
  <c r="AZ37" i="3" s="1"/>
  <c r="AY97" i="3"/>
  <c r="AX97" i="3" s="1"/>
  <c r="BF74" i="3"/>
  <c r="BE74" i="3" s="1"/>
  <c r="BL158" i="3"/>
  <c r="BK158" i="3" s="1"/>
  <c r="BA65" i="3"/>
  <c r="AZ65" i="3" s="1"/>
  <c r="BA99" i="3"/>
  <c r="AZ99" i="3" s="1"/>
  <c r="BA123" i="3"/>
  <c r="AZ123" i="3" s="1"/>
  <c r="BF112" i="3"/>
  <c r="BE112" i="3" s="1"/>
  <c r="BF165" i="3"/>
  <c r="BE165" i="3" s="1"/>
  <c r="BC183" i="3"/>
  <c r="BB183" i="3" s="1"/>
  <c r="BJ33" i="3"/>
  <c r="BI33" i="3" s="1"/>
  <c r="BJ144" i="3"/>
  <c r="BI144" i="3" s="1"/>
  <c r="AY127" i="3"/>
  <c r="AX127" i="3" s="1"/>
  <c r="BJ185" i="3"/>
  <c r="BI185" i="3" s="1"/>
  <c r="AY186" i="3"/>
  <c r="AX186" i="3" s="1"/>
  <c r="CV229" i="3"/>
  <c r="CW229" i="3"/>
  <c r="CP229" i="3"/>
  <c r="CT229" i="3"/>
  <c r="CR229" i="3"/>
  <c r="CM229" i="3"/>
  <c r="CU229" i="3"/>
  <c r="CO229" i="3"/>
  <c r="CQ229" i="3"/>
  <c r="CV72" i="3"/>
  <c r="CT72" i="3"/>
  <c r="CU72" i="3"/>
  <c r="CR72" i="3"/>
  <c r="CW72" i="3"/>
  <c r="CO72" i="3"/>
  <c r="CP72" i="3"/>
  <c r="CM72" i="3"/>
  <c r="CQ72" i="3"/>
  <c r="CV120" i="3"/>
  <c r="CQ120" i="3"/>
  <c r="CR120" i="3"/>
  <c r="CM120" i="3"/>
  <c r="CU120" i="3"/>
  <c r="CO120" i="3"/>
  <c r="CW120" i="3"/>
  <c r="CT120" i="3"/>
  <c r="CP120" i="3"/>
  <c r="BE54" i="3"/>
  <c r="CP200" i="3"/>
  <c r="CV200" i="3"/>
  <c r="CT200" i="3"/>
  <c r="CW200" i="3"/>
  <c r="CU200" i="3"/>
  <c r="CM200" i="3"/>
  <c r="CR200" i="3"/>
  <c r="CQ200" i="3"/>
  <c r="CO200" i="3"/>
  <c r="CW130" i="3"/>
  <c r="CQ130" i="3"/>
  <c r="CM130" i="3"/>
  <c r="CP130" i="3"/>
  <c r="CV130" i="3"/>
  <c r="CT130" i="3"/>
  <c r="CO130" i="3"/>
  <c r="CR130" i="3"/>
  <c r="CU130" i="3"/>
  <c r="CR110" i="3"/>
  <c r="CQ110" i="3"/>
  <c r="CO110" i="3"/>
  <c r="CV110" i="3"/>
  <c r="CT110" i="3"/>
  <c r="CP110" i="3"/>
  <c r="CM110" i="3"/>
  <c r="CU110" i="3"/>
  <c r="CW110" i="3"/>
  <c r="CR206" i="3"/>
  <c r="CW206" i="3"/>
  <c r="CQ206" i="3"/>
  <c r="CU206" i="3"/>
  <c r="CO206" i="3"/>
  <c r="CP206" i="3"/>
  <c r="CV206" i="3"/>
  <c r="CM206" i="3"/>
  <c r="CT206" i="3"/>
  <c r="CP121" i="3"/>
  <c r="CR121" i="3"/>
  <c r="CM121" i="3"/>
  <c r="CT121" i="3"/>
  <c r="CO121" i="3"/>
  <c r="CW121" i="3"/>
  <c r="CQ121" i="3"/>
  <c r="CU121" i="3"/>
  <c r="CV121" i="3"/>
  <c r="CO153" i="3"/>
  <c r="CP153" i="3"/>
  <c r="CR153" i="3"/>
  <c r="CQ153" i="3"/>
  <c r="CT153" i="3"/>
  <c r="CM153" i="3"/>
  <c r="CW153" i="3"/>
  <c r="CU153" i="3"/>
  <c r="CV153" i="3"/>
  <c r="CO211" i="3"/>
  <c r="CT211" i="3"/>
  <c r="CQ211" i="3"/>
  <c r="CW211" i="3"/>
  <c r="CP211" i="3"/>
  <c r="CR211" i="3"/>
  <c r="CM211" i="3"/>
  <c r="CV211" i="3"/>
  <c r="CU211" i="3"/>
  <c r="CR136" i="3"/>
  <c r="CM136" i="3"/>
  <c r="CP136" i="3"/>
  <c r="CO136" i="3"/>
  <c r="CV136" i="3"/>
  <c r="CT136" i="3"/>
  <c r="CW136" i="3"/>
  <c r="CQ136" i="3"/>
  <c r="CU136" i="3"/>
  <c r="CM224" i="3"/>
  <c r="CR224" i="3"/>
  <c r="CU224" i="3"/>
  <c r="CO224" i="3"/>
  <c r="CW224" i="3"/>
  <c r="CP224" i="3"/>
  <c r="CT224" i="3"/>
  <c r="CV224" i="3"/>
  <c r="CQ224" i="3"/>
  <c r="CW66" i="3"/>
  <c r="CQ66" i="3"/>
  <c r="CU66" i="3"/>
  <c r="CO66" i="3"/>
  <c r="CP66" i="3"/>
  <c r="CT66" i="3"/>
  <c r="CM66" i="3"/>
  <c r="CR66" i="3"/>
  <c r="CV66" i="3"/>
  <c r="CM195" i="3"/>
  <c r="CW195" i="3"/>
  <c r="CO195" i="3"/>
  <c r="CR195" i="3"/>
  <c r="CT195" i="3"/>
  <c r="CV195" i="3"/>
  <c r="CU195" i="3"/>
  <c r="CQ195" i="3"/>
  <c r="CP195" i="3"/>
  <c r="CR108" i="3"/>
  <c r="CO108" i="3"/>
  <c r="CQ108" i="3"/>
  <c r="CP108" i="3"/>
  <c r="CT108" i="3"/>
  <c r="CM108" i="3"/>
  <c r="CW108" i="3"/>
  <c r="CV108" i="3"/>
  <c r="CU108" i="3"/>
  <c r="AX113" i="3"/>
  <c r="CO190" i="3"/>
  <c r="CP190" i="3"/>
  <c r="CU190" i="3"/>
  <c r="CQ190" i="3"/>
  <c r="CR190" i="3"/>
  <c r="CM190" i="3"/>
  <c r="CW190" i="3"/>
  <c r="CV190" i="3"/>
  <c r="CT190" i="3"/>
  <c r="AV105" i="3"/>
  <c r="CM146" i="3"/>
  <c r="CR146" i="3"/>
  <c r="CU146" i="3"/>
  <c r="CO146" i="3"/>
  <c r="CV146" i="3"/>
  <c r="CQ146" i="3"/>
  <c r="CP146" i="3"/>
  <c r="CT146" i="3"/>
  <c r="CW146" i="3"/>
  <c r="CM45" i="3"/>
  <c r="CR45" i="3"/>
  <c r="CU45" i="3"/>
  <c r="CP45" i="3"/>
  <c r="CO45" i="3"/>
  <c r="CQ45" i="3"/>
  <c r="CW45" i="3"/>
  <c r="CT45" i="3"/>
  <c r="CV45" i="3"/>
  <c r="CR171" i="3"/>
  <c r="CV171" i="3"/>
  <c r="CO171" i="3"/>
  <c r="CP171" i="3"/>
  <c r="CW171" i="3"/>
  <c r="CQ171" i="3"/>
  <c r="CM171" i="3"/>
  <c r="CT171" i="3"/>
  <c r="CU171" i="3"/>
  <c r="CR158" i="3"/>
  <c r="CV158" i="3"/>
  <c r="CO158" i="3"/>
  <c r="CQ158" i="3"/>
  <c r="CU158" i="3"/>
  <c r="CW158" i="3"/>
  <c r="CM158" i="3"/>
  <c r="CP158" i="3"/>
  <c r="CT158" i="3"/>
  <c r="CQ127" i="3"/>
  <c r="CO127" i="3"/>
  <c r="CT127" i="3"/>
  <c r="CM127" i="3"/>
  <c r="CW127" i="3"/>
  <c r="CV127" i="3"/>
  <c r="CP127" i="3"/>
  <c r="CU127" i="3"/>
  <c r="CR127" i="3"/>
  <c r="BB193" i="3"/>
  <c r="BK193" i="3"/>
  <c r="BG125" i="3"/>
  <c r="AZ125" i="3"/>
  <c r="AV125" i="3"/>
  <c r="CT145" i="3"/>
  <c r="CQ145" i="3"/>
  <c r="CV145" i="3"/>
  <c r="CP145" i="3"/>
  <c r="CO145" i="3"/>
  <c r="CW145" i="3"/>
  <c r="CR145" i="3"/>
  <c r="CM145" i="3"/>
  <c r="CU145" i="3"/>
  <c r="BG187" i="3"/>
  <c r="AV187" i="3"/>
  <c r="BE187" i="3"/>
  <c r="BB187" i="3"/>
  <c r="BI187" i="3"/>
  <c r="CW30" i="3"/>
  <c r="CV30" i="3"/>
  <c r="CR30" i="3"/>
  <c r="CM30" i="3"/>
  <c r="CU30" i="3"/>
  <c r="CP30" i="3"/>
  <c r="CQ30" i="3"/>
  <c r="CO30" i="3"/>
  <c r="CT30" i="3"/>
  <c r="BI128" i="3"/>
  <c r="AV128" i="3"/>
  <c r="AZ149" i="3"/>
  <c r="AX70" i="3"/>
  <c r="CQ77" i="3"/>
  <c r="CW77" i="3"/>
  <c r="CM77" i="3"/>
  <c r="CP77" i="3"/>
  <c r="CU77" i="3"/>
  <c r="CT77" i="3"/>
  <c r="CO77" i="3"/>
  <c r="CR77" i="3"/>
  <c r="CV77" i="3"/>
  <c r="CM113" i="3"/>
  <c r="CO113" i="3"/>
  <c r="CP113" i="3"/>
  <c r="CQ113" i="3"/>
  <c r="CT113" i="3"/>
  <c r="CV113" i="3"/>
  <c r="CR113" i="3"/>
  <c r="CW113" i="3"/>
  <c r="CU113" i="3"/>
  <c r="CQ35" i="3"/>
  <c r="CW35" i="3"/>
  <c r="CM35" i="3"/>
  <c r="CV35" i="3"/>
  <c r="CU35" i="3"/>
  <c r="CT35" i="3"/>
  <c r="CO35" i="3"/>
  <c r="CR35" i="3"/>
  <c r="CP35" i="3"/>
  <c r="CO184" i="3"/>
  <c r="CR184" i="3"/>
  <c r="CM184" i="3"/>
  <c r="CW184" i="3"/>
  <c r="CP184" i="3"/>
  <c r="CQ184" i="3"/>
  <c r="CU184" i="3"/>
  <c r="CT184" i="3"/>
  <c r="CV184" i="3"/>
  <c r="CW50" i="3"/>
  <c r="CQ50" i="3"/>
  <c r="CO50" i="3"/>
  <c r="CP50" i="3"/>
  <c r="CR50" i="3"/>
  <c r="CM50" i="3"/>
  <c r="CT50" i="3"/>
  <c r="CV50" i="3"/>
  <c r="CU50" i="3"/>
  <c r="CP47" i="3"/>
  <c r="CO47" i="3"/>
  <c r="CM47" i="3"/>
  <c r="CR47" i="3"/>
  <c r="CV47" i="3"/>
  <c r="CW47" i="3"/>
  <c r="CQ47" i="3"/>
  <c r="CT47" i="3"/>
  <c r="CU47" i="3"/>
  <c r="CU197" i="3"/>
  <c r="CM197" i="3"/>
  <c r="CW197" i="3"/>
  <c r="CP197" i="3"/>
  <c r="CR197" i="3"/>
  <c r="CO197" i="3"/>
  <c r="CV197" i="3"/>
  <c r="CQ197" i="3"/>
  <c r="CT197" i="3"/>
  <c r="CM84" i="3"/>
  <c r="CU84" i="3"/>
  <c r="CT84" i="3"/>
  <c r="CP84" i="3"/>
  <c r="CV84" i="3"/>
  <c r="CW84" i="3"/>
  <c r="CQ84" i="3"/>
  <c r="CO84" i="3"/>
  <c r="CR84" i="3"/>
  <c r="CQ238" i="3"/>
  <c r="CU238" i="3"/>
  <c r="CR238" i="3"/>
  <c r="CW238" i="3"/>
  <c r="CO238" i="3"/>
  <c r="CP238" i="3"/>
  <c r="CM238" i="3"/>
  <c r="CV238" i="3"/>
  <c r="CT238" i="3"/>
  <c r="AV95" i="3"/>
  <c r="BG64" i="3"/>
  <c r="BB64" i="3"/>
  <c r="AV64" i="3"/>
  <c r="AX64" i="3"/>
  <c r="CM234" i="3"/>
  <c r="CT234" i="3"/>
  <c r="CR234" i="3"/>
  <c r="CW234" i="3"/>
  <c r="CU234" i="3"/>
  <c r="CQ234" i="3"/>
  <c r="CO234" i="3"/>
  <c r="CP234" i="3"/>
  <c r="CV234" i="3"/>
  <c r="CR131" i="3"/>
  <c r="CM131" i="3"/>
  <c r="CO131" i="3"/>
  <c r="CV131" i="3"/>
  <c r="CU131" i="3"/>
  <c r="CP131" i="3"/>
  <c r="CW131" i="3"/>
  <c r="CT131" i="3"/>
  <c r="CQ131" i="3"/>
  <c r="CW236" i="3"/>
  <c r="CR236" i="3"/>
  <c r="CV236" i="3"/>
  <c r="CU236" i="3"/>
  <c r="CO236" i="3"/>
  <c r="CM236" i="3"/>
  <c r="CQ236" i="3"/>
  <c r="CT236" i="3"/>
  <c r="CP236" i="3"/>
  <c r="BK143" i="3"/>
  <c r="CM128" i="3"/>
  <c r="CU128" i="3"/>
  <c r="CQ128" i="3"/>
  <c r="CO128" i="3"/>
  <c r="CW128" i="3"/>
  <c r="CT128" i="3"/>
  <c r="CV128" i="3"/>
  <c r="CP128" i="3"/>
  <c r="CR128" i="3"/>
  <c r="CP58" i="3"/>
  <c r="CT58" i="3"/>
  <c r="CV58" i="3"/>
  <c r="CR58" i="3"/>
  <c r="CM58" i="3"/>
  <c r="CU58" i="3"/>
  <c r="CO58" i="3"/>
  <c r="CW58" i="3"/>
  <c r="CQ58" i="3"/>
  <c r="CU173" i="3"/>
  <c r="CO173" i="3"/>
  <c r="CQ173" i="3"/>
  <c r="CW173" i="3"/>
  <c r="CM173" i="3"/>
  <c r="CP173" i="3"/>
  <c r="CR173" i="3"/>
  <c r="CT173" i="3"/>
  <c r="CV173" i="3"/>
  <c r="CR44" i="3"/>
  <c r="CV44" i="3"/>
  <c r="CO44" i="3"/>
  <c r="CW44" i="3"/>
  <c r="CP44" i="3"/>
  <c r="CQ44" i="3"/>
  <c r="CM44" i="3"/>
  <c r="CT44" i="3"/>
  <c r="CU44" i="3"/>
  <c r="CP141" i="3"/>
  <c r="CU141" i="3"/>
  <c r="CO141" i="3"/>
  <c r="CT141" i="3"/>
  <c r="CR141" i="3"/>
  <c r="CM141" i="3"/>
  <c r="CW141" i="3"/>
  <c r="CQ141" i="3"/>
  <c r="CV141" i="3"/>
  <c r="CM156" i="3"/>
  <c r="CU156" i="3"/>
  <c r="CT156" i="3"/>
  <c r="CW156" i="3"/>
  <c r="CQ156" i="3"/>
  <c r="CR156" i="3"/>
  <c r="CV156" i="3"/>
  <c r="CP156" i="3"/>
  <c r="CO156" i="3"/>
  <c r="CP104" i="3"/>
  <c r="CM104" i="3"/>
  <c r="CW104" i="3"/>
  <c r="CU104" i="3"/>
  <c r="CR104" i="3"/>
  <c r="CT104" i="3"/>
  <c r="CO104" i="3"/>
  <c r="CQ104" i="3"/>
  <c r="CV104" i="3"/>
  <c r="AZ132" i="3"/>
  <c r="CO154" i="3"/>
  <c r="CQ154" i="3"/>
  <c r="CT154" i="3"/>
  <c r="CP154" i="3"/>
  <c r="CM154" i="3"/>
  <c r="CU154" i="3"/>
  <c r="CR154" i="3"/>
  <c r="CV154" i="3"/>
  <c r="CW154" i="3"/>
  <c r="CU111" i="3"/>
  <c r="CV111" i="3"/>
  <c r="CP111" i="3"/>
  <c r="CQ111" i="3"/>
  <c r="CT111" i="3"/>
  <c r="CW111" i="3"/>
  <c r="CR111" i="3"/>
  <c r="CM111" i="3"/>
  <c r="CO111" i="3"/>
  <c r="CW214" i="3"/>
  <c r="CO214" i="3"/>
  <c r="CQ214" i="3"/>
  <c r="CT214" i="3"/>
  <c r="CP214" i="3"/>
  <c r="CR214" i="3"/>
  <c r="CV214" i="3"/>
  <c r="CM214" i="3"/>
  <c r="CU214" i="3"/>
  <c r="CQ42" i="3"/>
  <c r="CM42" i="3"/>
  <c r="CR42" i="3"/>
  <c r="CW42" i="3"/>
  <c r="CT42" i="3"/>
  <c r="CO42" i="3"/>
  <c r="CP42" i="3"/>
  <c r="CV42" i="3"/>
  <c r="CU42" i="3"/>
  <c r="CR161" i="3"/>
  <c r="CQ161" i="3"/>
  <c r="CO161" i="3"/>
  <c r="CM161" i="3"/>
  <c r="CU161" i="3"/>
  <c r="CP161" i="3"/>
  <c r="CW161" i="3"/>
  <c r="CT161" i="3"/>
  <c r="CV161" i="3"/>
  <c r="BE50" i="3"/>
  <c r="AZ50" i="3"/>
  <c r="CV75" i="3"/>
  <c r="CP75" i="3"/>
  <c r="CQ75" i="3"/>
  <c r="CR75" i="3"/>
  <c r="CT75" i="3"/>
  <c r="CW75" i="3"/>
  <c r="CM75" i="3"/>
  <c r="CO75" i="3"/>
  <c r="CU75" i="3"/>
  <c r="CP148" i="3"/>
  <c r="CO148" i="3"/>
  <c r="CT148" i="3"/>
  <c r="CU148" i="3"/>
  <c r="CM148" i="3"/>
  <c r="CV148" i="3"/>
  <c r="CW148" i="3"/>
  <c r="CR148" i="3"/>
  <c r="CQ148" i="3"/>
  <c r="CT193" i="3"/>
  <c r="CM193" i="3"/>
  <c r="CW193" i="3"/>
  <c r="CR193" i="3"/>
  <c r="CV193" i="3"/>
  <c r="CP193" i="3"/>
  <c r="CU193" i="3"/>
  <c r="CQ193" i="3"/>
  <c r="CO193" i="3"/>
  <c r="CQ88" i="3"/>
  <c r="CU88" i="3"/>
  <c r="CO88" i="3"/>
  <c r="CR88" i="3"/>
  <c r="CV88" i="3"/>
  <c r="CP88" i="3"/>
  <c r="CM88" i="3"/>
  <c r="CT88" i="3"/>
  <c r="CW88" i="3"/>
  <c r="CQ226" i="3"/>
  <c r="CT226" i="3"/>
  <c r="CU226" i="3"/>
  <c r="CP226" i="3"/>
  <c r="CV226" i="3"/>
  <c r="CM226" i="3"/>
  <c r="CO226" i="3"/>
  <c r="CW226" i="3"/>
  <c r="CR226" i="3"/>
  <c r="CW73" i="3"/>
  <c r="CU73" i="3"/>
  <c r="CQ73" i="3"/>
  <c r="CP73" i="3"/>
  <c r="CV73" i="3"/>
  <c r="CO73" i="3"/>
  <c r="CR73" i="3"/>
  <c r="CT73" i="3"/>
  <c r="CM73" i="3"/>
  <c r="BK135" i="3"/>
  <c r="CO40" i="3"/>
  <c r="CQ40" i="3"/>
  <c r="CW40" i="3"/>
  <c r="CT40" i="3"/>
  <c r="CV40" i="3"/>
  <c r="CU40" i="3"/>
  <c r="CR40" i="3"/>
  <c r="CM40" i="3"/>
  <c r="CP40" i="3"/>
  <c r="CV41" i="3"/>
  <c r="CP41" i="3"/>
  <c r="CW41" i="3"/>
  <c r="CO41" i="3"/>
  <c r="CQ41" i="3"/>
  <c r="CT41" i="3"/>
  <c r="CM41" i="3"/>
  <c r="CU41" i="3"/>
  <c r="CR41" i="3"/>
  <c r="CT90" i="3"/>
  <c r="CQ90" i="3"/>
  <c r="CR90" i="3"/>
  <c r="CP90" i="3"/>
  <c r="CW90" i="3"/>
  <c r="CV90" i="3"/>
  <c r="CO90" i="3"/>
  <c r="CU90" i="3"/>
  <c r="CM90" i="3"/>
  <c r="AV167" i="3"/>
  <c r="BB167" i="3"/>
  <c r="CW98" i="3"/>
  <c r="CQ98" i="3"/>
  <c r="CO98" i="3"/>
  <c r="CR98" i="3"/>
  <c r="CP98" i="3"/>
  <c r="CT98" i="3"/>
  <c r="CV98" i="3"/>
  <c r="CU98" i="3"/>
  <c r="CM98" i="3"/>
  <c r="CW123" i="3"/>
  <c r="CT123" i="3"/>
  <c r="CO123" i="3"/>
  <c r="CU123" i="3"/>
  <c r="CR123" i="3"/>
  <c r="CM123" i="3"/>
  <c r="CQ123" i="3"/>
  <c r="CV123" i="3"/>
  <c r="CP123" i="3"/>
  <c r="CR239" i="3"/>
  <c r="CW239" i="3"/>
  <c r="CQ239" i="3"/>
  <c r="CP239" i="3"/>
  <c r="CV239" i="3"/>
  <c r="CU239" i="3"/>
  <c r="CM239" i="3"/>
  <c r="CO239" i="3"/>
  <c r="CT239" i="3"/>
  <c r="BB35" i="3"/>
  <c r="BI80" i="3"/>
  <c r="CV102" i="3"/>
  <c r="CR102" i="3"/>
  <c r="CQ102" i="3"/>
  <c r="CP102" i="3"/>
  <c r="CT102" i="3"/>
  <c r="CU102" i="3"/>
  <c r="CM102" i="3"/>
  <c r="CO102" i="3"/>
  <c r="CW102" i="3"/>
  <c r="CQ78" i="3"/>
  <c r="CV78" i="3"/>
  <c r="CU78" i="3"/>
  <c r="CP78" i="3"/>
  <c r="CM78" i="3"/>
  <c r="CW78" i="3"/>
  <c r="CT78" i="3"/>
  <c r="CO78" i="3"/>
  <c r="CR78" i="3"/>
  <c r="AV44" i="3"/>
  <c r="CT215" i="3"/>
  <c r="CM215" i="3"/>
  <c r="CR215" i="3"/>
  <c r="CV215" i="3"/>
  <c r="CU215" i="3"/>
  <c r="CQ215" i="3"/>
  <c r="CO215" i="3"/>
  <c r="CW215" i="3"/>
  <c r="CP215" i="3"/>
  <c r="CP233" i="3"/>
  <c r="CT233" i="3"/>
  <c r="CM233" i="3"/>
  <c r="CQ233" i="3"/>
  <c r="CU233" i="3"/>
  <c r="CV233" i="3"/>
  <c r="CR233" i="3"/>
  <c r="CW233" i="3"/>
  <c r="CO233" i="3"/>
  <c r="CO152" i="3"/>
  <c r="CW152" i="3"/>
  <c r="CV152" i="3"/>
  <c r="CM152" i="3"/>
  <c r="CR152" i="3"/>
  <c r="CQ152" i="3"/>
  <c r="CU152" i="3"/>
  <c r="CT152" i="3"/>
  <c r="CP152" i="3"/>
  <c r="CW43" i="3"/>
  <c r="CQ43" i="3"/>
  <c r="CV43" i="3"/>
  <c r="CP43" i="3"/>
  <c r="CO43" i="3"/>
  <c r="CM43" i="3"/>
  <c r="CT43" i="3"/>
  <c r="CR43" i="3"/>
  <c r="CU43" i="3"/>
  <c r="CV117" i="3"/>
  <c r="CU117" i="3"/>
  <c r="CT117" i="3"/>
  <c r="CR117" i="3"/>
  <c r="CQ117" i="3"/>
  <c r="CM117" i="3"/>
  <c r="CO117" i="3"/>
  <c r="CP117" i="3"/>
  <c r="CW117" i="3"/>
  <c r="AV60" i="3"/>
  <c r="BE60" i="3"/>
  <c r="CR91" i="3"/>
  <c r="CQ91" i="3"/>
  <c r="CO91" i="3"/>
  <c r="CW91" i="3"/>
  <c r="CP91" i="3"/>
  <c r="CM91" i="3"/>
  <c r="CT91" i="3"/>
  <c r="CU91" i="3"/>
  <c r="CV91" i="3"/>
  <c r="BG168" i="3"/>
  <c r="BB46" i="3"/>
  <c r="BG46" i="3"/>
  <c r="AZ46" i="3"/>
  <c r="BE46" i="3"/>
  <c r="BK46" i="3"/>
  <c r="BG227" i="3"/>
  <c r="AX227" i="3"/>
  <c r="CO205" i="3"/>
  <c r="CU205" i="3"/>
  <c r="CR205" i="3"/>
  <c r="CW205" i="3"/>
  <c r="CM205" i="3"/>
  <c r="CT205" i="3"/>
  <c r="CP205" i="3"/>
  <c r="CV205" i="3"/>
  <c r="CQ205" i="3"/>
  <c r="CV135" i="3"/>
  <c r="CO135" i="3"/>
  <c r="CQ135" i="3"/>
  <c r="CR135" i="3"/>
  <c r="CP135" i="3"/>
  <c r="CW135" i="3"/>
  <c r="CU135" i="3"/>
  <c r="CT135" i="3"/>
  <c r="CM135" i="3"/>
  <c r="CT124" i="3"/>
  <c r="CU124" i="3"/>
  <c r="CR124" i="3"/>
  <c r="CP124" i="3"/>
  <c r="CQ124" i="3"/>
  <c r="CW124" i="3"/>
  <c r="CM124" i="3"/>
  <c r="CV124" i="3"/>
  <c r="CO124" i="3"/>
  <c r="CO149" i="3"/>
  <c r="CQ149" i="3"/>
  <c r="CW149" i="3"/>
  <c r="CU149" i="3"/>
  <c r="CR149" i="3"/>
  <c r="CP149" i="3"/>
  <c r="CT149" i="3"/>
  <c r="CM149" i="3"/>
  <c r="CV149" i="3"/>
  <c r="CT216" i="3"/>
  <c r="CO216" i="3"/>
  <c r="CR216" i="3"/>
  <c r="CM216" i="3"/>
  <c r="CP216" i="3"/>
  <c r="CV216" i="3"/>
  <c r="CQ216" i="3"/>
  <c r="CW216" i="3"/>
  <c r="CU216" i="3"/>
  <c r="CT55" i="3"/>
  <c r="CQ55" i="3"/>
  <c r="CU55" i="3"/>
  <c r="CR55" i="3"/>
  <c r="CP55" i="3"/>
  <c r="CO55" i="3"/>
  <c r="CV55" i="3"/>
  <c r="CW55" i="3"/>
  <c r="CM55" i="3"/>
  <c r="CQ37" i="3"/>
  <c r="CM37" i="3"/>
  <c r="CP37" i="3"/>
  <c r="CO37" i="3"/>
  <c r="CR37" i="3"/>
  <c r="CU37" i="3"/>
  <c r="CT37" i="3"/>
  <c r="CW37" i="3"/>
  <c r="CV37" i="3"/>
  <c r="CT92" i="3"/>
  <c r="CQ92" i="3"/>
  <c r="CR92" i="3"/>
  <c r="CV92" i="3"/>
  <c r="CW92" i="3"/>
  <c r="CU92" i="3"/>
  <c r="CO92" i="3"/>
  <c r="CP92" i="3"/>
  <c r="CM92" i="3"/>
  <c r="CU175" i="3"/>
  <c r="CV175" i="3"/>
  <c r="CT175" i="3"/>
  <c r="CM175" i="3"/>
  <c r="CO175" i="3"/>
  <c r="CP175" i="3"/>
  <c r="CQ175" i="3"/>
  <c r="CW175" i="3"/>
  <c r="CR175" i="3"/>
  <c r="CV71" i="3"/>
  <c r="CO71" i="3"/>
  <c r="CM71" i="3"/>
  <c r="CT71" i="3"/>
  <c r="CW71" i="3"/>
  <c r="CQ71" i="3"/>
  <c r="CP71" i="3"/>
  <c r="CU71" i="3"/>
  <c r="CR71" i="3"/>
  <c r="CU166" i="3"/>
  <c r="CM166" i="3"/>
  <c r="CQ166" i="3"/>
  <c r="CR166" i="3"/>
  <c r="CV166" i="3"/>
  <c r="CW166" i="3"/>
  <c r="CT166" i="3"/>
  <c r="CO166" i="3"/>
  <c r="CP166" i="3"/>
  <c r="CM105" i="3"/>
  <c r="CW105" i="3"/>
  <c r="CO105" i="3"/>
  <c r="CU105" i="3"/>
  <c r="CV105" i="3"/>
  <c r="CQ105" i="3"/>
  <c r="CT105" i="3"/>
  <c r="CR105" i="3"/>
  <c r="CP105" i="3"/>
  <c r="BE153" i="3"/>
  <c r="BI153" i="3"/>
  <c r="AX221" i="3"/>
  <c r="BI221" i="3"/>
  <c r="CR82" i="3"/>
  <c r="CQ82" i="3"/>
  <c r="CM82" i="3"/>
  <c r="CW82" i="3"/>
  <c r="CO82" i="3"/>
  <c r="CU82" i="3"/>
  <c r="CT82" i="3"/>
  <c r="CP82" i="3"/>
  <c r="CV82" i="3"/>
  <c r="BG63" i="3"/>
  <c r="BK63" i="3"/>
  <c r="CP116" i="3"/>
  <c r="CR116" i="3"/>
  <c r="CW116" i="3"/>
  <c r="CV116" i="3"/>
  <c r="CQ116" i="3"/>
  <c r="CT116" i="3"/>
  <c r="CO116" i="3"/>
  <c r="CU116" i="3"/>
  <c r="CM116" i="3"/>
  <c r="CR139" i="3"/>
  <c r="CV139" i="3"/>
  <c r="CM139" i="3"/>
  <c r="CU139" i="3"/>
  <c r="CW139" i="3"/>
  <c r="CP139" i="3"/>
  <c r="CO139" i="3"/>
  <c r="CT139" i="3"/>
  <c r="CQ139" i="3"/>
  <c r="CP202" i="3"/>
  <c r="CR202" i="3"/>
  <c r="CM202" i="3"/>
  <c r="CT202" i="3"/>
  <c r="CW202" i="3"/>
  <c r="CQ202" i="3"/>
  <c r="CO202" i="3"/>
  <c r="CU202" i="3"/>
  <c r="CV202" i="3"/>
  <c r="CQ163" i="3"/>
  <c r="CO163" i="3"/>
  <c r="CM163" i="3"/>
  <c r="CR163" i="3"/>
  <c r="CU163" i="3"/>
  <c r="CW163" i="3"/>
  <c r="CT163" i="3"/>
  <c r="CV163" i="3"/>
  <c r="CP163" i="3"/>
  <c r="CR95" i="3"/>
  <c r="CP95" i="3"/>
  <c r="CU95" i="3"/>
  <c r="CV95" i="3"/>
  <c r="CT95" i="3"/>
  <c r="CQ95" i="3"/>
  <c r="CO95" i="3"/>
  <c r="CM95" i="3"/>
  <c r="CW95" i="3"/>
  <c r="CU179" i="3"/>
  <c r="CO179" i="3"/>
  <c r="CQ179" i="3"/>
  <c r="CR179" i="3"/>
  <c r="CM179" i="3"/>
  <c r="CP179" i="3"/>
  <c r="CV179" i="3"/>
  <c r="CW179" i="3"/>
  <c r="CT179" i="3"/>
  <c r="CR114" i="3"/>
  <c r="CM114" i="3"/>
  <c r="CT114" i="3"/>
  <c r="CO114" i="3"/>
  <c r="CU114" i="3"/>
  <c r="CP114" i="3"/>
  <c r="CV114" i="3"/>
  <c r="CW114" i="3"/>
  <c r="CQ114" i="3"/>
  <c r="BG146" i="3"/>
  <c r="AX146" i="3"/>
  <c r="BB146" i="3"/>
  <c r="BI146" i="3"/>
  <c r="BB37" i="3"/>
  <c r="CQ218" i="3"/>
  <c r="CT218" i="3"/>
  <c r="CU218" i="3"/>
  <c r="CM218" i="3"/>
  <c r="CW218" i="3"/>
  <c r="CP218" i="3"/>
  <c r="CV218" i="3"/>
  <c r="CO218" i="3"/>
  <c r="CR218" i="3"/>
  <c r="BI81" i="3"/>
  <c r="BB81" i="3"/>
  <c r="AQ29" i="3"/>
  <c r="AZ29" i="3"/>
  <c r="CO38" i="3"/>
  <c r="CV38" i="3"/>
  <c r="CT38" i="3"/>
  <c r="CU38" i="3"/>
  <c r="CP38" i="3"/>
  <c r="CM38" i="3"/>
  <c r="CR38" i="3"/>
  <c r="CW38" i="3"/>
  <c r="CQ38" i="3"/>
  <c r="CT240" i="3"/>
  <c r="CP240" i="3"/>
  <c r="CQ240" i="3"/>
  <c r="CR240" i="3"/>
  <c r="CU240" i="3"/>
  <c r="CO240" i="3"/>
  <c r="CV240" i="3"/>
  <c r="CW240" i="3"/>
  <c r="CU122" i="3"/>
  <c r="CM122" i="3"/>
  <c r="CV122" i="3"/>
  <c r="CT122" i="3"/>
  <c r="CO122" i="3"/>
  <c r="CW122" i="3"/>
  <c r="CQ122" i="3"/>
  <c r="CR122" i="3"/>
  <c r="CP122" i="3"/>
  <c r="CO151" i="3"/>
  <c r="CM151" i="3"/>
  <c r="CQ151" i="3"/>
  <c r="CW151" i="3"/>
  <c r="CV151" i="3"/>
  <c r="CT151" i="3"/>
  <c r="CP151" i="3"/>
  <c r="CU151" i="3"/>
  <c r="CR151" i="3"/>
  <c r="CR147" i="3"/>
  <c r="CM147" i="3"/>
  <c r="CP147" i="3"/>
  <c r="CV147" i="3"/>
  <c r="CO147" i="3"/>
  <c r="CQ147" i="3"/>
  <c r="CW147" i="3"/>
  <c r="CU147" i="3"/>
  <c r="CT147" i="3"/>
  <c r="BK182" i="3"/>
  <c r="BB182" i="3"/>
  <c r="AV182" i="3"/>
  <c r="CW209" i="3"/>
  <c r="CM209" i="3"/>
  <c r="CR209" i="3"/>
  <c r="CV209" i="3"/>
  <c r="CP209" i="3"/>
  <c r="CU209" i="3"/>
  <c r="CO209" i="3"/>
  <c r="CQ209" i="3"/>
  <c r="CT209" i="3"/>
  <c r="CM64" i="3"/>
  <c r="CW64" i="3"/>
  <c r="CO64" i="3"/>
  <c r="CU64" i="3"/>
  <c r="CQ64" i="3"/>
  <c r="CV64" i="3"/>
  <c r="CR64" i="3"/>
  <c r="CP64" i="3"/>
  <c r="CT64" i="3"/>
  <c r="AV174" i="3"/>
  <c r="AX174" i="3"/>
  <c r="AX91" i="3"/>
  <c r="BI216" i="3"/>
  <c r="AZ216" i="3"/>
  <c r="BG216" i="3"/>
  <c r="CU119" i="3"/>
  <c r="CM119" i="3"/>
  <c r="CQ119" i="3"/>
  <c r="CV119" i="3"/>
  <c r="CP119" i="3"/>
  <c r="CW119" i="3"/>
  <c r="CR119" i="3"/>
  <c r="CT119" i="3"/>
  <c r="CO119" i="3"/>
  <c r="CQ187" i="3"/>
  <c r="CM187" i="3"/>
  <c r="CT187" i="3"/>
  <c r="CP187" i="3"/>
  <c r="CU187" i="3"/>
  <c r="CR187" i="3"/>
  <c r="CO187" i="3"/>
  <c r="CV187" i="3"/>
  <c r="CW187" i="3"/>
  <c r="CM182" i="3"/>
  <c r="CO182" i="3"/>
  <c r="CR182" i="3"/>
  <c r="CT182" i="3"/>
  <c r="CU182" i="3"/>
  <c r="CP182" i="3"/>
  <c r="CV182" i="3"/>
  <c r="CQ182" i="3"/>
  <c r="CW182" i="3"/>
  <c r="CM60" i="3"/>
  <c r="CQ60" i="3"/>
  <c r="CU60" i="3"/>
  <c r="CR60" i="3"/>
  <c r="CV60" i="3"/>
  <c r="CP60" i="3"/>
  <c r="CT60" i="3"/>
  <c r="CO60" i="3"/>
  <c r="CW60" i="3"/>
  <c r="CU87" i="3"/>
  <c r="CR87" i="3"/>
  <c r="CM87" i="3"/>
  <c r="CQ87" i="3"/>
  <c r="CT87" i="3"/>
  <c r="CV87" i="3"/>
  <c r="CW87" i="3"/>
  <c r="CP87" i="3"/>
  <c r="CO87" i="3"/>
  <c r="CP178" i="3"/>
  <c r="CV178" i="3"/>
  <c r="CM178" i="3"/>
  <c r="CR178" i="3"/>
  <c r="CW178" i="3"/>
  <c r="CQ178" i="3"/>
  <c r="CO178" i="3"/>
  <c r="CU178" i="3"/>
  <c r="CT178" i="3"/>
  <c r="CV29" i="3"/>
  <c r="CP29" i="3"/>
  <c r="CT29" i="3"/>
  <c r="CQ29" i="3"/>
  <c r="CU29" i="3"/>
  <c r="CM29" i="3"/>
  <c r="CW29" i="3"/>
  <c r="CO29" i="3"/>
  <c r="CR29" i="3"/>
  <c r="CM180" i="3"/>
  <c r="CO180" i="3"/>
  <c r="CW180" i="3"/>
  <c r="CP180" i="3"/>
  <c r="CT180" i="3"/>
  <c r="CQ180" i="3"/>
  <c r="CR180" i="3"/>
  <c r="CU180" i="3"/>
  <c r="CV180" i="3"/>
  <c r="CR181" i="3"/>
  <c r="CW181" i="3"/>
  <c r="CQ181" i="3"/>
  <c r="CU181" i="3"/>
  <c r="CM181" i="3"/>
  <c r="CV181" i="3"/>
  <c r="CO181" i="3"/>
  <c r="CT181" i="3"/>
  <c r="CP181" i="3"/>
  <c r="CV101" i="3"/>
  <c r="CT101" i="3"/>
  <c r="CO101" i="3"/>
  <c r="CQ101" i="3"/>
  <c r="CM101" i="3"/>
  <c r="CR101" i="3"/>
  <c r="CW101" i="3"/>
  <c r="CP101" i="3"/>
  <c r="CU101" i="3"/>
  <c r="BI106" i="3"/>
  <c r="BB106" i="3"/>
  <c r="CM118" i="3"/>
  <c r="CV118" i="3"/>
  <c r="CW118" i="3"/>
  <c r="CP118" i="3"/>
  <c r="CO118" i="3"/>
  <c r="CQ118" i="3"/>
  <c r="CT118" i="3"/>
  <c r="CU118" i="3"/>
  <c r="CR118" i="3"/>
  <c r="CR67" i="3"/>
  <c r="CO67" i="3"/>
  <c r="CP67" i="3"/>
  <c r="CT67" i="3"/>
  <c r="CW67" i="3"/>
  <c r="CQ67" i="3"/>
  <c r="CM67" i="3"/>
  <c r="CU67" i="3"/>
  <c r="CV67" i="3"/>
  <c r="CW201" i="3"/>
  <c r="CQ201" i="3"/>
  <c r="CR201" i="3"/>
  <c r="CM201" i="3"/>
  <c r="CV201" i="3"/>
  <c r="CP201" i="3"/>
  <c r="CU201" i="3"/>
  <c r="CO201" i="3"/>
  <c r="CT201" i="3"/>
  <c r="BK67" i="3"/>
  <c r="AV67" i="3"/>
  <c r="AV203" i="3"/>
  <c r="BI134" i="3"/>
  <c r="CT162" i="3"/>
  <c r="CP162" i="3"/>
  <c r="CO162" i="3"/>
  <c r="CV162" i="3"/>
  <c r="CR162" i="3"/>
  <c r="CU162" i="3"/>
  <c r="CQ162" i="3"/>
  <c r="CW162" i="3"/>
  <c r="CM162" i="3"/>
  <c r="CV220" i="3"/>
  <c r="CM220" i="3"/>
  <c r="CP220" i="3"/>
  <c r="CU220" i="3"/>
  <c r="CQ220" i="3"/>
  <c r="CR220" i="3"/>
  <c r="CW220" i="3"/>
  <c r="CO220" i="3"/>
  <c r="CT220" i="3"/>
  <c r="CQ94" i="3"/>
  <c r="CR94" i="3"/>
  <c r="CM94" i="3"/>
  <c r="CT94" i="3"/>
  <c r="CO94" i="3"/>
  <c r="CV94" i="3"/>
  <c r="CU94" i="3"/>
  <c r="CP94" i="3"/>
  <c r="CW94" i="3"/>
  <c r="CM69" i="3"/>
  <c r="CQ69" i="3"/>
  <c r="CR69" i="3"/>
  <c r="CP69" i="3"/>
  <c r="CV69" i="3"/>
  <c r="CO69" i="3"/>
  <c r="CW69" i="3"/>
  <c r="CU69" i="3"/>
  <c r="CT69" i="3"/>
  <c r="BG214" i="3"/>
  <c r="BB214" i="3"/>
  <c r="AZ214" i="3"/>
  <c r="CT48" i="3"/>
  <c r="CQ48" i="3"/>
  <c r="CU48" i="3"/>
  <c r="CP48" i="3"/>
  <c r="CM48" i="3"/>
  <c r="CO48" i="3"/>
  <c r="CV48" i="3"/>
  <c r="CW48" i="3"/>
  <c r="CR48" i="3"/>
  <c r="CR107" i="3"/>
  <c r="CQ107" i="3"/>
  <c r="CP107" i="3"/>
  <c r="CO107" i="3"/>
  <c r="CT107" i="3"/>
  <c r="CM107" i="3"/>
  <c r="CV107" i="3"/>
  <c r="CW107" i="3"/>
  <c r="CU107" i="3"/>
  <c r="CP132" i="3"/>
  <c r="CU132" i="3"/>
  <c r="CW132" i="3"/>
  <c r="CR132" i="3"/>
  <c r="CQ132" i="3"/>
  <c r="CV132" i="3"/>
  <c r="CM132" i="3"/>
  <c r="CO132" i="3"/>
  <c r="CT132" i="3"/>
  <c r="CT86" i="3"/>
  <c r="CP86" i="3"/>
  <c r="CU86" i="3"/>
  <c r="CQ86" i="3"/>
  <c r="CW86" i="3"/>
  <c r="CV86" i="3"/>
  <c r="CO86" i="3"/>
  <c r="CM86" i="3"/>
  <c r="CR86" i="3"/>
  <c r="CO65" i="3"/>
  <c r="CW65" i="3"/>
  <c r="CM65" i="3"/>
  <c r="CV65" i="3"/>
  <c r="CP65" i="3"/>
  <c r="CQ65" i="3"/>
  <c r="CU65" i="3"/>
  <c r="CR65" i="3"/>
  <c r="CT65" i="3"/>
  <c r="CM140" i="3"/>
  <c r="CP140" i="3"/>
  <c r="CQ140" i="3"/>
  <c r="CU140" i="3"/>
  <c r="CT140" i="3"/>
  <c r="CV140" i="3"/>
  <c r="CW140" i="3"/>
  <c r="CR140" i="3"/>
  <c r="CO140" i="3"/>
  <c r="AZ145" i="3"/>
  <c r="AX145" i="3"/>
  <c r="BI145" i="3"/>
  <c r="BE145" i="3"/>
  <c r="BB154" i="3"/>
  <c r="CM61" i="3"/>
  <c r="CP61" i="3"/>
  <c r="CV61" i="3"/>
  <c r="CR61" i="3"/>
  <c r="CQ61" i="3"/>
  <c r="CU61" i="3"/>
  <c r="CO61" i="3"/>
  <c r="CT61" i="3"/>
  <c r="CW61" i="3"/>
  <c r="CO167" i="3"/>
  <c r="CQ167" i="3"/>
  <c r="CU167" i="3"/>
  <c r="CR167" i="3"/>
  <c r="CV167" i="3"/>
  <c r="CT167" i="3"/>
  <c r="CW167" i="3"/>
  <c r="CP167" i="3"/>
  <c r="CM167" i="3"/>
  <c r="CQ183" i="3"/>
  <c r="CM183" i="3"/>
  <c r="CW183" i="3"/>
  <c r="CP183" i="3"/>
  <c r="CO183" i="3"/>
  <c r="CU183" i="3"/>
  <c r="CR183" i="3"/>
  <c r="CV183" i="3"/>
  <c r="CT183" i="3"/>
  <c r="CO191" i="3"/>
  <c r="CU191" i="3"/>
  <c r="CT191" i="3"/>
  <c r="CQ191" i="3"/>
  <c r="CV191" i="3"/>
  <c r="CR191" i="3"/>
  <c r="CW191" i="3"/>
  <c r="CM191" i="3"/>
  <c r="CP191" i="3"/>
  <c r="CQ59" i="3"/>
  <c r="CO59" i="3"/>
  <c r="CT59" i="3"/>
  <c r="CR59" i="3"/>
  <c r="CP59" i="3"/>
  <c r="CU59" i="3"/>
  <c r="CW59" i="3"/>
  <c r="CM59" i="3"/>
  <c r="CV59" i="3"/>
  <c r="CT49" i="3"/>
  <c r="CR49" i="3"/>
  <c r="CV49" i="3"/>
  <c r="CQ49" i="3"/>
  <c r="CU49" i="3"/>
  <c r="CP49" i="3"/>
  <c r="CO49" i="3"/>
  <c r="CW49" i="3"/>
  <c r="CM49" i="3"/>
  <c r="BE166" i="3"/>
  <c r="CO237" i="3"/>
  <c r="CW237" i="3"/>
  <c r="CV237" i="3"/>
  <c r="CQ237" i="3"/>
  <c r="CU237" i="3"/>
  <c r="CP237" i="3"/>
  <c r="CR237" i="3"/>
  <c r="CM237" i="3"/>
  <c r="CT237" i="3"/>
  <c r="CW164" i="3"/>
  <c r="CQ164" i="3"/>
  <c r="CV164" i="3"/>
  <c r="CP164" i="3"/>
  <c r="CR164" i="3"/>
  <c r="CM164" i="3"/>
  <c r="CT164" i="3"/>
  <c r="CU164" i="3"/>
  <c r="CO164" i="3"/>
  <c r="BG111" i="3"/>
  <c r="BI111" i="3"/>
  <c r="CP115" i="3"/>
  <c r="CT115" i="3"/>
  <c r="CM115" i="3"/>
  <c r="CQ115" i="3"/>
  <c r="CR115" i="3"/>
  <c r="CO115" i="3"/>
  <c r="CW115" i="3"/>
  <c r="CU115" i="3"/>
  <c r="CV115" i="3"/>
  <c r="CU221" i="3"/>
  <c r="CW221" i="3"/>
  <c r="CO221" i="3"/>
  <c r="CV221" i="3"/>
  <c r="CM221" i="3"/>
  <c r="CP221" i="3"/>
  <c r="CR221" i="3"/>
  <c r="CT221" i="3"/>
  <c r="CQ221" i="3"/>
  <c r="CM57" i="3"/>
  <c r="CR57" i="3"/>
  <c r="CP57" i="3"/>
  <c r="CU57" i="3"/>
  <c r="CQ57" i="3"/>
  <c r="CW57" i="3"/>
  <c r="CV57" i="3"/>
  <c r="CT57" i="3"/>
  <c r="CO57" i="3"/>
  <c r="CM219" i="3"/>
  <c r="CT219" i="3"/>
  <c r="CW219" i="3"/>
  <c r="CV219" i="3"/>
  <c r="CU219" i="3"/>
  <c r="CP219" i="3"/>
  <c r="CR219" i="3"/>
  <c r="CO219" i="3"/>
  <c r="CQ219" i="3"/>
  <c r="AZ137" i="3"/>
  <c r="BE137" i="3"/>
  <c r="AV137" i="3"/>
  <c r="BG137" i="3"/>
  <c r="CT230" i="3"/>
  <c r="CM230" i="3"/>
  <c r="CQ230" i="3"/>
  <c r="CO230" i="3"/>
  <c r="CR230" i="3"/>
  <c r="CU230" i="3"/>
  <c r="CV230" i="3"/>
  <c r="CW230" i="3"/>
  <c r="CP230" i="3"/>
  <c r="CQ172" i="3"/>
  <c r="CV172" i="3"/>
  <c r="CO172" i="3"/>
  <c r="CM172" i="3"/>
  <c r="CT172" i="3"/>
  <c r="CP172" i="3"/>
  <c r="CW172" i="3"/>
  <c r="CU172" i="3"/>
  <c r="CR172" i="3"/>
  <c r="CO34" i="3"/>
  <c r="CV34" i="3"/>
  <c r="CT34" i="3"/>
  <c r="CU34" i="3"/>
  <c r="CM34" i="3"/>
  <c r="CQ34" i="3"/>
  <c r="CP34" i="3"/>
  <c r="CR34" i="3"/>
  <c r="CW34" i="3"/>
  <c r="AZ170" i="3"/>
  <c r="BE195" i="3"/>
  <c r="BI240" i="3"/>
  <c r="BB240" i="3"/>
  <c r="CV39" i="3"/>
  <c r="CQ39" i="3"/>
  <c r="CR39" i="3"/>
  <c r="CP39" i="3"/>
  <c r="CO39" i="3"/>
  <c r="CU39" i="3"/>
  <c r="CM39" i="3"/>
  <c r="CT39" i="3"/>
  <c r="CW39" i="3"/>
  <c r="BB74" i="3"/>
  <c r="CR70" i="3"/>
  <c r="CW70" i="3"/>
  <c r="CV70" i="3"/>
  <c r="CQ70" i="3"/>
  <c r="CP70" i="3"/>
  <c r="CO70" i="3"/>
  <c r="CT70" i="3"/>
  <c r="CM70" i="3"/>
  <c r="CU70" i="3"/>
  <c r="CR52" i="3"/>
  <c r="CQ52" i="3"/>
  <c r="CW52" i="3"/>
  <c r="CP52" i="3"/>
  <c r="CO52" i="3"/>
  <c r="CM52" i="3"/>
  <c r="CV52" i="3"/>
  <c r="CT52" i="3"/>
  <c r="CU52" i="3"/>
  <c r="CO169" i="3"/>
  <c r="CU169" i="3"/>
  <c r="CW169" i="3"/>
  <c r="CT169" i="3"/>
  <c r="CQ169" i="3"/>
  <c r="CP169" i="3"/>
  <c r="CM169" i="3"/>
  <c r="CV169" i="3"/>
  <c r="CR169" i="3"/>
  <c r="CO46" i="3"/>
  <c r="CR46" i="3"/>
  <c r="CU46" i="3"/>
  <c r="CP46" i="3"/>
  <c r="CV46" i="3"/>
  <c r="CQ46" i="3"/>
  <c r="CW46" i="3"/>
  <c r="CT46" i="3"/>
  <c r="CM46" i="3"/>
  <c r="CO53" i="3"/>
  <c r="CW53" i="3"/>
  <c r="CP53" i="3"/>
  <c r="CM53" i="3"/>
  <c r="CR53" i="3"/>
  <c r="CT53" i="3"/>
  <c r="CV53" i="3"/>
  <c r="CU53" i="3"/>
  <c r="CQ53" i="3"/>
  <c r="CO32" i="3"/>
  <c r="CR32" i="3"/>
  <c r="CW32" i="3"/>
  <c r="CU32" i="3"/>
  <c r="CM32" i="3"/>
  <c r="CQ32" i="3"/>
  <c r="CP32" i="3"/>
  <c r="CT32" i="3"/>
  <c r="CV32" i="3"/>
  <c r="AX172" i="3"/>
  <c r="BI172" i="3"/>
  <c r="CW174" i="3"/>
  <c r="CT174" i="3"/>
  <c r="CV174" i="3"/>
  <c r="CR174" i="3"/>
  <c r="CP174" i="3"/>
  <c r="CM174" i="3"/>
  <c r="CQ174" i="3"/>
  <c r="CU174" i="3"/>
  <c r="CO174" i="3"/>
  <c r="AZ207" i="3"/>
  <c r="AX207" i="3"/>
  <c r="CR31" i="3"/>
  <c r="CW31" i="3"/>
  <c r="CV31" i="3"/>
  <c r="CM31" i="3"/>
  <c r="CU31" i="3"/>
  <c r="CP31" i="3"/>
  <c r="CO31" i="3"/>
  <c r="CT31" i="3"/>
  <c r="CQ31" i="3"/>
  <c r="BK222" i="3"/>
  <c r="CR170" i="3"/>
  <c r="CQ170" i="3"/>
  <c r="CU170" i="3"/>
  <c r="CM170" i="3"/>
  <c r="CP170" i="3"/>
  <c r="CT170" i="3"/>
  <c r="CO170" i="3"/>
  <c r="CV170" i="3"/>
  <c r="CW170" i="3"/>
  <c r="CP129" i="3"/>
  <c r="CT129" i="3"/>
  <c r="CO129" i="3"/>
  <c r="CU129" i="3"/>
  <c r="CW129" i="3"/>
  <c r="CV129" i="3"/>
  <c r="CM129" i="3"/>
  <c r="CQ129" i="3"/>
  <c r="CR129" i="3"/>
  <c r="CM143" i="3"/>
  <c r="CT143" i="3"/>
  <c r="CO143" i="3"/>
  <c r="CW143" i="3"/>
  <c r="CQ143" i="3"/>
  <c r="CU143" i="3"/>
  <c r="CP143" i="3"/>
  <c r="CR143" i="3"/>
  <c r="CV143" i="3"/>
  <c r="CT198" i="3"/>
  <c r="CU198" i="3"/>
  <c r="CO198" i="3"/>
  <c r="CV198" i="3"/>
  <c r="CM198" i="3"/>
  <c r="CQ198" i="3"/>
  <c r="CP198" i="3"/>
  <c r="CW198" i="3"/>
  <c r="CR198" i="3"/>
  <c r="BB53" i="3"/>
  <c r="AZ53" i="3"/>
  <c r="CU33" i="3"/>
  <c r="CV33" i="3"/>
  <c r="CW33" i="3"/>
  <c r="CM33" i="3"/>
  <c r="CQ33" i="3"/>
  <c r="CO33" i="3"/>
  <c r="CR33" i="3"/>
  <c r="CT33" i="3"/>
  <c r="CP33" i="3"/>
  <c r="CO74" i="3"/>
  <c r="CU74" i="3"/>
  <c r="CQ74" i="3"/>
  <c r="CV74" i="3"/>
  <c r="CR74" i="3"/>
  <c r="CP74" i="3"/>
  <c r="CT74" i="3"/>
  <c r="CW74" i="3"/>
  <c r="CM74" i="3"/>
  <c r="CU189" i="3"/>
  <c r="CR189" i="3"/>
  <c r="CV189" i="3"/>
  <c r="CW189" i="3"/>
  <c r="CQ189" i="3"/>
  <c r="CP189" i="3"/>
  <c r="CO189" i="3"/>
  <c r="CM189" i="3"/>
  <c r="CT189" i="3"/>
  <c r="CO186" i="3"/>
  <c r="CQ186" i="3"/>
  <c r="CW186" i="3"/>
  <c r="CM186" i="3"/>
  <c r="CV186" i="3"/>
  <c r="CR186" i="3"/>
  <c r="CU186" i="3"/>
  <c r="CP186" i="3"/>
  <c r="CT186" i="3"/>
  <c r="CV63" i="3"/>
  <c r="CM63" i="3"/>
  <c r="CO63" i="3"/>
  <c r="CR63" i="3"/>
  <c r="CQ63" i="3"/>
  <c r="CT63" i="3"/>
  <c r="CW63" i="3"/>
  <c r="CU63" i="3"/>
  <c r="CP63" i="3"/>
  <c r="CM142" i="3"/>
  <c r="CR142" i="3"/>
  <c r="CO142" i="3"/>
  <c r="CT142" i="3"/>
  <c r="CQ142" i="3"/>
  <c r="CW142" i="3"/>
  <c r="CP142" i="3"/>
  <c r="CU142" i="3"/>
  <c r="CV142" i="3"/>
  <c r="CV168" i="3"/>
  <c r="CO168" i="3"/>
  <c r="CT168" i="3"/>
  <c r="CQ168" i="3"/>
  <c r="CR168" i="3"/>
  <c r="CM168" i="3"/>
  <c r="CW168" i="3"/>
  <c r="CU168" i="3"/>
  <c r="CP168" i="3"/>
  <c r="CW217" i="3"/>
  <c r="CQ217" i="3"/>
  <c r="CU217" i="3"/>
  <c r="CO217" i="3"/>
  <c r="CM217" i="3"/>
  <c r="CT217" i="3"/>
  <c r="CV217" i="3"/>
  <c r="CR217" i="3"/>
  <c r="CP217" i="3"/>
  <c r="CW204" i="3"/>
  <c r="CU204" i="3"/>
  <c r="CM204" i="3"/>
  <c r="CP204" i="3"/>
  <c r="CT204" i="3"/>
  <c r="CO204" i="3"/>
  <c r="CQ204" i="3"/>
  <c r="CR204" i="3"/>
  <c r="CV204" i="3"/>
  <c r="CR83" i="3"/>
  <c r="CU83" i="3"/>
  <c r="CQ83" i="3"/>
  <c r="CT83" i="3"/>
  <c r="CO83" i="3"/>
  <c r="CM83" i="3"/>
  <c r="CP83" i="3"/>
  <c r="CW83" i="3"/>
  <c r="CV83" i="3"/>
  <c r="CM126" i="3"/>
  <c r="CU126" i="3"/>
  <c r="CV126" i="3"/>
  <c r="CP126" i="3"/>
  <c r="CQ126" i="3"/>
  <c r="CW126" i="3"/>
  <c r="CT126" i="3"/>
  <c r="CO126" i="3"/>
  <c r="CR126" i="3"/>
  <c r="CW100" i="3"/>
  <c r="CR100" i="3"/>
  <c r="CT100" i="3"/>
  <c r="CP100" i="3"/>
  <c r="CV100" i="3"/>
  <c r="CU100" i="3"/>
  <c r="CO100" i="3"/>
  <c r="CQ100" i="3"/>
  <c r="CM100" i="3"/>
  <c r="CM150" i="3"/>
  <c r="CT150" i="3"/>
  <c r="CP150" i="3"/>
  <c r="CR150" i="3"/>
  <c r="CU150" i="3"/>
  <c r="CW150" i="3"/>
  <c r="CV150" i="3"/>
  <c r="CQ150" i="3"/>
  <c r="CO150" i="3"/>
  <c r="CU56" i="3"/>
  <c r="CQ56" i="3"/>
  <c r="CR56" i="3"/>
  <c r="CT56" i="3"/>
  <c r="CV56" i="3"/>
  <c r="CW56" i="3"/>
  <c r="CO56" i="3"/>
  <c r="CM56" i="3"/>
  <c r="CP56" i="3"/>
  <c r="CT54" i="3"/>
  <c r="CQ54" i="3"/>
  <c r="CW54" i="3"/>
  <c r="CU54" i="3"/>
  <c r="CP54" i="3"/>
  <c r="CV54" i="3"/>
  <c r="CO54" i="3"/>
  <c r="CM54" i="3"/>
  <c r="CR54" i="3"/>
  <c r="BB210" i="3"/>
  <c r="CT112" i="3"/>
  <c r="CQ112" i="3"/>
  <c r="CP112" i="3"/>
  <c r="CM112" i="3"/>
  <c r="CO112" i="3"/>
  <c r="CV112" i="3"/>
  <c r="CU112" i="3"/>
  <c r="CW112" i="3"/>
  <c r="CR112" i="3"/>
  <c r="CT81" i="3"/>
  <c r="CR81" i="3"/>
  <c r="CU81" i="3"/>
  <c r="CP81" i="3"/>
  <c r="CV81" i="3"/>
  <c r="CM81" i="3"/>
  <c r="CO81" i="3"/>
  <c r="CQ81" i="3"/>
  <c r="CW81" i="3"/>
  <c r="CT199" i="3"/>
  <c r="CQ199" i="3"/>
  <c r="CP199" i="3"/>
  <c r="CW199" i="3"/>
  <c r="CU199" i="3"/>
  <c r="CV199" i="3"/>
  <c r="CO199" i="3"/>
  <c r="CM199" i="3"/>
  <c r="CR199" i="3"/>
  <c r="BE209" i="3"/>
  <c r="AZ209" i="3"/>
  <c r="BB234" i="3"/>
  <c r="CT97" i="3"/>
  <c r="CP97" i="3"/>
  <c r="CR97" i="3"/>
  <c r="CW97" i="3"/>
  <c r="CV97" i="3"/>
  <c r="CU97" i="3"/>
  <c r="CO97" i="3"/>
  <c r="CQ97" i="3"/>
  <c r="CM97" i="3"/>
  <c r="CQ99" i="3"/>
  <c r="CU99" i="3"/>
  <c r="CM99" i="3"/>
  <c r="CT99" i="3"/>
  <c r="CR99" i="3"/>
  <c r="CO99" i="3"/>
  <c r="CW99" i="3"/>
  <c r="CV99" i="3"/>
  <c r="CP99" i="3"/>
  <c r="CP222" i="3"/>
  <c r="CU222" i="3"/>
  <c r="CV222" i="3"/>
  <c r="CT222" i="3"/>
  <c r="CW222" i="3"/>
  <c r="CQ222" i="3"/>
  <c r="CR222" i="3"/>
  <c r="CO222" i="3"/>
  <c r="CM222" i="3"/>
  <c r="CO232" i="3"/>
  <c r="CP232" i="3"/>
  <c r="CU232" i="3"/>
  <c r="CR232" i="3"/>
  <c r="CT232" i="3"/>
  <c r="CM232" i="3"/>
  <c r="CQ232" i="3"/>
  <c r="CV232" i="3"/>
  <c r="CW232" i="3"/>
  <c r="BE58" i="3"/>
  <c r="AV58" i="3"/>
  <c r="CM157" i="3"/>
  <c r="CW157" i="3"/>
  <c r="CV157" i="3"/>
  <c r="CP157" i="3"/>
  <c r="CU157" i="3"/>
  <c r="CO157" i="3"/>
  <c r="CT157" i="3"/>
  <c r="CQ157" i="3"/>
  <c r="CR157" i="3"/>
  <c r="CQ188" i="3"/>
  <c r="CR188" i="3"/>
  <c r="CW188" i="3"/>
  <c r="CT188" i="3"/>
  <c r="CP188" i="3"/>
  <c r="CU188" i="3"/>
  <c r="CO188" i="3"/>
  <c r="CV188" i="3"/>
  <c r="CM188" i="3"/>
  <c r="CT93" i="3"/>
  <c r="CR93" i="3"/>
  <c r="CP93" i="3"/>
  <c r="CW93" i="3"/>
  <c r="CU93" i="3"/>
  <c r="CM93" i="3"/>
  <c r="CV93" i="3"/>
  <c r="CQ93" i="3"/>
  <c r="CO93" i="3"/>
  <c r="CU160" i="3"/>
  <c r="CW160" i="3"/>
  <c r="CP160" i="3"/>
  <c r="CM160" i="3"/>
  <c r="CT160" i="3"/>
  <c r="CO160" i="3"/>
  <c r="CR160" i="3"/>
  <c r="CV160" i="3"/>
  <c r="CQ160" i="3"/>
  <c r="BB69" i="3"/>
  <c r="AX69" i="3"/>
  <c r="BE69" i="3"/>
  <c r="CW51" i="3"/>
  <c r="CR51" i="3"/>
  <c r="CM51" i="3"/>
  <c r="CV51" i="3"/>
  <c r="CP51" i="3"/>
  <c r="CU51" i="3"/>
  <c r="CT51" i="3"/>
  <c r="CO51" i="3"/>
  <c r="CQ51" i="3"/>
  <c r="CU203" i="3"/>
  <c r="CW203" i="3"/>
  <c r="CR203" i="3"/>
  <c r="CQ203" i="3"/>
  <c r="CP203" i="3"/>
  <c r="CT203" i="3"/>
  <c r="CM203" i="3"/>
  <c r="CV203" i="3"/>
  <c r="CO203" i="3"/>
  <c r="CV62" i="3"/>
  <c r="CM62" i="3"/>
  <c r="CR62" i="3"/>
  <c r="CW62" i="3"/>
  <c r="CP62" i="3"/>
  <c r="CU62" i="3"/>
  <c r="CT62" i="3"/>
  <c r="CQ62" i="3"/>
  <c r="CO62" i="3"/>
  <c r="CQ155" i="3"/>
  <c r="CT155" i="3"/>
  <c r="CR155" i="3"/>
  <c r="CU155" i="3"/>
  <c r="CO155" i="3"/>
  <c r="CW155" i="3"/>
  <c r="CM155" i="3"/>
  <c r="CV155" i="3"/>
  <c r="CP155" i="3"/>
  <c r="AV100" i="3"/>
  <c r="CO213" i="3"/>
  <c r="CQ213" i="3"/>
  <c r="CP213" i="3"/>
  <c r="CM213" i="3"/>
  <c r="CU213" i="3"/>
  <c r="CT213" i="3"/>
  <c r="CW213" i="3"/>
  <c r="CV213" i="3"/>
  <c r="CR213" i="3"/>
  <c r="CV85" i="3"/>
  <c r="CU85" i="3"/>
  <c r="CW85" i="3"/>
  <c r="CO85" i="3"/>
  <c r="CQ85" i="3"/>
  <c r="CP85" i="3"/>
  <c r="CR85" i="3"/>
  <c r="CT85" i="3"/>
  <c r="CM85" i="3"/>
  <c r="CR103" i="3"/>
  <c r="CU103" i="3"/>
  <c r="CQ103" i="3"/>
  <c r="CV103" i="3"/>
  <c r="CT103" i="3"/>
  <c r="CP103" i="3"/>
  <c r="CM103" i="3"/>
  <c r="CW103" i="3"/>
  <c r="CO103" i="3"/>
  <c r="CP159" i="3"/>
  <c r="CM159" i="3"/>
  <c r="CW159" i="3"/>
  <c r="CQ159" i="3"/>
  <c r="CU159" i="3"/>
  <c r="CT159" i="3"/>
  <c r="CR159" i="3"/>
  <c r="CV159" i="3"/>
  <c r="CO159" i="3"/>
  <c r="CT137" i="3"/>
  <c r="CU137" i="3"/>
  <c r="CO137" i="3"/>
  <c r="CP137" i="3"/>
  <c r="CR137" i="3"/>
  <c r="CW137" i="3"/>
  <c r="CQ137" i="3"/>
  <c r="CV137" i="3"/>
  <c r="CM137" i="3"/>
  <c r="CP223" i="3"/>
  <c r="CW223" i="3"/>
  <c r="CO223" i="3"/>
  <c r="CU223" i="3"/>
  <c r="CR223" i="3"/>
  <c r="CV223" i="3"/>
  <c r="CQ223" i="3"/>
  <c r="CM223" i="3"/>
  <c r="CT223" i="3"/>
  <c r="CP144" i="3"/>
  <c r="CM144" i="3"/>
  <c r="CW144" i="3"/>
  <c r="CR144" i="3"/>
  <c r="CT144" i="3"/>
  <c r="CV144" i="3"/>
  <c r="CQ144" i="3"/>
  <c r="CO144" i="3"/>
  <c r="CU144" i="3"/>
  <c r="CO125" i="3"/>
  <c r="CU125" i="3"/>
  <c r="CQ125" i="3"/>
  <c r="CV125" i="3"/>
  <c r="CP125" i="3"/>
  <c r="CR125" i="3"/>
  <c r="CW125" i="3"/>
  <c r="CT125" i="3"/>
  <c r="CM125" i="3"/>
  <c r="CU192" i="3"/>
  <c r="CQ192" i="3"/>
  <c r="CR192" i="3"/>
  <c r="CM192" i="3"/>
  <c r="CV192" i="3"/>
  <c r="CO192" i="3"/>
  <c r="CT192" i="3"/>
  <c r="CP192" i="3"/>
  <c r="CW192" i="3"/>
  <c r="CM210" i="3"/>
  <c r="CV210" i="3"/>
  <c r="CW210" i="3"/>
  <c r="CO210" i="3"/>
  <c r="CR210" i="3"/>
  <c r="CU210" i="3"/>
  <c r="CQ210" i="3"/>
  <c r="CP210" i="3"/>
  <c r="CT210" i="3"/>
  <c r="CQ138" i="3"/>
  <c r="CR138" i="3"/>
  <c r="CT138" i="3"/>
  <c r="CM138" i="3"/>
  <c r="CW138" i="3"/>
  <c r="CU138" i="3"/>
  <c r="CO138" i="3"/>
  <c r="CV138" i="3"/>
  <c r="CP138" i="3"/>
  <c r="CV196" i="3"/>
  <c r="CT196" i="3"/>
  <c r="CQ196" i="3"/>
  <c r="CM196" i="3"/>
  <c r="CO196" i="3"/>
  <c r="CU196" i="3"/>
  <c r="CR196" i="3"/>
  <c r="CP196" i="3"/>
  <c r="CW196" i="3"/>
  <c r="CQ231" i="3"/>
  <c r="CT231" i="3"/>
  <c r="CR231" i="3"/>
  <c r="CM231" i="3"/>
  <c r="CU231" i="3"/>
  <c r="CV231" i="3"/>
  <c r="CP231" i="3"/>
  <c r="CW231" i="3"/>
  <c r="CO231" i="3"/>
  <c r="CP80" i="3"/>
  <c r="CR80" i="3"/>
  <c r="CV80" i="3"/>
  <c r="CU80" i="3"/>
  <c r="CM80" i="3"/>
  <c r="CT80" i="3"/>
  <c r="CO80" i="3"/>
  <c r="CQ80" i="3"/>
  <c r="CW80" i="3"/>
  <c r="CW208" i="3"/>
  <c r="CP208" i="3"/>
  <c r="CV208" i="3"/>
  <c r="CU208" i="3"/>
  <c r="CM208" i="3"/>
  <c r="CQ208" i="3"/>
  <c r="CR208" i="3"/>
  <c r="CO208" i="3"/>
  <c r="CT208" i="3"/>
  <c r="CR165" i="3"/>
  <c r="CW165" i="3"/>
  <c r="CT165" i="3"/>
  <c r="CV165" i="3"/>
  <c r="CP165" i="3"/>
  <c r="CM165" i="3"/>
  <c r="CU165" i="3"/>
  <c r="CO165" i="3"/>
  <c r="CQ165" i="3"/>
  <c r="CT68" i="3"/>
  <c r="CR68" i="3"/>
  <c r="CV68" i="3"/>
  <c r="CW68" i="3"/>
  <c r="CU68" i="3"/>
  <c r="CO68" i="3"/>
  <c r="CM68" i="3"/>
  <c r="CP68" i="3"/>
  <c r="CQ68" i="3"/>
  <c r="CV89" i="3"/>
  <c r="CR89" i="3"/>
  <c r="CO89" i="3"/>
  <c r="CQ89" i="3"/>
  <c r="CT89" i="3"/>
  <c r="CU89" i="3"/>
  <c r="CP89" i="3"/>
  <c r="CM89" i="3"/>
  <c r="CW89" i="3"/>
  <c r="CU176" i="3"/>
  <c r="CP176" i="3"/>
  <c r="CM176" i="3"/>
  <c r="CV176" i="3"/>
  <c r="CQ176" i="3"/>
  <c r="CR176" i="3"/>
  <c r="CO176" i="3"/>
  <c r="CT176" i="3"/>
  <c r="CW176" i="3"/>
  <c r="CQ225" i="3"/>
  <c r="CP225" i="3"/>
  <c r="CU225" i="3"/>
  <c r="CW225" i="3"/>
  <c r="CR225" i="3"/>
  <c r="CO225" i="3"/>
  <c r="CT225" i="3"/>
  <c r="CM225" i="3"/>
  <c r="CV225" i="3"/>
  <c r="CR106" i="3"/>
  <c r="CM106" i="3"/>
  <c r="CP106" i="3"/>
  <c r="CQ106" i="3"/>
  <c r="CT106" i="3"/>
  <c r="CO106" i="3"/>
  <c r="CU106" i="3"/>
  <c r="CW106" i="3"/>
  <c r="CV106" i="3"/>
  <c r="CP212" i="3"/>
  <c r="CV212" i="3"/>
  <c r="CT212" i="3"/>
  <c r="CO212" i="3"/>
  <c r="CR212" i="3"/>
  <c r="CW212" i="3"/>
  <c r="CQ212" i="3"/>
  <c r="CU212" i="3"/>
  <c r="CM212" i="3"/>
  <c r="CU36" i="3"/>
  <c r="CO36" i="3"/>
  <c r="CV36" i="3"/>
  <c r="CW36" i="3"/>
  <c r="CQ36" i="3"/>
  <c r="CR36" i="3"/>
  <c r="CT36" i="3"/>
  <c r="CM36" i="3"/>
  <c r="CP36" i="3"/>
  <c r="CQ79" i="3"/>
  <c r="CM79" i="3"/>
  <c r="CV79" i="3"/>
  <c r="CR79" i="3"/>
  <c r="CO79" i="3"/>
  <c r="CU79" i="3"/>
  <c r="CP79" i="3"/>
  <c r="CW79" i="3"/>
  <c r="CT79" i="3"/>
  <c r="CU207" i="3"/>
  <c r="CP207" i="3"/>
  <c r="CM207" i="3"/>
  <c r="CW207" i="3"/>
  <c r="CV207" i="3"/>
  <c r="CT207" i="3"/>
  <c r="CQ207" i="3"/>
  <c r="CO207" i="3"/>
  <c r="CR207" i="3"/>
  <c r="AV231" i="3"/>
  <c r="BK231" i="3"/>
  <c r="CP177" i="3"/>
  <c r="CV177" i="3"/>
  <c r="CT177" i="3"/>
  <c r="CO177" i="3"/>
  <c r="CQ177" i="3"/>
  <c r="CM177" i="3"/>
  <c r="CR177" i="3"/>
  <c r="CW177" i="3"/>
  <c r="CU177" i="3"/>
  <c r="CO185" i="3"/>
  <c r="CM185" i="3"/>
  <c r="CQ185" i="3"/>
  <c r="CU185" i="3"/>
  <c r="CW185" i="3"/>
  <c r="CR185" i="3"/>
  <c r="CP185" i="3"/>
  <c r="CV185" i="3"/>
  <c r="CT185" i="3"/>
  <c r="CR228" i="3"/>
  <c r="CW228" i="3"/>
  <c r="CO228" i="3"/>
  <c r="CP228" i="3"/>
  <c r="CM228" i="3"/>
  <c r="CQ228" i="3"/>
  <c r="CT228" i="3"/>
  <c r="CV228" i="3"/>
  <c r="CU228" i="3"/>
  <c r="AZ188" i="3"/>
  <c r="AV188" i="3"/>
  <c r="AZ122" i="3"/>
  <c r="BB161" i="3"/>
  <c r="BK161" i="3"/>
  <c r="CP96" i="3"/>
  <c r="CO96" i="3"/>
  <c r="CU96" i="3"/>
  <c r="CQ96" i="3"/>
  <c r="CR96" i="3"/>
  <c r="CT96" i="3"/>
  <c r="CV96" i="3"/>
  <c r="CW96" i="3"/>
  <c r="CM96" i="3"/>
  <c r="BE215" i="3"/>
  <c r="AX215" i="3"/>
  <c r="CO76" i="3"/>
  <c r="CM76" i="3"/>
  <c r="CT76" i="3"/>
  <c r="CV76" i="3"/>
  <c r="CW76" i="3"/>
  <c r="CQ76" i="3"/>
  <c r="CR76" i="3"/>
  <c r="CU76" i="3"/>
  <c r="CP76" i="3"/>
  <c r="CR133" i="3"/>
  <c r="CU133" i="3"/>
  <c r="CV133" i="3"/>
  <c r="CQ133" i="3"/>
  <c r="CW133" i="3"/>
  <c r="CP133" i="3"/>
  <c r="CO133" i="3"/>
  <c r="CM133" i="3"/>
  <c r="CT133" i="3"/>
  <c r="CV109" i="3"/>
  <c r="CP109" i="3"/>
  <c r="CO109" i="3"/>
  <c r="CM109" i="3"/>
  <c r="CT109" i="3"/>
  <c r="CW109" i="3"/>
  <c r="CR109" i="3"/>
  <c r="CU109" i="3"/>
  <c r="CQ109" i="3"/>
  <c r="BB232" i="3"/>
  <c r="AV232" i="3"/>
  <c r="CP227" i="3"/>
  <c r="CR227" i="3"/>
  <c r="CO227" i="3"/>
  <c r="CU227" i="3"/>
  <c r="CW227" i="3"/>
  <c r="CT227" i="3"/>
  <c r="CV227" i="3"/>
  <c r="CM227" i="3"/>
  <c r="CQ227" i="3"/>
  <c r="CU235" i="3"/>
  <c r="CT235" i="3"/>
  <c r="CP235" i="3"/>
  <c r="CW235" i="3"/>
  <c r="CO235" i="3"/>
  <c r="CQ235" i="3"/>
  <c r="CM235" i="3"/>
  <c r="CV235" i="3"/>
  <c r="CR235" i="3"/>
  <c r="CO134" i="3"/>
  <c r="CM134" i="3"/>
  <c r="CU134" i="3"/>
  <c r="CV134" i="3"/>
  <c r="CR134" i="3"/>
  <c r="CT134" i="3"/>
  <c r="CW134" i="3"/>
  <c r="CP134" i="3"/>
  <c r="CQ13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GONZALEZ GOMEZ, ALFONSO</author>
  </authors>
  <commentList>
    <comment ref="J37" authorId="0" shapeId="0" xr:uid="{DE114CBD-9D49-43A2-AAB5-38D3F13C3F9F}">
      <text>
        <r>
          <rPr>
            <b/>
            <sz val="9"/>
            <color indexed="81"/>
            <rFont val="Tahoma"/>
            <family val="2"/>
          </rPr>
          <t>GONZALEZ GOMEZ, ALFONSO:</t>
        </r>
        <r>
          <rPr>
            <sz val="9"/>
            <color indexed="81"/>
            <rFont val="Tahoma"/>
            <family val="2"/>
          </rPr>
          <t xml:space="preserve">
No tienen oferta al estar por debajo de 4 meses. Pasado este tiempo pasa a las ofertas siguientes que sí tienen</t>
        </r>
      </text>
    </comment>
  </commentList>
</comments>
</file>

<file path=xl/sharedStrings.xml><?xml version="1.0" encoding="utf-8"?>
<sst xmlns="http://schemas.openxmlformats.org/spreadsheetml/2006/main" count="11301" uniqueCount="1218">
  <si>
    <t>PORTABILIDAD</t>
  </si>
  <si>
    <t>Precio Cesión</t>
  </si>
  <si>
    <t>Gama</t>
  </si>
  <si>
    <t>-</t>
  </si>
  <si>
    <t>Tarifas</t>
  </si>
  <si>
    <t>CP Tarifa</t>
  </si>
  <si>
    <t>PVPR PORTABILIDAD</t>
  </si>
  <si>
    <t>ENTRADA
PRO</t>
  </si>
  <si>
    <t>NORMAL 
PRO</t>
  </si>
  <si>
    <t>VALOR
PRO</t>
  </si>
  <si>
    <t>PREMIUM
PRO</t>
  </si>
  <si>
    <t>Meses
Cuota</t>
  </si>
  <si>
    <t>Todas
Tarifas</t>
  </si>
  <si>
    <t>Todos</t>
  </si>
  <si>
    <t>NORMAL PLUS
PRO</t>
  </si>
  <si>
    <t>+ 4 M</t>
  </si>
  <si>
    <t>VALOR PLUS
PRO</t>
  </si>
  <si>
    <t>ENTRADA PLUS
PRO</t>
  </si>
  <si>
    <t>GRUPOS DE TARIFAS SÓLO MÓVIL</t>
  </si>
  <si>
    <t>MARCA</t>
  </si>
  <si>
    <t>ALCATEL</t>
  </si>
  <si>
    <t>ORANGE</t>
  </si>
  <si>
    <t>OFERTA TÁCTICA EMPRESAS</t>
  </si>
  <si>
    <t>Pago
Único</t>
  </si>
  <si>
    <r>
      <t xml:space="preserve">PVPR CAPTA
</t>
    </r>
    <r>
      <rPr>
        <sz val="11"/>
        <color indexed="9"/>
        <rFont val="Arial"/>
        <family val="2"/>
      </rPr>
      <t>(tarifas móvil y convergentes)</t>
    </r>
  </si>
  <si>
    <r>
      <rPr>
        <b/>
        <sz val="26"/>
        <color indexed="53"/>
        <rFont val="Arial"/>
        <family val="2"/>
      </rPr>
      <t xml:space="preserve">2.  </t>
    </r>
    <r>
      <rPr>
        <b/>
        <sz val="18"/>
        <rFont val="Arial"/>
        <family val="2"/>
      </rPr>
      <t>PRECIO DEL TERMINAL POR GRUPO DE TARIFAS</t>
    </r>
  </si>
  <si>
    <r>
      <t xml:space="preserve">Origen 
</t>
    </r>
    <r>
      <rPr>
        <sz val="12"/>
        <color indexed="9"/>
        <rFont val="Arial"/>
        <family val="2"/>
      </rPr>
      <t>(Portabilidad / Migración)</t>
    </r>
  </si>
  <si>
    <r>
      <t xml:space="preserve">Ampliaciones
</t>
    </r>
    <r>
      <rPr>
        <sz val="12"/>
        <color indexed="9"/>
        <rFont val="Arial"/>
        <family val="2"/>
      </rPr>
      <t>(meses antigüedad)</t>
    </r>
  </si>
  <si>
    <r>
      <t xml:space="preserve">Cuota
Mes 
</t>
    </r>
    <r>
      <rPr>
        <sz val="9"/>
        <rFont val="Arial"/>
        <family val="2"/>
      </rPr>
      <t>(sin IVA)</t>
    </r>
  </si>
  <si>
    <r>
      <t xml:space="preserve">Cuota
Mes
</t>
    </r>
    <r>
      <rPr>
        <sz val="9"/>
        <rFont val="Arial"/>
        <family val="2"/>
      </rPr>
      <t>(sin IVA)</t>
    </r>
  </si>
  <si>
    <t>CAPTA</t>
  </si>
  <si>
    <r>
      <t xml:space="preserve">GRUPOS DE TARIFAS CONVERGENTES 
</t>
    </r>
    <r>
      <rPr>
        <sz val="13"/>
        <rFont val="Arial"/>
        <family val="2"/>
      </rPr>
      <t>(MÓVIL + ADSL)</t>
    </r>
  </si>
  <si>
    <r>
      <t xml:space="preserve">Modelo </t>
    </r>
    <r>
      <rPr>
        <sz val="10"/>
        <color indexed="12"/>
        <rFont val="Arial"/>
        <family val="2"/>
      </rPr>
      <t>(Novedades)</t>
    </r>
  </si>
  <si>
    <t>CAPTA / PORTABILIDAD</t>
  </si>
  <si>
    <t>GRUPOS DE TARIFAS IEW Pro</t>
  </si>
  <si>
    <t>MI Fijo</t>
  </si>
  <si>
    <t>CP Operador</t>
  </si>
  <si>
    <t>GRUPOS DE TARIFA MI FIJO</t>
  </si>
  <si>
    <t>12 M / 24 M (Tablet)</t>
  </si>
  <si>
    <r>
      <rPr>
        <b/>
        <sz val="26"/>
        <color indexed="53"/>
        <rFont val="Arial"/>
        <family val="2"/>
      </rPr>
      <t xml:space="preserve"> 1. </t>
    </r>
    <r>
      <rPr>
        <b/>
        <sz val="18"/>
        <color indexed="53"/>
        <rFont val="Arial"/>
        <family val="2"/>
      </rPr>
      <t xml:space="preserve"> </t>
    </r>
    <r>
      <rPr>
        <b/>
        <sz val="18"/>
        <rFont val="Arial"/>
        <family val="2"/>
      </rPr>
      <t xml:space="preserve">CONDICIONES DE LA OFERTA SUBVENCIONADA
</t>
    </r>
    <r>
      <rPr>
        <sz val="12"/>
        <rFont val="Arial"/>
        <family val="2"/>
      </rPr>
      <t>(según tarifa y situación del cliente)</t>
    </r>
  </si>
  <si>
    <r>
      <rPr>
        <b/>
        <sz val="26"/>
        <color indexed="53"/>
        <rFont val="Arial"/>
        <family val="2"/>
      </rPr>
      <t xml:space="preserve"> 1. </t>
    </r>
    <r>
      <rPr>
        <b/>
        <sz val="18"/>
        <color indexed="53"/>
        <rFont val="Arial"/>
        <family val="2"/>
      </rPr>
      <t xml:space="preserve"> </t>
    </r>
    <r>
      <rPr>
        <b/>
        <sz val="18"/>
        <rFont val="Arial"/>
        <family val="2"/>
      </rPr>
      <t xml:space="preserve">CONDICIONES DE LA OFERTA VENTA A PLAZOS
</t>
    </r>
    <r>
      <rPr>
        <sz val="12"/>
        <rFont val="Arial"/>
        <family val="2"/>
      </rPr>
      <t>(según tarifa y situación del cliente)</t>
    </r>
  </si>
  <si>
    <t>DxC
Pago
Único</t>
  </si>
  <si>
    <r>
      <t xml:space="preserve">DxC CAPTA
</t>
    </r>
    <r>
      <rPr>
        <sz val="11"/>
        <color indexed="9"/>
        <rFont val="Arial"/>
        <family val="2"/>
      </rPr>
      <t>(tarifas móvil y convergentes)</t>
    </r>
  </si>
  <si>
    <t>DxC
Pago
Unico</t>
  </si>
  <si>
    <t>DxC
Precio</t>
  </si>
  <si>
    <t>DxC
VaP</t>
  </si>
  <si>
    <t>DxC PORTABILIDAD</t>
  </si>
  <si>
    <t>DxC</t>
  </si>
  <si>
    <t>Capta
Pos/Pre
Migra</t>
  </si>
  <si>
    <t>(1 ) Todos
(2) - 4 M</t>
  </si>
  <si>
    <t>Postpago</t>
  </si>
  <si>
    <t>PVPR CAPTA</t>
  </si>
  <si>
    <t>DxC CAPTA</t>
  </si>
  <si>
    <r>
      <t xml:space="preserve">Origen 
</t>
    </r>
    <r>
      <rPr>
        <sz val="12"/>
        <color indexed="9"/>
        <rFont val="Arial"/>
        <family val="2"/>
      </rPr>
      <t>(Porta / Migra)</t>
    </r>
  </si>
  <si>
    <t>PREMIUM PLUS 
PRO</t>
  </si>
  <si>
    <t>SPC</t>
  </si>
  <si>
    <t>Capta 
de cliente nuevo o de cliente -4 M, solo accede a Pago Único</t>
  </si>
  <si>
    <t>HUAWEI</t>
  </si>
  <si>
    <t>APPLE</t>
  </si>
  <si>
    <t>LG</t>
  </si>
  <si>
    <t>SAMSUNG</t>
  </si>
  <si>
    <t>BQ</t>
  </si>
  <si>
    <t>(1) Pos / Pre / Migr
(2) Pre / Migr</t>
  </si>
  <si>
    <t>Samsung Television 32"</t>
  </si>
  <si>
    <t>24 M</t>
  </si>
  <si>
    <t>Samsung Television 55"</t>
  </si>
  <si>
    <t>DIFERENCIAS Vs MES ANTERIOR</t>
  </si>
  <si>
    <t>CAPTA / PORTA</t>
  </si>
  <si>
    <t>2º DISPOSITIVO</t>
  </si>
  <si>
    <t>PVPR 
CAPTA / PORTA</t>
  </si>
  <si>
    <t>DxC 
CAPTA / PORTA</t>
  </si>
  <si>
    <r>
      <t xml:space="preserve">Ampliaciones
</t>
    </r>
    <r>
      <rPr>
        <sz val="12"/>
        <color indexed="9"/>
        <rFont val="Arial"/>
        <family val="2"/>
      </rPr>
      <t>(meses antigüedad)</t>
    </r>
  </si>
  <si>
    <r>
      <t xml:space="preserve">Origen 
</t>
    </r>
    <r>
      <rPr>
        <sz val="12"/>
        <color indexed="9"/>
        <rFont val="Arial"/>
        <family val="2"/>
      </rPr>
      <t>(Portabilidad / Migración)</t>
    </r>
  </si>
  <si>
    <r>
      <rPr>
        <b/>
        <sz val="26"/>
        <color indexed="53"/>
        <rFont val="Arial"/>
        <family val="2"/>
      </rPr>
      <t xml:space="preserve"> 1.</t>
    </r>
    <r>
      <rPr>
        <b/>
        <sz val="18"/>
        <rFont val="Arial"/>
        <family val="2"/>
      </rPr>
      <t xml:space="preserve">  CONDICIONES DE LA OFERTA VENTA A PLAZOS
</t>
    </r>
    <r>
      <rPr>
        <sz val="12"/>
        <rFont val="Arial"/>
        <family val="2"/>
      </rPr>
      <t>(según tarifa y situación del cliente)</t>
    </r>
  </si>
  <si>
    <r>
      <rPr>
        <b/>
        <sz val="26"/>
        <color indexed="53"/>
        <rFont val="Arial"/>
        <family val="2"/>
      </rPr>
      <t>2.</t>
    </r>
    <r>
      <rPr>
        <b/>
        <sz val="18"/>
        <rFont val="Arial"/>
        <family val="2"/>
      </rPr>
      <t xml:space="preserve">  PRECIO DEL TERMINAL POR GRUPO DE TARIFAS</t>
    </r>
  </si>
  <si>
    <r>
      <t xml:space="preserve">(*) Para Capta de cliente nuevo o cliente de -4 meses que activen en el </t>
    </r>
    <r>
      <rPr>
        <b/>
        <sz val="11"/>
        <rFont val="Arial"/>
        <family val="2"/>
      </rPr>
      <t>mismo acto comercial</t>
    </r>
    <r>
      <rPr>
        <sz val="11"/>
        <rFont val="Arial"/>
        <family val="2"/>
      </rPr>
      <t xml:space="preserve"> tarifas de voz y tarifas de IEW Pro, aplican las condiciones de Portabilidad origen Pospago</t>
    </r>
  </si>
  <si>
    <t xml:space="preserve"> (*) Capta 
de cliente nuevo o de cliente -4 M, solo tienen acceso a Pago Único</t>
  </si>
  <si>
    <t>LG Television 32"</t>
  </si>
  <si>
    <t>LG Television 43"</t>
  </si>
  <si>
    <t>SONY</t>
  </si>
  <si>
    <t>Samsung Television 50"</t>
  </si>
  <si>
    <t>Alcatel 2008</t>
  </si>
  <si>
    <t>Alcatel 2051</t>
  </si>
  <si>
    <t>iPhone 6S 32GB 4G</t>
  </si>
  <si>
    <t>Iphone 7 32GB 4G</t>
  </si>
  <si>
    <t>Sony PS4 Slim 1TB</t>
  </si>
  <si>
    <t>Sony PS4 Slim 500GB</t>
  </si>
  <si>
    <t>Samsung Galaxy A5 2017 4G</t>
  </si>
  <si>
    <t>Huawei Watch 2 4G</t>
  </si>
  <si>
    <t>iPad Pro 128 GB 4G</t>
  </si>
  <si>
    <t>LG K4 2017 4G</t>
  </si>
  <si>
    <r>
      <t xml:space="preserve">Bono
Extra
</t>
    </r>
    <r>
      <rPr>
        <sz val="9"/>
        <rFont val="Arial"/>
        <family val="2"/>
      </rPr>
      <t>(GB)</t>
    </r>
  </si>
  <si>
    <t>Samsung Galaxy S8 4G</t>
  </si>
  <si>
    <t>Samsung Gear S3 Classic</t>
  </si>
  <si>
    <t>SPC Felicity 2017</t>
  </si>
  <si>
    <t>(**) Para Migraciones de -4M / +4M meses aplican las condiciones de ENTRADA PRO</t>
  </si>
  <si>
    <t>GO NEG BASICO</t>
  </si>
  <si>
    <t>GO NEG ESENCIAL</t>
  </si>
  <si>
    <t>GO NEG SIN LIMITES</t>
  </si>
  <si>
    <t>GO NEG BASICO (1)</t>
  </si>
  <si>
    <r>
      <t xml:space="preserve">Bono Extra </t>
    </r>
    <r>
      <rPr>
        <b/>
        <sz val="12"/>
        <color indexed="53"/>
        <rFont val="Arial"/>
        <family val="2"/>
      </rPr>
      <t xml:space="preserve">(*)
</t>
    </r>
    <r>
      <rPr>
        <sz val="11"/>
        <color indexed="9"/>
        <rFont val="Arial"/>
        <family val="2"/>
      </rPr>
      <t>(Solo con VaP de terminal)</t>
    </r>
  </si>
  <si>
    <t>GO NEG  TOT</t>
  </si>
  <si>
    <t>BONO EXTRA</t>
  </si>
  <si>
    <t>GO NEG TOTAL+      (2)</t>
  </si>
  <si>
    <t>GO NEG TOTAL+</t>
  </si>
  <si>
    <t>Alcatel OT-2038</t>
  </si>
  <si>
    <t>GOOGLE</t>
  </si>
  <si>
    <t>Chromecast</t>
  </si>
  <si>
    <t>Huawei Mediapad T3 10.0 4G</t>
  </si>
  <si>
    <t>Huawei Mediapad T3 8.0 4G</t>
  </si>
  <si>
    <t>MOTOROLA</t>
  </si>
  <si>
    <t>LG K8 2017 4G</t>
  </si>
  <si>
    <t>MICROSOFT</t>
  </si>
  <si>
    <t>NINTENDO</t>
  </si>
  <si>
    <t>Samsung Galaxy J5 2017 4G</t>
  </si>
  <si>
    <t>Samsung Galaxy J7 2017 4G</t>
  </si>
  <si>
    <t>Samsung Gear Fit2</t>
  </si>
  <si>
    <t>Sony Xperia L1 4G</t>
  </si>
  <si>
    <r>
      <t xml:space="preserve">Pago
Inicial 
</t>
    </r>
    <r>
      <rPr>
        <sz val="9"/>
        <rFont val="Arial"/>
        <family val="2"/>
      </rPr>
      <t>(sin IVA)</t>
    </r>
  </si>
  <si>
    <r>
      <t xml:space="preserve">PVP
</t>
    </r>
    <r>
      <rPr>
        <sz val="9"/>
        <rFont val="Arial"/>
        <family val="2"/>
      </rPr>
      <t>(sin IVA)</t>
    </r>
  </si>
  <si>
    <t>GO NEG
 SIN LIMITE</t>
  </si>
  <si>
    <t>SEGÚN TARIFA</t>
  </si>
  <si>
    <r>
      <t xml:space="preserve">Pago
Unico
</t>
    </r>
    <r>
      <rPr>
        <sz val="9"/>
        <rFont val="Arial"/>
        <family val="2"/>
      </rPr>
      <t>(sin IVA)</t>
    </r>
  </si>
  <si>
    <t>Huawei Y6 2017 4G</t>
  </si>
  <si>
    <t>Huawei Y7 4G</t>
  </si>
  <si>
    <t>iPad Pro 12.9 256GB 4G</t>
  </si>
  <si>
    <t>LG Q6 4G</t>
  </si>
  <si>
    <t>Canon Digital</t>
  </si>
  <si>
    <t>SEGÚN 
TARIFA</t>
  </si>
  <si>
    <t>iPhone 6 32GB 4G</t>
  </si>
  <si>
    <t>iPhone 8 256GB 4G</t>
  </si>
  <si>
    <t>iPhone 8 64GB 4G</t>
  </si>
  <si>
    <t>iPhone 8 Plus 256GB 4G</t>
  </si>
  <si>
    <t>iPhone 8 Plus 64GB 4G</t>
  </si>
  <si>
    <t>LG Television 49"</t>
  </si>
  <si>
    <t>Sony PS4 1TB Pro</t>
  </si>
  <si>
    <t>Sony Television 49"</t>
  </si>
  <si>
    <t>Huawei Band 2 Pro</t>
  </si>
  <si>
    <t>Huawei Mate 10</t>
  </si>
  <si>
    <t>iPhone X 256GB 4G</t>
  </si>
  <si>
    <t>iPhone X 64GB 4G</t>
  </si>
  <si>
    <t>Motorola Moto G 5S</t>
  </si>
  <si>
    <t>Orange Rise 33</t>
  </si>
  <si>
    <t>Orange Rise 52</t>
  </si>
  <si>
    <t>Pixel 2 XL</t>
  </si>
  <si>
    <t>Samsung Galaxy J3 2017</t>
  </si>
  <si>
    <t>JBL</t>
  </si>
  <si>
    <t>Altavoz JBL GO BT</t>
  </si>
  <si>
    <t>Mi Fijo</t>
  </si>
  <si>
    <t>Captación
Migración</t>
  </si>
  <si>
    <t>Pos / Pre
Migración</t>
  </si>
  <si>
    <t>Canon Impresora PIXMA TS3150</t>
  </si>
  <si>
    <t>Disco Duro USB WIFI 32 GB MYWAY</t>
  </si>
  <si>
    <t>MYWAY</t>
  </si>
  <si>
    <t>CANON</t>
  </si>
  <si>
    <t>FITBIT</t>
  </si>
  <si>
    <t>UNIC</t>
  </si>
  <si>
    <t>Smartband Fitbit Flex 2</t>
  </si>
  <si>
    <t>Altavoz  BT Luminoso Figuras 15W RMS.</t>
  </si>
  <si>
    <t>Altavoz Monster BT 100 speaker</t>
  </si>
  <si>
    <t>Altavoz SPC BT ducha 4405a</t>
  </si>
  <si>
    <t>Altavoz Thomson bt ws02 mini</t>
  </si>
  <si>
    <t>Altavoz Thomson bt ws03 grande</t>
  </si>
  <si>
    <t>Auricular JBL T450BT</t>
  </si>
  <si>
    <t>Auriculares JVC infantil HA-kd5</t>
  </si>
  <si>
    <t>Bascula Thomson</t>
  </si>
  <si>
    <t>Bigben Altavoz BT mini xboy</t>
  </si>
  <si>
    <t>Bombilla Playbulb BT multicolor rainbow</t>
  </si>
  <si>
    <t>Bombilla vela Playbulb BT multicolor</t>
  </si>
  <si>
    <t>Camara deportiva WiFi HD 4k muvit i/o</t>
  </si>
  <si>
    <t>Drone Parrot Airbone Cargo Travis</t>
  </si>
  <si>
    <t>Enchufe inteligente WiFi Smart Alarm</t>
  </si>
  <si>
    <t>Pulsera actividad Garmin</t>
  </si>
  <si>
    <t>Pulsera actividad Garmin VivoActive HR</t>
  </si>
  <si>
    <t>Pulsera actividad Garmin VivoSmart HR</t>
  </si>
  <si>
    <t>Reloj Garmin Forerunner 35</t>
  </si>
  <si>
    <t xml:space="preserve">Reloj multidep. Garmin Forerunner 235 </t>
  </si>
  <si>
    <t>Smartband FitBit Alta</t>
  </si>
  <si>
    <t>Smartband FitBit Alta HR</t>
  </si>
  <si>
    <t>Tensiometro ihealth Track inalam intelig</t>
  </si>
  <si>
    <t>THOMSON</t>
  </si>
  <si>
    <t>JVC</t>
  </si>
  <si>
    <t>BIGBEN</t>
  </si>
  <si>
    <t>PARROT</t>
  </si>
  <si>
    <t>GARMIN</t>
  </si>
  <si>
    <t>IHEALTH</t>
  </si>
  <si>
    <t>PLAYBULB</t>
  </si>
  <si>
    <t>MUVIT</t>
  </si>
  <si>
    <t>MONSTER</t>
  </si>
  <si>
    <t>ASCENDEO</t>
  </si>
  <si>
    <t>LG Television 55"</t>
  </si>
  <si>
    <t>LG V30</t>
  </si>
  <si>
    <t>Samsung Galaxy Xcover 4 32 GB</t>
  </si>
  <si>
    <t>Huawei P Smart</t>
  </si>
  <si>
    <t>Samsung Galaxy A8</t>
  </si>
  <si>
    <t>Sony Xperia XA2</t>
  </si>
  <si>
    <t>Samsung Galaxy Tab A 10.1 32GB 4G</t>
  </si>
  <si>
    <t>Asus Gaming Notebook 3</t>
  </si>
  <si>
    <t>LG Television 28"</t>
  </si>
  <si>
    <t>Nintendo Classic Mini Nes</t>
  </si>
  <si>
    <t>Samsung Galaxy S9</t>
  </si>
  <si>
    <t>Samsung Galaxy S9 Plus</t>
  </si>
  <si>
    <t>ASUS</t>
  </si>
  <si>
    <t>Mini Proyector Unic UC46</t>
  </si>
  <si>
    <t>NORMAL
PRO</t>
  </si>
  <si>
    <t>Alcatel 1066G</t>
  </si>
  <si>
    <t>Huawei P20</t>
  </si>
  <si>
    <t>Huawei P20 Lite</t>
  </si>
  <si>
    <t>Huawei P20 Pro</t>
  </si>
  <si>
    <t>Samsung Smart TV 58"</t>
  </si>
  <si>
    <t>Sony Xperia XZ2</t>
  </si>
  <si>
    <t>Wiko view Lite</t>
  </si>
  <si>
    <t>WIKO</t>
  </si>
  <si>
    <t>Alcatel 3</t>
  </si>
  <si>
    <t>Ipad 32GB 4G</t>
  </si>
  <si>
    <t>Ipad Pro 10.5" 256GB 4G</t>
  </si>
  <si>
    <t>Lenovo Tab 10.1 WiFi</t>
  </si>
  <si>
    <t>LG Television 50"</t>
  </si>
  <si>
    <t>Motorola Moto G6 + TAB 10.1 WiFi</t>
  </si>
  <si>
    <t>Motorola Moto G6 Play</t>
  </si>
  <si>
    <t>Auricular JBL BT T110</t>
  </si>
  <si>
    <t>Barra Sonido LG SK1</t>
  </si>
  <si>
    <t>Camara de Seguridad ISmart Alarm</t>
  </si>
  <si>
    <t>Kodak Mini Printer PM210</t>
  </si>
  <si>
    <t>Proyector LG PH150G</t>
  </si>
  <si>
    <t>LENOVO</t>
  </si>
  <si>
    <t>KODAK</t>
  </si>
  <si>
    <t>VOZ</t>
  </si>
  <si>
    <t>Ipad 32GB Wifi</t>
  </si>
  <si>
    <t>Alcatel 3X</t>
  </si>
  <si>
    <t>Huawei Y6 2018</t>
  </si>
  <si>
    <t>Huawei Y7 2018</t>
  </si>
  <si>
    <t>Sony PS4 500GB Slim + FIFA 2018</t>
  </si>
  <si>
    <t>Drone Bigben Hawk WiFi</t>
  </si>
  <si>
    <t>Pencil For iPad Pro</t>
  </si>
  <si>
    <t>Smart Keyboard iPad Pro 10,5"</t>
  </si>
  <si>
    <t>Estas condiciones aplican a aquellos clientes de Riesgo Alto que no tienen acceso a las condiciones standard de Venta a Plazos</t>
  </si>
  <si>
    <t>Google Home</t>
  </si>
  <si>
    <t>Google Home Mini</t>
  </si>
  <si>
    <t>Google Home Mini + Chromecast</t>
  </si>
  <si>
    <t>Huawei PC Matebook D 15,6"</t>
  </si>
  <si>
    <t>Lenovo IdeaPad 320 15" i3 8+1TB</t>
  </si>
  <si>
    <t>LG Q7</t>
  </si>
  <si>
    <t>Motorola Moto E5</t>
  </si>
  <si>
    <t>Samsung Galaxy A6 2018</t>
  </si>
  <si>
    <t>Samsung Galaxy A6+ 2018</t>
  </si>
  <si>
    <t>Samsung Galaxy J6 2018</t>
  </si>
  <si>
    <t>Sony Xperia L2</t>
  </si>
  <si>
    <t>Iphone 6S 16GB 4G REA</t>
  </si>
  <si>
    <t>Iphone 6S 64GB 4G REA</t>
  </si>
  <si>
    <t>Iphone 7 32GB 4G REA</t>
  </si>
  <si>
    <t>Iphone 7 128GB 4G REA</t>
  </si>
  <si>
    <t>Iphone 7 Plus 32GB 4G REA</t>
  </si>
  <si>
    <t>Iphone 7 Plus 128GB 4G REA</t>
  </si>
  <si>
    <t>Alcatel Tab 1T 7" WiFi</t>
  </si>
  <si>
    <t>BQ Aquaris C</t>
  </si>
  <si>
    <t>LG G7</t>
  </si>
  <si>
    <t>LG K11</t>
  </si>
  <si>
    <t>LG K9</t>
  </si>
  <si>
    <t>Orange Rise 54</t>
  </si>
  <si>
    <t>Samsung Galaxy Note 9 128GB</t>
  </si>
  <si>
    <t>Samsung Galaxy Note 9 512GB</t>
  </si>
  <si>
    <t>Samsung Galaxy Watch 42MM eSIM + Auricular JBL U&amp;A</t>
  </si>
  <si>
    <t>Samsung Galaxy Watch 46MM eSIM + Auricular JBL U&amp;A</t>
  </si>
  <si>
    <t>Sony Xperia XZ2 Compact</t>
  </si>
  <si>
    <t>Samsung Television 55" QLED</t>
  </si>
  <si>
    <t>Alcatel 2053</t>
  </si>
  <si>
    <t>Alcatel 5V</t>
  </si>
  <si>
    <t>All in One Schneider 23,8"</t>
  </si>
  <si>
    <t>Apple Watch NIKE S4 CELLULAR 44MM</t>
  </si>
  <si>
    <t>Apple Watch S3 CELLULAR 38MM</t>
  </si>
  <si>
    <t>Apple Watch S3 CELLULAR 42MM</t>
  </si>
  <si>
    <t>Apple Watch S4 CELLULAR 40MM</t>
  </si>
  <si>
    <t>Apple Watch S4 CELLULAR 44MM</t>
  </si>
  <si>
    <t>Dual Book Schneider 10,1"</t>
  </si>
  <si>
    <t>Huawei Mate 20</t>
  </si>
  <si>
    <t>Huawei Mate 20 Pro</t>
  </si>
  <si>
    <t>iPhone XR 128GB</t>
  </si>
  <si>
    <t>iPhone XR 256GB</t>
  </si>
  <si>
    <t>iPhone XR 64GB</t>
  </si>
  <si>
    <t>iPhone XS 256GB</t>
  </si>
  <si>
    <t>iPhone XS 512GB</t>
  </si>
  <si>
    <t>iPhone XS 64GB</t>
  </si>
  <si>
    <t>iPhone XS MAX 256GB</t>
  </si>
  <si>
    <t>iPhone XS MAX 512GB</t>
  </si>
  <si>
    <t>iPhone XS MAX 64GB</t>
  </si>
  <si>
    <t>Lenovo IdeaPad 330 i3 8+1TB</t>
  </si>
  <si>
    <t>Pixel 3</t>
  </si>
  <si>
    <t>Pixel 3 XL</t>
  </si>
  <si>
    <t>Sony PS4 Pro 1TB + FIFA 2019</t>
  </si>
  <si>
    <t>Sony Xperia XZ3</t>
  </si>
  <si>
    <t>Apple Watch S3 (GPS) 38MM</t>
  </si>
  <si>
    <t>Apple Watch S3 (GPS) 42MM</t>
  </si>
  <si>
    <t>SCHNEIDER</t>
  </si>
  <si>
    <t>Lenovo tab 4 10" Plus 32GB 4G</t>
  </si>
  <si>
    <t>LG G7 + K11</t>
  </si>
  <si>
    <t>Samsung Galaxy A7</t>
  </si>
  <si>
    <t>Samsung Galaxy J4+</t>
  </si>
  <si>
    <t>Samsung Galaxy J6+</t>
  </si>
  <si>
    <t>Huawei Mate 20 + PC Matebook D I3</t>
  </si>
  <si>
    <t>Huawei PC Matebook D i3</t>
  </si>
  <si>
    <t>iPhone SE 128GB 4G</t>
  </si>
  <si>
    <t>iPhone SE 32GB 4G</t>
  </si>
  <si>
    <t>Lenovo Legion Y530 Notebook Gaming</t>
  </si>
  <si>
    <t>Nintendo Switch Hw + juego Zelda</t>
  </si>
  <si>
    <t>Samsung Galaxy A9</t>
  </si>
  <si>
    <t>Sony Xperia XZ3 + PS4 500GB Slim</t>
  </si>
  <si>
    <t>Alcatel 3026</t>
  </si>
  <si>
    <t>Huawei Mate 20 Lite</t>
  </si>
  <si>
    <t>Huawei P Smart 2019</t>
  </si>
  <si>
    <t>Huawei P Smart 2019 + Smartband 3E</t>
  </si>
  <si>
    <t>LG G7 Fit</t>
  </si>
  <si>
    <t>EBON</t>
  </si>
  <si>
    <t>Auricular SPC Ebon</t>
  </si>
  <si>
    <t>DOMOS</t>
  </si>
  <si>
    <t>Bombilla Inteligente WiFi Domos</t>
  </si>
  <si>
    <t>Camara IP WiFi Domos</t>
  </si>
  <si>
    <t>Enchufe Inteligente WiFi Domos</t>
  </si>
  <si>
    <t>Sensor de Movimiento WiFi Domos</t>
  </si>
  <si>
    <t>Sensor de Puertas WiFi Domos</t>
  </si>
  <si>
    <t>4 GB</t>
  </si>
  <si>
    <t>15 GB</t>
  </si>
  <si>
    <t>30 GB</t>
  </si>
  <si>
    <t>3 GB</t>
  </si>
  <si>
    <t>5 GB</t>
  </si>
  <si>
    <t>8 GB</t>
  </si>
  <si>
    <t>10 GB</t>
  </si>
  <si>
    <t>WIFI</t>
  </si>
  <si>
    <t>Capta
Pos / Pre
Migracion</t>
  </si>
  <si>
    <t>LOVE 
NEG 1</t>
  </si>
  <si>
    <t>LOVE 
NEG 1+</t>
  </si>
  <si>
    <t>LOVE 
NEG 2</t>
  </si>
  <si>
    <t>LOVE 
NEG 3</t>
  </si>
  <si>
    <t>LOVE 
NEG 5</t>
  </si>
  <si>
    <t>Lineas Adicionales</t>
  </si>
  <si>
    <t>LINEA NEG SLM
+ LN 1</t>
  </si>
  <si>
    <t>LINEA NEG SLM
+ LN 1, LN 1+, LN 2, LN 3, LN 5 (2)</t>
  </si>
  <si>
    <t>LINEA NEG 250min
+ LN 1, LN 1+, LN 2, LN 3, LN 5 (2)</t>
  </si>
  <si>
    <t>LINEA 
NEG SLM</t>
  </si>
  <si>
    <t>LINEA 
NEG 250min</t>
  </si>
  <si>
    <t>LOVE NEG 1</t>
  </si>
  <si>
    <t>LOVE NEG 1       (2)
LOVE NEG 1+     (2)
LOVE NEG 2       (2)
LOVE NEG 3       (2)
LOVE NEG 5       (2)</t>
  </si>
  <si>
    <t>(2) Para ampliaciones de -4 M y portabilidades origen prepago (-4M / +4M) de las tarifas Go Neg Esencial, Go Neg SLM, Go Neg Total+, Love Neg 1, Love Neg 1+, Love Neg 2, Love Neg 3, Love Neg 5, Love Neg SLM y Love Neg 250min aplican las condiciones de ENTRADA PRO, a excepción del bono extra.</t>
  </si>
  <si>
    <t>LOVE NEG BASICO (1)</t>
  </si>
  <si>
    <t>GO NEG ESE                (2)</t>
  </si>
  <si>
    <t>GO NEG SLM               (2)</t>
  </si>
  <si>
    <r>
      <rPr>
        <sz val="10"/>
        <rFont val="Arial"/>
        <family val="2"/>
      </rPr>
      <t>LINEA NEG 250min</t>
    </r>
    <r>
      <rPr>
        <sz val="9"/>
        <rFont val="Arial"/>
        <family val="2"/>
      </rPr>
      <t xml:space="preserve">
+ LN 1, LN 1+, LN 2, LN 3, LN 5</t>
    </r>
  </si>
  <si>
    <r>
      <t xml:space="preserve">LINEA 
</t>
    </r>
    <r>
      <rPr>
        <sz val="9"/>
        <rFont val="Arial"/>
        <family val="2"/>
      </rPr>
      <t>NEG 250min</t>
    </r>
  </si>
  <si>
    <r>
      <rPr>
        <b/>
        <sz val="11"/>
        <color indexed="53"/>
        <rFont val="Arial"/>
        <family val="2"/>
      </rPr>
      <t xml:space="preserve">(*) </t>
    </r>
    <r>
      <rPr>
        <sz val="11"/>
        <rFont val="Arial"/>
        <family val="2"/>
      </rPr>
      <t xml:space="preserve"> El bono  Extra correspondiente a cada tarifa indicada, aplica independientemente de la antigüedad del cliente y el origen de portabilidad.  El Bono Extra  asociado a cada tarifa también aplica a Pago Único. La Línea Negocio SLM hereda el mismo bono de la tarifa principal a la cual se asocia.</t>
    </r>
  </si>
  <si>
    <t>Internet Movil Pro 3GB</t>
  </si>
  <si>
    <t>LOVE NEG 1+
LOVE NEG 2</t>
  </si>
  <si>
    <t>LOVE NEG 3
LOVE NEG 5</t>
  </si>
  <si>
    <t>LINEA NEG SLM
+ LN 3, LN5</t>
  </si>
  <si>
    <t>LINEA NEG SLM
+ LN 1+, LN 2</t>
  </si>
  <si>
    <t>Samsung Galaxy S10 128GB</t>
  </si>
  <si>
    <t>Samsung Galaxy S10+ 128GB</t>
  </si>
  <si>
    <t>Samsung Galaxy S10+ 1TB</t>
  </si>
  <si>
    <t>Samsung Galaxy S10+ 512GB</t>
  </si>
  <si>
    <t>Samsung Galaxy S10e 128GB</t>
  </si>
  <si>
    <t>Huawei Mediapad T5 10" 4G</t>
  </si>
  <si>
    <t>Samsung Smart Tv 32" Ue32N5305</t>
  </si>
  <si>
    <t>Sony Xperia L3</t>
  </si>
  <si>
    <t>Sony Xperia 10</t>
  </si>
  <si>
    <t>Sony Xperia 10 + Google Home Mini</t>
  </si>
  <si>
    <t>Auriculares Jbl 500</t>
  </si>
  <si>
    <t>Altavoz Anker Mini</t>
  </si>
  <si>
    <t>Altavoz Anker Flare</t>
  </si>
  <si>
    <t>Altavoz Anker Flare Plus</t>
  </si>
  <si>
    <t>LG Smart TV 65" UK6470PLC</t>
  </si>
  <si>
    <t>Microsoft Surface Go 10" 64GB + accesorios</t>
  </si>
  <si>
    <t>HUAWEI P30</t>
  </si>
  <si>
    <t>HUAWEI P30 PRO</t>
  </si>
  <si>
    <t>APPLE AIRPODS 2019</t>
  </si>
  <si>
    <t>Verde</t>
  </si>
  <si>
    <t>Blanco</t>
  </si>
  <si>
    <t>AHORRO VaP Vs LIBRE</t>
  </si>
  <si>
    <r>
      <t xml:space="preserve">Ahorro VaP vs Libre
</t>
    </r>
    <r>
      <rPr>
        <sz val="9"/>
        <rFont val="Arial"/>
        <family val="2"/>
      </rPr>
      <t>(sin IVA)</t>
    </r>
  </si>
  <si>
    <r>
      <t xml:space="preserve">Ahorro VaP vs Libre
</t>
    </r>
    <r>
      <rPr>
        <sz val="9"/>
        <rFont val="Arial"/>
        <family val="2"/>
      </rPr>
      <t xml:space="preserve">(sin IVA) </t>
    </r>
  </si>
  <si>
    <t xml:space="preserve">Ahorro VaP vs Libre
(sin IVA) </t>
  </si>
  <si>
    <t>NINTENDO SWITCH LITE</t>
  </si>
  <si>
    <t>GOOGLE NEST MINI</t>
  </si>
  <si>
    <t>TABLET</t>
  </si>
  <si>
    <t>TP-LINK FLYBOX 4G (1)</t>
  </si>
  <si>
    <t>ROUTER TPLINK MR200 IEW 4G</t>
  </si>
  <si>
    <t>SAMSUNG GALAXY TAB A 8" WIFI</t>
  </si>
  <si>
    <t>ROUTER TPLINK MR200 IEW 4G (2)</t>
  </si>
  <si>
    <t>SAMSUNG GALAXY TAB S6e LITE 10" 4G</t>
  </si>
  <si>
    <t>SMARTPHONE</t>
  </si>
  <si>
    <t>Internet Movil 25GB Empresa</t>
  </si>
  <si>
    <t>Internet Movil 10GB Empresa</t>
  </si>
  <si>
    <t>HUAWEI AIRBOX E5576-320 IEW 4G</t>
  </si>
  <si>
    <t>PC</t>
  </si>
  <si>
    <t>IPAD WIFI 32GB 2020</t>
  </si>
  <si>
    <t>IPAD WIFI 128GB 2020</t>
  </si>
  <si>
    <t>SAMSUNG GALAXY TAB A7 10.4" 4G</t>
  </si>
  <si>
    <t>SAMSUNG GALAXY TAB S7+ 10" 5G</t>
  </si>
  <si>
    <t>ALCATEL AIRBOX 4G MW40 2018</t>
  </si>
  <si>
    <t>IPAD AIR WIFI 64GB 2020</t>
  </si>
  <si>
    <t>IPAD AIR CELL 256GB 4G</t>
  </si>
  <si>
    <t>HUAWEI MATEPAD T10s WIFI</t>
  </si>
  <si>
    <t>LENOVO SMART TAB M10 PLUS 10.3'' WIFI</t>
  </si>
  <si>
    <t>ALCATEL TAB 10" SMART WIFI</t>
  </si>
  <si>
    <t>ORANGE GAMA 803</t>
  </si>
  <si>
    <t>SAMSUNG GALAXY TAB A7 10.4" WIFI</t>
  </si>
  <si>
    <t>PVPR
Pago
Único</t>
  </si>
  <si>
    <t>GOOGLE NEST HUB 2a GENERACION</t>
  </si>
  <si>
    <t>TCL TAB 10S 4G</t>
  </si>
  <si>
    <t>IPAD PRO 11 256GB 5G</t>
  </si>
  <si>
    <t>SAMSUNG GALAXY TAB A7 LITE WIFI</t>
  </si>
  <si>
    <t>IMPRESORA HP DESKJET 2720e</t>
  </si>
  <si>
    <t>Sombreado</t>
  </si>
  <si>
    <t>SAMSUNG GALAXY TAB S7 FE 12,4" 5G</t>
  </si>
  <si>
    <t>Riesgo Alto GO</t>
  </si>
  <si>
    <r>
      <t>Desde el </t>
    </r>
    <r>
      <rPr>
        <b/>
        <sz val="11"/>
        <color indexed="63"/>
        <rFont val="Arial"/>
        <family val="2"/>
      </rPr>
      <t>1 de junio de 2021</t>
    </r>
    <r>
      <rPr>
        <sz val="11"/>
        <color indexed="63"/>
        <rFont val="Arial"/>
        <family val="2"/>
      </rPr>
      <t>, se aplican </t>
    </r>
    <r>
      <rPr>
        <sz val="11"/>
        <color indexed="53"/>
        <rFont val="Arial"/>
        <family val="2"/>
      </rPr>
      <t>4 nuevos compromisos de permanencia de 24 meses</t>
    </r>
    <r>
      <rPr>
        <sz val="11"/>
        <color indexed="63"/>
        <rFont val="Arial"/>
        <family val="2"/>
      </rPr>
      <t>, con distinto importe de penalización, que se asignarán a través de la oferta táctica de </t>
    </r>
    <r>
      <rPr>
        <b/>
        <sz val="11"/>
        <color indexed="63"/>
        <rFont val="Arial"/>
        <family val="2"/>
      </rPr>
      <t>venta a plazos de captación</t>
    </r>
    <r>
      <rPr>
        <sz val="11"/>
        <color indexed="63"/>
        <rFont val="Arial"/>
        <family val="2"/>
      </rPr>
      <t> (alta nueva) </t>
    </r>
    <r>
      <rPr>
        <b/>
        <sz val="11"/>
        <color indexed="63"/>
        <rFont val="Arial"/>
        <family val="2"/>
      </rPr>
      <t>y de renove de terminal</t>
    </r>
    <r>
      <rPr>
        <sz val="11"/>
        <color indexed="63"/>
        <rFont val="Arial"/>
        <family val="2"/>
      </rPr>
      <t>, en función de la tarifa y la gama de terminal elegido por el cliente.Como novedad, además,</t>
    </r>
    <r>
      <rPr>
        <b/>
        <sz val="11"/>
        <color indexed="63"/>
        <rFont val="Arial"/>
        <family val="2"/>
      </rPr>
      <t xml:space="preserve"> las penalizaciones de estos nuevos compromisos de permanencia de móvil, decrecen por tramos semestrales </t>
    </r>
    <r>
      <rPr>
        <sz val="11"/>
        <color indexed="63"/>
        <rFont val="Arial"/>
        <family val="2"/>
      </rPr>
      <t>en lugar de hacerlo diariamente y estos nuevos compromisos de permanencia son exclusivos de mercado empresa autónomos y micropymes:</t>
    </r>
  </si>
  <si>
    <t>Importes de Penalización</t>
  </si>
  <si>
    <t>Nombre Compromiso de Permanencia</t>
  </si>
  <si>
    <t>Código Compromiso de Permanencia</t>
  </si>
  <si>
    <t>Importe Penalización</t>
  </si>
  <si>
    <t>Compromiso de Permanencia 1</t>
  </si>
  <si>
    <t>CPC4</t>
  </si>
  <si>
    <t>150 euros</t>
  </si>
  <si>
    <t>Compromiso de Permanencia 2</t>
  </si>
  <si>
    <t>CPC5</t>
  </si>
  <si>
    <t>250 euros</t>
  </si>
  <si>
    <t>Compromiso de Permanencia 3</t>
  </si>
  <si>
    <t>CPC6</t>
  </si>
  <si>
    <t>300 euros</t>
  </si>
  <si>
    <t>Compromiso de Permanencia 4</t>
  </si>
  <si>
    <t>CPC7</t>
  </si>
  <si>
    <t>400 euros</t>
  </si>
  <si>
    <t>Comportamiento del compromiso de Penalización por meses.</t>
  </si>
  <si>
    <t>Compromisos de permanencia móvil</t>
  </si>
  <si>
    <t>Penalización en el alta</t>
  </si>
  <si>
    <t>Mes 6</t>
  </si>
  <si>
    <t>Mes 12</t>
  </si>
  <si>
    <t>Mes 18</t>
  </si>
  <si>
    <t>Tipo de Compromisos de Permanencia por tarifa y Precio de Terminal.</t>
  </si>
  <si>
    <t>Precio Pago Único Terminal</t>
  </si>
  <si>
    <t>TARIFA</t>
  </si>
  <si>
    <t xml:space="preserve"> &gt;800€</t>
  </si>
  <si>
    <t>800€ &gt;500€</t>
  </si>
  <si>
    <t>500€ &gt;300€</t>
  </si>
  <si>
    <t>&lt;300€</t>
  </si>
  <si>
    <t>4G de Orange en tu negocio</t>
  </si>
  <si>
    <t>Internet Empresa Ilimitado</t>
  </si>
  <si>
    <t>Internet Movil 90GB Empresa</t>
  </si>
  <si>
    <t>* El resto de nuestras tarifas mantienen los compromisos actuales.</t>
  </si>
  <si>
    <t>(1) Solo oferta en VaP (cesión) para 4G en tu Negocio e Internet Empresas Ilimitado</t>
  </si>
  <si>
    <t>(2) Solo oferta en Pago único para 4G en tu Negocio e Internet Empresas Ilimitado</t>
  </si>
  <si>
    <t>RIESGO BAJO</t>
  </si>
  <si>
    <t>RIESGO ALTO</t>
  </si>
  <si>
    <t>ALCATEL 1T 7" 2021 WIFI</t>
  </si>
  <si>
    <t>AURICULARES AD HOC BT01</t>
  </si>
  <si>
    <t>AURICULARES AD HOC HC01</t>
  </si>
  <si>
    <t>ALCATEL AIRBOX 4G MW70</t>
  </si>
  <si>
    <t>ZTE AIRBOX MU5001 5G</t>
  </si>
  <si>
    <t>ZTE FLYBOX MC801A 5G</t>
  </si>
  <si>
    <t>FLYBOX NUCOM 4G (HL553)</t>
  </si>
  <si>
    <t xml:space="preserve">FLYBOX NUCOM HL553 </t>
  </si>
  <si>
    <t>TP-LINK FLYBOX 4G</t>
  </si>
  <si>
    <t>ESTA OFERTA APLICA A LINEA PRINCIPAL DE LA TARIFA CONVERGENTE SÓLO PARA CLIENTES NUEVOS EN LA PARTE MÓVIL. (no aplica a clientes que ya dispongan de otro contrato móvil)</t>
  </si>
  <si>
    <r>
      <rPr>
        <b/>
        <sz val="11"/>
        <color theme="0"/>
        <rFont val="Arial"/>
        <family val="2"/>
      </rPr>
      <t xml:space="preserve">(*) </t>
    </r>
    <r>
      <rPr>
        <sz val="11"/>
        <color theme="0"/>
        <rFont val="Arial"/>
        <family val="2"/>
      </rPr>
      <t xml:space="preserve"> El bono  Extra correspondiente a cada tarifa indicada, aplica independientemente de la antigüedad del cliente y el origen de portabilidad.  El Bono Extra  asociado a cada tarifa también aplica a Pago Único. La Línea Negocio SLM hereda el mismo bono de la tarifa principal a la cual se asocia.</t>
    </r>
  </si>
  <si>
    <t>PACK 3 BOMBILLAS INTELIGENTES FILAMENTO MUVIT</t>
  </si>
  <si>
    <t>Lín. Principal Vs Lín. Adicional.</t>
  </si>
  <si>
    <t>ALCATEL AIRBOX 4G MW45</t>
  </si>
  <si>
    <t>Condiciones especiales para Fibra Oro</t>
  </si>
  <si>
    <t>Internet Movil 25GB Empresa
Fibra Oro</t>
  </si>
  <si>
    <t>TCL TAB 10L WIFI</t>
  </si>
  <si>
    <t>XBOX SERIES S</t>
  </si>
  <si>
    <t>REPETIDOR NEXTIVITY CELFI CONNECT C41</t>
  </si>
  <si>
    <t>CAMARA INALAMBRICA VIDEOVIGILANCIA ORANGE</t>
  </si>
  <si>
    <t>PACK 3 BOMBILLAS WIFI GU10 BLANCO Y COLOR</t>
  </si>
  <si>
    <t>IPHONE 14 128GB CON 5G</t>
  </si>
  <si>
    <t>GO EMP FLEX PRIMA</t>
  </si>
  <si>
    <t>GO EMP FLEX EXTRA</t>
  </si>
  <si>
    <t>GO EMP ILIMITADA 1</t>
  </si>
  <si>
    <t>GO EMP ILIMITADA 2</t>
  </si>
  <si>
    <t>GO EMP ILIMITADA 1           (2)</t>
  </si>
  <si>
    <t>GO EMP ILIMITADA 2          (2)</t>
  </si>
  <si>
    <t>GO EMPFLEX EXTRA</t>
  </si>
  <si>
    <t>VIDEOVIGILANCIA ORANGE</t>
  </si>
  <si>
    <t>LOVE EMP CRECE 10
LOVE EMP CRECE 20</t>
  </si>
  <si>
    <t>GO EMP FLEX EXTRA         (2)</t>
  </si>
  <si>
    <t>LOVE EMP ACTIVA
LOVE EMP IMPULSA 1     
LOVE EMP IMPULSA 2</t>
  </si>
  <si>
    <t>LINEA SMARTP SLM
+ LE AC, LEI 1,2,3,5 (2)</t>
  </si>
  <si>
    <t>LINEA SMARTP SLM
+ LE ACT, LE1</t>
  </si>
  <si>
    <t>LINEA SMARTP SLM
+ LEC 10 +LEC 20</t>
  </si>
  <si>
    <t>LINEA SMARTP 250 min
+ LE AC, LEI 1,2,3,5,LEC 10,20 (2)</t>
  </si>
  <si>
    <t>LINEA SMARTP 250 min
+ LE AC, LEI 1,2,3,5,LEC 10,20</t>
  </si>
  <si>
    <t xml:space="preserve">LOVE EMP ACTIVA                (2)
LOVE EMP IMPUL 1,2,3,5       (2)
LOVE EMP CRECE  10,20       (2)
</t>
  </si>
  <si>
    <t>(2) Para ampliaciones de -4 M y portabilidades origen prepago (-4M / +4M) de las tarifas Go Emp Flex prima, extra,Go Emp Ilimitada 1, 2, Love Emp Activa, Love Emp Imp 1, 3, 5, Love Emp Crec 10, 20, Love Smartp SLM y Love Smartp 250min aplican las condiciones de ENTRADA PRO, a excepción del bono extra.</t>
  </si>
  <si>
    <t>Capta de cliente nuevo o de cliente -4 M, solo accede a Pago Único</t>
  </si>
  <si>
    <t>Love Smartphone 250 min</t>
  </si>
  <si>
    <t>Love Empresa Activa</t>
  </si>
  <si>
    <t>Love Empresa Impulsa 1</t>
  </si>
  <si>
    <t>Love Empresa Impulsa 2</t>
  </si>
  <si>
    <t>Love Empresa Impulsa 3</t>
  </si>
  <si>
    <t>Love Empresa Impulsa 5</t>
  </si>
  <si>
    <t>Love Empresa Crece 10</t>
  </si>
  <si>
    <t>Love Empresa Crece 20</t>
  </si>
  <si>
    <t>Go Empresa Flex Prima</t>
  </si>
  <si>
    <t>Go Empresa Flex Extra</t>
  </si>
  <si>
    <t>Go Empresa Ilimitada 1</t>
  </si>
  <si>
    <t>Go Empresa Ilimitada 2</t>
  </si>
  <si>
    <t xml:space="preserve">GRUPOS DE TARIFAS CONVERGENTES </t>
  </si>
  <si>
    <t>PACK 2 BOMBILLAS A60 BLANCO Y COLOR + ENCHUFE WIFI</t>
  </si>
  <si>
    <t>SENSORES WIFI VIDEOVIGILANCIA ORANGE</t>
  </si>
  <si>
    <t>FIXED STYLE</t>
  </si>
  <si>
    <t>ADOC SC01</t>
  </si>
  <si>
    <t>ZTE AIRBOX MF920U 4G</t>
  </si>
  <si>
    <t>SAMSUNG GALAXY S23 256GB 5G</t>
  </si>
  <si>
    <t>LG SMART TV 32" LQ</t>
  </si>
  <si>
    <t>ORANGE GAMA 401</t>
  </si>
  <si>
    <t>Pago
Total</t>
  </si>
  <si>
    <r>
      <t xml:space="preserve">Pago
Total
</t>
    </r>
    <r>
      <rPr>
        <sz val="9"/>
        <rFont val="Arial"/>
        <family val="2"/>
      </rPr>
      <t>(sin IVA)</t>
    </r>
  </si>
  <si>
    <r>
      <t xml:space="preserve">Pago mínimo
Inicial 
</t>
    </r>
    <r>
      <rPr>
        <sz val="9"/>
        <rFont val="Arial"/>
        <family val="2"/>
      </rPr>
      <t>(sin IVA)</t>
    </r>
  </si>
  <si>
    <t>ORANGE GAMA 120 4G</t>
  </si>
  <si>
    <t>TCL 40 SE</t>
  </si>
  <si>
    <t>FREIDORA DE AIRE XIAOMI MI SMART AIR FRYER 4L</t>
  </si>
  <si>
    <t>BARRA DE SONIDO LG SQC2 2.1 300W</t>
  </si>
  <si>
    <t>ROBOT ASPIRADOR XIAOMI VACUUM E12 EU</t>
  </si>
  <si>
    <t>ADOC D30</t>
  </si>
  <si>
    <t>SAMSUNG GALAXY BOOK2 GO 14"</t>
  </si>
  <si>
    <t>ORANGE GAMA 120 4G + SIM</t>
  </si>
  <si>
    <t>LG SMART TV 43" UR78 4K</t>
  </si>
  <si>
    <t>CAMARA VIDEOVIGILANCIA PUERTA ORANGE</t>
  </si>
  <si>
    <t>AURICULARES TCL MOVEAUDIO NEO</t>
  </si>
  <si>
    <t>ALTAVOZ LG XBOOM XG5QBK</t>
  </si>
  <si>
    <t>AURICULARES SPC BRAVE PRO</t>
  </si>
  <si>
    <t>AURICULARES SPC DREAMER PRO</t>
  </si>
  <si>
    <t>SONY PLAYSTATION 5</t>
  </si>
  <si>
    <t>SONY PLAYSTATION 5 DIGITAL</t>
  </si>
  <si>
    <t>MBB</t>
  </si>
  <si>
    <t>LENOVO IDEAPAD 3 15ITL6 CI5</t>
  </si>
  <si>
    <t>LG SMART TV 50" UR78 4K</t>
  </si>
  <si>
    <t>LG SMART TV 55" UR78 4K</t>
  </si>
  <si>
    <t>LG SMART TV 65" UR78 4K</t>
  </si>
  <si>
    <t>HUAWEI WATCH ULTIMATE</t>
  </si>
  <si>
    <t>SAMSUNG SMART TV 65" OLED TQ65S92</t>
  </si>
  <si>
    <t>XIAOMI MI ELECTRIC SCOOTER 4</t>
  </si>
  <si>
    <t>ZTE</t>
  </si>
  <si>
    <t>SONY PS5 + 24 MESES PS PLUS PREMIUM</t>
  </si>
  <si>
    <t>AMAZFIT BIP 5</t>
  </si>
  <si>
    <t>BALIZA CONECTADA DGT</t>
  </si>
  <si>
    <t>BARRA SONIDO SAMSUNG HW-C430</t>
  </si>
  <si>
    <t>PACK 3 BOMBILLAS WIFI A60 BLANCO Y COLOR</t>
  </si>
  <si>
    <t>PACK 3 BOMBILLAS WIFI FILAMENTOS GLOBO PEQUEÑA</t>
  </si>
  <si>
    <t>SAMSUNG GALAXY WATCH 6 CLASSIC 47MM BT</t>
  </si>
  <si>
    <t>AURICULARES ZTE BUDS 2</t>
  </si>
  <si>
    <t>TCL NXTPAPER 11 WIFI + FUNDA + LAPIZ</t>
  </si>
  <si>
    <t>TCL TAB 10 2a GEN WIFI</t>
  </si>
  <si>
    <t>IPHONE 15 128GB CON 5G</t>
  </si>
  <si>
    <t>APPLE AIRPODS PRO 2a GENERACION MAGSAFE USBC</t>
  </si>
  <si>
    <t>APPLE WATCH S9 CELLULAR 45MM</t>
  </si>
  <si>
    <t>APPLE WATCH ULTRA 2 CELLULAR 49MM</t>
  </si>
  <si>
    <t>AURICULARES SAMSUNG GALAXY BUDS FE</t>
  </si>
  <si>
    <t>TERMOSTATO INTELIGENTE WIFI</t>
  </si>
  <si>
    <t>LENOVO IDEAPAD 1 15ADA7 4120 8+256GB</t>
  </si>
  <si>
    <t>NINTENDO SWITCH OLED + MARIO BROS WONDER</t>
  </si>
  <si>
    <t>SAMSUNG GALAXY TAB S9 FE 10.9" WIFI</t>
  </si>
  <si>
    <t>TCL ONETOUCH 4042s</t>
  </si>
  <si>
    <t>XIAOMI PAD SE 11" WIFI</t>
  </si>
  <si>
    <t>XIAOMI WATCH 2 PRO 4G</t>
  </si>
  <si>
    <t>LENOVO LOQ 3 15IRH8 i5 RTX 2050</t>
  </si>
  <si>
    <t>CONTROLADOR WIFI AIRE ACONDICIONADO Y BOMBA CALOR</t>
  </si>
  <si>
    <t>AURICULARES HUAWEI FREEBUDS SE2</t>
  </si>
  <si>
    <t>HONOR MAGIC6 LITE 256GB 5G</t>
  </si>
  <si>
    <t>SAMSUNG GALAXY A25 5G</t>
  </si>
  <si>
    <t>SAMSUNG GALAXY TAB A9 8,7" WIFI</t>
  </si>
  <si>
    <t>SAMSUNG GALAXY TAB A9+ 11" 5G</t>
  </si>
  <si>
    <t>SAMSUNG GALAXY TAB A9+ 11" WIFI</t>
  </si>
  <si>
    <t>TCL ONETOUCH 4043</t>
  </si>
  <si>
    <t>XIAOMI REDMI NOTE 13 5G</t>
  </si>
  <si>
    <t>AURICULARES XIAOMI REDMI BUDS 5 PRO</t>
  </si>
  <si>
    <t>FREIDORA DE AIRE XIAOMI MI SMART AIR FRYER 6,5L</t>
  </si>
  <si>
    <t>MASCOTAS DE ORANGE. BEBEDERO WIFI ULTRA 2L</t>
  </si>
  <si>
    <t>MASCOTAS DE ORANGE. COMEDERO WIFI CON CAMARA 2,6L</t>
  </si>
  <si>
    <t>XIAOMI REDMI WATCH 4</t>
  </si>
  <si>
    <t>SAMSUNG GALAXY S24 128GB 5G</t>
  </si>
  <si>
    <t>SAMSUNG GALAXY S24 256GB 5G</t>
  </si>
  <si>
    <t>SAMSUNG GALAXY S24 ULTRA 256GB 5G</t>
  </si>
  <si>
    <t>SAMSUNG GALAXY S24 ULTRA 512GB 5G</t>
  </si>
  <si>
    <t>AURICULARES OPPO ENCO BUDS2 PRO</t>
  </si>
  <si>
    <t>HUAWEI PC MATEBOOK D 14" I5 12 GEN</t>
  </si>
  <si>
    <t>SAMSUNG GALAXY BOOK4 PRO 16" i5</t>
  </si>
  <si>
    <t>XIAOMI 14 5G</t>
  </si>
  <si>
    <t>GAFAS VR2 SONY + HORIZON</t>
  </si>
  <si>
    <t>SAMSUNG GALAXY XCOVER 7 5G</t>
  </si>
  <si>
    <t>AURICULARES HONOR EARBUDS X6</t>
  </si>
  <si>
    <t>HONOR MAGIC6 PRO 5G</t>
  </si>
  <si>
    <t>HUAWEI PC MATEBOOK D 16" I5 12 GEN</t>
  </si>
  <si>
    <t>LG SMART TV 55" OLED C46 4K</t>
  </si>
  <si>
    <t>LG SMART TV 65" OLED C46 4K</t>
  </si>
  <si>
    <t>LG SMART TV 75" UT80 4K</t>
  </si>
  <si>
    <t>SAMSUNG GALAXY A35 5G</t>
  </si>
  <si>
    <t>SAMSUNG GALAXY A55 5G</t>
  </si>
  <si>
    <t>SAMSUNG SMART TV 43" DU7105</t>
  </si>
  <si>
    <t>SAMSUNG SMART TV 55" DU7105</t>
  </si>
  <si>
    <t>SAMSUNG SMART TV 65" DU7105</t>
  </si>
  <si>
    <t>SAMSUNG SMART TV 75" DU7105</t>
  </si>
  <si>
    <t>TCL 50 5G</t>
  </si>
  <si>
    <t>TCL ANDROID TV 32" S5400A</t>
  </si>
  <si>
    <t>XIAOMI GOOGLE TV 43" QLED A PRO</t>
  </si>
  <si>
    <t>XIAOMI GOOGLE TV 65" QLED A PRO</t>
  </si>
  <si>
    <t>XIAOMI SMART TV A 32"</t>
  </si>
  <si>
    <t>XIAOMI WATCH S3</t>
  </si>
  <si>
    <t>MOTOROLA EDGE 50 PRO 5G</t>
  </si>
  <si>
    <t>GOOGLE PIXEL 8A 256GB 5G</t>
  </si>
  <si>
    <t>GOOGLE PIXEL 8A 128GB 5G</t>
  </si>
  <si>
    <t>XIAOMI GOOGLE TV 55" QLED A PRO</t>
  </si>
  <si>
    <t>AURICULARES MOTOROLA MOTO BUDS</t>
  </si>
  <si>
    <t>SAMSUNG GALAXY TAB ACTIVE 5 5G</t>
  </si>
  <si>
    <t>ADOC SC04</t>
  </si>
  <si>
    <t>XIAOMI REDMI 13C 5G</t>
  </si>
  <si>
    <t>HONOR PAD X9 WIFI</t>
  </si>
  <si>
    <t>IPAD AIR M2 WIFI 11" 128GB</t>
  </si>
  <si>
    <t>IPAD AIR M2 WIFI 13" 128GB</t>
  </si>
  <si>
    <t>IPAD PRO M4 WIFI 11" 256GB</t>
  </si>
  <si>
    <t>PROYECTOR XIAOMI MI SMART 2</t>
  </si>
  <si>
    <t>XIAOMI PAD 6S PRO WIFI</t>
  </si>
  <si>
    <t>XIAOMI REDMI PAD PRO WIFI</t>
  </si>
  <si>
    <t>AURICULARES HUAWEI FREECLIP</t>
  </si>
  <si>
    <t>HUAWEI WATCH FIT 3</t>
  </si>
  <si>
    <t>ROBOT ASPIRADOR XIAOMI VACUUM X20 + DEP. LIMPIEZA</t>
  </si>
  <si>
    <t>ROBOT ASPIRADOR SAMSUNG CON ESTACION LIMPIEZA</t>
  </si>
  <si>
    <t>TCL GOOGLE TV 50" QLED C655 4K</t>
  </si>
  <si>
    <t>TCL GOOGLE TV 65" QLED C655 4K</t>
  </si>
  <si>
    <t>HONOR 200 512GB 5G</t>
  </si>
  <si>
    <t>HONOR 200 LITE 256GB 5G</t>
  </si>
  <si>
    <t>HONOR 200 PRO 512GB 5G</t>
  </si>
  <si>
    <t>LG ULTRA 16" U70R R5 16+512GB</t>
  </si>
  <si>
    <t>MOTOROLA RAZR 50 256GB 5G</t>
  </si>
  <si>
    <t>OPPO RENO12 256GB 5G</t>
  </si>
  <si>
    <t>OPPO RENO12 PRO 512GB 5G</t>
  </si>
  <si>
    <t>TCL GOOGLE TV 43" QLED C655 4K</t>
  </si>
  <si>
    <t>TCL GOOGLE TV 55" QLED C655 4K</t>
  </si>
  <si>
    <t>OPPO WATCH X 46MM BT</t>
  </si>
  <si>
    <t>MICROONDAS FREIDORA DE AIRE SAMSUNG</t>
  </si>
  <si>
    <t>GAFAS VR META QUEST 3 128GB + CORREA ELITE</t>
  </si>
  <si>
    <t>AURICULARES HUAWEI FREEBUDS 6i</t>
  </si>
  <si>
    <t>AURICULARES XIAOMI BUDS 5</t>
  </si>
  <si>
    <t>XIAOMI REDMI PAD SE 8.7" WIFI 4+128GB</t>
  </si>
  <si>
    <t>TCL 50 NXTPAPER 256GB 5G</t>
  </si>
  <si>
    <t>MOTOROLA MOTO G85 256GB 5G</t>
  </si>
  <si>
    <t>OPPO A80 256GB 5G</t>
  </si>
  <si>
    <t>LENOVO P3 CHROMEBOOK PLUS 14" i3 8+256GB</t>
  </si>
  <si>
    <t>XIAOMI MI ELECTRIC SCOOTER 4 PRO 2a GEN</t>
  </si>
  <si>
    <t>SAMSUNG GALAXY WATCH 7 FE 40MM BT</t>
  </si>
  <si>
    <t>HONOR BAND 9</t>
  </si>
  <si>
    <t>HUAWEI BAND 9</t>
  </si>
  <si>
    <t>XIAOMI SMART TV STICK 4K</t>
  </si>
  <si>
    <t>BARRA SONIDO TCL S55H W 2.1 220W</t>
  </si>
  <si>
    <t>BASCULA XIAOMI MI BODY COMPOSITION SCALE S400</t>
  </si>
  <si>
    <t>SAMSUNG GALAXY Z FLIP6 256GB 5G</t>
  </si>
  <si>
    <t>SAMSUNG GALAXY Z FLIP6 512GB 5G</t>
  </si>
  <si>
    <t>SAMSUNG GALAXY Z FOLD6 1TB 5G</t>
  </si>
  <si>
    <t>SAMSUNG GALAXY Z FOLD6 256GB 5G</t>
  </si>
  <si>
    <t>SAMSUNG GALAXY Z FOLD6 512GB 5G</t>
  </si>
  <si>
    <t>AURICULARES SAMSUNG GALAXY BUDS 3</t>
  </si>
  <si>
    <t>AURICULARES SAMSUNG GALAXY BUDS 3 PRO</t>
  </si>
  <si>
    <t>SAMSUNG GALAXY WATCH 7 40MM BT</t>
  </si>
  <si>
    <t>SAMSUNG GALAXY WATCH 7 44MM 4G</t>
  </si>
  <si>
    <t>SAMSUNG GALAXY WATCH 7 44MM BT</t>
  </si>
  <si>
    <t>SAMSUNG GALAXY WATCH ULTRA 47MM 4G</t>
  </si>
  <si>
    <t>XIAOMI</t>
  </si>
  <si>
    <t>INGRAM</t>
  </si>
  <si>
    <t>NEXTIVITY</t>
  </si>
  <si>
    <t>OPPO</t>
  </si>
  <si>
    <t>INNOV8</t>
  </si>
  <si>
    <t>HP</t>
  </si>
  <si>
    <t>HONOR</t>
  </si>
  <si>
    <t>META</t>
  </si>
  <si>
    <t>ATLANTIS</t>
  </si>
  <si>
    <t>TCL</t>
  </si>
  <si>
    <t>DEF</t>
  </si>
  <si>
    <t>AD HOC</t>
  </si>
  <si>
    <t>ORANGE GAMA 402</t>
  </si>
  <si>
    <t>GOOGLE PIXEL 9 128GB 5G</t>
  </si>
  <si>
    <t>GOOGLE PIXEL 9 PRO XL 512GB 5G</t>
  </si>
  <si>
    <t xml:space="preserve">LOVE EMP IMPULSA 3
</t>
  </si>
  <si>
    <t>LINEA SMARTP SLM
+ LEI 3</t>
  </si>
  <si>
    <t xml:space="preserve">LOVE EMP IMPULSA 5
</t>
  </si>
  <si>
    <t>LINEA SMARTP SLM
+ LEI 5</t>
  </si>
  <si>
    <t xml:space="preserve">LINEA SMARTP SLM
+ LEI 3 </t>
  </si>
  <si>
    <t>LOVE EMP IMPULSA 3</t>
  </si>
  <si>
    <t>LOVE EMP IMPULSA  5</t>
  </si>
  <si>
    <t>XIAOMI 14C 128GB</t>
  </si>
  <si>
    <t>ZTE A75 128GB 5G</t>
  </si>
  <si>
    <t>OPPO A40 128GB</t>
  </si>
  <si>
    <t>OPPO A60 128GB 5G</t>
  </si>
  <si>
    <t>GO EMP FLEX (1)</t>
  </si>
  <si>
    <t>GO EMP ILIMITADA +           (2)</t>
  </si>
  <si>
    <t>(2) Para ampliaciones de -4 M y portabilidades origen prepago (-4M / +4M) de las tarifas Go Emp Flex,Go Emp Ilimitada +, 2, Love Emp Activa, Love Emp Imp 1, 3, 5, Love Emp Crec 10, 20, Love Smartp SLM y Love Smartp 250min aplican las condiciones de ENTRADA PRO, a excepción del bono extra.</t>
  </si>
  <si>
    <t>GO EMP ILIMITADA +</t>
  </si>
  <si>
    <t>GO EMP ILIMITADA +          (2)</t>
  </si>
  <si>
    <t>GO EMP FLEX</t>
  </si>
  <si>
    <t>SAMSUNG GALAXY A16 128GB</t>
  </si>
  <si>
    <t>SAMSUNG GALAXY A16 128GB 5G</t>
  </si>
  <si>
    <t>Modelo</t>
  </si>
  <si>
    <t>FLYBOX NOKIA FASTMILE 5G</t>
  </si>
  <si>
    <t>FLYBOX HUAWEI H153-381 5G</t>
  </si>
  <si>
    <t>FLYBOX HUAWEI H153-381 5G (2)</t>
  </si>
  <si>
    <t>GOOGLE PIXEL 9 PRO 256GB 5G</t>
  </si>
  <si>
    <t>HONOR 200 SMART 256GB 5G</t>
  </si>
  <si>
    <t>HONOR MAGIC V3 512GB 5G</t>
  </si>
  <si>
    <t>HONOR PAD X8a 11" 4+128GB WIFI</t>
  </si>
  <si>
    <t>IPAD 10a GEN 64GB 2024 WIFI</t>
  </si>
  <si>
    <t>IPHONE 16 128GB CON 5G</t>
  </si>
  <si>
    <t>IPHONE 16 256GB CON 5G</t>
  </si>
  <si>
    <t>IPHONE 16 PLUS 128GB CON 5G</t>
  </si>
  <si>
    <t>IPHONE 16 PLUS 256GB CON 5G</t>
  </si>
  <si>
    <t>IPHONE 16 PRO 128GB CON 5G</t>
  </si>
  <si>
    <t>IPHONE 16 PRO 256GB CON 5G</t>
  </si>
  <si>
    <t>IPHONE 16 PRO MAX 256 CON 5G</t>
  </si>
  <si>
    <t>IPHONE 16 PRO MAX 512 CON 5G</t>
  </si>
  <si>
    <t>LENOVO 14" SOHO WINDOWS PROFESSIONAL 16+512GB</t>
  </si>
  <si>
    <t>LENOVO IDEAPAD 1 15ADA7 4500 8+256GB</t>
  </si>
  <si>
    <t>LENOVO IDEAPAD 3 15IAH8 CI5 8+512GB</t>
  </si>
  <si>
    <t>LENOVO IDEAPAD 5 16IRL8 I7 13GEN 16GB+1TB</t>
  </si>
  <si>
    <t>LENOVO TAB M11 WIFI 4+128GB + LAPIZ</t>
  </si>
  <si>
    <t>MOTOROLA EDGE 50 NEO 512GB 5G</t>
  </si>
  <si>
    <t>MOTOROLA MOTO G35 128GB 5G</t>
  </si>
  <si>
    <t>MOTOROLA MOTO G55 256GB 5G</t>
  </si>
  <si>
    <t>MOTOROLA MOTO THINKPHONE 25 256GB 5G</t>
  </si>
  <si>
    <t>OPPO FIND X8 PRO 512GB 5G</t>
  </si>
  <si>
    <t>OPPO RENO12 FS 512GB 5G</t>
  </si>
  <si>
    <t>ORANGE GAMA 804</t>
  </si>
  <si>
    <t>SAMSUNG GALAXY BOOK4 15,6" i3 13GEN 8+256GB W HOME</t>
  </si>
  <si>
    <t>SAMSUNG GALAXY BOOK4 15,6" i5 13GEN 16+512GB W PRO</t>
  </si>
  <si>
    <t>SAMSUNG GALAXY BOOK4 EDGE15 16+256GB</t>
  </si>
  <si>
    <t>SAMSUNG GALAXY BOOK5 PRO16 16" i5 ULTRA 16+512GB</t>
  </si>
  <si>
    <t>SAMSUNG GALAXY S24 FE 128GB 5G</t>
  </si>
  <si>
    <t>SAMSUNG GALAXY TAB S10 ULTRA 12+256GB WIFI</t>
  </si>
  <si>
    <t>XIAOMI 14T 256GB 5G</t>
  </si>
  <si>
    <t>XIAOMI 14T PRO 256GB 5G</t>
  </si>
  <si>
    <t>XIAOMI 14T PRO 512GB 5G</t>
  </si>
  <si>
    <t>XIAOMI REDMI NOTE 14 256GB 5G</t>
  </si>
  <si>
    <t>XIAOMI REDMI NOTE 14 PRO 256GB 5G</t>
  </si>
  <si>
    <t>XIAOMI REDMI NOTE 14 PRO+ 256GB 5G</t>
  </si>
  <si>
    <t>ALTAVOZ LG XBOOM XG2 TBK</t>
  </si>
  <si>
    <t>ALTAVOZ SONY SRS-XG300B</t>
  </si>
  <si>
    <t>APPLE AIRPODS 4</t>
  </si>
  <si>
    <t>APPLE AIRPODS 4 CON CANCELACION ACTIVA RUIDO</t>
  </si>
  <si>
    <t>APPLE WATCH S10 CELLULAR 42MM</t>
  </si>
  <si>
    <t>APPLE WATCH S10 CELLULAR 46MM</t>
  </si>
  <si>
    <t>APPLE WATCH S10 GPS 42MM</t>
  </si>
  <si>
    <t>APPLE WATCH S10 GPS 46MM</t>
  </si>
  <si>
    <t>APPLE WATCH SE 3 CELLULAR 40MM</t>
  </si>
  <si>
    <t>APPLE WATCH SE 3 CELLULAR 44MM</t>
  </si>
  <si>
    <t>ASPIRADOR DE ESCOBA DYSON V15 DETECT</t>
  </si>
  <si>
    <t>AURICULARES DIADEMA SONY ULT WEAR 900</t>
  </si>
  <si>
    <t>AURICULARES GOOGLE PIXEL BUDS PRO 2</t>
  </si>
  <si>
    <t>AURICULARES XIAOMI REDMI BUDS 6 LITE</t>
  </si>
  <si>
    <t>AURICULARES XIAOMI REDMI BUDS 6 PRO</t>
  </si>
  <si>
    <t>BARRA SONIDO LG S40TR 4.1 400W</t>
  </si>
  <si>
    <t>BARRA SONIDO SCHNEIDER SC600SND</t>
  </si>
  <si>
    <t>BASCULA DE PESAJE</t>
  </si>
  <si>
    <t>CAJON PORTAMONEDAS</t>
  </si>
  <si>
    <t>GAFAS VR META QUEST 3 512GB + CORREA ELITE</t>
  </si>
  <si>
    <t>GAFAS VR META QUEST 3S 256GB</t>
  </si>
  <si>
    <t>GOOGLE PIXEL WATCH 3 41MM BT</t>
  </si>
  <si>
    <t>HUAWEI WATCH GT5 41MM + FREEBUDS 5i</t>
  </si>
  <si>
    <t>HUAWEI WATCH GT5 46MM + FREEBUDS 5i</t>
  </si>
  <si>
    <t>HUAWEI WATCH GT5 46MM CUERO + FREEBUDS 5i</t>
  </si>
  <si>
    <t>HUAWEI WATCH GT5 PRO 46MM + FREEBUDS 5i</t>
  </si>
  <si>
    <t>HUAWEI WATCH GT5 PRO 46MM CORREA NEGRA</t>
  </si>
  <si>
    <t>IMPRESORA HP SMART TANK 5105</t>
  </si>
  <si>
    <t>IMPRESORA TICKTETS TERMICA WIFI</t>
  </si>
  <si>
    <t>MOLDEADOR DE PELO DYSON AIRWRAP HS05 ORIGIN</t>
  </si>
  <si>
    <t>MONITOR LENOVO 27" L27i-40 ALTAVOCES INTEGRADOS</t>
  </si>
  <si>
    <t>NINTENDO SWITCH + SUPER MARIO ODYSSEY</t>
  </si>
  <si>
    <t>PACK LECTOR CODIGO BARRAS WIFI</t>
  </si>
  <si>
    <t>PACK PHILIPS HUE BRIDGE+LAMPARA HUE GO+INTERRUPTOR</t>
  </si>
  <si>
    <t>PLANCHA SECADOR DE PELO DYSON AIRSTRAIT</t>
  </si>
  <si>
    <t>REGLETA INTELIGENTE 4 ENCHUFES WIFI MUVIT</t>
  </si>
  <si>
    <t>ROBOT ASPIRADOR XIAOMI VACUUM S20</t>
  </si>
  <si>
    <t>SAMSUNG GALAXY FIT 3</t>
  </si>
  <si>
    <t>SECADOR DE PELO DYSON SUPERSONIC</t>
  </si>
  <si>
    <t>SONY PLAYSTATION 5 + 50 EUR FORNITE</t>
  </si>
  <si>
    <t>SONY PLAYSTATION 5 DIGITAL + 50 EUR FORNITE</t>
  </si>
  <si>
    <t>SONY PS5 + EA SPORTS FC 2025</t>
  </si>
  <si>
    <t>SONY PS5 PRO 2TB</t>
  </si>
  <si>
    <t>SOPORTE MULTIFUNCION BLACKFIRE PS4</t>
  </si>
  <si>
    <t>TPV TACTIL 15.6" FT-16N</t>
  </si>
  <si>
    <t>XIAOMI REDMI WATCH 5</t>
  </si>
  <si>
    <t>XIAOMI REDMI WATCH 5 LITE</t>
  </si>
  <si>
    <t>Internet Movil 90GB Empresa
Internet Empresa Ilimitado 
Internet 5G en tu Negocio</t>
  </si>
  <si>
    <t>Alta, portabilidad y 
Migración</t>
  </si>
  <si>
    <t xml:space="preserve">Origen 
</t>
  </si>
  <si>
    <t xml:space="preserve">Internet Movil 90GB Empresa
Internet Empresa Ilimitado 
Internet 5G en tu Negocio </t>
  </si>
  <si>
    <t>PVP</t>
  </si>
  <si>
    <t xml:space="preserve">
Pago
Único</t>
  </si>
  <si>
    <t>7/01 al 2/02</t>
  </si>
  <si>
    <t xml:space="preserve">DxC </t>
  </si>
  <si>
    <t>TP-LINK</t>
  </si>
  <si>
    <t>NOKIA</t>
  </si>
  <si>
    <t>ADOC SC0124</t>
  </si>
  <si>
    <t>ADOC SC0424</t>
  </si>
  <si>
    <t>TCL ONETOUCH 4042s24</t>
  </si>
  <si>
    <t>TCL ONETOUCH 404324</t>
  </si>
  <si>
    <t>IPHONE 14 128GB CON 5G24</t>
  </si>
  <si>
    <t>IPHONE 14 128GB CON 5G30</t>
  </si>
  <si>
    <t>IPHONE 15 128GB CON 5G24</t>
  </si>
  <si>
    <t>IPHONE 15 128GB CON 5G30</t>
  </si>
  <si>
    <t>IPHONE 16 128GB CON 5G24</t>
  </si>
  <si>
    <t>IPHONE 16 128GB CON 5G30</t>
  </si>
  <si>
    <t>IPHONE 16 256GB CON 5G24</t>
  </si>
  <si>
    <t>IPHONE 16 256GB CON 5G30</t>
  </si>
  <si>
    <t>IPHONE 16 PLUS 128GB CON 5G24</t>
  </si>
  <si>
    <t>IPHONE 16 PLUS 128GB CON 5G30</t>
  </si>
  <si>
    <t>IPHONE 16 PLUS 256GB CON 5G24</t>
  </si>
  <si>
    <t>IPHONE 16 PLUS 256GB CON 5G30</t>
  </si>
  <si>
    <t>IPHONE 16 PRO 128GB CON 5G24</t>
  </si>
  <si>
    <t>IPHONE 16 PRO 128GB CON 5G30</t>
  </si>
  <si>
    <t>IPHONE 16 PRO 256GB CON 5G24</t>
  </si>
  <si>
    <t>IPHONE 16 PRO 256GB CON 5G30</t>
  </si>
  <si>
    <t>IPHONE 16 PRO MAX 256 CON 5G24</t>
  </si>
  <si>
    <t>IPHONE 16 PRO MAX 256 CON 5G30</t>
  </si>
  <si>
    <t>IPHONE 16 PRO MAX 512 CON 5G24</t>
  </si>
  <si>
    <t>IPHONE 16 PRO MAX 512 CON 5G30</t>
  </si>
  <si>
    <t>GOOGLE PIXEL 8A 128GB 5G24</t>
  </si>
  <si>
    <t>GOOGLE PIXEL 8A 128GB 5G30</t>
  </si>
  <si>
    <t>GOOGLE PIXEL 8A 256GB 5G24</t>
  </si>
  <si>
    <t>GOOGLE PIXEL 8A 256GB 5G30</t>
  </si>
  <si>
    <t>GOOGLE PIXEL 9 128GB 5G24</t>
  </si>
  <si>
    <t>GOOGLE PIXEL 9 128GB 5G30</t>
  </si>
  <si>
    <t>GOOGLE PIXEL 9 PRO 256GB 5G24</t>
  </si>
  <si>
    <t>GOOGLE PIXEL 9 PRO 256GB 5G30</t>
  </si>
  <si>
    <t>GOOGLE PIXEL 9 PRO XL 512GB 5G24</t>
  </si>
  <si>
    <t>GOOGLE PIXEL 9 PRO XL 512GB 5G30</t>
  </si>
  <si>
    <t>HONOR 200 512GB 5G24</t>
  </si>
  <si>
    <t>HONOR 200 512GB 5G30</t>
  </si>
  <si>
    <t>HONOR 200 LITE 256GB 5G24</t>
  </si>
  <si>
    <t>HONOR 200 LITE 256GB 5G30</t>
  </si>
  <si>
    <t>HONOR 200 PRO 512GB 5G24</t>
  </si>
  <si>
    <t>HONOR 200 PRO 512GB 5G30</t>
  </si>
  <si>
    <t>HONOR 200 SMART 256GB 5G24</t>
  </si>
  <si>
    <t>HONOR 200 SMART 256GB 5G30</t>
  </si>
  <si>
    <t>HONOR MAGIC V3 512GB 5G24</t>
  </si>
  <si>
    <t>HONOR MAGIC V3 512GB 5G30</t>
  </si>
  <si>
    <t>HONOR MAGIC6 LITE 256GB 5G24</t>
  </si>
  <si>
    <t>HONOR MAGIC6 LITE 256GB 5G30</t>
  </si>
  <si>
    <t>HONOR MAGIC6 PRO 5G24</t>
  </si>
  <si>
    <t>HONOR MAGIC6 PRO 5G30</t>
  </si>
  <si>
    <t>MOTOROLA EDGE 50 NEO 512GB 5G24</t>
  </si>
  <si>
    <t>MOTOROLA EDGE 50 NEO 512GB 5G30</t>
  </si>
  <si>
    <t>MOTOROLA EDGE 50 PRO 5G24</t>
  </si>
  <si>
    <t>MOTOROLA EDGE 50 PRO 5G30</t>
  </si>
  <si>
    <t>MOTOROLA MOTO G35 128GB 5G24</t>
  </si>
  <si>
    <t>MOTOROLA MOTO G35 128GB 5G30</t>
  </si>
  <si>
    <t>MOTOROLA MOTO G55 256GB 5G24</t>
  </si>
  <si>
    <t>MOTOROLA MOTO G55 256GB 5G30</t>
  </si>
  <si>
    <t>MOTOROLA MOTO G85 256GB 5G24</t>
  </si>
  <si>
    <t>MOTOROLA MOTO G85 256GB 5G30</t>
  </si>
  <si>
    <t>MOTOROLA RAZR 50 256GB 5G24</t>
  </si>
  <si>
    <t>MOTOROLA RAZR 50 256GB 5G30</t>
  </si>
  <si>
    <t>OPPO A40 128GB24</t>
  </si>
  <si>
    <t>OPPO A60 128GB 5G24</t>
  </si>
  <si>
    <t>OPPO A60 128GB 5G30</t>
  </si>
  <si>
    <t>OPPO A80 256GB 5G24</t>
  </si>
  <si>
    <t>OPPO A80 256GB 5G30</t>
  </si>
  <si>
    <t>OPPO FIND X8 PRO 512GB 5G24</t>
  </si>
  <si>
    <t>OPPO FIND X8 PRO 512GB 5G30</t>
  </si>
  <si>
    <t>OPPO RENO12 256GB 5G24</t>
  </si>
  <si>
    <t>OPPO RENO12 256GB 5G30</t>
  </si>
  <si>
    <t>OPPO RENO12 FS 512GB 5G24</t>
  </si>
  <si>
    <t>OPPO RENO12 FS 512GB 5G30</t>
  </si>
  <si>
    <t>OPPO RENO12 PRO 512GB 5G24</t>
  </si>
  <si>
    <t>OPPO RENO12 PRO 512GB 5G30</t>
  </si>
  <si>
    <t>SAMSUNG GALAXY A16 128GB24</t>
  </si>
  <si>
    <t>SAMSUNG GALAXY A16 128GB 5G24</t>
  </si>
  <si>
    <t>SAMSUNG GALAXY A16 128GB 5G30</t>
  </si>
  <si>
    <t>SAMSUNG GALAXY A25 5G24</t>
  </si>
  <si>
    <t>SAMSUNG GALAXY A25 5G30</t>
  </si>
  <si>
    <t>SAMSUNG GALAXY A35 5G24</t>
  </si>
  <si>
    <t>SAMSUNG GALAXY A35 5G30</t>
  </si>
  <si>
    <t>SAMSUNG GALAXY A55 5G24</t>
  </si>
  <si>
    <t>SAMSUNG GALAXY A55 5G30</t>
  </si>
  <si>
    <t>SAMSUNG GALAXY S23 256GB 5G24</t>
  </si>
  <si>
    <t>SAMSUNG GALAXY S23 256GB 5G30</t>
  </si>
  <si>
    <t>SAMSUNG GALAXY S24 128GB 5G24</t>
  </si>
  <si>
    <t>SAMSUNG GALAXY S24 128GB 5G30</t>
  </si>
  <si>
    <t>SAMSUNG GALAXY S24 256GB 5G24</t>
  </si>
  <si>
    <t>SAMSUNG GALAXY S24 256GB 5G30</t>
  </si>
  <si>
    <t>SAMSUNG GALAXY S24 FE 128GB 5G24</t>
  </si>
  <si>
    <t>SAMSUNG GALAXY S24 FE 128GB 5G30</t>
  </si>
  <si>
    <t>SAMSUNG GALAXY S24 ULTRA 256GB 5G24</t>
  </si>
  <si>
    <t>SAMSUNG GALAXY S24 ULTRA 256GB 5G30</t>
  </si>
  <si>
    <t>SAMSUNG GALAXY S24 ULTRA 512GB 5G24</t>
  </si>
  <si>
    <t>SAMSUNG GALAXY S24 ULTRA 512GB 5G30</t>
  </si>
  <si>
    <t>SAMSUNG GALAXY Z FLIP6 512GB 5G30</t>
  </si>
  <si>
    <t>SAMSUNG GALAXY Z FOLD6 1TB 5G24</t>
  </si>
  <si>
    <t>SAMSUNG GALAXY Z FOLD6 1TB 5G30</t>
  </si>
  <si>
    <t>SAMSUNG GALAXY Z FOLD6 256GB 5G24</t>
  </si>
  <si>
    <t>SAMSUNG GALAXY Z FOLD6 256GB 5G30</t>
  </si>
  <si>
    <t>SAMSUNG GALAXY Z FOLD6 512GB 5G24</t>
  </si>
  <si>
    <t>SAMSUNG GALAXY Z FOLD6 512GB 5G30</t>
  </si>
  <si>
    <t>TCL 40 SE24</t>
  </si>
  <si>
    <t>TCL 50 5G24</t>
  </si>
  <si>
    <t>TCL 50 5G30</t>
  </si>
  <si>
    <t>TCL 50 NXTPAPER 256GB 5G24</t>
  </si>
  <si>
    <t>TCL 50 NXTPAPER 256GB 5G30</t>
  </si>
  <si>
    <t>XIAOMI 14 5G24</t>
  </si>
  <si>
    <t>XIAOMI 14 5G30</t>
  </si>
  <si>
    <t>XIAOMI 14C 128GB24</t>
  </si>
  <si>
    <t>XIAOMI 14T 256GB 5G24</t>
  </si>
  <si>
    <t>XIAOMI 14T 256GB 5G30</t>
  </si>
  <si>
    <t>XIAOMI 14T PRO 256GB 5G24</t>
  </si>
  <si>
    <t>XIAOMI 14T PRO 256GB 5G30</t>
  </si>
  <si>
    <t>XIAOMI 14T PRO 512GB 5G24</t>
  </si>
  <si>
    <t>XIAOMI 14T PRO 512GB 5G30</t>
  </si>
  <si>
    <t>XIAOMI REDMI 13C 5G24</t>
  </si>
  <si>
    <t>XIAOMI REDMI 13C 5G30</t>
  </si>
  <si>
    <t>XIAOMI REDMI NOTE 13 5G24</t>
  </si>
  <si>
    <t>XIAOMI REDMI NOTE 13 5G30</t>
  </si>
  <si>
    <t>XIAOMI REDMI NOTE 14 256GB 5G24</t>
  </si>
  <si>
    <t>XIAOMI REDMI NOTE 14 256GB 5G30</t>
  </si>
  <si>
    <t>XIAOMI REDMI NOTE 14 PRO 256GB 5G24</t>
  </si>
  <si>
    <t>XIAOMI REDMI NOTE 14 PRO 256GB 5G30</t>
  </si>
  <si>
    <t>XIAOMI REDMI NOTE 14 PRO+ 256GB 5G24</t>
  </si>
  <si>
    <t>XIAOMI REDMI NOTE 14 PRO+ 256GB 5G30</t>
  </si>
  <si>
    <t>ZTE A75 128GB 5G24</t>
  </si>
  <si>
    <t>ZTE A75 128GB 5G30</t>
  </si>
  <si>
    <t>LG SMART TV 32" LQ24</t>
  </si>
  <si>
    <t>SMART TV</t>
  </si>
  <si>
    <t>LG SMART TV 43" UR78 4K24</t>
  </si>
  <si>
    <t>LG SMART TV 43" UR78 4K30</t>
  </si>
  <si>
    <t>LG SMART TV 50" UR78 4K24</t>
  </si>
  <si>
    <t>LG SMART TV 50" UR78 4K30</t>
  </si>
  <si>
    <t>LG SMART TV 55" OLED C46 4K24</t>
  </si>
  <si>
    <t>LG SMART TV 55" OLED C46 4K30</t>
  </si>
  <si>
    <t>LG SMART TV 55" UR78 4K24</t>
  </si>
  <si>
    <t>LG SMART TV 55" UR78 4K30</t>
  </si>
  <si>
    <t>LG SMART TV 65" OLED C46 4K24</t>
  </si>
  <si>
    <t>LG SMART TV 65" OLED C46 4K30</t>
  </si>
  <si>
    <t>LG SMART TV 65" UR78 4K24</t>
  </si>
  <si>
    <t>LG SMART TV 65" UR78 4K30</t>
  </si>
  <si>
    <t>LG SMART TV 75" UT80 4K24</t>
  </si>
  <si>
    <t>LG SMART TV 75" UT80 4K30</t>
  </si>
  <si>
    <t>SAMSUNG SMART TV 43" DU710524</t>
  </si>
  <si>
    <t>SAMSUNG SMART TV 43" DU710530</t>
  </si>
  <si>
    <t>SAMSUNG SMART TV 55" DU710524</t>
  </si>
  <si>
    <t>SAMSUNG SMART TV 55" DU710530</t>
  </si>
  <si>
    <t>SAMSUNG SMART TV 65" DU710524</t>
  </si>
  <si>
    <t>SAMSUNG SMART TV 65" DU710530</t>
  </si>
  <si>
    <t>SAMSUNG SMART TV 65" OLED TQ65S9224</t>
  </si>
  <si>
    <t>SAMSUNG SMART TV 65" OLED TQ65S9230</t>
  </si>
  <si>
    <t>SAMSUNG SMART TV 75" DU710524</t>
  </si>
  <si>
    <t>SAMSUNG SMART TV 75" DU710530</t>
  </si>
  <si>
    <t>TCL ANDROID TV 32" S5400A24</t>
  </si>
  <si>
    <t>TCL GOOGLE TV 43" QLED C655 4K24</t>
  </si>
  <si>
    <t>TCL GOOGLE TV 43" QLED C655 4K30</t>
  </si>
  <si>
    <t>TCL GOOGLE TV 50" QLED C655 4K24</t>
  </si>
  <si>
    <t>TCL GOOGLE TV 50" QLED C655 4K30</t>
  </si>
  <si>
    <t>TCL GOOGLE TV 55" QLED C655 4K24</t>
  </si>
  <si>
    <t>TCL GOOGLE TV 55" QLED C655 4K30</t>
  </si>
  <si>
    <t>TCL GOOGLE TV 65" QLED C655 4K24</t>
  </si>
  <si>
    <t>TCL GOOGLE TV 65" QLED C655 4K30</t>
  </si>
  <si>
    <t>XIAOMI GOOGLE TV 43" QLED A PRO24</t>
  </si>
  <si>
    <t>XIAOMI GOOGLE TV 43" QLED A PRO30</t>
  </si>
  <si>
    <t>XIAOMI GOOGLE TV 55" QLED A PRO24</t>
  </si>
  <si>
    <t>XIAOMI GOOGLE TV 55" QLED A PRO30</t>
  </si>
  <si>
    <t>XIAOMI GOOGLE TV 65" QLED A PRO24</t>
  </si>
  <si>
    <t>XIAOMI GOOGLE TV 65" QLED A PRO30</t>
  </si>
  <si>
    <t>XIAOMI SMART TV A 32"24</t>
  </si>
  <si>
    <t>IPAD AIR M2 WIFI 11" 128GB24</t>
  </si>
  <si>
    <t>IPAD AIR M2 WIFI 13" 128GB24</t>
  </si>
  <si>
    <t>IPAD PRO M4 WIFI 11" 256GB24</t>
  </si>
  <si>
    <t>HONOR PAD X9 WIFI24</t>
  </si>
  <si>
    <t>LENOVO TAB M11 WIFI 4+128GB + LAPIZ24</t>
  </si>
  <si>
    <t>SAMSUNG GALAXY TAB A9 8,7" WIFI24</t>
  </si>
  <si>
    <t>SAMSUNG GALAXY TAB A9+ 11" 5G24</t>
  </si>
  <si>
    <t>SAMSUNG GALAXY TAB A9+ 11" WIFI24</t>
  </si>
  <si>
    <t>SAMSUNG GALAXY TAB S10 ULTRA 12+256GB WIFI24</t>
  </si>
  <si>
    <t>SAMSUNG GALAXY TAB S9 FE 10.9" WIFI24</t>
  </si>
  <si>
    <t>TCL NXTPAPER 11 WIFI + FUNDA + LAPIZ24</t>
  </si>
  <si>
    <t>TCL TAB 10 2a GEN WIFI24</t>
  </si>
  <si>
    <t>TCL TAB 10L WIFI24</t>
  </si>
  <si>
    <t>XIAOMI PAD 6S PRO WIFI24</t>
  </si>
  <si>
    <t>XIAOMI PAD SE 11" WIFI24</t>
  </si>
  <si>
    <t>XIAOMI REDMI PAD PRO WIFI24</t>
  </si>
  <si>
    <t>XIAOMI REDMI PAD SE 8.7" WIFI 4+128GB24</t>
  </si>
  <si>
    <t>IPAD 10a GEN 64GB 2024 WIFI24</t>
  </si>
  <si>
    <t>TABLETS</t>
  </si>
  <si>
    <t>HONOR PAD X8a 11" 4+128GB WIFI24</t>
  </si>
  <si>
    <t>XBOX SERIES S24</t>
  </si>
  <si>
    <t>CONSOLA</t>
  </si>
  <si>
    <t>XBOX SERIES S30</t>
  </si>
  <si>
    <t>NINTENDO SWITCH + SUPER MARIO ODYSSEY24</t>
  </si>
  <si>
    <t>NINTENDO SWITCH + SUPER MARIO ODYSSEY30</t>
  </si>
  <si>
    <t>NINTENDO SWITCH LITE24</t>
  </si>
  <si>
    <t>NINTENDO SWITCH LITE30</t>
  </si>
  <si>
    <t>NINTENDO SWITCH OLED + MARIO BROS WONDER24</t>
  </si>
  <si>
    <t>NINTENDO SWITCH OLED + MARIO BROS WONDER30</t>
  </si>
  <si>
    <t>SONY PLAYSTATION 524</t>
  </si>
  <si>
    <t>SONY PLAYSTATION 530</t>
  </si>
  <si>
    <t>SONY PLAYSTATION 5 + 50 EUR FORNITE24</t>
  </si>
  <si>
    <t>SONY PLAYSTATION 5 + 50 EUR FORNITE30</t>
  </si>
  <si>
    <t>SONY PLAYSTATION 5 DIGITAL24</t>
  </si>
  <si>
    <t>SONY PLAYSTATION 5 DIGITAL30</t>
  </si>
  <si>
    <t>SONY PLAYSTATION 5 DIGITAL + 50 EUR FORNITE24</t>
  </si>
  <si>
    <t>SONY PLAYSTATION 5 DIGITAL + 50 EUR FORNITE30</t>
  </si>
  <si>
    <t>SONY PS5 + 24 MESES PS PLUS PREMIUM24</t>
  </si>
  <si>
    <t>SONY PS5 + 24 MESES PS PLUS PREMIUM30</t>
  </si>
  <si>
    <t>SONY PS5 + EA SPORTS FC 202524</t>
  </si>
  <si>
    <t>SONY PS5 + EA SPORTS FC 202530</t>
  </si>
  <si>
    <t>SONY PS5 PRO 2TB24</t>
  </si>
  <si>
    <t>SONY PS5 PRO 2TB30</t>
  </si>
  <si>
    <t>HUAWEI PC MATEBOOK D 14" I5 12 GEN24</t>
  </si>
  <si>
    <t>HUAWEI PC MATEBOOK D 14" I5 12 GEN30</t>
  </si>
  <si>
    <t>HUAWEI PC MATEBOOK D 16" I5 12 GEN24</t>
  </si>
  <si>
    <t>HUAWEI PC MATEBOOK D 16" I5 12 GEN30</t>
  </si>
  <si>
    <t>LENOVO IDEAPAD 1 15ADA7 4120 8+256GB24</t>
  </si>
  <si>
    <t>LENOVO IDEAPAD 1 15ADA7 4120 8+256GB30</t>
  </si>
  <si>
    <t>LENOVO IDEAPAD 5 16IRL8 I7 13GEN 16GB+1TB30</t>
  </si>
  <si>
    <t>LENOVO LOQ 3 15IRH8 i5 RTX 205024</t>
  </si>
  <si>
    <t>LENOVO LOQ 3 15IRH8 i5 RTX 205030</t>
  </si>
  <si>
    <t>LG ULTRA 16" U70R R5 16+512GB24</t>
  </si>
  <si>
    <t>LG ULTRA 16" U70R R5 16+512GB30</t>
  </si>
  <si>
    <t>SAMSUNG GALAXY BOOK2 GO 14"24</t>
  </si>
  <si>
    <t>SAMSUNG GALAXY BOOK2 GO 14"30</t>
  </si>
  <si>
    <t>SAMSUNG GALAXY BOOK4 15,6" i3 13GEN 8+256GB W HOME24</t>
  </si>
  <si>
    <t>SAMSUNG GALAXY BOOK4 15,6" i3 13GEN 8+256GB W HOME30</t>
  </si>
  <si>
    <t>SAMSUNG GALAXY BOOK4 15,6" i5 13GEN 16+512GB W PRO24</t>
  </si>
  <si>
    <t>SAMSUNG GALAXY BOOK4 15,6" i5 13GEN 16+512GB W PRO30</t>
  </si>
  <si>
    <t>SAMSUNG GALAXY BOOK4 EDGE15 16+256GB24</t>
  </si>
  <si>
    <t>SAMSUNG GALAXY BOOK4 EDGE15 16+256GB30</t>
  </si>
  <si>
    <t>SAMSUNG GALAXY BOOK4 PRO 16" i524</t>
  </si>
  <si>
    <t>SAMSUNG GALAXY BOOK4 PRO 16" i530</t>
  </si>
  <si>
    <t>SAMSUNG GALAXY BOOK5 PRO16 16" i5 ULTRA 16+512GB24</t>
  </si>
  <si>
    <t>SAMSUNG GALAXY BOOK5 PRO16 16" i5 ULTRA 16+512GB30</t>
  </si>
  <si>
    <t>LENOVO P3 CHROMEBOOK PLUS 14" i3 8+256GB24</t>
  </si>
  <si>
    <t>LENOVO P3 CHROMEBOOK PLUS 14" i3 8+256GB30</t>
  </si>
  <si>
    <t>ALTAVOZ SONY SRS-XG300B24</t>
  </si>
  <si>
    <t>OC_ALTAVOZ</t>
  </si>
  <si>
    <t>ALTAVOZ LG XBOOM XG2 TBK24</t>
  </si>
  <si>
    <t>ALTAVOZ LG XBOOM XG5QBK24</t>
  </si>
  <si>
    <t>GOOGLE NEST HUB 2a GENERACION24</t>
  </si>
  <si>
    <t>OC_ALTAVOZ INTELIGENTE</t>
  </si>
  <si>
    <t>GOOGLE NEST MINI24</t>
  </si>
  <si>
    <t>AURICULARES AD HOC BT0124</t>
  </si>
  <si>
    <t>OC_AURICULARES</t>
  </si>
  <si>
    <t>AURICULARES AD HOC HC0124</t>
  </si>
  <si>
    <t>APPLE AIRPODS 201924</t>
  </si>
  <si>
    <t>APPLE AIRPODS 201930</t>
  </si>
  <si>
    <t>APPLE AIRPODS 424</t>
  </si>
  <si>
    <t>APPLE AIRPODS 430</t>
  </si>
  <si>
    <t>APPLE AIRPODS 4 CON CANCELACION ACTIVA RUIDO24</t>
  </si>
  <si>
    <t>APPLE AIRPODS 4 CON CANCELACION ACTIVA RUIDO30</t>
  </si>
  <si>
    <t>APPLE AIRPODS PRO 2a GENERACION MAGSAFE USBC24</t>
  </si>
  <si>
    <t>APPLE AIRPODS PRO 2a GENERACION MAGSAFE USBC30</t>
  </si>
  <si>
    <t>AURICULARES DIADEMA SONY ULT WEAR 90024</t>
  </si>
  <si>
    <t>AURICULARES GOOGLE PIXEL BUDS PRO 224</t>
  </si>
  <si>
    <t>AURICULARES HONOR EARBUDS X624</t>
  </si>
  <si>
    <t>AURICULARES HUAWEI FREEBUDS 6i24</t>
  </si>
  <si>
    <t>AURICULARES HUAWEI FREEBUDS SE224</t>
  </si>
  <si>
    <t>AURICULARES HUAWEI FREECLIP24</t>
  </si>
  <si>
    <t>AURICULARES MOTOROLA MOTO BUDS24</t>
  </si>
  <si>
    <t>AURICULARES OPPO ENCO BUDS2 PRO24</t>
  </si>
  <si>
    <t>AURICULARES SAMSUNG GALAXY BUDS 324</t>
  </si>
  <si>
    <t>AURICULARES SAMSUNG GALAXY BUDS 3 PRO24</t>
  </si>
  <si>
    <t>AURICULARES SAMSUNG GALAXY BUDS FE24</t>
  </si>
  <si>
    <t>AURICULARES TCL MOVEAUDIO NEO24</t>
  </si>
  <si>
    <t>AURICULARES XIAOMI BUDS 524</t>
  </si>
  <si>
    <t>AURICULARES XIAOMI REDMI BUDS 5 PRO24</t>
  </si>
  <si>
    <t>AURICULARES XIAOMI REDMI BUDS 6 LITE24</t>
  </si>
  <si>
    <t>AURICULARES XIAOMI REDMI BUDS 6 PRO24</t>
  </si>
  <si>
    <t>AURICULARES ZTE BUDS 224</t>
  </si>
  <si>
    <t>BARRA DE SONIDO LG SQC2 2.1 300W24</t>
  </si>
  <si>
    <t>OC_BARRA DE SONIDO</t>
  </si>
  <si>
    <t>BARRA SONIDO LG S40TR 4.1 400W24</t>
  </si>
  <si>
    <t>BARRA SONIDO SAMSUNG HW-C43024</t>
  </si>
  <si>
    <t>BARRA SONIDO SCHNEIDER SC600SND24</t>
  </si>
  <si>
    <t>BARRA SONIDO TCL S55H W 2.1 220W24</t>
  </si>
  <si>
    <t>GAFAS VR META QUEST 3 128GB + CORREA ELITE24</t>
  </si>
  <si>
    <t>OC_GAFAS GAMING</t>
  </si>
  <si>
    <t>GAFAS VR META QUEST 3 128GB + CORREA ELITE30</t>
  </si>
  <si>
    <t>GAFAS VR META QUEST 3 512GB + CORREA ELITE24</t>
  </si>
  <si>
    <t>GAFAS VR META QUEST 3 512GB + CORREA ELITE30</t>
  </si>
  <si>
    <t>GAFAS VR META QUEST 3S 256GB24</t>
  </si>
  <si>
    <t>GAFAS VR META QUEST 3S 256GB30</t>
  </si>
  <si>
    <t>GAFAS VR2 SONY + HORIZON24</t>
  </si>
  <si>
    <t>GAFAS VR2 SONY + HORIZON30</t>
  </si>
  <si>
    <t>PACK 2 BOMBILLAS A60 BLANCO Y COLOR + ENCHUFE WIFI24</t>
  </si>
  <si>
    <t>OC_HOGAR INTELIGENTE</t>
  </si>
  <si>
    <t>PACK 3 BOMBILLAS WIFI A60 BLANCO Y COLOR24</t>
  </si>
  <si>
    <t>PACK 3 BOMBILLAS WIFI FILAMENTOS GLOBO PEQUEÑA24</t>
  </si>
  <si>
    <t>PACK 3 BOMBILLAS WIFI GU10 BLANCO Y COLOR24</t>
  </si>
  <si>
    <t>PACK 3 BOMBILLAS INTELIGENTES FILAMENTO MUVIT24</t>
  </si>
  <si>
    <t>MUVIT IO</t>
  </si>
  <si>
    <t>REGLETA INTELIGENTE 4 ENCHUFES WIFI MUVIT24</t>
  </si>
  <si>
    <t>PACK PHILIPS HUE BRIDGE+LAMPARA HUE GO+INTERRUPTOR24</t>
  </si>
  <si>
    <t>PHILIPS</t>
  </si>
  <si>
    <t>CAMARA INALAMBRICA VIDEOVIGILANCIA ORANGE24</t>
  </si>
  <si>
    <t>CAMARA VIDEOVIGILANCIA PUERTA ORANGE24</t>
  </si>
  <si>
    <t>SENSORES WIFI VIDEOVIGILANCIA ORANGE24</t>
  </si>
  <si>
    <t>TERMOSTATO INTELIGENTE WIFI24</t>
  </si>
  <si>
    <t>VIDEOVIGILANCIA ORANGE24</t>
  </si>
  <si>
    <t>XIAOMI SMART TV STICK 4K24</t>
  </si>
  <si>
    <t>OC_MEDIA STREAMER</t>
  </si>
  <si>
    <t>BALIZA CONECTADA DGT24</t>
  </si>
  <si>
    <t>OC_OTROS DISPOSITIVOS</t>
  </si>
  <si>
    <t>CONTROLADOR WIFI AIRE ACONDICIONADO Y BOMBA CALOR24</t>
  </si>
  <si>
    <t>ASPIRADOR DE ESCOBA DYSON V15 DETECT24</t>
  </si>
  <si>
    <t>DYSON</t>
  </si>
  <si>
    <t>OC_PAE</t>
  </si>
  <si>
    <t>ASPIRADOR DE ESCOBA DYSON V15 DETECT30</t>
  </si>
  <si>
    <t>MOLDEADOR DE PELO DYSON AIRWRAP HS05 ORIGIN24</t>
  </si>
  <si>
    <t>MOLDEADOR DE PELO DYSON AIRWRAP HS05 ORIGIN30</t>
  </si>
  <si>
    <t>PLANCHA SECADOR DE PELO DYSON AIRSTRAIT24</t>
  </si>
  <si>
    <t>PLANCHA SECADOR DE PELO DYSON AIRSTRAIT30</t>
  </si>
  <si>
    <t>SECADOR DE PELO DYSON SUPERSONIC24</t>
  </si>
  <si>
    <t>SECADOR DE PELO DYSON SUPERSONIC30</t>
  </si>
  <si>
    <t>MASCOTAS DE ORANGE. BEBEDERO WIFI ULTRA 2L24</t>
  </si>
  <si>
    <t>MASCOTAS DE ORANGE. COMEDERO WIFI CON CAMARA 2,6L24</t>
  </si>
  <si>
    <t>MICROONDAS FREIDORA DE AIRE SAMSUNG24</t>
  </si>
  <si>
    <t>MICROONDAS FREIDORA DE AIRE SAMSUNG30</t>
  </si>
  <si>
    <t>ROBOT ASPIRADOR SAMSUNG CON ESTACION LIMPIEZA24</t>
  </si>
  <si>
    <t>ROBOT ASPIRADOR SAMSUNG CON ESTACION LIMPIEZA30</t>
  </si>
  <si>
    <t>FREIDORA DE AIRE XIAOMI MI SMART AIR FRYER 4L24</t>
  </si>
  <si>
    <t>FREIDORA DE AIRE XIAOMI MI SMART AIR FRYER 6,5L24</t>
  </si>
  <si>
    <t>ROBOT ASPIRADOR XIAOMI VACUUM E12 EU24</t>
  </si>
  <si>
    <t>ROBOT ASPIRADOR XIAOMI VACUUM E12 EU30</t>
  </si>
  <si>
    <t>ROBOT ASPIRADOR XIAOMI VACUUM S2024</t>
  </si>
  <si>
    <t>ROBOT ASPIRADOR XIAOMI VACUUM S2030</t>
  </si>
  <si>
    <t>ROBOT ASPIRADOR XIAOMI VACUUM X20 + DEP. LIMPIEZA24</t>
  </si>
  <si>
    <t>ROBOT ASPIRADOR XIAOMI VACUUM X20 + DEP. LIMPIEZA30</t>
  </si>
  <si>
    <t>SOPORTE MULTIFUNCION BLACKFIRE PS424</t>
  </si>
  <si>
    <t>OC_PERIFERICOS GAMING</t>
  </si>
  <si>
    <t>IMPRESORA HP DESKJET 2720e24</t>
  </si>
  <si>
    <t>OC_PERIFERICOS INFORMATICA</t>
  </si>
  <si>
    <t>IMPRESORA HP SMART TANK 510524</t>
  </si>
  <si>
    <t>MONITOR LENOVO 27" L27i-40 ALTAVOCES INTEGRADOS24</t>
  </si>
  <si>
    <t>BASCULA XIAOMI MI BODY COMPOSITION SCALE S40024</t>
  </si>
  <si>
    <t>OC_SALUD</t>
  </si>
  <si>
    <t>HONOR BAND 924</t>
  </si>
  <si>
    <t>OC_SMART BAND</t>
  </si>
  <si>
    <t>HUAWEI BAND 924</t>
  </si>
  <si>
    <t>SAMSUNG GALAXY FIT 324</t>
  </si>
  <si>
    <t>APPLE WATCH S10 CELLULAR 42MM24</t>
  </si>
  <si>
    <t>OC_SMART WATCH</t>
  </si>
  <si>
    <t>APPLE WATCH S10 CELLULAR 42MM30</t>
  </si>
  <si>
    <t>APPLE WATCH S10 CELLULAR 46MM24</t>
  </si>
  <si>
    <t>APPLE WATCH S10 CELLULAR 46MM30</t>
  </si>
  <si>
    <t>APPLE WATCH S10 GPS 42MM24</t>
  </si>
  <si>
    <t>APPLE WATCH S10 GPS 42MM30</t>
  </si>
  <si>
    <t>APPLE WATCH S10 GPS 46MM24</t>
  </si>
  <si>
    <t>APPLE WATCH S10 GPS 46MM30</t>
  </si>
  <si>
    <t>APPLE WATCH S9 CELLULAR 45MM24</t>
  </si>
  <si>
    <t>APPLE WATCH S9 CELLULAR 45MM30</t>
  </si>
  <si>
    <t>APPLE WATCH SE 3 CELLULAR 40MM24</t>
  </si>
  <si>
    <t>APPLE WATCH SE 3 CELLULAR 40MM30</t>
  </si>
  <si>
    <t>APPLE WATCH SE 3 CELLULAR 44MM24</t>
  </si>
  <si>
    <t>APPLE WATCH SE 3 CELLULAR 44MM30</t>
  </si>
  <si>
    <t>APPLE WATCH ULTRA 2 CELLULAR 49MM24</t>
  </si>
  <si>
    <t>APPLE WATCH ULTRA 2 CELLULAR 49MM30</t>
  </si>
  <si>
    <t>AMAZFIT BIP 524</t>
  </si>
  <si>
    <t>GOOGLE PIXEL WATCH 3 41MM BT24</t>
  </si>
  <si>
    <t>GOOGLE PIXEL WATCH 3 41MM BT30</t>
  </si>
  <si>
    <t>HUAWEI WATCH FIT 324</t>
  </si>
  <si>
    <t>HUAWEI WATCH GT5 PRO 46MM CORREA NEGRA24</t>
  </si>
  <si>
    <t>HUAWEI WATCH ULTIMATE24</t>
  </si>
  <si>
    <t>HUAWEI WATCH ULTIMATE30</t>
  </si>
  <si>
    <t>OPPO WATCH X 46MM BT24</t>
  </si>
  <si>
    <t>SAMSUNG GALAXY WATCH 6 CLASSIC 47MM BT24</t>
  </si>
  <si>
    <t>SAMSUNG GALAXY WATCH 6 CLASSIC 47MM BT30</t>
  </si>
  <si>
    <t>SAMSUNG GALAXY WATCH 7 40MM BT24</t>
  </si>
  <si>
    <t>SAMSUNG GALAXY WATCH 7 44MM 4G24</t>
  </si>
  <si>
    <t>SAMSUNG GALAXY WATCH 7 44MM BT24</t>
  </si>
  <si>
    <t>SAMSUNG GALAXY WATCH 7 FE 40MM BT24</t>
  </si>
  <si>
    <t>SAMSUNG GALAXY WATCH ULTRA 47MM 4G24</t>
  </si>
  <si>
    <t>XIAOMI REDMI WATCH 424</t>
  </si>
  <si>
    <t>XIAOMI REDMI WATCH 524</t>
  </si>
  <si>
    <t>XIAOMI REDMI WATCH 5 LITE24</t>
  </si>
  <si>
    <t>XIAOMI WATCH 2 PRO 4G24</t>
  </si>
  <si>
    <t>XIAOMI WATCH S324</t>
  </si>
  <si>
    <t>PROYECTOR XIAOMI MI SMART 224</t>
  </si>
  <si>
    <t>OC_TIEMPO LIBRE</t>
  </si>
  <si>
    <t>PROYECTOR XIAOMI MI SMART 230</t>
  </si>
  <si>
    <t>XIAOMI MI ELECTRIC SCOOTER 424</t>
  </si>
  <si>
    <t>XIAOMI MI ELECTRIC SCOOTER 430</t>
  </si>
  <si>
    <t>XIAOMI MI ELECTRIC SCOOTER 4 PRO 2a GEN24</t>
  </si>
  <si>
    <t>XIAOMI MI ELECTRIC SCOOTER 4 PRO 2a GEN30</t>
  </si>
  <si>
    <t>HUAWEI WATCH GT5 41MM + FREEBUDS 5i24</t>
  </si>
  <si>
    <t>BUN OC + OC</t>
  </si>
  <si>
    <t>HUAWEI WATCH GT5 46MM + FREEBUDS 5i24</t>
  </si>
  <si>
    <t>HUAWEI WATCH GT5 46MM CUERO + FREEBUDS 5i24</t>
  </si>
  <si>
    <t>HUAWEI WATCH GT5 PRO 46MM + FREEBUDS 5i24</t>
  </si>
  <si>
    <t>ORANGE GAMA 120 4G24</t>
  </si>
  <si>
    <t>ORANGE GAMA 120 4G + SIM24</t>
  </si>
  <si>
    <t>ORANGE GAMA 40224</t>
  </si>
  <si>
    <t>ORANGE GAMA 80324</t>
  </si>
  <si>
    <t>ORANGE GAMA 40124</t>
  </si>
  <si>
    <t>REPETIDOR NEXTIVITY CELFI CONNECT C4124</t>
  </si>
  <si>
    <t>ADOC D3024</t>
  </si>
  <si>
    <t>AURICULARES SPC BRAVE PRO24</t>
  </si>
  <si>
    <t>AURICULARES SPC DREAMER PRO24</t>
  </si>
  <si>
    <t>SAMSUNG GALAXY XCOVER 7 5G24</t>
  </si>
  <si>
    <t>SAMSUNG GALAXY TAB ACTIVE 5 5G24</t>
  </si>
  <si>
    <t>BASCULA DE PESAJE24</t>
  </si>
  <si>
    <t>TECHDATA</t>
  </si>
  <si>
    <t>CAJON PORTAMONEDAS24</t>
  </si>
  <si>
    <t>IMPRESORA TICKTETS TERMICA WIFI24</t>
  </si>
  <si>
    <t>TPV TACTIL 15.6" FT-16N24</t>
  </si>
  <si>
    <t>PACK LECTOR CODIGO BARRAS WIFI24</t>
  </si>
  <si>
    <t>LENOVO 14" SOHO WINDOWS PROFESSIONAL 16+512GB24</t>
  </si>
  <si>
    <t>LENOVO 14" SOHO WINDOWS PROFESSIONAL 16+512GB30</t>
  </si>
  <si>
    <t>ORANGE GAMA 80424</t>
  </si>
  <si>
    <t>MOTOROLA MOTO THINKPHONE 25 256GB 5G24</t>
  </si>
  <si>
    <t>MOTOROLA MOTO THINKPHONE 25 256GB 5G30</t>
  </si>
  <si>
    <t/>
  </si>
  <si>
    <t>SAMSUNG GALAXY S24 ULTRA 512GB 5G45</t>
  </si>
  <si>
    <t>SAMSUNG GALAXY S24 ULTRA 512GB 5G46</t>
  </si>
  <si>
    <t>SAMSUNG GALAXY S24 ULTRA 512GB 5G47</t>
  </si>
  <si>
    <t>HOSTELERÍA</t>
  </si>
  <si>
    <t>HOSTELERIA</t>
  </si>
  <si>
    <t xml:space="preserve">Modelo </t>
  </si>
  <si>
    <t>REPET. COBERTURA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</si>
</sst>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6" formatCode="#,##0\ &quot;€&quot;;[Red]\-#,##0\ &quot;€&quot;"/>
    <numFmt numFmtId="43" formatCode="_-* #,##0.00_-;\-* #,##0.00_-;_-* &quot;-&quot;??_-;_-@_-"/>
    <numFmt numFmtId="164" formatCode="_-* #,##0.00\ _€_-;\-* #,##0.00\ _€_-;_-* &quot;-&quot;??\ _€_-;_-@_-"/>
    <numFmt numFmtId="165" formatCode="0.0"/>
    <numFmt numFmtId="166" formatCode="_-* #,##0.0\ _€_-;\-* #,##0.0\ _€_-;_-* &quot;-&quot;??\ _€_-;_-@_-"/>
    <numFmt numFmtId="167" formatCode="_-&quot;€&quot;* #,##0.00_-;\-&quot;€&quot;* #,##0.00_-;_-&quot;€&quot;* &quot;-&quot;??_-;_-@_-"/>
  </numFmts>
  <fonts count="8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b/>
      <sz val="10"/>
      <name val="Arial"/>
      <family val="2"/>
    </font>
    <font>
      <b/>
      <sz val="12"/>
      <name val="Arial"/>
      <family val="2"/>
    </font>
    <font>
      <b/>
      <sz val="18"/>
      <name val="Arial"/>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b/>
      <sz val="14"/>
      <name val="Arial"/>
      <family val="2"/>
    </font>
    <font>
      <sz val="9"/>
      <name val="Arial"/>
      <family val="2"/>
    </font>
    <font>
      <b/>
      <sz val="18"/>
      <color indexed="53"/>
      <name val="Arial"/>
      <family val="2"/>
    </font>
    <font>
      <b/>
      <sz val="26"/>
      <color indexed="53"/>
      <name val="Arial"/>
      <family val="2"/>
    </font>
    <font>
      <b/>
      <sz val="16"/>
      <name val="Arial"/>
      <family val="2"/>
    </font>
    <font>
      <sz val="12"/>
      <color indexed="9"/>
      <name val="Arial"/>
      <family val="2"/>
    </font>
    <font>
      <sz val="11"/>
      <color indexed="9"/>
      <name val="Arial"/>
      <family val="2"/>
    </font>
    <font>
      <sz val="12"/>
      <name val="Arial"/>
      <family val="2"/>
    </font>
    <font>
      <b/>
      <sz val="9"/>
      <name val="Arial"/>
      <family val="2"/>
    </font>
    <font>
      <b/>
      <sz val="13"/>
      <name val="Arial"/>
      <family val="2"/>
    </font>
    <font>
      <sz val="13"/>
      <name val="Arial"/>
      <family val="2"/>
    </font>
    <font>
      <sz val="10"/>
      <color indexed="12"/>
      <name val="Arial"/>
      <family val="2"/>
    </font>
    <font>
      <sz val="11"/>
      <name val="Arial"/>
      <family val="2"/>
    </font>
    <font>
      <b/>
      <sz val="11"/>
      <name val="Arial"/>
      <family val="2"/>
    </font>
    <font>
      <b/>
      <sz val="12"/>
      <color indexed="53"/>
      <name val="Arial"/>
      <family val="2"/>
    </font>
    <font>
      <b/>
      <sz val="11"/>
      <color indexed="53"/>
      <name val="Arial"/>
      <family val="2"/>
    </font>
    <font>
      <b/>
      <sz val="10"/>
      <color theme="0"/>
      <name val="Arial"/>
      <family val="2"/>
    </font>
    <font>
      <b/>
      <sz val="14"/>
      <color theme="0"/>
      <name val="Arial"/>
      <family val="2"/>
    </font>
    <font>
      <b/>
      <sz val="13"/>
      <color theme="0"/>
      <name val="Arial"/>
      <family val="2"/>
    </font>
    <font>
      <sz val="10"/>
      <color rgb="FFFF0000"/>
      <name val="Arial"/>
      <family val="2"/>
    </font>
    <font>
      <sz val="10"/>
      <color rgb="FF0000FF"/>
      <name val="Arial"/>
      <family val="2"/>
    </font>
    <font>
      <b/>
      <sz val="20"/>
      <color theme="9" tint="-0.249977111117893"/>
      <name val="Arial"/>
      <family val="2"/>
    </font>
    <font>
      <b/>
      <sz val="11"/>
      <color rgb="FFFF6600"/>
      <name val="Arial"/>
      <family val="2"/>
    </font>
    <font>
      <b/>
      <sz val="12"/>
      <color theme="0"/>
      <name val="Arial"/>
      <family val="2"/>
    </font>
    <font>
      <sz val="10"/>
      <color theme="0"/>
      <name val="Arial"/>
      <family val="2"/>
    </font>
    <font>
      <sz val="9"/>
      <color indexed="81"/>
      <name val="Tahoma"/>
      <family val="2"/>
    </font>
    <font>
      <b/>
      <sz val="9"/>
      <color indexed="81"/>
      <name val="Tahoma"/>
      <family val="2"/>
    </font>
    <font>
      <sz val="10"/>
      <color theme="0" tint="-0.249977111117893"/>
      <name val="Arial"/>
      <family val="2"/>
    </font>
    <font>
      <b/>
      <sz val="14"/>
      <color theme="0" tint="-0.249977111117893"/>
      <name val="Arial"/>
      <family val="2"/>
    </font>
    <font>
      <b/>
      <sz val="10"/>
      <color theme="0" tint="-0.249977111117893"/>
      <name val="Arial"/>
      <family val="2"/>
    </font>
    <font>
      <sz val="12"/>
      <name val="Times New Roman"/>
      <family val="1"/>
    </font>
    <font>
      <sz val="11"/>
      <color rgb="FF333333"/>
      <name val="Arial"/>
      <family val="2"/>
    </font>
    <font>
      <b/>
      <sz val="11"/>
      <color indexed="63"/>
      <name val="Arial"/>
      <family val="2"/>
    </font>
    <font>
      <sz val="11"/>
      <color indexed="63"/>
      <name val="Arial"/>
      <family val="2"/>
    </font>
    <font>
      <sz val="11"/>
      <color indexed="53"/>
      <name val="Arial"/>
      <family val="2"/>
    </font>
    <font>
      <b/>
      <sz val="14"/>
      <color theme="9" tint="-0.249977111117893"/>
      <name val="Calibri"/>
      <family val="2"/>
      <scheme val="minor"/>
    </font>
    <font>
      <sz val="9"/>
      <color rgb="FF000000"/>
      <name val="Arial"/>
      <family val="2"/>
    </font>
    <font>
      <sz val="9"/>
      <color rgb="FF333333"/>
      <name val="Arial"/>
      <family val="2"/>
    </font>
    <font>
      <b/>
      <sz val="16"/>
      <color theme="0"/>
      <name val="Arial"/>
      <family val="2"/>
    </font>
    <font>
      <sz val="11"/>
      <color theme="0"/>
      <name val="Arial"/>
      <family val="2"/>
    </font>
    <font>
      <b/>
      <sz val="11"/>
      <color theme="0"/>
      <name val="Arial"/>
      <family val="2"/>
    </font>
    <font>
      <sz val="10"/>
      <color theme="1"/>
      <name val="Arial"/>
      <family val="2"/>
    </font>
    <font>
      <sz val="8"/>
      <name val="Arial"/>
      <family val="2"/>
    </font>
    <font>
      <sz val="8"/>
      <name val="Arial"/>
      <family val="2"/>
    </font>
    <font>
      <b/>
      <sz val="10"/>
      <color indexed="53"/>
      <name val="Helvetica 55 Roman"/>
      <family val="2"/>
    </font>
    <font>
      <b/>
      <sz val="8"/>
      <color theme="0" tint="-0.249977111117893"/>
      <name val="Arial"/>
      <family val="2"/>
    </font>
    <font>
      <sz val="10"/>
      <color theme="0" tint="-0.34998626667073579"/>
      <name val="Arial"/>
      <family val="2"/>
    </font>
    <font>
      <b/>
      <sz val="10.5"/>
      <color rgb="FF165D81"/>
      <name val="Calibri"/>
      <family val="2"/>
    </font>
    <font>
      <b/>
      <sz val="10.5"/>
      <color theme="1" tint="0.2499465926084170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sz val="18"/>
      <color theme="0"/>
      <name val="Arial"/>
      <family val="2"/>
    </font>
    <font>
      <b/>
      <sz val="10"/>
      <color rgb="FFFF0000"/>
      <name val="Arial"/>
      <family val="2"/>
    </font>
  </fonts>
  <fills count="4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53"/>
        <bgColor indexed="64"/>
      </patternFill>
    </fill>
    <fill>
      <patternFill patternType="solid">
        <fgColor theme="0"/>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9" tint="0.59996337778862885"/>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0" tint="-0.14999847407452621"/>
        <bgColor indexed="64"/>
      </patternFill>
    </fill>
    <fill>
      <patternFill patternType="solid">
        <fgColor rgb="FFEBF1DE"/>
        <bgColor indexed="64"/>
      </patternFill>
    </fill>
    <fill>
      <patternFill patternType="solid">
        <fgColor theme="0" tint="-0.34998626667073579"/>
        <bgColor indexed="64"/>
      </patternFill>
    </fill>
    <fill>
      <patternFill patternType="solid">
        <fgColor rgb="FFFF6600"/>
        <bgColor indexed="64"/>
      </patternFill>
    </fill>
    <fill>
      <patternFill patternType="solid">
        <fgColor theme="9" tint="0.39997558519241921"/>
        <bgColor indexed="64"/>
      </patternFill>
    </fill>
    <fill>
      <patternFill patternType="solid">
        <fgColor rgb="FFFFFFFF"/>
        <bgColor indexed="64"/>
      </patternFill>
    </fill>
    <fill>
      <patternFill patternType="solid">
        <fgColor theme="0"/>
        <bgColor rgb="FF000000"/>
      </patternFill>
    </fill>
    <fill>
      <patternFill patternType="solid">
        <fgColor rgb="FFBED7A5"/>
        <bgColor indexed="64"/>
      </patternFill>
    </fill>
    <fill>
      <patternFill patternType="solid">
        <fgColor theme="8" tint="0.79998168889431442"/>
        <bgColor indexed="64"/>
      </patternFill>
    </fill>
    <fill>
      <patternFill patternType="solid">
        <fgColor rgb="FFFFFFCC"/>
        <bgColor indexed="64"/>
      </patternFill>
    </fill>
    <fill>
      <patternFill patternType="solid">
        <fgColor rgb="FF00B050"/>
        <bgColor indexed="64"/>
      </patternFill>
    </fill>
    <fill>
      <patternFill patternType="solid">
        <fgColor rgb="FFFFAFB1"/>
        <bgColor indexed="64"/>
      </patternFill>
    </fill>
  </fills>
  <borders count="15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medium">
        <color indexed="55"/>
      </left>
      <right/>
      <top/>
      <bottom/>
      <diagonal/>
    </border>
    <border>
      <left style="medium">
        <color indexed="55"/>
      </left>
      <right style="medium">
        <color indexed="55"/>
      </right>
      <top/>
      <bottom/>
      <diagonal/>
    </border>
    <border>
      <left style="medium">
        <color indexed="55"/>
      </left>
      <right style="medium">
        <color indexed="55"/>
      </right>
      <top style="medium">
        <color indexed="55"/>
      </top>
      <bottom style="medium">
        <color indexed="55"/>
      </bottom>
      <diagonal/>
    </border>
    <border>
      <left style="thin">
        <color indexed="9"/>
      </left>
      <right/>
      <top/>
      <bottom style="hair">
        <color indexed="55"/>
      </bottom>
      <diagonal/>
    </border>
    <border>
      <left style="medium">
        <color indexed="55"/>
      </left>
      <right/>
      <top/>
      <bottom style="hair">
        <color indexed="55"/>
      </bottom>
      <diagonal/>
    </border>
    <border>
      <left style="medium">
        <color indexed="55"/>
      </left>
      <right/>
      <top style="medium">
        <color indexed="55"/>
      </top>
      <bottom style="medium">
        <color indexed="55"/>
      </bottom>
      <diagonal/>
    </border>
    <border>
      <left/>
      <right style="medium">
        <color indexed="55"/>
      </right>
      <top style="medium">
        <color indexed="55"/>
      </top>
      <bottom style="medium">
        <color indexed="55"/>
      </bottom>
      <diagonal/>
    </border>
    <border>
      <left/>
      <right style="medium">
        <color indexed="55"/>
      </right>
      <top/>
      <bottom/>
      <diagonal/>
    </border>
    <border>
      <left style="hair">
        <color indexed="55"/>
      </left>
      <right style="medium">
        <color indexed="55"/>
      </right>
      <top style="medium">
        <color indexed="55"/>
      </top>
      <bottom style="medium">
        <color indexed="55"/>
      </bottom>
      <diagonal/>
    </border>
    <border>
      <left style="hair">
        <color indexed="55"/>
      </left>
      <right style="hair">
        <color indexed="55"/>
      </right>
      <top style="medium">
        <color indexed="55"/>
      </top>
      <bottom style="medium">
        <color indexed="55"/>
      </bottom>
      <diagonal/>
    </border>
    <border>
      <left style="medium">
        <color indexed="55"/>
      </left>
      <right/>
      <top/>
      <bottom style="medium">
        <color indexed="55"/>
      </bottom>
      <diagonal/>
    </border>
    <border>
      <left/>
      <right/>
      <top/>
      <bottom style="medium">
        <color indexed="55"/>
      </bottom>
      <diagonal/>
    </border>
    <border>
      <left style="medium">
        <color indexed="55"/>
      </left>
      <right style="hair">
        <color indexed="55"/>
      </right>
      <top style="medium">
        <color indexed="55"/>
      </top>
      <bottom style="medium">
        <color indexed="55"/>
      </bottom>
      <diagonal/>
    </border>
    <border>
      <left/>
      <right style="hair">
        <color indexed="55"/>
      </right>
      <top/>
      <bottom/>
      <diagonal/>
    </border>
    <border>
      <left style="hair">
        <color indexed="55"/>
      </left>
      <right/>
      <top style="hair">
        <color indexed="55"/>
      </top>
      <bottom style="medium">
        <color indexed="55"/>
      </bottom>
      <diagonal/>
    </border>
    <border>
      <left/>
      <right/>
      <top style="hair">
        <color indexed="55"/>
      </top>
      <bottom style="medium">
        <color indexed="55"/>
      </bottom>
      <diagonal/>
    </border>
    <border>
      <left/>
      <right style="medium">
        <color indexed="55"/>
      </right>
      <top style="hair">
        <color indexed="55"/>
      </top>
      <bottom style="medium">
        <color indexed="55"/>
      </bottom>
      <diagonal/>
    </border>
    <border>
      <left/>
      <right style="medium">
        <color indexed="55"/>
      </right>
      <top style="medium">
        <color indexed="55"/>
      </top>
      <bottom style="hair">
        <color indexed="55"/>
      </bottom>
      <diagonal/>
    </border>
    <border>
      <left/>
      <right style="medium">
        <color indexed="55"/>
      </right>
      <top/>
      <bottom style="medium">
        <color indexed="55"/>
      </bottom>
      <diagonal/>
    </border>
    <border>
      <left style="medium">
        <color indexed="55"/>
      </left>
      <right/>
      <top style="hair">
        <color indexed="55"/>
      </top>
      <bottom style="medium">
        <color indexed="55"/>
      </bottom>
      <diagonal/>
    </border>
    <border>
      <left/>
      <right style="hair">
        <color indexed="55"/>
      </right>
      <top style="hair">
        <color indexed="55"/>
      </top>
      <bottom style="medium">
        <color indexed="55"/>
      </bottom>
      <diagonal/>
    </border>
    <border>
      <left style="medium">
        <color indexed="55"/>
      </left>
      <right/>
      <top style="medium">
        <color indexed="55"/>
      </top>
      <bottom style="hair">
        <color indexed="55"/>
      </bottom>
      <diagonal/>
    </border>
    <border>
      <left style="medium">
        <color indexed="55"/>
      </left>
      <right/>
      <top style="medium">
        <color indexed="55"/>
      </top>
      <bottom/>
      <diagonal/>
    </border>
    <border>
      <left/>
      <right/>
      <top style="medium">
        <color indexed="55"/>
      </top>
      <bottom/>
      <diagonal/>
    </border>
    <border>
      <left style="hair">
        <color indexed="55"/>
      </left>
      <right/>
      <top style="medium">
        <color indexed="55"/>
      </top>
      <bottom style="hair">
        <color indexed="55"/>
      </bottom>
      <diagonal/>
    </border>
    <border>
      <left/>
      <right style="hair">
        <color indexed="55"/>
      </right>
      <top style="medium">
        <color indexed="55"/>
      </top>
      <bottom style="hair">
        <color indexed="55"/>
      </bottom>
      <diagonal/>
    </border>
    <border>
      <left/>
      <right/>
      <top style="medium">
        <color indexed="55"/>
      </top>
      <bottom style="medium">
        <color indexed="55"/>
      </bottom>
      <diagonal/>
    </border>
    <border>
      <left style="hair">
        <color indexed="55"/>
      </left>
      <right/>
      <top style="medium">
        <color indexed="55"/>
      </top>
      <bottom style="medium">
        <color indexed="55"/>
      </bottom>
      <diagonal/>
    </border>
    <border>
      <left/>
      <right style="hair">
        <color indexed="55"/>
      </right>
      <top style="medium">
        <color indexed="55"/>
      </top>
      <bottom style="medium">
        <color indexed="55"/>
      </bottom>
      <diagonal/>
    </border>
    <border>
      <left style="hair">
        <color indexed="55"/>
      </left>
      <right/>
      <top style="hair">
        <color indexed="55"/>
      </top>
      <bottom/>
      <diagonal/>
    </border>
    <border>
      <left/>
      <right/>
      <top style="hair">
        <color indexed="55"/>
      </top>
      <bottom/>
      <diagonal/>
    </border>
    <border>
      <left style="hair">
        <color indexed="55"/>
      </left>
      <right/>
      <top/>
      <bottom/>
      <diagonal/>
    </border>
    <border>
      <left style="hair">
        <color indexed="55"/>
      </left>
      <right/>
      <top/>
      <bottom style="medium">
        <color indexed="55"/>
      </bottom>
      <diagonal/>
    </border>
    <border>
      <left style="medium">
        <color indexed="55"/>
      </left>
      <right/>
      <top style="hair">
        <color indexed="55"/>
      </top>
      <bottom/>
      <diagonal/>
    </border>
    <border>
      <left/>
      <right style="hair">
        <color indexed="55"/>
      </right>
      <top style="hair">
        <color indexed="55"/>
      </top>
      <bottom/>
      <diagonal/>
    </border>
    <border>
      <left/>
      <right style="hair">
        <color indexed="55"/>
      </right>
      <top/>
      <bottom style="medium">
        <color indexed="55"/>
      </bottom>
      <diagonal/>
    </border>
    <border>
      <left/>
      <right style="medium">
        <color indexed="55"/>
      </right>
      <top style="hair">
        <color indexed="55"/>
      </top>
      <bottom/>
      <diagonal/>
    </border>
    <border>
      <left/>
      <right style="medium">
        <color indexed="55"/>
      </right>
      <top/>
      <bottom style="hair">
        <color indexed="55"/>
      </bottom>
      <diagonal/>
    </border>
    <border>
      <left/>
      <right/>
      <top/>
      <bottom style="hair">
        <color indexed="55"/>
      </bottom>
      <diagonal/>
    </border>
    <border>
      <left/>
      <right style="medium">
        <color indexed="55"/>
      </right>
      <top style="medium">
        <color indexed="55"/>
      </top>
      <bottom/>
      <diagonal/>
    </border>
    <border>
      <left style="thin">
        <color indexed="9"/>
      </left>
      <right/>
      <top/>
      <bottom/>
      <diagonal/>
    </border>
    <border>
      <left/>
      <right style="thin">
        <color indexed="9"/>
      </right>
      <top/>
      <bottom style="hair">
        <color indexed="55"/>
      </bottom>
      <diagonal/>
    </border>
    <border>
      <left style="hair">
        <color indexed="55"/>
      </left>
      <right style="medium">
        <color indexed="55"/>
      </right>
      <top style="hair">
        <color indexed="55"/>
      </top>
      <bottom/>
      <diagonal/>
    </border>
    <border>
      <left style="hair">
        <color indexed="55"/>
      </left>
      <right style="medium">
        <color indexed="55"/>
      </right>
      <top/>
      <bottom/>
      <diagonal/>
    </border>
    <border>
      <left style="hair">
        <color indexed="55"/>
      </left>
      <right style="medium">
        <color indexed="55"/>
      </right>
      <top/>
      <bottom style="medium">
        <color indexed="55"/>
      </bottom>
      <diagonal/>
    </border>
    <border>
      <left style="hair">
        <color indexed="55"/>
      </left>
      <right style="hair">
        <color indexed="55"/>
      </right>
      <top style="hair">
        <color indexed="55"/>
      </top>
      <bottom/>
      <diagonal/>
    </border>
    <border>
      <left style="hair">
        <color indexed="55"/>
      </left>
      <right style="hair">
        <color indexed="55"/>
      </right>
      <top/>
      <bottom/>
      <diagonal/>
    </border>
    <border>
      <left style="hair">
        <color indexed="55"/>
      </left>
      <right style="hair">
        <color indexed="55"/>
      </right>
      <top/>
      <bottom style="medium">
        <color indexed="55"/>
      </bottom>
      <diagonal/>
    </border>
    <border>
      <left style="medium">
        <color indexed="55"/>
      </left>
      <right style="hair">
        <color indexed="55"/>
      </right>
      <top style="hair">
        <color indexed="55"/>
      </top>
      <bottom/>
      <diagonal/>
    </border>
    <border>
      <left style="medium">
        <color indexed="55"/>
      </left>
      <right style="hair">
        <color indexed="55"/>
      </right>
      <top/>
      <bottom/>
      <diagonal/>
    </border>
    <border>
      <left style="medium">
        <color indexed="55"/>
      </left>
      <right style="hair">
        <color indexed="55"/>
      </right>
      <top/>
      <bottom style="medium">
        <color indexed="55"/>
      </bottom>
      <diagonal/>
    </border>
    <border>
      <left style="medium">
        <color theme="0" tint="-0.499984740745262"/>
      </left>
      <right style="thin">
        <color theme="0" tint="-0.499984740745262"/>
      </right>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style="medium">
        <color theme="0" tint="-0.499984740745262"/>
      </right>
      <top/>
      <bottom/>
      <diagonal/>
    </border>
    <border>
      <left style="medium">
        <color theme="0" tint="-0.34998626667073579"/>
      </left>
      <right/>
      <top/>
      <bottom/>
      <diagonal/>
    </border>
    <border>
      <left style="medium">
        <color indexed="55"/>
      </left>
      <right style="medium">
        <color indexed="55"/>
      </right>
      <top/>
      <bottom style="medium">
        <color theme="0" tint="-0.34998626667073579"/>
      </bottom>
      <diagonal/>
    </border>
    <border>
      <left style="medium">
        <color theme="0" tint="-0.499984740745262"/>
      </left>
      <right style="medium">
        <color theme="0" tint="-0.499984740745262"/>
      </right>
      <top/>
      <bottom style="medium">
        <color theme="0" tint="-0.499984740745262"/>
      </bottom>
      <diagonal/>
    </border>
    <border>
      <left style="thin">
        <color theme="0" tint="-0.499984740745262"/>
      </left>
      <right style="thin">
        <color theme="0" tint="-0.499984740745262"/>
      </right>
      <top/>
      <bottom/>
      <diagonal/>
    </border>
    <border>
      <left style="thin">
        <color theme="0" tint="-0.499984740745262"/>
      </left>
      <right/>
      <top/>
      <bottom/>
      <diagonal/>
    </border>
    <border>
      <left style="thin">
        <color theme="0" tint="-0.499984740745262"/>
      </left>
      <right style="medium">
        <color theme="0" tint="-0.499984740745262"/>
      </right>
      <top/>
      <bottom/>
      <diagonal/>
    </border>
    <border>
      <left style="medium">
        <color theme="0" tint="-0.499984740745262"/>
      </left>
      <right style="hair">
        <color theme="0" tint="-0.499984740745262"/>
      </right>
      <top/>
      <bottom/>
      <diagonal/>
    </border>
    <border>
      <left style="hair">
        <color theme="0" tint="-0.499984740745262"/>
      </left>
      <right style="hair">
        <color theme="0" tint="-0.499984740745262"/>
      </right>
      <top/>
      <bottom/>
      <diagonal/>
    </border>
    <border>
      <left/>
      <right style="hair">
        <color theme="0" tint="-0.499984740745262"/>
      </right>
      <top/>
      <bottom/>
      <diagonal/>
    </border>
    <border>
      <left style="medium">
        <color theme="0" tint="-0.499984740745262"/>
      </left>
      <right style="medium">
        <color theme="0" tint="-0.499984740745262"/>
      </right>
      <top style="medium">
        <color theme="0" tint="-0.499984740745262"/>
      </top>
      <bottom/>
      <diagonal/>
    </border>
    <border>
      <left style="medium">
        <color rgb="FF808080"/>
      </left>
      <right style="medium">
        <color rgb="FF808080"/>
      </right>
      <top/>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right/>
      <top style="medium">
        <color theme="0" tint="-0.499984740745262"/>
      </top>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style="medium">
        <color theme="0" tint="-0.34998626667073579"/>
      </left>
      <right/>
      <top/>
      <bottom style="thin">
        <color theme="0"/>
      </bottom>
      <diagonal/>
    </border>
    <border>
      <left/>
      <right/>
      <top/>
      <bottom style="thin">
        <color theme="0"/>
      </bottom>
      <diagonal/>
    </border>
    <border>
      <left style="medium">
        <color theme="0" tint="-0.499984740745262"/>
      </left>
      <right/>
      <top style="medium">
        <color theme="0" tint="-0.499984740745262"/>
      </top>
      <bottom/>
      <diagonal/>
    </border>
    <border>
      <left/>
      <right style="medium">
        <color theme="0" tint="-0.499984740745262"/>
      </right>
      <top style="medium">
        <color theme="0" tint="-0.499984740745262"/>
      </top>
      <bottom/>
      <diagonal/>
    </border>
    <border>
      <left style="medium">
        <color theme="0" tint="-0.34998626667073579"/>
      </left>
      <right/>
      <top style="thin">
        <color theme="0"/>
      </top>
      <bottom style="medium">
        <color theme="0" tint="-0.34998626667073579"/>
      </bottom>
      <diagonal/>
    </border>
    <border>
      <left/>
      <right/>
      <top style="thin">
        <color theme="0"/>
      </top>
      <bottom style="medium">
        <color theme="0" tint="-0.34998626667073579"/>
      </bottom>
      <diagonal/>
    </border>
    <border>
      <left/>
      <right style="medium">
        <color indexed="55"/>
      </right>
      <top style="thin">
        <color theme="0"/>
      </top>
      <bottom style="medium">
        <color theme="0" tint="-0.34998626667073579"/>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right style="medium">
        <color theme="0" tint="-0.499984740745262"/>
      </right>
      <top/>
      <bottom style="hair">
        <color indexed="55"/>
      </bottom>
      <diagonal/>
    </border>
    <border>
      <left/>
      <right/>
      <top style="thin">
        <color theme="0"/>
      </top>
      <bottom style="thin">
        <color theme="0"/>
      </bottom>
      <diagonal/>
    </border>
    <border>
      <left/>
      <right style="medium">
        <color indexed="55"/>
      </right>
      <top style="thin">
        <color theme="0"/>
      </top>
      <bottom style="thin">
        <color theme="0"/>
      </bottom>
      <diagonal/>
    </border>
    <border>
      <left/>
      <right/>
      <top/>
      <bottom style="medium">
        <color theme="0" tint="-0.34998626667073579"/>
      </bottom>
      <diagonal/>
    </border>
    <border>
      <left/>
      <right style="medium">
        <color theme="0" tint="-0.499984740745262"/>
      </right>
      <top/>
      <bottom style="medium">
        <color theme="0" tint="-0.34998626667073579"/>
      </bottom>
      <diagonal/>
    </border>
    <border>
      <left style="medium">
        <color theme="0" tint="-0.34998626667073579"/>
      </left>
      <right/>
      <top/>
      <bottom style="hair">
        <color indexed="55"/>
      </bottom>
      <diagonal/>
    </border>
    <border>
      <left/>
      <right style="medium">
        <color theme="0" tint="-0.34998626667073579"/>
      </right>
      <top/>
      <bottom style="hair">
        <color indexed="55"/>
      </bottom>
      <diagonal/>
    </border>
    <border>
      <left/>
      <right style="medium">
        <color theme="0" tint="-0.34998626667073579"/>
      </right>
      <top style="medium">
        <color theme="0" tint="-0.34998626667073579"/>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style="medium">
        <color theme="0" tint="-0.34998626667073579"/>
      </right>
      <top/>
      <bottom style="medium">
        <color theme="0" tint="-0.34998626667073579"/>
      </bottom>
      <diagonal/>
    </border>
    <border>
      <left/>
      <right style="medium">
        <color indexed="55"/>
      </right>
      <top/>
      <bottom style="thin">
        <color theme="0"/>
      </bottom>
      <diagonal/>
    </border>
    <border>
      <left style="medium">
        <color theme="0" tint="-0.499984740745262"/>
      </left>
      <right/>
      <top/>
      <bottom style="hair">
        <color indexed="55"/>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9"/>
      </left>
      <right style="thin">
        <color indexe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top style="medium">
        <color indexed="55"/>
      </top>
      <bottom style="hair">
        <color indexed="55"/>
      </bottom>
      <diagonal/>
    </border>
    <border>
      <left/>
      <right/>
      <top style="thin">
        <color theme="0"/>
      </top>
      <bottom/>
      <diagonal/>
    </border>
    <border>
      <left style="thin">
        <color indexed="9"/>
      </left>
      <right style="medium">
        <color indexed="55"/>
      </right>
      <top/>
      <bottom/>
      <diagonal/>
    </border>
    <border>
      <left style="hair">
        <color indexed="55"/>
      </left>
      <right style="medium">
        <color indexed="55"/>
      </right>
      <top style="hair">
        <color indexed="55"/>
      </top>
      <bottom style="medium">
        <color indexed="55"/>
      </bottom>
      <diagonal/>
    </border>
    <border>
      <left style="medium">
        <color rgb="FF808080"/>
      </left>
      <right style="medium">
        <color rgb="FF808080"/>
      </right>
      <top/>
      <bottom style="medium">
        <color theme="0" tint="-0.499984740745262"/>
      </bottom>
      <diagonal/>
    </border>
    <border>
      <left style="medium">
        <color rgb="FF808080"/>
      </left>
      <right style="medium">
        <color rgb="FF808080"/>
      </right>
      <top style="medium">
        <color theme="0" tint="-0.499984740745262"/>
      </top>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medium">
        <color theme="0" tint="-0.499984740745262"/>
      </left>
      <right style="medium">
        <color theme="1" tint="0.499984740745262"/>
      </right>
      <top/>
      <bottom/>
      <diagonal/>
    </border>
    <border>
      <left/>
      <right style="hair">
        <color indexed="55"/>
      </right>
      <top style="medium">
        <color indexed="55"/>
      </top>
      <bottom/>
      <diagonal/>
    </border>
    <border>
      <left style="hair">
        <color indexed="55"/>
      </left>
      <right/>
      <top style="medium">
        <color indexed="55"/>
      </top>
      <bottom/>
      <diagonal/>
    </border>
    <border>
      <left style="medium">
        <color theme="0" tint="-0.34998626667073579"/>
      </left>
      <right style="medium">
        <color indexed="55"/>
      </right>
      <top style="medium">
        <color indexed="55"/>
      </top>
      <bottom/>
      <diagonal/>
    </border>
    <border>
      <left style="medium">
        <color theme="0" tint="-0.34998626667073579"/>
      </left>
      <right style="medium">
        <color indexed="55"/>
      </right>
      <top/>
      <bottom/>
      <diagonal/>
    </border>
    <border>
      <left style="medium">
        <color theme="0" tint="-0.34998626667073579"/>
      </left>
      <right style="medium">
        <color indexed="55"/>
      </right>
      <top/>
      <bottom style="medium">
        <color indexed="55"/>
      </bottom>
      <diagonal/>
    </border>
    <border>
      <left style="medium">
        <color indexed="55"/>
      </left>
      <right/>
      <top/>
      <bottom style="medium">
        <color theme="0" tint="-0.34998626667073579"/>
      </bottom>
      <diagonal/>
    </border>
    <border>
      <left style="medium">
        <color indexed="55"/>
      </left>
      <right/>
      <top style="medium">
        <color indexed="55"/>
      </top>
      <bottom style="medium">
        <color theme="0" tint="-0.34998626667073579"/>
      </bottom>
      <diagonal/>
    </border>
    <border>
      <left style="hair">
        <color indexed="55"/>
      </left>
      <right style="hair">
        <color indexed="55"/>
      </right>
      <top style="medium">
        <color indexed="55"/>
      </top>
      <bottom style="medium">
        <color theme="0" tint="-0.34998626667073579"/>
      </bottom>
      <diagonal/>
    </border>
    <border>
      <left/>
      <right style="medium">
        <color indexed="55"/>
      </right>
      <top style="medium">
        <color indexed="55"/>
      </top>
      <bottom style="medium">
        <color theme="0" tint="-0.34998626667073579"/>
      </bottom>
      <diagonal/>
    </border>
    <border>
      <left style="medium">
        <color theme="0" tint="-0.499984740745262"/>
      </left>
      <right style="medium">
        <color theme="0" tint="-0.499984740745262"/>
      </right>
      <top/>
      <bottom style="thin">
        <color indexed="64"/>
      </bottom>
      <diagonal/>
    </border>
    <border>
      <left style="medium">
        <color rgb="FF808080"/>
      </left>
      <right style="medium">
        <color rgb="FF808080"/>
      </right>
      <top/>
      <bottom style="thin">
        <color indexed="64"/>
      </bottom>
      <diagonal/>
    </border>
    <border>
      <left style="medium">
        <color theme="0" tint="-0.499984740745262"/>
      </left>
      <right/>
      <top/>
      <bottom style="thin">
        <color indexed="64"/>
      </bottom>
      <diagonal/>
    </border>
    <border>
      <left/>
      <right style="medium">
        <color theme="0" tint="-0.499984740745262"/>
      </right>
      <top/>
      <bottom style="thin">
        <color indexed="64"/>
      </bottom>
      <diagonal/>
    </border>
    <border>
      <left style="medium">
        <color theme="0" tint="-0.499984740745262"/>
      </left>
      <right style="medium">
        <color theme="1" tint="0.499984740745262"/>
      </right>
      <top/>
      <bottom style="medium">
        <color theme="0" tint="-0.499984740745262"/>
      </bottom>
      <diagonal/>
    </border>
    <border>
      <left style="medium">
        <color rgb="FF808080"/>
      </left>
      <right style="medium">
        <color rgb="FF808080"/>
      </right>
      <top/>
      <bottom style="medium">
        <color rgb="FF808080"/>
      </bottom>
      <diagonal/>
    </border>
    <border>
      <left style="medium">
        <color theme="0" tint="-0.499984740745262"/>
      </left>
      <right style="medium">
        <color theme="0" tint="-0.499984740745262"/>
      </right>
      <top/>
      <bottom style="medium">
        <color rgb="FF808080"/>
      </bottom>
      <diagonal/>
    </border>
    <border>
      <left/>
      <right/>
      <top/>
      <bottom style="medium">
        <color rgb="FF808080"/>
      </bottom>
      <diagonal/>
    </border>
    <border>
      <left/>
      <right style="medium">
        <color theme="0" tint="-0.499984740745262"/>
      </right>
      <top/>
      <bottom style="medium">
        <color rgb="FF808080"/>
      </bottom>
      <diagonal/>
    </border>
    <border>
      <left style="medium">
        <color theme="0" tint="-0.499984740745262"/>
      </left>
      <right/>
      <top/>
      <bottom style="medium">
        <color rgb="FF808080"/>
      </bottom>
      <diagonal/>
    </border>
  </borders>
  <cellStyleXfs count="148">
    <xf numFmtId="0" fontId="0" fillId="0" borderId="0"/>
    <xf numFmtId="0" fontId="8" fillId="0" borderId="0"/>
    <xf numFmtId="0" fontId="9" fillId="0" borderId="0"/>
    <xf numFmtId="0" fontId="9"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5" fillId="4" borderId="0" applyNumberFormat="0" applyBorder="0" applyAlignment="0" applyProtection="0"/>
    <xf numFmtId="0" fontId="16" fillId="16" borderId="1" applyNumberFormat="0" applyAlignment="0" applyProtection="0"/>
    <xf numFmtId="0" fontId="17" fillId="1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4" fillId="2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21" borderId="0" applyNumberFormat="0" applyBorder="0" applyAlignment="0" applyProtection="0"/>
    <xf numFmtId="0" fontId="20" fillId="7" borderId="1" applyNumberFormat="0" applyAlignment="0" applyProtection="0"/>
    <xf numFmtId="0" fontId="21" fillId="3" borderId="0" applyNumberFormat="0" applyBorder="0" applyAlignment="0" applyProtection="0"/>
    <xf numFmtId="164" fontId="8" fillId="0" borderId="0" applyFont="0" applyFill="0" applyBorder="0" applyAlignment="0" applyProtection="0"/>
    <xf numFmtId="0" fontId="22" fillId="22" borderId="0" applyNumberFormat="0" applyBorder="0" applyAlignment="0" applyProtection="0"/>
    <xf numFmtId="0" fontId="9" fillId="0" borderId="0"/>
    <xf numFmtId="0" fontId="8" fillId="23" borderId="4" applyNumberFormat="0" applyFont="0" applyAlignment="0" applyProtection="0"/>
    <xf numFmtId="0" fontId="23" fillId="16" borderId="5" applyNumberFormat="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6" applyNumberFormat="0" applyFill="0" applyAlignment="0" applyProtection="0"/>
    <xf numFmtId="0" fontId="28" fillId="0" borderId="7" applyNumberFormat="0" applyFill="0" applyAlignment="0" applyProtection="0"/>
    <xf numFmtId="0" fontId="19" fillId="0" borderId="8" applyNumberFormat="0" applyFill="0" applyAlignment="0" applyProtection="0"/>
    <xf numFmtId="0" fontId="29" fillId="0" borderId="9" applyNumberFormat="0" applyFill="0" applyAlignment="0" applyProtection="0"/>
    <xf numFmtId="164" fontId="8" fillId="0" borderId="0" applyFont="0" applyFill="0" applyBorder="0" applyAlignment="0" applyProtection="0"/>
    <xf numFmtId="0" fontId="8" fillId="0" borderId="0" applyBorder="0"/>
    <xf numFmtId="0" fontId="60" fillId="0" borderId="0" applyBorder="0"/>
    <xf numFmtId="0" fontId="8" fillId="0" borderId="0" applyBorder="0"/>
    <xf numFmtId="0" fontId="8" fillId="0" borderId="0"/>
    <xf numFmtId="0" fontId="8" fillId="0" borderId="0"/>
    <xf numFmtId="0" fontId="8" fillId="0" borderId="0"/>
    <xf numFmtId="0" fontId="8" fillId="0" borderId="0"/>
    <xf numFmtId="0" fontId="60" fillId="0" borderId="0" applyBorder="0"/>
    <xf numFmtId="0" fontId="7" fillId="0" borderId="0"/>
    <xf numFmtId="43" fontId="8" fillId="0" borderId="0" applyFont="0" applyFill="0" applyBorder="0" applyAlignment="0" applyProtection="0"/>
    <xf numFmtId="0" fontId="8" fillId="0" borderId="0" applyBorder="0"/>
    <xf numFmtId="167" fontId="8" fillId="0" borderId="0" applyFont="0" applyFill="0" applyBorder="0" applyAlignment="0" applyProtection="0"/>
    <xf numFmtId="0" fontId="8" fillId="0" borderId="0" applyBorder="0"/>
    <xf numFmtId="0" fontId="8" fillId="0" borderId="0"/>
    <xf numFmtId="0" fontId="8" fillId="0" borderId="0" applyBorder="0"/>
    <xf numFmtId="43" fontId="8" fillId="0" borderId="0" applyFont="0" applyFill="0" applyBorder="0" applyAlignment="0" applyProtection="0"/>
    <xf numFmtId="0" fontId="8" fillId="0" borderId="0" applyBorder="0"/>
    <xf numFmtId="0" fontId="6" fillId="0" borderId="0"/>
    <xf numFmtId="43" fontId="8" fillId="0" borderId="0" applyFont="0" applyFill="0" applyBorder="0" applyAlignment="0" applyProtection="0"/>
    <xf numFmtId="0" fontId="5" fillId="0" borderId="0"/>
    <xf numFmtId="43" fontId="8" fillId="0" borderId="0" applyFont="0" applyFill="0" applyBorder="0" applyAlignment="0" applyProtection="0"/>
    <xf numFmtId="0" fontId="4" fillId="0" borderId="0"/>
    <xf numFmtId="43" fontId="8" fillId="0" borderId="0" applyFont="0" applyFill="0" applyBorder="0" applyAlignment="0" applyProtection="0"/>
    <xf numFmtId="0" fontId="3" fillId="0" borderId="0"/>
    <xf numFmtId="43" fontId="8" fillId="0" borderId="0" applyFont="0" applyFill="0" applyBorder="0" applyAlignment="0" applyProtection="0"/>
    <xf numFmtId="0" fontId="2" fillId="0" borderId="0"/>
    <xf numFmtId="0" fontId="77" fillId="0" borderId="128" applyNumberFormat="0" applyFill="0" applyProtection="0">
      <alignment horizontal="center" vertical="center"/>
    </xf>
    <xf numFmtId="3" fontId="78" fillId="0" borderId="129" applyFont="0" applyFill="0" applyAlignment="0" applyProtection="0"/>
    <xf numFmtId="3" fontId="78" fillId="0" borderId="129" applyFont="0" applyFill="0" applyAlignment="0" applyProtection="0"/>
    <xf numFmtId="3" fontId="78" fillId="0" borderId="129" applyFont="0" applyFill="0" applyAlignment="0" applyProtection="0"/>
    <xf numFmtId="3" fontId="78" fillId="0" borderId="129" applyFont="0" applyFill="0" applyAlignment="0" applyProtection="0"/>
    <xf numFmtId="3" fontId="78" fillId="0" borderId="129" applyFont="0" applyFill="0" applyAlignment="0" applyProtection="0"/>
    <xf numFmtId="3" fontId="78" fillId="0" borderId="129" applyFont="0" applyFill="0" applyAlignment="0" applyProtection="0"/>
    <xf numFmtId="3" fontId="78" fillId="0" borderId="129" applyFont="0" applyFill="0" applyAlignment="0" applyProtection="0"/>
    <xf numFmtId="3" fontId="78" fillId="0" borderId="129" applyFont="0" applyFill="0" applyAlignment="0" applyProtection="0"/>
    <xf numFmtId="3" fontId="77" fillId="0" borderId="128" applyNumberFormat="0" applyFill="0" applyAlignment="0" applyProtection="0"/>
    <xf numFmtId="0" fontId="77" fillId="0" borderId="128" applyNumberFormat="0" applyFill="0" applyAlignment="0" applyProtection="0"/>
    <xf numFmtId="3" fontId="77" fillId="0" borderId="128" applyNumberFormat="0" applyFill="0" applyAlignment="0" applyProtection="0"/>
    <xf numFmtId="0" fontId="77" fillId="0" borderId="128" applyNumberFormat="0" applyFill="0" applyAlignment="0" applyProtection="0"/>
    <xf numFmtId="0" fontId="77" fillId="0" borderId="128" applyNumberFormat="0" applyFill="0" applyAlignment="0" applyProtection="0"/>
    <xf numFmtId="0" fontId="77" fillId="0" borderId="128" applyNumberFormat="0" applyFill="0" applyAlignment="0" applyProtection="0"/>
    <xf numFmtId="0" fontId="77" fillId="0" borderId="128" applyNumberFormat="0" applyFill="0" applyAlignment="0" applyProtection="0"/>
    <xf numFmtId="0" fontId="77" fillId="0" borderId="128" applyNumberFormat="0" applyFill="0" applyAlignment="0" applyProtection="0"/>
    <xf numFmtId="3" fontId="78" fillId="0" borderId="0" applyNumberFormat="0" applyBorder="0" applyAlignment="0" applyProtection="0"/>
    <xf numFmtId="3" fontId="78" fillId="0" borderId="0" applyNumberFormat="0" applyBorder="0" applyAlignment="0" applyProtection="0"/>
    <xf numFmtId="3" fontId="78" fillId="0" borderId="0" applyNumberFormat="0" applyBorder="0" applyAlignment="0" applyProtection="0"/>
    <xf numFmtId="3" fontId="78" fillId="0" borderId="0" applyNumberFormat="0" applyBorder="0" applyAlignment="0" applyProtection="0"/>
    <xf numFmtId="3" fontId="78" fillId="0" borderId="0" applyNumberFormat="0" applyBorder="0" applyAlignment="0" applyProtection="0"/>
    <xf numFmtId="3" fontId="78" fillId="0" borderId="129" applyNumberFormat="0" applyBorder="0" applyAlignment="0" applyProtection="0"/>
    <xf numFmtId="3" fontId="78" fillId="0" borderId="129" applyNumberFormat="0" applyBorder="0" applyAlignment="0" applyProtection="0"/>
    <xf numFmtId="3" fontId="78" fillId="0" borderId="129" applyNumberFormat="0" applyBorder="0" applyAlignment="0" applyProtection="0"/>
    <xf numFmtId="0" fontId="78" fillId="0" borderId="129" applyNumberFormat="0" applyFill="0" applyAlignment="0" applyProtection="0"/>
    <xf numFmtId="0" fontId="78" fillId="0" borderId="129" applyNumberFormat="0" applyFill="0" applyAlignment="0" applyProtection="0"/>
    <xf numFmtId="0" fontId="78" fillId="0" borderId="129">
      <alignment horizontal="right" vertical="center"/>
    </xf>
    <xf numFmtId="3" fontId="78" fillId="41" borderId="129">
      <alignment horizontal="center" vertical="center"/>
    </xf>
    <xf numFmtId="0" fontId="78" fillId="41" borderId="129">
      <alignment horizontal="right" vertical="center"/>
    </xf>
    <xf numFmtId="0" fontId="77" fillId="0" borderId="130">
      <alignment horizontal="left" vertical="center"/>
    </xf>
    <xf numFmtId="0" fontId="77" fillId="0" borderId="131">
      <alignment horizontal="center" vertical="center"/>
    </xf>
    <xf numFmtId="0" fontId="79" fillId="0" borderId="132">
      <alignment horizontal="center" vertical="center"/>
    </xf>
    <xf numFmtId="0" fontId="78" fillId="42" borderId="129"/>
    <xf numFmtId="3" fontId="80" fillId="0" borderId="129"/>
    <xf numFmtId="3" fontId="81" fillId="0" borderId="129"/>
    <xf numFmtId="0" fontId="77" fillId="0" borderId="131">
      <alignment horizontal="left" vertical="top"/>
    </xf>
    <xf numFmtId="0" fontId="82" fillId="0" borderId="129"/>
    <xf numFmtId="0" fontId="77" fillId="0" borderId="131">
      <alignment horizontal="left" vertical="center"/>
    </xf>
    <xf numFmtId="0" fontId="78" fillId="41" borderId="133"/>
    <xf numFmtId="3" fontId="78" fillId="0" borderId="129">
      <alignment horizontal="right" vertical="center"/>
    </xf>
    <xf numFmtId="0" fontId="77" fillId="0" borderId="131">
      <alignment horizontal="right" vertical="center"/>
    </xf>
    <xf numFmtId="0" fontId="78" fillId="0" borderId="132">
      <alignment horizontal="center" vertical="center"/>
    </xf>
    <xf numFmtId="3" fontId="78" fillId="0" borderId="129"/>
    <xf numFmtId="3" fontId="78" fillId="0" borderId="129"/>
    <xf numFmtId="0" fontId="78" fillId="0" borderId="132">
      <alignment horizontal="center" vertical="center" wrapText="1"/>
    </xf>
    <xf numFmtId="0" fontId="83" fillId="0" borderId="132">
      <alignment horizontal="left" vertical="center" indent="1"/>
    </xf>
    <xf numFmtId="0" fontId="84" fillId="0" borderId="129"/>
    <xf numFmtId="0" fontId="77" fillId="0" borderId="130">
      <alignment horizontal="left" vertical="center"/>
    </xf>
    <xf numFmtId="3" fontId="78" fillId="0" borderId="129">
      <alignment horizontal="center" vertical="center"/>
    </xf>
    <xf numFmtId="0" fontId="77" fillId="0" borderId="131">
      <alignment horizontal="center" vertical="center"/>
    </xf>
    <xf numFmtId="0" fontId="77" fillId="0" borderId="131">
      <alignment horizontal="center" vertical="center"/>
    </xf>
    <xf numFmtId="0" fontId="77" fillId="0" borderId="130">
      <alignment horizontal="left" vertical="center"/>
    </xf>
    <xf numFmtId="0" fontId="77" fillId="0" borderId="130">
      <alignment horizontal="left" vertical="center"/>
    </xf>
    <xf numFmtId="0" fontId="85" fillId="0" borderId="129"/>
    <xf numFmtId="0" fontId="1" fillId="0" borderId="0"/>
    <xf numFmtId="0" fontId="1" fillId="0" borderId="0"/>
    <xf numFmtId="43" fontId="8" fillId="0" borderId="0" applyFont="0" applyFill="0" applyBorder="0" applyAlignment="0" applyProtection="0"/>
    <xf numFmtId="43" fontId="8" fillId="0" borderId="0" applyFont="0" applyFill="0" applyBorder="0" applyAlignment="0" applyProtection="0"/>
    <xf numFmtId="0" fontId="1" fillId="0" borderId="0"/>
    <xf numFmtId="43" fontId="8" fillId="0" borderId="0" applyFont="0" applyFill="0" applyBorder="0" applyAlignment="0" applyProtection="0"/>
    <xf numFmtId="0" fontId="1" fillId="0" borderId="0"/>
    <xf numFmtId="43" fontId="8" fillId="0" borderId="0" applyFont="0" applyFill="0" applyBorder="0" applyAlignment="0" applyProtection="0"/>
    <xf numFmtId="0" fontId="1" fillId="0" borderId="0"/>
    <xf numFmtId="43" fontId="8" fillId="0" borderId="0" applyFont="0" applyFill="0" applyBorder="0" applyAlignment="0" applyProtection="0"/>
    <xf numFmtId="0" fontId="1" fillId="0" borderId="0"/>
    <xf numFmtId="43" fontId="8" fillId="0" borderId="0" applyFont="0" applyFill="0" applyBorder="0" applyAlignment="0" applyProtection="0"/>
    <xf numFmtId="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cellStyleXfs>
  <cellXfs count="891">
    <xf numFmtId="0" fontId="0" fillId="0" borderId="0" xfId="0"/>
    <xf numFmtId="0" fontId="9" fillId="24" borderId="0" xfId="37" applyFill="1"/>
    <xf numFmtId="0" fontId="9" fillId="27" borderId="0" xfId="37" applyFill="1"/>
    <xf numFmtId="0" fontId="30" fillId="24" borderId="0" xfId="37" applyFont="1" applyFill="1" applyAlignment="1">
      <alignment horizontal="left" vertical="center"/>
    </xf>
    <xf numFmtId="0" fontId="9" fillId="0" borderId="0" xfId="37"/>
    <xf numFmtId="4" fontId="9" fillId="0" borderId="0" xfId="2" applyNumberFormat="1" applyAlignment="1">
      <alignment horizontal="center"/>
    </xf>
    <xf numFmtId="0" fontId="9" fillId="0" borderId="0" xfId="37" applyAlignment="1">
      <alignment horizontal="center" vertical="center" wrapText="1"/>
    </xf>
    <xf numFmtId="0" fontId="9" fillId="0" borderId="0" xfId="37" applyAlignment="1">
      <alignment horizontal="center" vertical="center"/>
    </xf>
    <xf numFmtId="0" fontId="46" fillId="0" borderId="0" xfId="37" applyFont="1" applyAlignment="1">
      <alignment horizontal="center" wrapText="1"/>
    </xf>
    <xf numFmtId="0" fontId="9" fillId="0" borderId="10" xfId="37" applyBorder="1" applyAlignment="1">
      <alignment horizontal="center" vertical="center"/>
    </xf>
    <xf numFmtId="0" fontId="9" fillId="0" borderId="10" xfId="37" applyBorder="1" applyAlignment="1">
      <alignment horizontal="center" vertical="center" wrapText="1"/>
    </xf>
    <xf numFmtId="0" fontId="10" fillId="0" borderId="0" xfId="37" applyFont="1" applyAlignment="1">
      <alignment horizontal="center" vertical="center" wrapText="1"/>
    </xf>
    <xf numFmtId="0" fontId="47" fillId="0" borderId="0" xfId="37" applyFont="1" applyAlignment="1">
      <alignment horizontal="center" vertical="center"/>
    </xf>
    <xf numFmtId="0" fontId="30" fillId="0" borderId="0" xfId="37" applyFont="1" applyAlignment="1">
      <alignment horizontal="center" vertical="center" wrapText="1"/>
    </xf>
    <xf numFmtId="0" fontId="9" fillId="24" borderId="0" xfId="37" applyFill="1" applyAlignment="1">
      <alignment vertical="center"/>
    </xf>
    <xf numFmtId="0" fontId="10" fillId="25" borderId="61" xfId="37" applyFont="1" applyFill="1" applyBorder="1" applyAlignment="1">
      <alignment horizontal="center" vertical="center" wrapText="1"/>
    </xf>
    <xf numFmtId="0" fontId="0" fillId="0" borderId="62" xfId="0" applyBorder="1"/>
    <xf numFmtId="0" fontId="0" fillId="0" borderId="63" xfId="0" applyBorder="1"/>
    <xf numFmtId="0" fontId="0" fillId="0" borderId="64" xfId="0" applyBorder="1"/>
    <xf numFmtId="0" fontId="10" fillId="25" borderId="62" xfId="37" applyFont="1" applyFill="1" applyBorder="1" applyAlignment="1">
      <alignment horizontal="center" vertical="center" wrapText="1"/>
    </xf>
    <xf numFmtId="0" fontId="10" fillId="25" borderId="64" xfId="37" applyFont="1" applyFill="1" applyBorder="1" applyAlignment="1">
      <alignment horizontal="center" vertical="center" wrapText="1"/>
    </xf>
    <xf numFmtId="3" fontId="10" fillId="25" borderId="64" xfId="37" quotePrefix="1" applyNumberFormat="1" applyFont="1" applyFill="1" applyBorder="1" applyAlignment="1">
      <alignment horizontal="center" vertical="center" wrapText="1"/>
    </xf>
    <xf numFmtId="0" fontId="9" fillId="27" borderId="64" xfId="2" applyFill="1" applyBorder="1" applyAlignment="1">
      <alignment horizontal="center"/>
    </xf>
    <xf numFmtId="0" fontId="10" fillId="25" borderId="63" xfId="37" applyFont="1" applyFill="1" applyBorder="1" applyAlignment="1">
      <alignment horizontal="center" vertical="center" wrapText="1"/>
    </xf>
    <xf numFmtId="0" fontId="30" fillId="0" borderId="62" xfId="37" applyFont="1" applyBorder="1" applyAlignment="1">
      <alignment horizontal="center" vertical="center" wrapText="1"/>
    </xf>
    <xf numFmtId="0" fontId="30" fillId="0" borderId="63" xfId="37" applyFont="1" applyBorder="1" applyAlignment="1">
      <alignment horizontal="center" vertical="center" wrapText="1"/>
    </xf>
    <xf numFmtId="0" fontId="47" fillId="0" borderId="0" xfId="37" applyFont="1" applyAlignment="1">
      <alignment horizontal="center" vertical="center" wrapText="1"/>
    </xf>
    <xf numFmtId="0" fontId="9" fillId="24" borderId="11" xfId="37" applyFill="1" applyBorder="1" applyAlignment="1">
      <alignment horizontal="center" vertical="center"/>
    </xf>
    <xf numFmtId="0" fontId="0" fillId="0" borderId="11" xfId="0" applyBorder="1"/>
    <xf numFmtId="0" fontId="10" fillId="0" borderId="11" xfId="37" applyFont="1" applyBorder="1" applyAlignment="1">
      <alignment vertical="center" wrapText="1"/>
    </xf>
    <xf numFmtId="0" fontId="0" fillId="0" borderId="65" xfId="0" applyBorder="1"/>
    <xf numFmtId="0" fontId="9" fillId="0" borderId="11" xfId="37" applyBorder="1" applyAlignment="1">
      <alignment horizontal="center" vertical="center"/>
    </xf>
    <xf numFmtId="0" fontId="9" fillId="24" borderId="66" xfId="37" applyFill="1" applyBorder="1" applyAlignment="1">
      <alignment horizontal="center" vertical="center"/>
    </xf>
    <xf numFmtId="0" fontId="9" fillId="24" borderId="12" xfId="37" applyFill="1" applyBorder="1" applyAlignment="1">
      <alignment horizontal="center" vertical="center" wrapText="1"/>
    </xf>
    <xf numFmtId="3" fontId="9" fillId="0" borderId="0" xfId="2" applyNumberFormat="1" applyAlignment="1">
      <alignment horizontal="center"/>
    </xf>
    <xf numFmtId="3" fontId="9" fillId="27" borderId="62" xfId="2" applyNumberFormat="1" applyFill="1" applyBorder="1" applyAlignment="1">
      <alignment horizontal="center"/>
    </xf>
    <xf numFmtId="3" fontId="9" fillId="27" borderId="63" xfId="2" applyNumberFormat="1" applyFill="1" applyBorder="1" applyAlignment="1">
      <alignment horizontal="center"/>
    </xf>
    <xf numFmtId="3" fontId="9" fillId="27" borderId="0" xfId="2" applyNumberFormat="1" applyFill="1" applyAlignment="1">
      <alignment horizontal="center"/>
    </xf>
    <xf numFmtId="3" fontId="9" fillId="24" borderId="64" xfId="2" applyNumberFormat="1" applyFill="1" applyBorder="1" applyAlignment="1">
      <alignment horizontal="center"/>
    </xf>
    <xf numFmtId="3" fontId="9" fillId="28" borderId="64" xfId="2" applyNumberFormat="1" applyFill="1" applyBorder="1" applyAlignment="1">
      <alignment horizontal="center"/>
    </xf>
    <xf numFmtId="3" fontId="9" fillId="27" borderId="64" xfId="2" applyNumberFormat="1" applyFill="1" applyBorder="1" applyAlignment="1">
      <alignment horizontal="center"/>
    </xf>
    <xf numFmtId="0" fontId="9" fillId="27" borderId="64" xfId="35" applyNumberFormat="1" applyFont="1" applyFill="1" applyBorder="1" applyAlignment="1">
      <alignment horizontal="center" vertical="center"/>
    </xf>
    <xf numFmtId="0" fontId="10" fillId="30" borderId="62" xfId="37" applyFont="1" applyFill="1" applyBorder="1" applyAlignment="1">
      <alignment horizontal="center" vertical="center" wrapText="1"/>
    </xf>
    <xf numFmtId="0" fontId="0" fillId="0" borderId="17" xfId="0" applyBorder="1"/>
    <xf numFmtId="0" fontId="47" fillId="27" borderId="0" xfId="37" applyFont="1" applyFill="1" applyAlignment="1">
      <alignment horizontal="center" vertical="center"/>
    </xf>
    <xf numFmtId="0" fontId="10" fillId="27" borderId="0" xfId="37" applyFont="1" applyFill="1" applyAlignment="1">
      <alignment horizontal="center" vertical="center" wrapText="1"/>
    </xf>
    <xf numFmtId="0" fontId="9" fillId="27" borderId="0" xfId="37" applyFill="1" applyAlignment="1">
      <alignment horizontal="center" vertical="center"/>
    </xf>
    <xf numFmtId="0" fontId="0" fillId="27" borderId="0" xfId="0" applyFill="1"/>
    <xf numFmtId="0" fontId="30" fillId="27" borderId="0" xfId="37" applyFont="1" applyFill="1" applyAlignment="1">
      <alignment horizontal="center" vertical="center" wrapText="1"/>
    </xf>
    <xf numFmtId="0" fontId="9" fillId="27" borderId="0" xfId="37" applyFill="1" applyAlignment="1">
      <alignment vertical="center" wrapText="1"/>
    </xf>
    <xf numFmtId="0" fontId="9" fillId="27" borderId="0" xfId="37" applyFill="1" applyAlignment="1">
      <alignment vertical="center"/>
    </xf>
    <xf numFmtId="0" fontId="9" fillId="24" borderId="18" xfId="37" applyFill="1" applyBorder="1" applyAlignment="1">
      <alignment horizontal="center" vertical="center" wrapText="1"/>
    </xf>
    <xf numFmtId="0" fontId="10" fillId="30" borderId="64" xfId="37" applyFont="1" applyFill="1" applyBorder="1" applyAlignment="1">
      <alignment horizontal="center" vertical="center" wrapText="1"/>
    </xf>
    <xf numFmtId="0" fontId="10" fillId="0" borderId="17" xfId="37" applyFont="1" applyBorder="1" applyAlignment="1">
      <alignment horizontal="center" vertical="center" wrapText="1"/>
    </xf>
    <xf numFmtId="0" fontId="9" fillId="24" borderId="19" xfId="37" quotePrefix="1" applyFill="1" applyBorder="1" applyAlignment="1">
      <alignment horizontal="center" vertical="center" wrapText="1"/>
    </xf>
    <xf numFmtId="0" fontId="9" fillId="24" borderId="19" xfId="37" applyFill="1" applyBorder="1" applyAlignment="1">
      <alignment horizontal="center" vertical="center" wrapText="1"/>
    </xf>
    <xf numFmtId="0" fontId="49" fillId="27" borderId="0" xfId="37" applyFont="1" applyFill="1" applyAlignment="1">
      <alignment horizontal="center" vertical="center"/>
    </xf>
    <xf numFmtId="0" fontId="9" fillId="0" borderId="0" xfId="0" applyFont="1"/>
    <xf numFmtId="0" fontId="9" fillId="24" borderId="10" xfId="37" applyFill="1" applyBorder="1" applyAlignment="1">
      <alignment vertical="center"/>
    </xf>
    <xf numFmtId="0" fontId="42" fillId="24" borderId="0" xfId="37" applyFont="1" applyFill="1" applyAlignment="1">
      <alignment vertical="center"/>
    </xf>
    <xf numFmtId="0" fontId="31" fillId="24" borderId="10" xfId="37" applyFont="1" applyFill="1" applyBorder="1" applyAlignment="1">
      <alignment vertical="center"/>
    </xf>
    <xf numFmtId="0" fontId="31" fillId="24" borderId="20" xfId="37" applyFont="1" applyFill="1" applyBorder="1" applyAlignment="1">
      <alignment vertical="center"/>
    </xf>
    <xf numFmtId="0" fontId="9" fillId="0" borderId="63" xfId="37" applyBorder="1"/>
    <xf numFmtId="0" fontId="50" fillId="27" borderId="0" xfId="37" applyFont="1" applyFill="1"/>
    <xf numFmtId="0" fontId="46" fillId="27" borderId="0" xfId="37" applyFont="1" applyFill="1" applyAlignment="1">
      <alignment horizontal="center" wrapText="1"/>
    </xf>
    <xf numFmtId="4" fontId="9" fillId="27" borderId="0" xfId="2" applyNumberFormat="1" applyFill="1" applyAlignment="1">
      <alignment horizontal="center"/>
    </xf>
    <xf numFmtId="0" fontId="42" fillId="27" borderId="0" xfId="37" applyFont="1" applyFill="1" applyAlignment="1">
      <alignment vertical="center"/>
    </xf>
    <xf numFmtId="0" fontId="9" fillId="24" borderId="21" xfId="37" applyFill="1" applyBorder="1" applyAlignment="1">
      <alignment vertical="center"/>
    </xf>
    <xf numFmtId="0" fontId="10" fillId="25" borderId="68" xfId="37" applyFont="1" applyFill="1" applyBorder="1" applyAlignment="1">
      <alignment horizontal="center" vertical="center" wrapText="1"/>
    </xf>
    <xf numFmtId="0" fontId="10" fillId="25" borderId="69" xfId="37" applyFont="1" applyFill="1" applyBorder="1" applyAlignment="1">
      <alignment horizontal="center" vertical="center" wrapText="1"/>
    </xf>
    <xf numFmtId="0" fontId="12" fillId="0" borderId="0" xfId="37" applyFont="1" applyAlignment="1">
      <alignment horizontal="center" vertical="center" wrapText="1"/>
    </xf>
    <xf numFmtId="0" fontId="9" fillId="24" borderId="22" xfId="37" applyFill="1" applyBorder="1" applyAlignment="1">
      <alignment horizontal="center" vertical="center" wrapText="1"/>
    </xf>
    <xf numFmtId="0" fontId="10" fillId="25" borderId="70" xfId="37" applyFont="1" applyFill="1" applyBorder="1" applyAlignment="1">
      <alignment horizontal="center" vertical="center" wrapText="1"/>
    </xf>
    <xf numFmtId="0" fontId="10" fillId="31" borderId="62" xfId="37" applyFont="1" applyFill="1" applyBorder="1" applyAlignment="1">
      <alignment horizontal="center" vertical="center" wrapText="1"/>
    </xf>
    <xf numFmtId="0" fontId="10" fillId="31" borderId="63" xfId="37" applyFont="1" applyFill="1" applyBorder="1" applyAlignment="1">
      <alignment horizontal="center" vertical="center" wrapText="1"/>
    </xf>
    <xf numFmtId="0" fontId="10" fillId="31" borderId="71" xfId="37" applyFont="1" applyFill="1" applyBorder="1" applyAlignment="1">
      <alignment horizontal="center" vertical="center" wrapText="1"/>
    </xf>
    <xf numFmtId="0" fontId="10" fillId="31" borderId="72" xfId="37" applyFont="1" applyFill="1" applyBorder="1" applyAlignment="1">
      <alignment horizontal="center" vertical="center" wrapText="1"/>
    </xf>
    <xf numFmtId="0" fontId="10" fillId="31" borderId="73" xfId="37" applyFont="1" applyFill="1" applyBorder="1" applyAlignment="1">
      <alignment horizontal="center" vertical="center" wrapText="1"/>
    </xf>
    <xf numFmtId="4" fontId="9" fillId="24" borderId="64" xfId="2" applyNumberFormat="1" applyFill="1" applyBorder="1" applyAlignment="1">
      <alignment horizontal="center"/>
    </xf>
    <xf numFmtId="4" fontId="9" fillId="28" borderId="64" xfId="2" applyNumberFormat="1" applyFill="1" applyBorder="1" applyAlignment="1">
      <alignment horizontal="center"/>
    </xf>
    <xf numFmtId="4" fontId="9" fillId="27" borderId="64" xfId="2" applyNumberFormat="1" applyFill="1" applyBorder="1" applyAlignment="1">
      <alignment horizontal="center"/>
    </xf>
    <xf numFmtId="0" fontId="31" fillId="24" borderId="19" xfId="37" applyFont="1" applyFill="1" applyBorder="1" applyAlignment="1">
      <alignment horizontal="center" vertical="center" wrapText="1"/>
    </xf>
    <xf numFmtId="3" fontId="10" fillId="25" borderId="62" xfId="37" quotePrefix="1" applyNumberFormat="1" applyFont="1" applyFill="1" applyBorder="1" applyAlignment="1">
      <alignment horizontal="center" vertical="center" wrapText="1"/>
    </xf>
    <xf numFmtId="0" fontId="9" fillId="24" borderId="66" xfId="37" applyFill="1" applyBorder="1" applyAlignment="1">
      <alignment horizontal="center" vertical="center" wrapText="1"/>
    </xf>
    <xf numFmtId="0" fontId="51" fillId="0" borderId="0" xfId="37" applyFont="1" applyAlignment="1">
      <alignment horizontal="left" vertical="center"/>
    </xf>
    <xf numFmtId="0" fontId="9" fillId="32" borderId="64" xfId="2" applyFill="1" applyBorder="1" applyAlignment="1">
      <alignment horizontal="center"/>
    </xf>
    <xf numFmtId="0" fontId="11" fillId="24" borderId="0" xfId="37" applyFont="1" applyFill="1" applyAlignment="1">
      <alignment horizontal="center" vertical="center"/>
    </xf>
    <xf numFmtId="0" fontId="9" fillId="0" borderId="62" xfId="0" applyFont="1" applyBorder="1"/>
    <xf numFmtId="0" fontId="12" fillId="27" borderId="0" xfId="37" applyFont="1" applyFill="1" applyAlignment="1">
      <alignment horizontal="center" vertical="center" wrapText="1"/>
    </xf>
    <xf numFmtId="0" fontId="9" fillId="33" borderId="0" xfId="37" applyFill="1"/>
    <xf numFmtId="0" fontId="52" fillId="33" borderId="0" xfId="37" applyFont="1" applyFill="1" applyAlignment="1">
      <alignment vertical="center"/>
    </xf>
    <xf numFmtId="0" fontId="42" fillId="24" borderId="0" xfId="37" applyFont="1" applyFill="1" applyAlignment="1">
      <alignment horizontal="left" vertical="center"/>
    </xf>
    <xf numFmtId="0" fontId="9" fillId="27" borderId="23" xfId="37" applyFill="1" applyBorder="1" applyAlignment="1">
      <alignment vertical="center"/>
    </xf>
    <xf numFmtId="0" fontId="9" fillId="24" borderId="24" xfId="37" applyFill="1" applyBorder="1" applyAlignment="1">
      <alignment horizontal="center" vertical="center" wrapText="1"/>
    </xf>
    <xf numFmtId="0" fontId="9" fillId="24" borderId="25" xfId="37" applyFill="1" applyBorder="1" applyAlignment="1">
      <alignment horizontal="center" vertical="center" wrapText="1"/>
    </xf>
    <xf numFmtId="0" fontId="9" fillId="24" borderId="26" xfId="37" applyFill="1" applyBorder="1" applyAlignment="1">
      <alignment horizontal="center" vertical="center" wrapText="1"/>
    </xf>
    <xf numFmtId="0" fontId="31" fillId="24" borderId="27" xfId="37" applyFont="1" applyFill="1" applyBorder="1" applyAlignment="1">
      <alignment horizontal="center" vertical="center" wrapText="1"/>
    </xf>
    <xf numFmtId="0" fontId="31" fillId="24" borderId="28" xfId="37" applyFont="1" applyFill="1" applyBorder="1" applyAlignment="1">
      <alignment horizontal="center" vertical="center" wrapText="1"/>
    </xf>
    <xf numFmtId="0" fontId="9" fillId="35" borderId="64" xfId="2" applyFill="1" applyBorder="1" applyAlignment="1">
      <alignment horizontal="center"/>
    </xf>
    <xf numFmtId="4" fontId="9" fillId="35" borderId="62" xfId="37" applyNumberFormat="1" applyFill="1" applyBorder="1" applyAlignment="1">
      <alignment horizontal="center"/>
    </xf>
    <xf numFmtId="4" fontId="50" fillId="35" borderId="62" xfId="37" applyNumberFormat="1" applyFont="1" applyFill="1" applyBorder="1" applyAlignment="1">
      <alignment horizontal="center"/>
    </xf>
    <xf numFmtId="0" fontId="50" fillId="35" borderId="64" xfId="2" applyFont="1" applyFill="1" applyBorder="1" applyAlignment="1">
      <alignment horizontal="center"/>
    </xf>
    <xf numFmtId="4" fontId="9" fillId="0" borderId="62" xfId="37" applyNumberFormat="1" applyBorder="1" applyAlignment="1">
      <alignment horizontal="center"/>
    </xf>
    <xf numFmtId="0" fontId="9" fillId="0" borderId="64" xfId="2" applyBorder="1" applyAlignment="1">
      <alignment horizontal="center"/>
    </xf>
    <xf numFmtId="0" fontId="9" fillId="0" borderId="64" xfId="35" applyNumberFormat="1" applyFont="1" applyFill="1" applyBorder="1" applyAlignment="1">
      <alignment horizontal="center" vertical="center"/>
    </xf>
    <xf numFmtId="3" fontId="9" fillId="0" borderId="62" xfId="2" applyNumberFormat="1" applyBorder="1" applyAlignment="1">
      <alignment horizontal="center"/>
    </xf>
    <xf numFmtId="3" fontId="9" fillId="0" borderId="63" xfId="2" applyNumberFormat="1" applyBorder="1" applyAlignment="1">
      <alignment horizontal="center"/>
    </xf>
    <xf numFmtId="3" fontId="9" fillId="0" borderId="72" xfId="2" applyNumberFormat="1" applyBorder="1" applyAlignment="1">
      <alignment horizontal="center"/>
    </xf>
    <xf numFmtId="3" fontId="9" fillId="0" borderId="64" xfId="2" applyNumberFormat="1" applyBorder="1" applyAlignment="1">
      <alignment horizontal="center"/>
    </xf>
    <xf numFmtId="2" fontId="9" fillId="0" borderId="64" xfId="35" applyNumberFormat="1" applyFont="1" applyFill="1" applyBorder="1" applyAlignment="1">
      <alignment horizontal="center" vertical="center"/>
    </xf>
    <xf numFmtId="4" fontId="9" fillId="0" borderId="64" xfId="2" applyNumberFormat="1" applyBorder="1" applyAlignment="1">
      <alignment horizontal="center"/>
    </xf>
    <xf numFmtId="4" fontId="50" fillId="0" borderId="62" xfId="37" applyNumberFormat="1" applyFont="1" applyBorder="1" applyAlignment="1">
      <alignment horizontal="center"/>
    </xf>
    <xf numFmtId="0" fontId="50" fillId="0" borderId="64" xfId="2" applyFont="1" applyBorder="1" applyAlignment="1">
      <alignment horizontal="center"/>
    </xf>
    <xf numFmtId="0" fontId="9" fillId="35" borderId="0" xfId="37" applyFill="1"/>
    <xf numFmtId="0" fontId="9" fillId="35" borderId="64" xfId="35" applyNumberFormat="1" applyFont="1" applyFill="1" applyBorder="1" applyAlignment="1">
      <alignment horizontal="center" vertical="center"/>
    </xf>
    <xf numFmtId="2" fontId="9" fillId="35" borderId="64" xfId="35" applyNumberFormat="1" applyFont="1" applyFill="1" applyBorder="1" applyAlignment="1">
      <alignment horizontal="center" vertical="center"/>
    </xf>
    <xf numFmtId="4" fontId="9" fillId="35" borderId="64" xfId="2" applyNumberFormat="1" applyFill="1" applyBorder="1" applyAlignment="1">
      <alignment horizontal="center"/>
    </xf>
    <xf numFmtId="4" fontId="9" fillId="35" borderId="0" xfId="2" applyNumberFormat="1" applyFill="1" applyAlignment="1">
      <alignment horizontal="center"/>
    </xf>
    <xf numFmtId="3" fontId="9" fillId="35" borderId="62" xfId="2" applyNumberFormat="1" applyFill="1" applyBorder="1" applyAlignment="1">
      <alignment horizontal="center"/>
    </xf>
    <xf numFmtId="3" fontId="9" fillId="35" borderId="63" xfId="2" applyNumberFormat="1" applyFill="1" applyBorder="1" applyAlignment="1">
      <alignment horizontal="center"/>
    </xf>
    <xf numFmtId="3" fontId="9" fillId="35" borderId="0" xfId="2" applyNumberFormat="1" applyFill="1" applyAlignment="1">
      <alignment horizontal="center"/>
    </xf>
    <xf numFmtId="3" fontId="9" fillId="35" borderId="72" xfId="2" applyNumberFormat="1" applyFill="1" applyBorder="1" applyAlignment="1">
      <alignment horizontal="center"/>
    </xf>
    <xf numFmtId="3" fontId="9" fillId="35" borderId="64" xfId="2" applyNumberFormat="1" applyFill="1" applyBorder="1" applyAlignment="1">
      <alignment horizontal="center"/>
    </xf>
    <xf numFmtId="0" fontId="9" fillId="0" borderId="0" xfId="37" applyAlignment="1">
      <alignment vertical="center"/>
    </xf>
    <xf numFmtId="4" fontId="9" fillId="32" borderId="62" xfId="37" applyNumberFormat="1" applyFill="1" applyBorder="1" applyAlignment="1">
      <alignment horizontal="center"/>
    </xf>
    <xf numFmtId="17" fontId="34" fillId="24" borderId="0" xfId="37" applyNumberFormat="1" applyFont="1" applyFill="1" applyAlignment="1">
      <alignment horizontal="left" vertical="center"/>
    </xf>
    <xf numFmtId="17" fontId="30" fillId="24" borderId="0" xfId="37" applyNumberFormat="1" applyFont="1" applyFill="1" applyAlignment="1">
      <alignment horizontal="center" vertical="center"/>
    </xf>
    <xf numFmtId="4" fontId="9" fillId="27" borderId="62" xfId="37" applyNumberFormat="1" applyFill="1" applyBorder="1" applyAlignment="1">
      <alignment horizontal="center"/>
    </xf>
    <xf numFmtId="0" fontId="38" fillId="30" borderId="64" xfId="37" applyFont="1" applyFill="1" applyBorder="1" applyAlignment="1">
      <alignment horizontal="center" vertical="center" wrapText="1"/>
    </xf>
    <xf numFmtId="0" fontId="10" fillId="30" borderId="76" xfId="37" applyFont="1" applyFill="1" applyBorder="1" applyAlignment="1">
      <alignment horizontal="center" vertical="center" wrapText="1"/>
    </xf>
    <xf numFmtId="0" fontId="38" fillId="30" borderId="76" xfId="37" applyFont="1" applyFill="1" applyBorder="1" applyAlignment="1">
      <alignment horizontal="center" vertical="center" wrapText="1"/>
    </xf>
    <xf numFmtId="0" fontId="0" fillId="0" borderId="77" xfId="0" applyBorder="1"/>
    <xf numFmtId="0" fontId="10" fillId="25" borderId="74" xfId="37" applyFont="1" applyFill="1" applyBorder="1" applyAlignment="1">
      <alignment horizontal="center" vertical="center" wrapText="1"/>
    </xf>
    <xf numFmtId="1" fontId="9" fillId="24" borderId="0" xfId="37" applyNumberFormat="1" applyFill="1"/>
    <xf numFmtId="0" fontId="9" fillId="27" borderId="0" xfId="2" applyFill="1" applyAlignment="1">
      <alignment horizontal="center"/>
    </xf>
    <xf numFmtId="0" fontId="9" fillId="27" borderId="62" xfId="2" applyFill="1" applyBorder="1" applyAlignment="1">
      <alignment horizontal="center"/>
    </xf>
    <xf numFmtId="0" fontId="9" fillId="27" borderId="63" xfId="2" applyFill="1" applyBorder="1" applyAlignment="1">
      <alignment horizontal="center"/>
    </xf>
    <xf numFmtId="0" fontId="54" fillId="24" borderId="0" xfId="37" applyFont="1" applyFill="1"/>
    <xf numFmtId="0" fontId="54" fillId="24" borderId="0" xfId="37" applyFont="1" applyFill="1" applyAlignment="1">
      <alignment horizontal="center"/>
    </xf>
    <xf numFmtId="0" fontId="8" fillId="27" borderId="64" xfId="2" applyFont="1" applyFill="1" applyBorder="1" applyAlignment="1">
      <alignment horizontal="center"/>
    </xf>
    <xf numFmtId="0" fontId="8" fillId="35" borderId="64" xfId="2" applyFont="1" applyFill="1" applyBorder="1" applyAlignment="1">
      <alignment horizontal="center"/>
    </xf>
    <xf numFmtId="0" fontId="8" fillId="27" borderId="0" xfId="37" applyFont="1" applyFill="1"/>
    <xf numFmtId="0" fontId="9" fillId="27" borderId="62" xfId="35" applyNumberFormat="1" applyFont="1" applyFill="1" applyBorder="1" applyAlignment="1">
      <alignment horizontal="center" vertical="center"/>
    </xf>
    <xf numFmtId="4" fontId="9" fillId="27" borderId="63" xfId="2" applyNumberFormat="1" applyFill="1" applyBorder="1" applyAlignment="1">
      <alignment horizontal="center"/>
    </xf>
    <xf numFmtId="0" fontId="0" fillId="28" borderId="0" xfId="0" applyFill="1" applyAlignment="1">
      <alignment horizontal="center"/>
    </xf>
    <xf numFmtId="4" fontId="9" fillId="27" borderId="64" xfId="37" applyNumberFormat="1" applyFill="1" applyBorder="1" applyAlignment="1">
      <alignment horizontal="center"/>
    </xf>
    <xf numFmtId="0" fontId="9" fillId="27" borderId="64" xfId="2" applyFill="1" applyBorder="1" applyAlignment="1">
      <alignment horizontal="center" vertical="center"/>
    </xf>
    <xf numFmtId="1" fontId="9" fillId="27" borderId="64" xfId="2" applyNumberFormat="1" applyFill="1" applyBorder="1" applyAlignment="1">
      <alignment horizontal="center"/>
    </xf>
    <xf numFmtId="1" fontId="9" fillId="27" borderId="62" xfId="2" applyNumberFormat="1" applyFill="1" applyBorder="1" applyAlignment="1">
      <alignment horizontal="center"/>
    </xf>
    <xf numFmtId="1" fontId="9" fillId="27" borderId="63" xfId="2" applyNumberFormat="1" applyFill="1" applyBorder="1" applyAlignment="1">
      <alignment horizontal="center"/>
    </xf>
    <xf numFmtId="3" fontId="8" fillId="27" borderId="62" xfId="2" applyNumberFormat="1" applyFont="1" applyFill="1" applyBorder="1" applyAlignment="1">
      <alignment horizontal="center"/>
    </xf>
    <xf numFmtId="3" fontId="8" fillId="27" borderId="63" xfId="2" applyNumberFormat="1" applyFont="1" applyFill="1" applyBorder="1" applyAlignment="1">
      <alignment horizontal="center"/>
    </xf>
    <xf numFmtId="3" fontId="8" fillId="27" borderId="0" xfId="2" applyNumberFormat="1" applyFont="1" applyFill="1" applyAlignment="1">
      <alignment horizontal="center"/>
    </xf>
    <xf numFmtId="4" fontId="8" fillId="27" borderId="62" xfId="37" applyNumberFormat="1" applyFont="1" applyFill="1" applyBorder="1" applyAlignment="1">
      <alignment horizontal="center"/>
    </xf>
    <xf numFmtId="4" fontId="8" fillId="27" borderId="64" xfId="2" applyNumberFormat="1" applyFont="1" applyFill="1" applyBorder="1" applyAlignment="1">
      <alignment horizontal="center"/>
    </xf>
    <xf numFmtId="165" fontId="9" fillId="27" borderId="0" xfId="2" applyNumberFormat="1" applyFill="1" applyAlignment="1">
      <alignment horizontal="center"/>
    </xf>
    <xf numFmtId="165" fontId="9" fillId="27" borderId="63" xfId="2" applyNumberFormat="1" applyFill="1" applyBorder="1" applyAlignment="1">
      <alignment horizontal="center"/>
    </xf>
    <xf numFmtId="0" fontId="58" fillId="0" borderId="0" xfId="37" applyFont="1" applyAlignment="1">
      <alignment horizontal="center" vertical="center"/>
    </xf>
    <xf numFmtId="0" fontId="59" fillId="0" borderId="0" xfId="37" applyFont="1" applyAlignment="1">
      <alignment horizontal="center" vertical="center" wrapText="1"/>
    </xf>
    <xf numFmtId="0" fontId="57" fillId="27" borderId="0" xfId="37" applyFont="1" applyFill="1"/>
    <xf numFmtId="0" fontId="57" fillId="0" borderId="0" xfId="0" applyFont="1"/>
    <xf numFmtId="0" fontId="46" fillId="37" borderId="108" xfId="0" applyFont="1" applyFill="1" applyBorder="1" applyAlignment="1">
      <alignment horizontal="center" vertical="center" wrapText="1"/>
    </xf>
    <xf numFmtId="0" fontId="10" fillId="0" borderId="0" xfId="0" applyFont="1"/>
    <xf numFmtId="0" fontId="10" fillId="0" borderId="109" xfId="0" applyFont="1" applyBorder="1"/>
    <xf numFmtId="0" fontId="0" fillId="0" borderId="0" xfId="0" applyAlignment="1">
      <alignment horizontal="center"/>
    </xf>
    <xf numFmtId="0" fontId="0" fillId="0" borderId="110" xfId="0" applyBorder="1" applyAlignment="1">
      <alignment horizontal="center"/>
    </xf>
    <xf numFmtId="0" fontId="10" fillId="28" borderId="109" xfId="0" applyFont="1" applyFill="1" applyBorder="1"/>
    <xf numFmtId="0" fontId="0" fillId="28" borderId="110" xfId="0" applyFill="1" applyBorder="1" applyAlignment="1">
      <alignment horizontal="center"/>
    </xf>
    <xf numFmtId="0" fontId="10" fillId="28" borderId="111" xfId="0" applyFont="1" applyFill="1" applyBorder="1"/>
    <xf numFmtId="0" fontId="0" fillId="28" borderId="105" xfId="0" applyFill="1" applyBorder="1" applyAlignment="1">
      <alignment horizontal="center"/>
    </xf>
    <xf numFmtId="0" fontId="0" fillId="28" borderId="106" xfId="0" applyFill="1" applyBorder="1" applyAlignment="1">
      <alignment horizontal="center"/>
    </xf>
    <xf numFmtId="0" fontId="10" fillId="0" borderId="115" xfId="0" applyFont="1" applyBorder="1" applyAlignment="1">
      <alignment horizontal="center" vertical="center" wrapText="1"/>
    </xf>
    <xf numFmtId="0" fontId="10" fillId="0" borderId="116" xfId="0" applyFont="1" applyBorder="1"/>
    <xf numFmtId="6" fontId="66" fillId="39" borderId="116" xfId="0" applyNumberFormat="1" applyFont="1" applyFill="1" applyBorder="1" applyAlignment="1">
      <alignment horizontal="center" vertical="center"/>
    </xf>
    <xf numFmtId="6" fontId="66" fillId="39" borderId="103" xfId="0" applyNumberFormat="1" applyFont="1" applyFill="1" applyBorder="1" applyAlignment="1">
      <alignment horizontal="center" vertical="center"/>
    </xf>
    <xf numFmtId="6" fontId="66" fillId="39" borderId="104" xfId="0" applyNumberFormat="1" applyFont="1" applyFill="1" applyBorder="1" applyAlignment="1">
      <alignment horizontal="center" vertical="center"/>
    </xf>
    <xf numFmtId="0" fontId="10" fillId="28" borderId="117" xfId="0" applyFont="1" applyFill="1" applyBorder="1"/>
    <xf numFmtId="6" fontId="66" fillId="28" borderId="117" xfId="0" applyNumberFormat="1" applyFont="1" applyFill="1" applyBorder="1" applyAlignment="1">
      <alignment horizontal="center" vertical="center"/>
    </xf>
    <xf numFmtId="6" fontId="66" fillId="28" borderId="110" xfId="0" applyNumberFormat="1" applyFont="1" applyFill="1" applyBorder="1" applyAlignment="1">
      <alignment horizontal="center" vertical="center"/>
    </xf>
    <xf numFmtId="0" fontId="10" fillId="0" borderId="117" xfId="0" applyFont="1" applyBorder="1"/>
    <xf numFmtId="6" fontId="66" fillId="39" borderId="117" xfId="0" applyNumberFormat="1" applyFont="1" applyFill="1" applyBorder="1" applyAlignment="1">
      <alignment horizontal="center" vertical="center"/>
    </xf>
    <xf numFmtId="6" fontId="66" fillId="39" borderId="110" xfId="0" applyNumberFormat="1" applyFont="1" applyFill="1" applyBorder="1" applyAlignment="1">
      <alignment horizontal="center" vertical="center"/>
    </xf>
    <xf numFmtId="0" fontId="10" fillId="28" borderId="118" xfId="0" applyFont="1" applyFill="1" applyBorder="1"/>
    <xf numFmtId="6" fontId="66" fillId="28" borderId="118" xfId="0" applyNumberFormat="1" applyFont="1" applyFill="1" applyBorder="1" applyAlignment="1">
      <alignment horizontal="center" vertical="center"/>
    </xf>
    <xf numFmtId="6" fontId="66" fillId="28" borderId="105" xfId="0" applyNumberFormat="1" applyFont="1" applyFill="1" applyBorder="1" applyAlignment="1">
      <alignment horizontal="center" vertical="center"/>
    </xf>
    <xf numFmtId="6" fontId="66" fillId="28" borderId="106" xfId="0" applyNumberFormat="1" applyFont="1" applyFill="1" applyBorder="1" applyAlignment="1">
      <alignment horizontal="center" vertical="center"/>
    </xf>
    <xf numFmtId="0" fontId="67" fillId="0" borderId="0" xfId="0" applyFont="1" applyAlignment="1">
      <alignment horizontal="left" vertical="center" wrapText="1"/>
    </xf>
    <xf numFmtId="0" fontId="46" fillId="37" borderId="108" xfId="0" applyFont="1" applyFill="1" applyBorder="1"/>
    <xf numFmtId="0" fontId="10" fillId="27" borderId="115" xfId="0" applyFont="1" applyFill="1" applyBorder="1"/>
    <xf numFmtId="0" fontId="10" fillId="27" borderId="109" xfId="0" applyFont="1" applyFill="1" applyBorder="1"/>
    <xf numFmtId="0" fontId="10" fillId="28" borderId="115" xfId="0" applyFont="1" applyFill="1" applyBorder="1"/>
    <xf numFmtId="0" fontId="10" fillId="28" borderId="108" xfId="0" applyFont="1" applyFill="1" applyBorder="1" applyAlignment="1">
      <alignment horizontal="left" vertical="center"/>
    </xf>
    <xf numFmtId="0" fontId="30" fillId="28" borderId="108" xfId="0" applyFont="1" applyFill="1" applyBorder="1" applyAlignment="1">
      <alignment horizontal="center" vertical="center" wrapText="1"/>
    </xf>
    <xf numFmtId="0" fontId="10" fillId="27" borderId="111" xfId="0" applyFont="1" applyFill="1" applyBorder="1"/>
    <xf numFmtId="0" fontId="8" fillId="0" borderId="0" xfId="0" applyFont="1"/>
    <xf numFmtId="0" fontId="8" fillId="24" borderId="0" xfId="37" applyFont="1" applyFill="1"/>
    <xf numFmtId="0" fontId="54" fillId="27" borderId="0" xfId="37" applyFont="1" applyFill="1"/>
    <xf numFmtId="166" fontId="9" fillId="24" borderId="0" xfId="35" applyNumberFormat="1" applyFont="1" applyFill="1"/>
    <xf numFmtId="166" fontId="0" fillId="0" borderId="0" xfId="35" applyNumberFormat="1" applyFont="1" applyBorder="1"/>
    <xf numFmtId="166" fontId="10" fillId="25" borderId="63" xfId="35" applyNumberFormat="1" applyFont="1" applyFill="1" applyBorder="1" applyAlignment="1">
      <alignment horizontal="center" vertical="center" wrapText="1"/>
    </xf>
    <xf numFmtId="164" fontId="9" fillId="24" borderId="0" xfId="35" applyFont="1" applyFill="1"/>
    <xf numFmtId="164" fontId="31" fillId="24" borderId="27" xfId="35" applyFont="1" applyFill="1" applyBorder="1" applyAlignment="1">
      <alignment horizontal="center" vertical="center" wrapText="1"/>
    </xf>
    <xf numFmtId="164" fontId="31" fillId="24" borderId="28" xfId="35" applyFont="1" applyFill="1" applyBorder="1" applyAlignment="1">
      <alignment horizontal="center" vertical="center" wrapText="1"/>
    </xf>
    <xf numFmtId="164" fontId="9" fillId="24" borderId="12" xfId="35" applyFont="1" applyFill="1" applyBorder="1" applyAlignment="1">
      <alignment horizontal="center" vertical="center" wrapText="1"/>
    </xf>
    <xf numFmtId="164" fontId="9" fillId="24" borderId="66" xfId="35" applyFont="1" applyFill="1" applyBorder="1" applyAlignment="1">
      <alignment horizontal="center" vertical="center"/>
    </xf>
    <xf numFmtId="164" fontId="9" fillId="27" borderId="0" xfId="35" applyFont="1" applyFill="1"/>
    <xf numFmtId="164" fontId="0" fillId="0" borderId="64" xfId="35" applyFont="1" applyBorder="1"/>
    <xf numFmtId="4" fontId="8" fillId="27" borderId="0" xfId="51" applyNumberFormat="1" applyFill="1" applyAlignment="1">
      <alignment horizontal="center"/>
    </xf>
    <xf numFmtId="0" fontId="69" fillId="27" borderId="0" xfId="37" applyFont="1" applyFill="1" applyAlignment="1">
      <alignment vertical="center"/>
    </xf>
    <xf numFmtId="0" fontId="54" fillId="0" borderId="0" xfId="37" applyFont="1"/>
    <xf numFmtId="164" fontId="54" fillId="27" borderId="0" xfId="35" applyFont="1" applyFill="1"/>
    <xf numFmtId="0" fontId="8" fillId="27" borderId="75" xfId="51" applyFill="1" applyBorder="1" applyAlignment="1">
      <alignment horizontal="center"/>
    </xf>
    <xf numFmtId="0" fontId="50" fillId="0" borderId="0" xfId="37" applyFont="1"/>
    <xf numFmtId="4" fontId="71" fillId="27" borderId="62" xfId="37" applyNumberFormat="1" applyFont="1" applyFill="1" applyBorder="1" applyAlignment="1">
      <alignment horizontal="center"/>
    </xf>
    <xf numFmtId="0" fontId="68" fillId="37" borderId="0" xfId="37" applyFont="1" applyFill="1"/>
    <xf numFmtId="0" fontId="68" fillId="37" borderId="0" xfId="37" applyFont="1" applyFill="1" applyAlignment="1">
      <alignment vertical="center"/>
    </xf>
    <xf numFmtId="0" fontId="54" fillId="37" borderId="0" xfId="37" applyFont="1" applyFill="1"/>
    <xf numFmtId="0" fontId="34" fillId="37" borderId="0" xfId="37" applyFont="1" applyFill="1"/>
    <xf numFmtId="0" fontId="8" fillId="0" borderId="62" xfId="0" applyFont="1" applyBorder="1"/>
    <xf numFmtId="3" fontId="9" fillId="27" borderId="120" xfId="2" applyNumberFormat="1" applyFill="1" applyBorder="1" applyAlignment="1">
      <alignment horizontal="center"/>
    </xf>
    <xf numFmtId="3" fontId="9" fillId="27" borderId="121" xfId="2" applyNumberFormat="1" applyFill="1" applyBorder="1" applyAlignment="1">
      <alignment horizontal="center"/>
    </xf>
    <xf numFmtId="0" fontId="9" fillId="27" borderId="121" xfId="2" applyFill="1" applyBorder="1" applyAlignment="1">
      <alignment horizontal="center"/>
    </xf>
    <xf numFmtId="0" fontId="9" fillId="27" borderId="67" xfId="35" applyNumberFormat="1" applyFont="1" applyFill="1" applyBorder="1" applyAlignment="1">
      <alignment horizontal="center" vertical="center"/>
    </xf>
    <xf numFmtId="0" fontId="9" fillId="27" borderId="67" xfId="2" applyFill="1" applyBorder="1" applyAlignment="1">
      <alignment horizontal="center"/>
    </xf>
    <xf numFmtId="3" fontId="9" fillId="27" borderId="67" xfId="2" applyNumberFormat="1" applyFill="1" applyBorder="1" applyAlignment="1">
      <alignment horizontal="center"/>
    </xf>
    <xf numFmtId="3" fontId="9" fillId="27" borderId="119" xfId="2" applyNumberFormat="1" applyFill="1" applyBorder="1" applyAlignment="1">
      <alignment horizontal="center"/>
    </xf>
    <xf numFmtId="4" fontId="9" fillId="27" borderId="67" xfId="2" applyNumberFormat="1" applyFill="1" applyBorder="1" applyAlignment="1">
      <alignment horizontal="center"/>
    </xf>
    <xf numFmtId="4" fontId="71" fillId="27" borderId="119" xfId="37" applyNumberFormat="1" applyFont="1" applyFill="1" applyBorder="1" applyAlignment="1">
      <alignment horizontal="center"/>
    </xf>
    <xf numFmtId="4" fontId="8" fillId="27" borderId="0" xfId="2" applyNumberFormat="1" applyFont="1" applyFill="1" applyAlignment="1">
      <alignment horizontal="center"/>
    </xf>
    <xf numFmtId="0" fontId="50" fillId="24" borderId="0" xfId="37" applyFont="1" applyFill="1"/>
    <xf numFmtId="0" fontId="31" fillId="24" borderId="24" xfId="37" applyFont="1" applyFill="1" applyBorder="1" applyAlignment="1">
      <alignment horizontal="center" vertical="center" wrapText="1"/>
    </xf>
    <xf numFmtId="0" fontId="31" fillId="24" borderId="25" xfId="37" applyFont="1" applyFill="1" applyBorder="1" applyAlignment="1">
      <alignment horizontal="center" vertical="center" wrapText="1"/>
    </xf>
    <xf numFmtId="0" fontId="31" fillId="24" borderId="26" xfId="37" applyFont="1" applyFill="1" applyBorder="1" applyAlignment="1">
      <alignment horizontal="center" vertical="center" wrapText="1"/>
    </xf>
    <xf numFmtId="0" fontId="8" fillId="27" borderId="0" xfId="53" applyFill="1" applyAlignment="1">
      <alignment vertical="center"/>
    </xf>
    <xf numFmtId="0" fontId="31" fillId="24" borderId="20" xfId="53" applyFont="1" applyFill="1" applyBorder="1" applyAlignment="1">
      <alignment vertical="center"/>
    </xf>
    <xf numFmtId="0" fontId="8" fillId="24" borderId="21" xfId="53" applyFill="1" applyBorder="1" applyAlignment="1">
      <alignment vertical="center"/>
    </xf>
    <xf numFmtId="0" fontId="8" fillId="24" borderId="62" xfId="53" applyFill="1" applyBorder="1" applyAlignment="1">
      <alignment vertical="center"/>
    </xf>
    <xf numFmtId="0" fontId="31" fillId="24" borderId="62" xfId="53" applyFont="1" applyFill="1" applyBorder="1" applyAlignment="1">
      <alignment vertical="center"/>
    </xf>
    <xf numFmtId="0" fontId="9" fillId="24" borderId="62" xfId="37" applyFill="1" applyBorder="1"/>
    <xf numFmtId="0" fontId="53" fillId="27" borderId="123" xfId="37" applyFont="1" applyFill="1" applyBorder="1" applyAlignment="1">
      <alignment vertical="center" wrapText="1"/>
    </xf>
    <xf numFmtId="0" fontId="53" fillId="27" borderId="123" xfId="37" applyFont="1" applyFill="1" applyBorder="1" applyAlignment="1">
      <alignment vertical="center"/>
    </xf>
    <xf numFmtId="164" fontId="9" fillId="27" borderId="0" xfId="35" applyFont="1" applyFill="1" applyBorder="1" applyAlignment="1">
      <alignment horizontal="center" vertical="center" wrapText="1"/>
    </xf>
    <xf numFmtId="0" fontId="9" fillId="27" borderId="33" xfId="37" applyFill="1" applyBorder="1" applyAlignment="1">
      <alignment vertical="center"/>
    </xf>
    <xf numFmtId="0" fontId="9" fillId="27" borderId="33" xfId="37" applyFill="1" applyBorder="1" applyAlignment="1">
      <alignment vertical="center" wrapText="1"/>
    </xf>
    <xf numFmtId="0" fontId="65" fillId="0" borderId="0" xfId="0" applyFont="1" applyAlignment="1">
      <alignment horizontal="center"/>
    </xf>
    <xf numFmtId="6" fontId="66" fillId="28" borderId="0" xfId="0" applyNumberFormat="1" applyFont="1" applyFill="1" applyAlignment="1">
      <alignment horizontal="center" vertical="center"/>
    </xf>
    <xf numFmtId="6" fontId="66" fillId="39" borderId="0" xfId="0" applyNumberFormat="1" applyFont="1" applyFill="1" applyAlignment="1">
      <alignment horizontal="center" vertical="center"/>
    </xf>
    <xf numFmtId="0" fontId="10" fillId="27" borderId="108" xfId="0" applyFont="1" applyFill="1" applyBorder="1" applyAlignment="1">
      <alignment horizontal="center" vertical="center" wrapText="1"/>
    </xf>
    <xf numFmtId="0" fontId="8" fillId="0" borderId="0" xfId="37" applyFont="1"/>
    <xf numFmtId="0" fontId="8" fillId="0" borderId="0" xfId="37" applyFont="1" applyAlignment="1">
      <alignment horizontal="center" vertical="center" wrapText="1"/>
    </xf>
    <xf numFmtId="0" fontId="8" fillId="0" borderId="0" xfId="37" applyFont="1" applyAlignment="1">
      <alignment horizontal="center" vertical="center"/>
    </xf>
    <xf numFmtId="0" fontId="8" fillId="0" borderId="10" xfId="37" applyFont="1" applyBorder="1" applyAlignment="1">
      <alignment horizontal="center" vertical="center" wrapText="1"/>
    </xf>
    <xf numFmtId="0" fontId="8" fillId="0" borderId="10" xfId="37" applyFont="1" applyBorder="1" applyAlignment="1">
      <alignment horizontal="center" vertical="center"/>
    </xf>
    <xf numFmtId="0" fontId="54" fillId="0" borderId="0" xfId="37" applyFont="1" applyAlignment="1">
      <alignment horizontal="center" wrapText="1"/>
    </xf>
    <xf numFmtId="0" fontId="10" fillId="29" borderId="14" xfId="37" applyFont="1" applyFill="1" applyBorder="1" applyAlignment="1">
      <alignment horizontal="center" vertical="center" wrapText="1"/>
    </xf>
    <xf numFmtId="0" fontId="10" fillId="29" borderId="13" xfId="37" applyFont="1" applyFill="1" applyBorder="1" applyAlignment="1">
      <alignment horizontal="center" vertical="center" wrapText="1"/>
    </xf>
    <xf numFmtId="0" fontId="10" fillId="29" borderId="50" xfId="37" applyFont="1" applyFill="1" applyBorder="1" applyAlignment="1">
      <alignment horizontal="center" vertical="center" wrapText="1"/>
    </xf>
    <xf numFmtId="0" fontId="9" fillId="24" borderId="37" xfId="37" applyFill="1" applyBorder="1" applyAlignment="1">
      <alignment horizontal="center" vertical="center" wrapText="1"/>
    </xf>
    <xf numFmtId="0" fontId="9" fillId="24" borderId="37" xfId="37" quotePrefix="1" applyFill="1" applyBorder="1" applyAlignment="1">
      <alignment horizontal="center" vertical="center"/>
    </xf>
    <xf numFmtId="0" fontId="9" fillId="24" borderId="37" xfId="37" quotePrefix="1" applyFill="1" applyBorder="1" applyAlignment="1">
      <alignment horizontal="center" vertical="center" wrapText="1"/>
    </xf>
    <xf numFmtId="0" fontId="9" fillId="24" borderId="15" xfId="37" quotePrefix="1" applyFill="1" applyBorder="1" applyAlignment="1">
      <alignment horizontal="center" vertical="center" wrapText="1"/>
    </xf>
    <xf numFmtId="0" fontId="9" fillId="24" borderId="15" xfId="37" quotePrefix="1" applyFill="1" applyBorder="1" applyAlignment="1">
      <alignment horizontal="center" vertical="center"/>
    </xf>
    <xf numFmtId="0" fontId="48" fillId="26" borderId="32" xfId="37" applyFont="1" applyFill="1" applyBorder="1" applyAlignment="1">
      <alignment horizontal="center" vertical="center" wrapText="1"/>
    </xf>
    <xf numFmtId="0" fontId="10" fillId="29" borderId="95" xfId="37" applyFont="1" applyFill="1" applyBorder="1" applyAlignment="1">
      <alignment horizontal="center" vertical="center" wrapText="1"/>
    </xf>
    <xf numFmtId="0" fontId="9" fillId="24" borderId="15" xfId="37" applyFill="1" applyBorder="1" applyAlignment="1">
      <alignment horizontal="center" vertical="center"/>
    </xf>
    <xf numFmtId="0" fontId="31" fillId="24" borderId="29" xfId="37" applyFont="1" applyFill="1" applyBorder="1" applyAlignment="1">
      <alignment horizontal="center" vertical="center"/>
    </xf>
    <xf numFmtId="0" fontId="9" fillId="24" borderId="37" xfId="37" applyFill="1" applyBorder="1" applyAlignment="1">
      <alignment horizontal="center" vertical="center"/>
    </xf>
    <xf numFmtId="0" fontId="9" fillId="24" borderId="15" xfId="37" applyFill="1" applyBorder="1" applyAlignment="1">
      <alignment horizontal="left" vertical="center" wrapText="1"/>
    </xf>
    <xf numFmtId="0" fontId="9" fillId="24" borderId="31" xfId="37" applyFill="1" applyBorder="1" applyAlignment="1">
      <alignment horizontal="center" vertical="center"/>
    </xf>
    <xf numFmtId="0" fontId="9" fillId="24" borderId="29" xfId="37" applyFill="1" applyBorder="1" applyAlignment="1">
      <alignment horizontal="center" vertical="center"/>
    </xf>
    <xf numFmtId="0" fontId="8" fillId="24" borderId="43" xfId="53" applyFill="1" applyBorder="1" applyAlignment="1">
      <alignment horizontal="center" vertical="center"/>
    </xf>
    <xf numFmtId="0" fontId="31" fillId="24" borderId="31" xfId="53" applyFont="1" applyFill="1" applyBorder="1" applyAlignment="1">
      <alignment horizontal="center" vertical="center"/>
    </xf>
    <xf numFmtId="0" fontId="31" fillId="0" borderId="24" xfId="37" applyFont="1" applyBorder="1" applyAlignment="1">
      <alignment horizontal="center" vertical="center" wrapText="1"/>
    </xf>
    <xf numFmtId="0" fontId="8" fillId="24" borderId="34" xfId="53" applyFill="1" applyBorder="1" applyAlignment="1">
      <alignment horizontal="center" vertical="center" wrapText="1"/>
    </xf>
    <xf numFmtId="0" fontId="31" fillId="0" borderId="31" xfId="37" applyFont="1" applyBorder="1" applyAlignment="1">
      <alignment horizontal="center" vertical="center" wrapText="1"/>
    </xf>
    <xf numFmtId="0" fontId="8" fillId="24" borderId="43" xfId="37" applyFont="1" applyFill="1" applyBorder="1" applyAlignment="1">
      <alignment horizontal="center" vertical="center" wrapText="1"/>
    </xf>
    <xf numFmtId="0" fontId="8" fillId="24" borderId="43" xfId="37" quotePrefix="1" applyFont="1" applyFill="1" applyBorder="1" applyAlignment="1">
      <alignment horizontal="center" vertical="center" wrapText="1"/>
    </xf>
    <xf numFmtId="0" fontId="31" fillId="24" borderId="34" xfId="37" applyFont="1" applyFill="1" applyBorder="1" applyAlignment="1">
      <alignment horizontal="center" vertical="center" wrapText="1"/>
    </xf>
    <xf numFmtId="0" fontId="8" fillId="24" borderId="24" xfId="37" applyFont="1" applyFill="1" applyBorder="1" applyAlignment="1">
      <alignment horizontal="center" vertical="center" wrapText="1"/>
    </xf>
    <xf numFmtId="0" fontId="74" fillId="0" borderId="107" xfId="49" applyFont="1" applyBorder="1" applyAlignment="1">
      <alignment horizontal="center" vertical="center" wrapText="1"/>
    </xf>
    <xf numFmtId="0" fontId="30" fillId="0" borderId="17" xfId="37" applyFont="1" applyBorder="1" applyAlignment="1">
      <alignment horizontal="center" vertical="center" wrapText="1"/>
    </xf>
    <xf numFmtId="0" fontId="10" fillId="29" borderId="124" xfId="37" applyFont="1" applyFill="1" applyBorder="1" applyAlignment="1">
      <alignment horizontal="center" vertical="center" wrapText="1"/>
    </xf>
    <xf numFmtId="0" fontId="31" fillId="24" borderId="125" xfId="37" applyFont="1" applyFill="1" applyBorder="1" applyAlignment="1">
      <alignment horizontal="center" vertical="center" wrapText="1"/>
    </xf>
    <xf numFmtId="0" fontId="9" fillId="24" borderId="18" xfId="37" quotePrefix="1" applyFill="1" applyBorder="1" applyAlignment="1">
      <alignment horizontal="center" vertical="center"/>
    </xf>
    <xf numFmtId="0" fontId="9" fillId="24" borderId="18" xfId="37" applyFill="1" applyBorder="1" applyAlignment="1">
      <alignment horizontal="center" vertical="center"/>
    </xf>
    <xf numFmtId="4" fontId="8" fillId="27" borderId="64" xfId="37" applyNumberFormat="1" applyFont="1" applyFill="1" applyBorder="1" applyAlignment="1">
      <alignment horizontal="center"/>
    </xf>
    <xf numFmtId="0" fontId="75" fillId="0" borderId="0" xfId="37" applyFont="1" applyAlignment="1">
      <alignment horizontal="center" vertical="center" wrapText="1"/>
    </xf>
    <xf numFmtId="4" fontId="8" fillId="27" borderId="67" xfId="37" applyNumberFormat="1" applyFont="1" applyFill="1" applyBorder="1" applyAlignment="1">
      <alignment horizontal="center"/>
    </xf>
    <xf numFmtId="0" fontId="71" fillId="27" borderId="67" xfId="2" applyFont="1" applyFill="1" applyBorder="1" applyAlignment="1">
      <alignment horizontal="center"/>
    </xf>
    <xf numFmtId="0" fontId="9" fillId="27" borderId="119" xfId="35" applyNumberFormat="1" applyFont="1" applyFill="1" applyBorder="1" applyAlignment="1">
      <alignment horizontal="center" vertical="center"/>
    </xf>
    <xf numFmtId="0" fontId="9" fillId="27" borderId="67" xfId="2" applyFill="1" applyBorder="1" applyAlignment="1">
      <alignment horizontal="center" vertical="center"/>
    </xf>
    <xf numFmtId="4" fontId="9" fillId="27" borderId="121" xfId="2" applyNumberFormat="1" applyFill="1" applyBorder="1" applyAlignment="1">
      <alignment horizontal="center"/>
    </xf>
    <xf numFmtId="0" fontId="75" fillId="27" borderId="0" xfId="37" applyFont="1" applyFill="1" applyAlignment="1">
      <alignment horizontal="center" vertical="center" wrapText="1"/>
    </xf>
    <xf numFmtId="1" fontId="9" fillId="27" borderId="67" xfId="2" applyNumberFormat="1" applyFill="1" applyBorder="1" applyAlignment="1">
      <alignment horizontal="center"/>
    </xf>
    <xf numFmtId="1" fontId="9" fillId="27" borderId="119" xfId="2" applyNumberFormat="1" applyFill="1" applyBorder="1" applyAlignment="1">
      <alignment horizontal="center"/>
    </xf>
    <xf numFmtId="1" fontId="9" fillId="27" borderId="121" xfId="2" applyNumberFormat="1" applyFill="1" applyBorder="1" applyAlignment="1">
      <alignment horizontal="center"/>
    </xf>
    <xf numFmtId="0" fontId="8" fillId="27" borderId="126" xfId="51" applyFill="1" applyBorder="1" applyAlignment="1">
      <alignment horizontal="center"/>
    </xf>
    <xf numFmtId="0" fontId="8" fillId="27" borderId="67" xfId="51" applyFill="1" applyBorder="1" applyAlignment="1">
      <alignment horizontal="center"/>
    </xf>
    <xf numFmtId="4" fontId="8" fillId="27" borderId="67" xfId="51" applyNumberFormat="1" applyFill="1" applyBorder="1" applyAlignment="1">
      <alignment horizontal="center"/>
    </xf>
    <xf numFmtId="4" fontId="8" fillId="27" borderId="119" xfId="37" applyNumberFormat="1" applyFont="1" applyFill="1" applyBorder="1" applyAlignment="1">
      <alignment horizontal="center"/>
    </xf>
    <xf numFmtId="0" fontId="8" fillId="40" borderId="126" xfId="47" applyNumberFormat="1" applyFont="1" applyFill="1" applyBorder="1" applyAlignment="1">
      <alignment horizontal="center" vertical="center"/>
    </xf>
    <xf numFmtId="0" fontId="8" fillId="27" borderId="67" xfId="47" applyNumberFormat="1" applyFont="1" applyFill="1" applyBorder="1" applyAlignment="1">
      <alignment horizontal="center" vertical="center"/>
    </xf>
    <xf numFmtId="0" fontId="34" fillId="27" borderId="0" xfId="51" applyFont="1" applyFill="1" applyAlignment="1">
      <alignment horizontal="left"/>
    </xf>
    <xf numFmtId="0" fontId="8" fillId="27" borderId="0" xfId="47" applyNumberFormat="1" applyFont="1" applyFill="1" applyBorder="1" applyAlignment="1">
      <alignment horizontal="center" vertical="center"/>
    </xf>
    <xf numFmtId="0" fontId="8" fillId="27" borderId="74" xfId="51" applyFill="1" applyBorder="1" applyAlignment="1">
      <alignment horizontal="center"/>
    </xf>
    <xf numFmtId="0" fontId="8" fillId="40" borderId="127" xfId="47" applyNumberFormat="1" applyFont="1" applyFill="1" applyBorder="1" applyAlignment="1">
      <alignment horizontal="center" vertical="center"/>
    </xf>
    <xf numFmtId="0" fontId="8" fillId="27" borderId="74" xfId="47" applyNumberFormat="1" applyFont="1" applyFill="1" applyBorder="1" applyAlignment="1">
      <alignment horizontal="center" vertical="center"/>
    </xf>
    <xf numFmtId="4" fontId="8" fillId="27" borderId="74" xfId="51" applyNumberFormat="1" applyFill="1" applyBorder="1" applyAlignment="1">
      <alignment horizontal="center"/>
    </xf>
    <xf numFmtId="4" fontId="8" fillId="0" borderId="64" xfId="51" applyNumberFormat="1" applyBorder="1" applyAlignment="1">
      <alignment horizontal="center"/>
    </xf>
    <xf numFmtId="3" fontId="8" fillId="24" borderId="82" xfId="51" applyNumberFormat="1" applyFill="1" applyBorder="1" applyAlignment="1">
      <alignment horizontal="center"/>
    </xf>
    <xf numFmtId="3" fontId="8" fillId="24" borderId="83" xfId="51" applyNumberFormat="1" applyFill="1" applyBorder="1" applyAlignment="1">
      <alignment horizontal="center"/>
    </xf>
    <xf numFmtId="3" fontId="8" fillId="27" borderId="82" xfId="51" applyNumberFormat="1" applyFill="1" applyBorder="1" applyAlignment="1">
      <alignment horizontal="center"/>
    </xf>
    <xf numFmtId="3" fontId="8" fillId="27" borderId="83" xfId="51" applyNumberFormat="1" applyFill="1" applyBorder="1" applyAlignment="1">
      <alignment horizontal="center"/>
    </xf>
    <xf numFmtId="3" fontId="49" fillId="27" borderId="82" xfId="51" applyNumberFormat="1" applyFont="1" applyFill="1" applyBorder="1" applyAlignment="1">
      <alignment horizontal="center"/>
    </xf>
    <xf numFmtId="3" fontId="49" fillId="27" borderId="83" xfId="51" applyNumberFormat="1" applyFont="1" applyFill="1" applyBorder="1" applyAlignment="1">
      <alignment horizontal="center"/>
    </xf>
    <xf numFmtId="3" fontId="8" fillId="27" borderId="77" xfId="51" applyNumberFormat="1" applyFill="1" applyBorder="1" applyAlignment="1">
      <alignment horizontal="center"/>
    </xf>
    <xf numFmtId="0" fontId="8" fillId="24" borderId="64" xfId="53" applyFill="1" applyBorder="1"/>
    <xf numFmtId="3" fontId="8" fillId="24" borderId="74" xfId="51" applyNumberFormat="1" applyFill="1" applyBorder="1" applyAlignment="1">
      <alignment horizontal="center"/>
    </xf>
    <xf numFmtId="0" fontId="76" fillId="0" borderId="0" xfId="52" applyFont="1" applyAlignment="1">
      <alignment horizontal="center"/>
    </xf>
    <xf numFmtId="166" fontId="8" fillId="24" borderId="0" xfId="47" applyNumberFormat="1" applyFont="1" applyFill="1"/>
    <xf numFmtId="1" fontId="8" fillId="24" borderId="0" xfId="53" applyNumberFormat="1" applyFill="1"/>
    <xf numFmtId="4" fontId="49" fillId="27" borderId="0" xfId="2" applyNumberFormat="1" applyFont="1" applyFill="1" applyAlignment="1">
      <alignment horizontal="center"/>
    </xf>
    <xf numFmtId="0" fontId="8" fillId="27" borderId="121" xfId="2" applyFont="1" applyFill="1" applyBorder="1" applyAlignment="1">
      <alignment horizontal="center"/>
    </xf>
    <xf numFmtId="0" fontId="8" fillId="27" borderId="63" xfId="2" applyFont="1" applyFill="1" applyBorder="1" applyAlignment="1">
      <alignment horizontal="center"/>
    </xf>
    <xf numFmtId="3" fontId="8" fillId="27" borderId="64" xfId="2" applyNumberFormat="1" applyFont="1" applyFill="1" applyBorder="1" applyAlignment="1">
      <alignment horizontal="center"/>
    </xf>
    <xf numFmtId="0" fontId="8" fillId="27" borderId="64" xfId="51" applyFill="1" applyBorder="1" applyAlignment="1">
      <alignment horizontal="center"/>
    </xf>
    <xf numFmtId="3" fontId="86" fillId="24" borderId="0" xfId="53" applyNumberFormat="1" applyFont="1" applyFill="1" applyAlignment="1">
      <alignment horizontal="center"/>
    </xf>
    <xf numFmtId="0" fontId="11" fillId="24" borderId="93" xfId="37" applyFont="1" applyFill="1" applyBorder="1" applyAlignment="1">
      <alignment vertical="center"/>
    </xf>
    <xf numFmtId="0" fontId="11" fillId="24" borderId="94" xfId="37" applyFont="1" applyFill="1" applyBorder="1" applyAlignment="1">
      <alignment vertical="center"/>
    </xf>
    <xf numFmtId="0" fontId="11" fillId="27" borderId="93" xfId="37" applyFont="1" applyFill="1" applyBorder="1" applyAlignment="1">
      <alignment vertical="center"/>
    </xf>
    <xf numFmtId="0" fontId="11" fillId="27" borderId="94" xfId="37" applyFont="1" applyFill="1" applyBorder="1" applyAlignment="1">
      <alignment vertical="center"/>
    </xf>
    <xf numFmtId="0" fontId="11" fillId="24" borderId="0" xfId="37" applyFont="1" applyFill="1" applyAlignment="1">
      <alignment vertical="center"/>
    </xf>
    <xf numFmtId="0" fontId="50" fillId="33" borderId="0" xfId="37" applyFont="1" applyFill="1"/>
    <xf numFmtId="0" fontId="57" fillId="33" borderId="0" xfId="37" applyFont="1" applyFill="1"/>
    <xf numFmtId="0" fontId="8" fillId="27" borderId="0" xfId="0" applyFont="1" applyFill="1"/>
    <xf numFmtId="0" fontId="10" fillId="44" borderId="64" xfId="37" applyFont="1" applyFill="1" applyBorder="1" applyAlignment="1">
      <alignment horizontal="center" vertical="center" wrapText="1"/>
    </xf>
    <xf numFmtId="3" fontId="10" fillId="44" borderId="64" xfId="37" quotePrefix="1" applyNumberFormat="1" applyFont="1" applyFill="1" applyBorder="1" applyAlignment="1">
      <alignment horizontal="center" vertical="center" wrapText="1"/>
    </xf>
    <xf numFmtId="0" fontId="10" fillId="44" borderId="62" xfId="37" applyFont="1" applyFill="1" applyBorder="1" applyAlignment="1">
      <alignment horizontal="center" vertical="center" wrapText="1"/>
    </xf>
    <xf numFmtId="164" fontId="10" fillId="44" borderId="64" xfId="35" applyFont="1" applyFill="1" applyBorder="1" applyAlignment="1">
      <alignment horizontal="center" vertical="center" wrapText="1"/>
    </xf>
    <xf numFmtId="0" fontId="10" fillId="44" borderId="61" xfId="37" applyFont="1" applyFill="1" applyBorder="1" applyAlignment="1">
      <alignment horizontal="center" vertical="center" wrapText="1"/>
    </xf>
    <xf numFmtId="0" fontId="10" fillId="44" borderId="69" xfId="37" applyFont="1" applyFill="1" applyBorder="1" applyAlignment="1">
      <alignment horizontal="center" vertical="center" wrapText="1"/>
    </xf>
    <xf numFmtId="0" fontId="10" fillId="44" borderId="0" xfId="37" applyFont="1" applyFill="1" applyAlignment="1">
      <alignment horizontal="center" vertical="center" wrapText="1"/>
    </xf>
    <xf numFmtId="0" fontId="10" fillId="44" borderId="68" xfId="37" applyFont="1" applyFill="1" applyBorder="1" applyAlignment="1">
      <alignment horizontal="center" vertical="center" wrapText="1"/>
    </xf>
    <xf numFmtId="0" fontId="10" fillId="44" borderId="70" xfId="37" applyFont="1" applyFill="1" applyBorder="1" applyAlignment="1">
      <alignment horizontal="center" vertical="center" wrapText="1"/>
    </xf>
    <xf numFmtId="0" fontId="10" fillId="44" borderId="63" xfId="37" applyFont="1" applyFill="1" applyBorder="1" applyAlignment="1">
      <alignment horizontal="center" vertical="center" wrapText="1"/>
    </xf>
    <xf numFmtId="3" fontId="10" fillId="44" borderId="62" xfId="37" quotePrefix="1" applyNumberFormat="1" applyFont="1" applyFill="1" applyBorder="1" applyAlignment="1">
      <alignment horizontal="center" vertical="center" wrapText="1"/>
    </xf>
    <xf numFmtId="0" fontId="9" fillId="24" borderId="16" xfId="37" quotePrefix="1" applyFill="1" applyBorder="1" applyAlignment="1">
      <alignment horizontal="center" vertical="center"/>
    </xf>
    <xf numFmtId="4" fontId="71" fillId="45" borderId="63" xfId="2" applyNumberFormat="1" applyFont="1" applyFill="1" applyBorder="1" applyAlignment="1">
      <alignment horizontal="center"/>
    </xf>
    <xf numFmtId="4" fontId="71" fillId="27" borderId="63" xfId="2" applyNumberFormat="1" applyFont="1" applyFill="1" applyBorder="1" applyAlignment="1">
      <alignment horizontal="center"/>
    </xf>
    <xf numFmtId="0" fontId="8" fillId="27" borderId="67" xfId="53" applyFill="1" applyBorder="1" applyAlignment="1">
      <alignment horizontal="center"/>
    </xf>
    <xf numFmtId="164" fontId="9" fillId="27" borderId="0" xfId="35" applyFont="1" applyFill="1" applyBorder="1"/>
    <xf numFmtId="0" fontId="8" fillId="24" borderId="15" xfId="37" applyFont="1" applyFill="1" applyBorder="1" applyAlignment="1">
      <alignment horizontal="center" vertical="center" wrapText="1"/>
    </xf>
    <xf numFmtId="4" fontId="8" fillId="27" borderId="62" xfId="53" applyNumberFormat="1" applyFill="1" applyBorder="1" applyAlignment="1">
      <alignment horizontal="center"/>
    </xf>
    <xf numFmtId="164" fontId="9" fillId="27" borderId="63" xfId="35" applyFont="1" applyFill="1" applyBorder="1" applyAlignment="1">
      <alignment horizontal="center"/>
    </xf>
    <xf numFmtId="3" fontId="8" fillId="27" borderId="121" xfId="51" applyNumberFormat="1" applyFill="1" applyBorder="1" applyAlignment="1">
      <alignment horizontal="center"/>
    </xf>
    <xf numFmtId="3" fontId="8" fillId="27" borderId="120" xfId="51" applyNumberFormat="1" applyFill="1" applyBorder="1" applyAlignment="1">
      <alignment horizontal="center"/>
    </xf>
    <xf numFmtId="0" fontId="8" fillId="27" borderId="0" xfId="51" applyFill="1" applyAlignment="1">
      <alignment horizontal="center"/>
    </xf>
    <xf numFmtId="4" fontId="71" fillId="27" borderId="134" xfId="53" applyNumberFormat="1" applyFont="1" applyFill="1" applyBorder="1" applyAlignment="1">
      <alignment horizontal="center"/>
    </xf>
    <xf numFmtId="164" fontId="54" fillId="24" borderId="0" xfId="35" applyFont="1" applyFill="1" applyAlignment="1">
      <alignment horizontal="center"/>
    </xf>
    <xf numFmtId="164" fontId="47" fillId="0" borderId="0" xfId="35" applyFont="1" applyFill="1" applyBorder="1" applyAlignment="1">
      <alignment horizontal="center" vertical="center"/>
    </xf>
    <xf numFmtId="164" fontId="30" fillId="0" borderId="63" xfId="35" applyFont="1" applyFill="1" applyBorder="1" applyAlignment="1">
      <alignment horizontal="center" vertical="center" wrapText="1"/>
    </xf>
    <xf numFmtId="164" fontId="30" fillId="0" borderId="0" xfId="35" applyFont="1" applyFill="1" applyBorder="1" applyAlignment="1">
      <alignment horizontal="center" vertical="center" wrapText="1"/>
    </xf>
    <xf numFmtId="164" fontId="0" fillId="0" borderId="63" xfId="35" applyFont="1" applyBorder="1"/>
    <xf numFmtId="164" fontId="0" fillId="0" borderId="0" xfId="35" applyFont="1" applyBorder="1"/>
    <xf numFmtId="164" fontId="10" fillId="25" borderId="63" xfId="35" applyFont="1" applyFill="1" applyBorder="1" applyAlignment="1">
      <alignment horizontal="center" vertical="center" wrapText="1"/>
    </xf>
    <xf numFmtId="164" fontId="10" fillId="25" borderId="61" xfId="35" applyFont="1" applyFill="1" applyBorder="1" applyAlignment="1">
      <alignment horizontal="center" vertical="center" wrapText="1"/>
    </xf>
    <xf numFmtId="0" fontId="8" fillId="0" borderId="0" xfId="53"/>
    <xf numFmtId="0" fontId="8" fillId="0" borderId="0" xfId="53" applyAlignment="1">
      <alignment horizontal="center" vertical="center" wrapText="1"/>
    </xf>
    <xf numFmtId="0" fontId="8" fillId="0" borderId="0" xfId="53" applyAlignment="1">
      <alignment horizontal="center" vertical="center"/>
    </xf>
    <xf numFmtId="0" fontId="8" fillId="0" borderId="10" xfId="53" applyBorder="1" applyAlignment="1">
      <alignment horizontal="center" vertical="center"/>
    </xf>
    <xf numFmtId="0" fontId="8" fillId="0" borderId="10" xfId="53" applyBorder="1" applyAlignment="1">
      <alignment horizontal="center" vertical="center" wrapText="1"/>
    </xf>
    <xf numFmtId="0" fontId="8" fillId="24" borderId="66" xfId="53" applyFill="1" applyBorder="1" applyAlignment="1">
      <alignment horizontal="center" vertical="center"/>
    </xf>
    <xf numFmtId="0" fontId="8" fillId="24" borderId="12" xfId="53" applyFill="1" applyBorder="1" applyAlignment="1">
      <alignment horizontal="center" vertical="center" wrapText="1"/>
    </xf>
    <xf numFmtId="0" fontId="12" fillId="0" borderId="0" xfId="53" applyFont="1" applyAlignment="1">
      <alignment horizontal="center" vertical="center" wrapText="1"/>
    </xf>
    <xf numFmtId="0" fontId="9" fillId="0" borderId="140" xfId="37" applyBorder="1" applyAlignment="1">
      <alignment horizontal="center" vertical="center"/>
    </xf>
    <xf numFmtId="0" fontId="9" fillId="24" borderId="141" xfId="37" applyFill="1" applyBorder="1" applyAlignment="1">
      <alignment horizontal="center" vertical="center"/>
    </xf>
    <xf numFmtId="0" fontId="9" fillId="24" borderId="142" xfId="37" applyFill="1" applyBorder="1" applyAlignment="1">
      <alignment horizontal="center" vertical="center"/>
    </xf>
    <xf numFmtId="0" fontId="9" fillId="24" borderId="143" xfId="37" applyFill="1" applyBorder="1" applyAlignment="1">
      <alignment horizontal="center" vertical="center"/>
    </xf>
    <xf numFmtId="0" fontId="8" fillId="24" borderId="19" xfId="37" applyFont="1" applyFill="1" applyBorder="1" applyAlignment="1">
      <alignment horizontal="center" vertical="center" wrapText="1"/>
    </xf>
    <xf numFmtId="0" fontId="8" fillId="24" borderId="16" xfId="37" applyFont="1" applyFill="1" applyBorder="1" applyAlignment="1">
      <alignment horizontal="center" vertical="center" wrapText="1"/>
    </xf>
    <xf numFmtId="164" fontId="47" fillId="0" borderId="0" xfId="35" applyFont="1" applyFill="1" applyBorder="1" applyAlignment="1">
      <alignment horizontal="center" vertical="center" wrapText="1"/>
    </xf>
    <xf numFmtId="164" fontId="30" fillId="0" borderId="62" xfId="35" applyFont="1" applyFill="1" applyBorder="1" applyAlignment="1">
      <alignment horizontal="center" vertical="center" wrapText="1"/>
    </xf>
    <xf numFmtId="164" fontId="10" fillId="0" borderId="0" xfId="35" applyFont="1" applyFill="1" applyBorder="1" applyAlignment="1">
      <alignment horizontal="center" vertical="center" wrapText="1"/>
    </xf>
    <xf numFmtId="164" fontId="0" fillId="0" borderId="62" xfId="35" applyFont="1" applyBorder="1"/>
    <xf numFmtId="164" fontId="0" fillId="0" borderId="0" xfId="35" applyFont="1" applyFill="1" applyBorder="1"/>
    <xf numFmtId="164" fontId="10" fillId="44" borderId="61" xfId="35" applyFont="1" applyFill="1" applyBorder="1" applyAlignment="1">
      <alignment horizontal="center" vertical="center" wrapText="1"/>
    </xf>
    <xf numFmtId="164" fontId="10" fillId="44" borderId="63" xfId="35" applyFont="1" applyFill="1" applyBorder="1" applyAlignment="1">
      <alignment horizontal="center" vertical="center" wrapText="1"/>
    </xf>
    <xf numFmtId="164" fontId="8" fillId="27" borderId="63" xfId="35" applyFont="1" applyFill="1" applyBorder="1" applyAlignment="1">
      <alignment horizontal="center"/>
    </xf>
    <xf numFmtId="164" fontId="9" fillId="27" borderId="64" xfId="35" applyFont="1" applyFill="1" applyBorder="1" applyAlignment="1">
      <alignment horizontal="center"/>
    </xf>
    <xf numFmtId="3" fontId="49" fillId="27" borderId="63" xfId="2" applyNumberFormat="1" applyFont="1" applyFill="1" applyBorder="1" applyAlignment="1">
      <alignment horizontal="center"/>
    </xf>
    <xf numFmtId="0" fontId="8" fillId="27" borderId="64" xfId="35" applyNumberFormat="1" applyFont="1" applyFill="1" applyBorder="1" applyAlignment="1">
      <alignment horizontal="center" vertical="center"/>
    </xf>
    <xf numFmtId="0" fontId="8" fillId="27" borderId="64" xfId="47" applyNumberFormat="1" applyFont="1" applyFill="1" applyBorder="1" applyAlignment="1">
      <alignment horizontal="center" vertical="center"/>
    </xf>
    <xf numFmtId="0" fontId="8" fillId="24" borderId="0" xfId="53" applyFill="1"/>
    <xf numFmtId="3" fontId="8" fillId="27" borderId="62" xfId="51" applyNumberFormat="1" applyFill="1" applyBorder="1" applyAlignment="1">
      <alignment horizontal="center"/>
    </xf>
    <xf numFmtId="3" fontId="8" fillId="27" borderId="63" xfId="51" applyNumberFormat="1" applyFill="1" applyBorder="1" applyAlignment="1">
      <alignment horizontal="center"/>
    </xf>
    <xf numFmtId="3" fontId="8" fillId="27" borderId="0" xfId="51" applyNumberFormat="1" applyFill="1" applyAlignment="1">
      <alignment horizontal="center"/>
    </xf>
    <xf numFmtId="0" fontId="8" fillId="27" borderId="0" xfId="53" applyFill="1"/>
    <xf numFmtId="0" fontId="8" fillId="40" borderId="75" xfId="47" applyNumberFormat="1" applyFont="1" applyFill="1" applyBorder="1" applyAlignment="1">
      <alignment horizontal="center" vertical="center"/>
    </xf>
    <xf numFmtId="4" fontId="8" fillId="27" borderId="64" xfId="53" applyNumberFormat="1" applyFill="1" applyBorder="1" applyAlignment="1">
      <alignment horizontal="center"/>
    </xf>
    <xf numFmtId="3" fontId="8" fillId="27" borderId="119" xfId="51" applyNumberFormat="1" applyFill="1" applyBorder="1" applyAlignment="1">
      <alignment horizontal="center"/>
    </xf>
    <xf numFmtId="3" fontId="8" fillId="0" borderId="0" xfId="51" applyNumberFormat="1" applyAlignment="1">
      <alignment horizontal="center"/>
    </xf>
    <xf numFmtId="3" fontId="8" fillId="27" borderId="64" xfId="51" applyNumberFormat="1" applyFill="1" applyBorder="1" applyAlignment="1">
      <alignment horizontal="center"/>
    </xf>
    <xf numFmtId="1" fontId="8" fillId="27" borderId="64" xfId="47" applyNumberFormat="1" applyFont="1" applyFill="1" applyBorder="1" applyAlignment="1">
      <alignment horizontal="center" vertical="center"/>
    </xf>
    <xf numFmtId="4" fontId="8" fillId="27" borderId="64" xfId="51" applyNumberFormat="1" applyFill="1" applyBorder="1" applyAlignment="1">
      <alignment horizontal="center"/>
    </xf>
    <xf numFmtId="0" fontId="8" fillId="27" borderId="64" xfId="53" applyFill="1" applyBorder="1" applyAlignment="1">
      <alignment horizontal="center"/>
    </xf>
    <xf numFmtId="0" fontId="50" fillId="27" borderId="64" xfId="51" applyFont="1" applyFill="1" applyBorder="1" applyAlignment="1">
      <alignment horizontal="center"/>
    </xf>
    <xf numFmtId="17" fontId="34" fillId="24" borderId="0" xfId="53" applyNumberFormat="1" applyFont="1" applyFill="1" applyAlignment="1">
      <alignment horizontal="left" vertical="center"/>
    </xf>
    <xf numFmtId="17" fontId="30" fillId="24" borderId="0" xfId="53" applyNumberFormat="1" applyFont="1" applyFill="1" applyAlignment="1">
      <alignment horizontal="center" vertical="center"/>
    </xf>
    <xf numFmtId="3" fontId="8" fillId="27" borderId="67" xfId="51" applyNumberFormat="1" applyFill="1" applyBorder="1" applyAlignment="1">
      <alignment horizontal="center"/>
    </xf>
    <xf numFmtId="0" fontId="8" fillId="27" borderId="62" xfId="51" applyFill="1" applyBorder="1" applyAlignment="1">
      <alignment horizontal="center"/>
    </xf>
    <xf numFmtId="0" fontId="8" fillId="27" borderId="63" xfId="51" applyFill="1" applyBorder="1" applyAlignment="1">
      <alignment horizontal="center"/>
    </xf>
    <xf numFmtId="0" fontId="87" fillId="0" borderId="0" xfId="37" applyFont="1" applyAlignment="1">
      <alignment horizontal="center" vertical="center" wrapText="1"/>
    </xf>
    <xf numFmtId="4" fontId="71" fillId="27" borderId="75" xfId="37" applyNumberFormat="1" applyFont="1" applyFill="1" applyBorder="1" applyAlignment="1">
      <alignment horizontal="center"/>
    </xf>
    <xf numFmtId="3" fontId="9" fillId="27" borderId="64" xfId="35" applyNumberFormat="1" applyFont="1" applyFill="1" applyBorder="1" applyAlignment="1">
      <alignment horizontal="center" vertical="center"/>
    </xf>
    <xf numFmtId="164" fontId="9" fillId="27" borderId="64" xfId="35" applyFont="1" applyFill="1" applyBorder="1" applyAlignment="1">
      <alignment horizontal="center" vertical="center"/>
    </xf>
    <xf numFmtId="164" fontId="9" fillId="27" borderId="62" xfId="35" applyFont="1" applyFill="1" applyBorder="1" applyAlignment="1">
      <alignment horizontal="center"/>
    </xf>
    <xf numFmtId="164" fontId="9" fillId="27" borderId="0" xfId="35" applyFont="1" applyFill="1" applyBorder="1" applyAlignment="1">
      <alignment horizontal="center"/>
    </xf>
    <xf numFmtId="0" fontId="49" fillId="27" borderId="0" xfId="37" applyFont="1" applyFill="1"/>
    <xf numFmtId="3" fontId="8" fillId="27" borderId="64" xfId="35" applyNumberFormat="1" applyFont="1" applyFill="1" applyBorder="1" applyAlignment="1">
      <alignment horizontal="center" vertical="center"/>
    </xf>
    <xf numFmtId="164" fontId="8" fillId="27" borderId="64" xfId="35" applyFont="1" applyFill="1" applyBorder="1" applyAlignment="1">
      <alignment horizontal="center" vertical="center"/>
    </xf>
    <xf numFmtId="164" fontId="8" fillId="27" borderId="62" xfId="35" applyFont="1" applyFill="1" applyBorder="1" applyAlignment="1">
      <alignment horizontal="center"/>
    </xf>
    <xf numFmtId="164" fontId="8" fillId="27" borderId="0" xfId="35" applyFont="1" applyFill="1" applyBorder="1" applyAlignment="1">
      <alignment horizontal="center"/>
    </xf>
    <xf numFmtId="164" fontId="8" fillId="27" borderId="64" xfId="35" applyFont="1" applyFill="1" applyBorder="1" applyAlignment="1">
      <alignment horizontal="center"/>
    </xf>
    <xf numFmtId="0" fontId="71" fillId="27" borderId="64" xfId="35" applyNumberFormat="1" applyFont="1" applyFill="1" applyBorder="1" applyAlignment="1">
      <alignment horizontal="center" vertical="center"/>
    </xf>
    <xf numFmtId="164" fontId="71" fillId="27" borderId="64" xfId="35" applyFont="1" applyFill="1" applyBorder="1" applyAlignment="1">
      <alignment horizontal="center" vertical="center"/>
    </xf>
    <xf numFmtId="3" fontId="49" fillId="27" borderId="64" xfId="2" applyNumberFormat="1" applyFont="1" applyFill="1" applyBorder="1" applyAlignment="1">
      <alignment horizontal="center"/>
    </xf>
    <xf numFmtId="3" fontId="49" fillId="27" borderId="0" xfId="2" applyNumberFormat="1" applyFont="1" applyFill="1" applyAlignment="1">
      <alignment horizontal="center"/>
    </xf>
    <xf numFmtId="0" fontId="49" fillId="0" borderId="0" xfId="37" applyFont="1"/>
    <xf numFmtId="0" fontId="49" fillId="0" borderId="0" xfId="0" applyFont="1"/>
    <xf numFmtId="0" fontId="49" fillId="0" borderId="0" xfId="37" applyFont="1" applyAlignment="1">
      <alignment horizontal="center" vertical="center" wrapText="1"/>
    </xf>
    <xf numFmtId="0" fontId="49" fillId="0" borderId="0" xfId="37" applyFont="1" applyAlignment="1">
      <alignment horizontal="center" vertical="center"/>
    </xf>
    <xf numFmtId="0" fontId="49" fillId="0" borderId="10" xfId="37" applyFont="1" applyBorder="1" applyAlignment="1">
      <alignment horizontal="center" vertical="center" wrapText="1"/>
    </xf>
    <xf numFmtId="0" fontId="49" fillId="0" borderId="10" xfId="37" applyFont="1" applyBorder="1" applyAlignment="1">
      <alignment horizontal="center" vertical="center"/>
    </xf>
    <xf numFmtId="0" fontId="87" fillId="0" borderId="0" xfId="37" applyFont="1" applyAlignment="1">
      <alignment horizontal="center" wrapText="1"/>
    </xf>
    <xf numFmtId="3" fontId="71" fillId="43" borderId="75" xfId="51" applyNumberFormat="1" applyFont="1" applyFill="1" applyBorder="1" applyAlignment="1">
      <alignment horizontal="center"/>
    </xf>
    <xf numFmtId="0" fontId="71" fillId="43" borderId="75" xfId="51" applyFont="1" applyFill="1" applyBorder="1" applyAlignment="1">
      <alignment horizontal="center"/>
    </xf>
    <xf numFmtId="1" fontId="30" fillId="0" borderId="0" xfId="37" applyNumberFormat="1" applyFont="1" applyAlignment="1">
      <alignment horizontal="center" vertical="center" wrapText="1"/>
    </xf>
    <xf numFmtId="1" fontId="31" fillId="24" borderId="25" xfId="37" applyNumberFormat="1" applyFont="1" applyFill="1" applyBorder="1" applyAlignment="1">
      <alignment horizontal="center" vertical="center" wrapText="1"/>
    </xf>
    <xf numFmtId="1" fontId="9" fillId="27" borderId="33" xfId="37" applyNumberFormat="1" applyFill="1" applyBorder="1" applyAlignment="1">
      <alignment vertical="center" wrapText="1"/>
    </xf>
    <xf numFmtId="1" fontId="54" fillId="24" borderId="0" xfId="37" applyNumberFormat="1" applyFont="1" applyFill="1"/>
    <xf numFmtId="1" fontId="47" fillId="0" borderId="0" xfId="37" applyNumberFormat="1" applyFont="1" applyAlignment="1">
      <alignment horizontal="center" vertical="center"/>
    </xf>
    <xf numFmtId="1" fontId="0" fillId="0" borderId="0" xfId="0" applyNumberFormat="1"/>
    <xf numFmtId="1" fontId="10" fillId="44" borderId="68" xfId="37" applyNumberFormat="1" applyFont="1" applyFill="1" applyBorder="1" applyAlignment="1">
      <alignment horizontal="center" vertical="center" wrapText="1"/>
    </xf>
    <xf numFmtId="1" fontId="8" fillId="27" borderId="63" xfId="2" applyNumberFormat="1" applyFont="1" applyFill="1" applyBorder="1" applyAlignment="1">
      <alignment horizontal="center"/>
    </xf>
    <xf numFmtId="3" fontId="49" fillId="27" borderId="119" xfId="51" applyNumberFormat="1" applyFont="1" applyFill="1" applyBorder="1" applyAlignment="1">
      <alignment horizontal="center"/>
    </xf>
    <xf numFmtId="3" fontId="49" fillId="27" borderId="121" xfId="51" applyNumberFormat="1" applyFont="1" applyFill="1" applyBorder="1" applyAlignment="1">
      <alignment horizontal="center"/>
    </xf>
    <xf numFmtId="166" fontId="9" fillId="27" borderId="0" xfId="35" applyNumberFormat="1" applyFont="1" applyFill="1"/>
    <xf numFmtId="0" fontId="8" fillId="27" borderId="144" xfId="51" applyFill="1" applyBorder="1" applyAlignment="1">
      <alignment horizontal="center"/>
    </xf>
    <xf numFmtId="0" fontId="8" fillId="40" borderId="145" xfId="47" applyNumberFormat="1" applyFont="1" applyFill="1" applyBorder="1" applyAlignment="1">
      <alignment horizontal="center" vertical="center"/>
    </xf>
    <xf numFmtId="0" fontId="8" fillId="27" borderId="144" xfId="47" applyNumberFormat="1" applyFont="1" applyFill="1" applyBorder="1" applyAlignment="1">
      <alignment horizontal="center" vertical="center"/>
    </xf>
    <xf numFmtId="4" fontId="8" fillId="27" borderId="144" xfId="51" applyNumberFormat="1" applyFill="1" applyBorder="1" applyAlignment="1">
      <alignment horizontal="center"/>
    </xf>
    <xf numFmtId="3" fontId="8" fillId="27" borderId="146" xfId="51" applyNumberFormat="1" applyFill="1" applyBorder="1" applyAlignment="1">
      <alignment horizontal="center"/>
    </xf>
    <xf numFmtId="3" fontId="8" fillId="27" borderId="147" xfId="51" applyNumberFormat="1" applyFill="1" applyBorder="1" applyAlignment="1">
      <alignment horizontal="center"/>
    </xf>
    <xf numFmtId="3" fontId="8" fillId="27" borderId="105" xfId="51" applyNumberFormat="1" applyFill="1" applyBorder="1" applyAlignment="1">
      <alignment horizontal="center"/>
    </xf>
    <xf numFmtId="3" fontId="8" fillId="27" borderId="144" xfId="51" applyNumberFormat="1" applyFill="1" applyBorder="1" applyAlignment="1">
      <alignment horizontal="center"/>
    </xf>
    <xf numFmtId="3" fontId="8" fillId="43" borderId="62" xfId="51" applyNumberFormat="1" applyFill="1" applyBorder="1" applyAlignment="1">
      <alignment horizontal="center"/>
    </xf>
    <xf numFmtId="3" fontId="8" fillId="43" borderId="63" xfId="51" applyNumberFormat="1" applyFill="1" applyBorder="1" applyAlignment="1">
      <alignment horizontal="center"/>
    </xf>
    <xf numFmtId="3" fontId="8" fillId="43" borderId="0" xfId="51" applyNumberFormat="1" applyFill="1" applyAlignment="1">
      <alignment horizontal="center"/>
    </xf>
    <xf numFmtId="1" fontId="8" fillId="27" borderId="67" xfId="47" applyNumberFormat="1" applyFont="1" applyFill="1" applyBorder="1" applyAlignment="1">
      <alignment horizontal="center" vertical="center"/>
    </xf>
    <xf numFmtId="0" fontId="71" fillId="27" borderId="64" xfId="51" applyFont="1" applyFill="1" applyBorder="1" applyAlignment="1">
      <alignment horizontal="center"/>
    </xf>
    <xf numFmtId="0" fontId="71" fillId="27" borderId="64" xfId="53" applyFont="1" applyFill="1" applyBorder="1" applyAlignment="1">
      <alignment horizontal="center"/>
    </xf>
    <xf numFmtId="3" fontId="71" fillId="27" borderId="64" xfId="51" applyNumberFormat="1" applyFont="1" applyFill="1" applyBorder="1" applyAlignment="1">
      <alignment horizontal="center"/>
    </xf>
    <xf numFmtId="0" fontId="71" fillId="27" borderId="62" xfId="53" applyFont="1" applyFill="1" applyBorder="1" applyAlignment="1">
      <alignment horizontal="center"/>
    </xf>
    <xf numFmtId="4" fontId="71" fillId="27" borderId="62" xfId="53" applyNumberFormat="1" applyFont="1" applyFill="1" applyBorder="1" applyAlignment="1">
      <alignment horizontal="center"/>
    </xf>
    <xf numFmtId="3" fontId="71" fillId="27" borderId="62" xfId="53" applyNumberFormat="1" applyFont="1" applyFill="1" applyBorder="1" applyAlignment="1">
      <alignment horizontal="center"/>
    </xf>
    <xf numFmtId="4" fontId="71" fillId="27" borderId="64" xfId="51" applyNumberFormat="1" applyFont="1" applyFill="1" applyBorder="1" applyAlignment="1">
      <alignment horizontal="center"/>
    </xf>
    <xf numFmtId="4" fontId="71" fillId="27" borderId="0" xfId="51" applyNumberFormat="1" applyFont="1" applyFill="1" applyAlignment="1">
      <alignment horizontal="center"/>
    </xf>
    <xf numFmtId="3" fontId="71" fillId="27" borderId="62" xfId="51" applyNumberFormat="1" applyFont="1" applyFill="1" applyBorder="1" applyAlignment="1">
      <alignment horizontal="center"/>
    </xf>
    <xf numFmtId="4" fontId="71" fillId="27" borderId="63" xfId="51" applyNumberFormat="1" applyFont="1" applyFill="1" applyBorder="1" applyAlignment="1">
      <alignment horizontal="center"/>
    </xf>
    <xf numFmtId="0" fontId="71" fillId="27" borderId="0" xfId="53" applyFont="1" applyFill="1"/>
    <xf numFmtId="3" fontId="71" fillId="27" borderId="64" xfId="2" applyNumberFormat="1" applyFont="1" applyFill="1" applyBorder="1" applyAlignment="1">
      <alignment horizontal="center"/>
    </xf>
    <xf numFmtId="3" fontId="71" fillId="27" borderId="63" xfId="51" applyNumberFormat="1" applyFont="1" applyFill="1" applyBorder="1" applyAlignment="1">
      <alignment horizontal="center"/>
    </xf>
    <xf numFmtId="0" fontId="71" fillId="27" borderId="134" xfId="51" applyFont="1" applyFill="1" applyBorder="1" applyAlignment="1">
      <alignment horizontal="center"/>
    </xf>
    <xf numFmtId="3" fontId="71" fillId="27" borderId="64" xfId="35" applyNumberFormat="1" applyFont="1" applyFill="1" applyBorder="1" applyAlignment="1">
      <alignment horizontal="center" vertical="center"/>
    </xf>
    <xf numFmtId="0" fontId="71" fillId="27" borderId="64" xfId="2" applyFont="1" applyFill="1" applyBorder="1" applyAlignment="1">
      <alignment horizontal="center"/>
    </xf>
    <xf numFmtId="4" fontId="71" fillId="27" borderId="64" xfId="2" applyNumberFormat="1" applyFont="1" applyFill="1" applyBorder="1" applyAlignment="1">
      <alignment horizontal="center"/>
    </xf>
    <xf numFmtId="3" fontId="71" fillId="27" borderId="62" xfId="2" applyNumberFormat="1" applyFont="1" applyFill="1" applyBorder="1" applyAlignment="1">
      <alignment horizontal="center"/>
    </xf>
    <xf numFmtId="0" fontId="71" fillId="27" borderId="0" xfId="37" applyFont="1" applyFill="1"/>
    <xf numFmtId="3" fontId="71" fillId="27" borderId="63" xfId="2" applyNumberFormat="1" applyFont="1" applyFill="1" applyBorder="1" applyAlignment="1">
      <alignment horizontal="center"/>
    </xf>
    <xf numFmtId="0" fontId="71" fillId="27" borderId="62" xfId="37" applyFont="1" applyFill="1" applyBorder="1" applyAlignment="1">
      <alignment horizontal="center"/>
    </xf>
    <xf numFmtId="3" fontId="71" fillId="27" borderId="62" xfId="37" applyNumberFormat="1" applyFont="1" applyFill="1" applyBorder="1" applyAlignment="1">
      <alignment horizontal="center"/>
    </xf>
    <xf numFmtId="17" fontId="34" fillId="27" borderId="0" xfId="53" applyNumberFormat="1" applyFont="1" applyFill="1" applyAlignment="1">
      <alignment horizontal="left" vertical="center"/>
    </xf>
    <xf numFmtId="0" fontId="0" fillId="27" borderId="62" xfId="0" applyFill="1" applyBorder="1"/>
    <xf numFmtId="0" fontId="71" fillId="27" borderId="64" xfId="37" applyFont="1" applyFill="1" applyBorder="1" applyAlignment="1">
      <alignment horizontal="center"/>
    </xf>
    <xf numFmtId="0" fontId="71" fillId="27" borderId="62" xfId="35" applyNumberFormat="1" applyFont="1" applyFill="1" applyBorder="1" applyAlignment="1">
      <alignment horizontal="center" vertical="center"/>
    </xf>
    <xf numFmtId="4" fontId="71" fillId="27" borderId="64" xfId="37" applyNumberFormat="1" applyFont="1" applyFill="1" applyBorder="1" applyAlignment="1">
      <alignment horizontal="center"/>
    </xf>
    <xf numFmtId="0" fontId="71" fillId="27" borderId="62" xfId="2" applyFont="1" applyFill="1" applyBorder="1" applyAlignment="1">
      <alignment horizontal="center"/>
    </xf>
    <xf numFmtId="3" fontId="71" fillId="27" borderId="64" xfId="37" applyNumberFormat="1" applyFont="1" applyFill="1" applyBorder="1" applyAlignment="1">
      <alignment horizontal="center"/>
    </xf>
    <xf numFmtId="4" fontId="71" fillId="43" borderId="134" xfId="53" applyNumberFormat="1" applyFont="1" applyFill="1" applyBorder="1" applyAlignment="1">
      <alignment horizontal="center"/>
    </xf>
    <xf numFmtId="0" fontId="71" fillId="43" borderId="134" xfId="51" applyFont="1" applyFill="1" applyBorder="1" applyAlignment="1">
      <alignment horizontal="center"/>
    </xf>
    <xf numFmtId="4" fontId="71" fillId="27" borderId="148" xfId="53" applyNumberFormat="1" applyFont="1" applyFill="1" applyBorder="1" applyAlignment="1">
      <alignment horizontal="center"/>
    </xf>
    <xf numFmtId="3" fontId="71" fillId="27" borderId="67" xfId="35" applyNumberFormat="1" applyFont="1" applyFill="1" applyBorder="1" applyAlignment="1">
      <alignment horizontal="center" vertical="center"/>
    </xf>
    <xf numFmtId="0" fontId="71" fillId="27" borderId="67" xfId="35" applyNumberFormat="1" applyFont="1" applyFill="1" applyBorder="1" applyAlignment="1">
      <alignment horizontal="center" vertical="center"/>
    </xf>
    <xf numFmtId="4" fontId="71" fillId="27" borderId="67" xfId="2" applyNumberFormat="1" applyFont="1" applyFill="1" applyBorder="1" applyAlignment="1">
      <alignment horizontal="center"/>
    </xf>
    <xf numFmtId="3" fontId="71" fillId="27" borderId="119" xfId="2" applyNumberFormat="1" applyFont="1" applyFill="1" applyBorder="1" applyAlignment="1">
      <alignment horizontal="center"/>
    </xf>
    <xf numFmtId="4" fontId="71" fillId="27" borderId="121" xfId="2" applyNumberFormat="1" applyFont="1" applyFill="1" applyBorder="1" applyAlignment="1">
      <alignment horizontal="center"/>
    </xf>
    <xf numFmtId="3" fontId="71" fillId="27" borderId="67" xfId="2" applyNumberFormat="1" applyFont="1" applyFill="1" applyBorder="1" applyAlignment="1">
      <alignment horizontal="center"/>
    </xf>
    <xf numFmtId="3" fontId="71" fillId="27" borderId="121" xfId="2" applyNumberFormat="1" applyFont="1" applyFill="1" applyBorder="1" applyAlignment="1">
      <alignment horizontal="center"/>
    </xf>
    <xf numFmtId="3" fontId="57" fillId="27" borderId="0" xfId="2" applyNumberFormat="1" applyFont="1" applyFill="1" applyAlignment="1">
      <alignment horizontal="center"/>
    </xf>
    <xf numFmtId="4" fontId="8" fillId="27" borderId="120" xfId="2" applyNumberFormat="1" applyFont="1" applyFill="1" applyBorder="1" applyAlignment="1">
      <alignment horizontal="center"/>
    </xf>
    <xf numFmtId="3" fontId="57" fillId="27" borderId="120" xfId="2" applyNumberFormat="1" applyFont="1" applyFill="1" applyBorder="1" applyAlignment="1">
      <alignment horizontal="center"/>
    </xf>
    <xf numFmtId="0" fontId="9" fillId="27" borderId="119" xfId="2" applyFill="1" applyBorder="1" applyAlignment="1">
      <alignment horizontal="center"/>
    </xf>
    <xf numFmtId="0" fontId="9" fillId="27" borderId="120" xfId="2" applyFill="1" applyBorder="1" applyAlignment="1">
      <alignment horizontal="center"/>
    </xf>
    <xf numFmtId="0" fontId="9" fillId="27" borderId="120" xfId="37" applyFill="1" applyBorder="1"/>
    <xf numFmtId="4" fontId="9" fillId="27" borderId="120" xfId="2" applyNumberFormat="1" applyFill="1" applyBorder="1" applyAlignment="1">
      <alignment horizontal="center"/>
    </xf>
    <xf numFmtId="164" fontId="9" fillId="27" borderId="67" xfId="35" applyFont="1" applyFill="1" applyBorder="1" applyAlignment="1">
      <alignment horizontal="center" vertical="center"/>
    </xf>
    <xf numFmtId="0" fontId="8" fillId="27" borderId="149" xfId="51" applyFill="1" applyBorder="1" applyAlignment="1">
      <alignment horizontal="center"/>
    </xf>
    <xf numFmtId="0" fontId="9" fillId="27" borderId="150" xfId="35" applyNumberFormat="1" applyFont="1" applyFill="1" applyBorder="1" applyAlignment="1">
      <alignment horizontal="center" vertical="center"/>
    </xf>
    <xf numFmtId="0" fontId="9" fillId="27" borderId="150" xfId="2" applyFill="1" applyBorder="1" applyAlignment="1">
      <alignment horizontal="center"/>
    </xf>
    <xf numFmtId="3" fontId="9" fillId="27" borderId="150" xfId="2" applyNumberFormat="1" applyFill="1" applyBorder="1" applyAlignment="1">
      <alignment horizontal="center"/>
    </xf>
    <xf numFmtId="164" fontId="9" fillId="27" borderId="150" xfId="35" applyFont="1" applyFill="1" applyBorder="1" applyAlignment="1">
      <alignment horizontal="center"/>
    </xf>
    <xf numFmtId="4" fontId="49" fillId="27" borderId="151" xfId="2" applyNumberFormat="1" applyFont="1" applyFill="1" applyBorder="1" applyAlignment="1">
      <alignment horizontal="center"/>
    </xf>
    <xf numFmtId="3" fontId="9" fillId="27" borderId="152" xfId="2" applyNumberFormat="1" applyFill="1" applyBorder="1" applyAlignment="1">
      <alignment horizontal="center"/>
    </xf>
    <xf numFmtId="3" fontId="9" fillId="27" borderId="151" xfId="2" applyNumberFormat="1" applyFill="1" applyBorder="1" applyAlignment="1">
      <alignment horizontal="center"/>
    </xf>
    <xf numFmtId="3" fontId="9" fillId="27" borderId="153" xfId="2" applyNumberFormat="1" applyFill="1" applyBorder="1" applyAlignment="1">
      <alignment horizontal="center"/>
    </xf>
    <xf numFmtId="0" fontId="9" fillId="27" borderId="152" xfId="2" applyFill="1" applyBorder="1" applyAlignment="1">
      <alignment horizontal="center"/>
    </xf>
    <xf numFmtId="1" fontId="9" fillId="27" borderId="152" xfId="2" applyNumberFormat="1" applyFill="1" applyBorder="1" applyAlignment="1">
      <alignment horizontal="center"/>
    </xf>
    <xf numFmtId="4" fontId="9" fillId="27" borderId="151" xfId="2" applyNumberFormat="1" applyFill="1" applyBorder="1" applyAlignment="1">
      <alignment horizontal="center"/>
    </xf>
    <xf numFmtId="0" fontId="9" fillId="27" borderId="151" xfId="37" applyFill="1" applyBorder="1"/>
    <xf numFmtId="164" fontId="9" fillId="27" borderId="153" xfId="35" applyFont="1" applyFill="1" applyBorder="1" applyAlignment="1">
      <alignment horizontal="center"/>
    </xf>
    <xf numFmtId="164" fontId="9" fillId="27" borderId="152" xfId="35" applyFont="1" applyFill="1" applyBorder="1" applyAlignment="1">
      <alignment horizontal="center"/>
    </xf>
    <xf numFmtId="164" fontId="9" fillId="27" borderId="151" xfId="35" applyFont="1" applyFill="1" applyBorder="1" applyAlignment="1">
      <alignment horizontal="center"/>
    </xf>
    <xf numFmtId="4" fontId="9" fillId="27" borderId="150" xfId="2" applyNumberFormat="1" applyFill="1" applyBorder="1" applyAlignment="1">
      <alignment horizontal="center"/>
    </xf>
    <xf numFmtId="0" fontId="47" fillId="38" borderId="87" xfId="37" applyFont="1" applyFill="1" applyBorder="1" applyAlignment="1">
      <alignment horizontal="center" vertical="center" wrapText="1"/>
    </xf>
    <xf numFmtId="0" fontId="47" fillId="38" borderId="88" xfId="37" applyFont="1" applyFill="1" applyBorder="1" applyAlignment="1">
      <alignment horizontal="center" vertical="center" wrapText="1"/>
    </xf>
    <xf numFmtId="0" fontId="47" fillId="38" borderId="89" xfId="37" applyFont="1" applyFill="1" applyBorder="1" applyAlignment="1">
      <alignment horizontal="center" vertical="center" wrapText="1"/>
    </xf>
    <xf numFmtId="0" fontId="47" fillId="26" borderId="74" xfId="37" applyFont="1" applyFill="1" applyBorder="1" applyAlignment="1">
      <alignment horizontal="center" vertical="center" wrapText="1"/>
    </xf>
    <xf numFmtId="0" fontId="47" fillId="26" borderId="64" xfId="37" applyFont="1" applyFill="1" applyBorder="1" applyAlignment="1">
      <alignment horizontal="center" vertical="center" wrapText="1"/>
    </xf>
    <xf numFmtId="0" fontId="47" fillId="37" borderId="74" xfId="37" applyFont="1" applyFill="1" applyBorder="1" applyAlignment="1">
      <alignment horizontal="center" vertical="center" wrapText="1"/>
    </xf>
    <xf numFmtId="0" fontId="47" fillId="37" borderId="64" xfId="37" applyFont="1" applyFill="1" applyBorder="1" applyAlignment="1">
      <alignment horizontal="center" vertical="center" wrapText="1"/>
    </xf>
    <xf numFmtId="0" fontId="47" fillId="37" borderId="62" xfId="37" applyFont="1" applyFill="1" applyBorder="1" applyAlignment="1">
      <alignment horizontal="center" vertical="center" wrapText="1"/>
    </xf>
    <xf numFmtId="0" fontId="47" fillId="37" borderId="0" xfId="37" applyFont="1" applyFill="1" applyAlignment="1">
      <alignment horizontal="center" vertical="center" wrapText="1"/>
    </xf>
    <xf numFmtId="0" fontId="39" fillId="34" borderId="64" xfId="37" applyFont="1" applyFill="1" applyBorder="1" applyAlignment="1">
      <alignment horizontal="center" vertical="center" wrapText="1"/>
    </xf>
    <xf numFmtId="0" fontId="47" fillId="37" borderId="82" xfId="37" applyFont="1" applyFill="1" applyBorder="1" applyAlignment="1">
      <alignment horizontal="center" vertical="center" wrapText="1"/>
    </xf>
    <xf numFmtId="0" fontId="47" fillId="37" borderId="83" xfId="37" applyFont="1" applyFill="1" applyBorder="1" applyAlignment="1">
      <alignment horizontal="center" vertical="center"/>
    </xf>
    <xf numFmtId="0" fontId="47" fillId="37" borderId="62" xfId="37" applyFont="1" applyFill="1" applyBorder="1" applyAlignment="1">
      <alignment horizontal="center" vertical="center"/>
    </xf>
    <xf numFmtId="0" fontId="47" fillId="37" borderId="63" xfId="37" applyFont="1" applyFill="1" applyBorder="1" applyAlignment="1">
      <alignment horizontal="center" vertical="center"/>
    </xf>
    <xf numFmtId="0" fontId="39" fillId="34" borderId="62" xfId="37" applyFont="1" applyFill="1" applyBorder="1" applyAlignment="1">
      <alignment horizontal="center" vertical="center" wrapText="1"/>
    </xf>
    <xf numFmtId="0" fontId="39" fillId="34" borderId="0" xfId="37" applyFont="1" applyFill="1" applyAlignment="1">
      <alignment horizontal="center" vertical="center" wrapText="1"/>
    </xf>
    <xf numFmtId="0" fontId="39" fillId="34" borderId="63" xfId="37" applyFont="1" applyFill="1" applyBorder="1" applyAlignment="1">
      <alignment horizontal="center" vertical="center" wrapText="1"/>
    </xf>
    <xf numFmtId="0" fontId="10" fillId="30" borderId="62" xfId="37" applyFont="1" applyFill="1" applyBorder="1" applyAlignment="1">
      <alignment horizontal="center" vertical="center" wrapText="1"/>
    </xf>
    <xf numFmtId="0" fontId="10" fillId="30" borderId="63" xfId="37" applyFont="1" applyFill="1" applyBorder="1" applyAlignment="1">
      <alignment horizontal="center" vertical="center" wrapText="1"/>
    </xf>
    <xf numFmtId="0" fontId="38" fillId="29" borderId="13" xfId="37" applyFont="1" applyFill="1" applyBorder="1" applyAlignment="1">
      <alignment horizontal="center" vertical="center" wrapText="1"/>
    </xf>
    <xf numFmtId="0" fontId="38" fillId="29" borderId="90" xfId="37" applyFont="1" applyFill="1" applyBorder="1" applyAlignment="1">
      <alignment horizontal="center" vertical="center" wrapText="1"/>
    </xf>
    <xf numFmtId="0" fontId="47" fillId="37" borderId="87" xfId="37" applyFont="1" applyFill="1" applyBorder="1" applyAlignment="1">
      <alignment horizontal="center" vertical="center" wrapText="1"/>
    </xf>
    <xf numFmtId="0" fontId="47" fillId="37" borderId="88" xfId="37" applyFont="1" applyFill="1" applyBorder="1" applyAlignment="1">
      <alignment horizontal="center" vertical="center" wrapText="1"/>
    </xf>
    <xf numFmtId="0" fontId="47" fillId="37" borderId="89" xfId="37" applyFont="1" applyFill="1" applyBorder="1" applyAlignment="1">
      <alignment horizontal="center" vertical="center" wrapText="1"/>
    </xf>
    <xf numFmtId="0" fontId="38" fillId="30" borderId="62" xfId="37" applyFont="1" applyFill="1" applyBorder="1" applyAlignment="1">
      <alignment horizontal="center" vertical="center" wrapText="1"/>
    </xf>
    <xf numFmtId="0" fontId="38" fillId="30" borderId="63" xfId="37" applyFont="1" applyFill="1" applyBorder="1" applyAlignment="1">
      <alignment horizontal="center" vertical="center" wrapText="1"/>
    </xf>
    <xf numFmtId="0" fontId="38" fillId="30" borderId="0" xfId="37" applyFont="1" applyFill="1" applyAlignment="1">
      <alignment horizontal="center" vertical="center" wrapText="1"/>
    </xf>
    <xf numFmtId="0" fontId="38" fillId="30" borderId="63" xfId="37" quotePrefix="1" applyFont="1" applyFill="1" applyBorder="1" applyAlignment="1">
      <alignment horizontal="center" vertical="center" wrapText="1"/>
    </xf>
    <xf numFmtId="0" fontId="47" fillId="37" borderId="77" xfId="37" applyFont="1" applyFill="1" applyBorder="1" applyAlignment="1">
      <alignment horizontal="center" vertical="center" wrapText="1"/>
    </xf>
    <xf numFmtId="0" fontId="47" fillId="37" borderId="83" xfId="37" applyFont="1" applyFill="1" applyBorder="1" applyAlignment="1">
      <alignment horizontal="center" vertical="center" wrapText="1"/>
    </xf>
    <xf numFmtId="0" fontId="10" fillId="29" borderId="14" xfId="37" applyFont="1" applyFill="1" applyBorder="1" applyAlignment="1">
      <alignment horizontal="center" vertical="center" wrapText="1"/>
    </xf>
    <xf numFmtId="0" fontId="10" fillId="29" borderId="48" xfId="37" applyFont="1" applyFill="1" applyBorder="1" applyAlignment="1">
      <alignment horizontal="center" vertical="center" wrapText="1"/>
    </xf>
    <xf numFmtId="0" fontId="10" fillId="29" borderId="13" xfId="37" applyFont="1" applyFill="1" applyBorder="1" applyAlignment="1">
      <alignment horizontal="center" vertical="center" wrapText="1"/>
    </xf>
    <xf numFmtId="0" fontId="10" fillId="29" borderId="50" xfId="37" applyFont="1" applyFill="1" applyBorder="1" applyAlignment="1">
      <alignment horizontal="center" vertical="center" wrapText="1"/>
    </xf>
    <xf numFmtId="0" fontId="10" fillId="29" borderId="17" xfId="37" applyFont="1" applyFill="1" applyBorder="1" applyAlignment="1">
      <alignment horizontal="center" vertical="center" wrapText="1"/>
    </xf>
    <xf numFmtId="0" fontId="9" fillId="24" borderId="37" xfId="37" applyFill="1" applyBorder="1" applyAlignment="1">
      <alignment horizontal="center" vertical="center" wrapText="1"/>
    </xf>
    <xf numFmtId="0" fontId="9" fillId="24" borderId="36" xfId="37" applyFill="1" applyBorder="1" applyAlignment="1">
      <alignment horizontal="center" vertical="center" wrapText="1"/>
    </xf>
    <xf numFmtId="0" fontId="9" fillId="24" borderId="37" xfId="37" quotePrefix="1" applyFill="1" applyBorder="1" applyAlignment="1">
      <alignment horizontal="center" vertical="center"/>
    </xf>
    <xf numFmtId="0" fontId="9" fillId="24" borderId="36" xfId="37" quotePrefix="1" applyFill="1" applyBorder="1" applyAlignment="1">
      <alignment horizontal="center" vertical="center"/>
    </xf>
    <xf numFmtId="0" fontId="9" fillId="24" borderId="24" xfId="37" applyFill="1" applyBorder="1" applyAlignment="1">
      <alignment horizontal="center" vertical="center" wrapText="1"/>
    </xf>
    <xf numFmtId="0" fontId="9" fillId="24" borderId="30" xfId="37" applyFill="1" applyBorder="1" applyAlignment="1">
      <alignment horizontal="center" vertical="center" wrapText="1"/>
    </xf>
    <xf numFmtId="0" fontId="9" fillId="24" borderId="26" xfId="37" applyFill="1" applyBorder="1" applyAlignment="1">
      <alignment horizontal="center" vertical="center" wrapText="1"/>
    </xf>
    <xf numFmtId="0" fontId="10" fillId="29" borderId="0" xfId="37" applyFont="1" applyFill="1" applyAlignment="1">
      <alignment horizontal="center" vertical="center" wrapText="1"/>
    </xf>
    <xf numFmtId="0" fontId="9" fillId="24" borderId="39" xfId="37" applyFill="1" applyBorder="1" applyAlignment="1">
      <alignment horizontal="center" vertical="center"/>
    </xf>
    <xf numFmtId="0" fontId="9" fillId="24" borderId="40" xfId="37" applyFill="1" applyBorder="1" applyAlignment="1">
      <alignment horizontal="center" vertical="center"/>
    </xf>
    <xf numFmtId="0" fontId="9" fillId="24" borderId="41" xfId="37" applyFill="1" applyBorder="1" applyAlignment="1">
      <alignment horizontal="center" vertical="center"/>
    </xf>
    <xf numFmtId="0" fontId="9" fillId="27" borderId="0" xfId="37" applyFill="1" applyAlignment="1">
      <alignment horizontal="center" vertical="center"/>
    </xf>
    <xf numFmtId="0" fontId="9" fillId="24" borderId="42" xfId="37" applyFill="1" applyBorder="1" applyAlignment="1">
      <alignment horizontal="center" vertical="center"/>
    </xf>
    <xf numFmtId="0" fontId="9" fillId="24" borderId="21" xfId="37" applyFill="1" applyBorder="1" applyAlignment="1">
      <alignment horizontal="center" vertical="center"/>
    </xf>
    <xf numFmtId="0" fontId="9" fillId="24" borderId="39" xfId="37" applyFill="1" applyBorder="1" applyAlignment="1">
      <alignment horizontal="center" vertical="center" wrapText="1"/>
    </xf>
    <xf numFmtId="0" fontId="9" fillId="24" borderId="40" xfId="37" applyFill="1" applyBorder="1" applyAlignment="1">
      <alignment horizontal="center" vertical="center" wrapText="1"/>
    </xf>
    <xf numFmtId="0" fontId="9" fillId="24" borderId="41" xfId="37" applyFill="1" applyBorder="1" applyAlignment="1">
      <alignment horizontal="center" vertical="center" wrapText="1"/>
    </xf>
    <xf numFmtId="0" fontId="9" fillId="27" borderId="0" xfId="37" applyFill="1" applyAlignment="1">
      <alignment horizontal="center" vertical="center" wrapText="1"/>
    </xf>
    <xf numFmtId="0" fontId="9" fillId="24" borderId="42" xfId="37" applyFill="1" applyBorder="1" applyAlignment="1">
      <alignment horizontal="center" vertical="center" wrapText="1"/>
    </xf>
    <xf numFmtId="0" fontId="9" fillId="24" borderId="21" xfId="37" applyFill="1" applyBorder="1" applyAlignment="1">
      <alignment horizontal="center" vertical="center" wrapText="1"/>
    </xf>
    <xf numFmtId="0" fontId="9" fillId="24" borderId="37" xfId="37" quotePrefix="1" applyFill="1" applyBorder="1" applyAlignment="1">
      <alignment horizontal="center" vertical="center" wrapText="1"/>
    </xf>
    <xf numFmtId="0" fontId="9" fillId="24" borderId="36" xfId="37" quotePrefix="1" applyFill="1" applyBorder="1" applyAlignment="1">
      <alignment horizontal="center" vertical="center" wrapText="1"/>
    </xf>
    <xf numFmtId="0" fontId="9" fillId="24" borderId="34" xfId="37" applyFill="1" applyBorder="1" applyAlignment="1">
      <alignment horizontal="center" vertical="center" wrapText="1"/>
    </xf>
    <xf numFmtId="0" fontId="9" fillId="24" borderId="35" xfId="37" applyFill="1" applyBorder="1" applyAlignment="1">
      <alignment horizontal="center" vertical="center" wrapText="1"/>
    </xf>
    <xf numFmtId="0" fontId="51" fillId="0" borderId="0" xfId="37" applyFont="1" applyAlignment="1">
      <alignment horizontal="left" vertical="center"/>
    </xf>
    <xf numFmtId="0" fontId="9" fillId="24" borderId="15" xfId="37" quotePrefix="1" applyFill="1" applyBorder="1" applyAlignment="1">
      <alignment horizontal="center" vertical="center" wrapText="1"/>
    </xf>
    <xf numFmtId="0" fontId="9" fillId="24" borderId="43" xfId="37" applyFill="1" applyBorder="1" applyAlignment="1">
      <alignment horizontal="center" vertical="center"/>
    </xf>
    <xf numFmtId="0" fontId="9" fillId="24" borderId="15" xfId="37" quotePrefix="1" applyFill="1" applyBorder="1" applyAlignment="1">
      <alignment horizontal="center" vertical="center"/>
    </xf>
    <xf numFmtId="0" fontId="9" fillId="24" borderId="16" xfId="37" applyFill="1" applyBorder="1" applyAlignment="1">
      <alignment horizontal="center" vertical="center"/>
    </xf>
    <xf numFmtId="0" fontId="12" fillId="0" borderId="78" xfId="37" applyFont="1" applyBorder="1" applyAlignment="1">
      <alignment horizontal="center" vertical="center" wrapText="1"/>
    </xf>
    <xf numFmtId="0" fontId="12" fillId="0" borderId="97" xfId="37" applyFont="1" applyBorder="1" applyAlignment="1">
      <alignment horizontal="center" vertical="center" wrapText="1"/>
    </xf>
    <xf numFmtId="0" fontId="12" fillId="0" borderId="65" xfId="37" applyFont="1" applyBorder="1" applyAlignment="1">
      <alignment horizontal="center" vertical="center" wrapText="1"/>
    </xf>
    <xf numFmtId="0" fontId="12" fillId="0" borderId="98" xfId="37" applyFont="1" applyBorder="1" applyAlignment="1">
      <alignment horizontal="center" vertical="center" wrapText="1"/>
    </xf>
    <xf numFmtId="0" fontId="12" fillId="0" borderId="99" xfId="37" applyFont="1" applyBorder="1" applyAlignment="1">
      <alignment horizontal="center" vertical="center" wrapText="1"/>
    </xf>
    <xf numFmtId="0" fontId="12" fillId="0" borderId="100" xfId="37" applyFont="1" applyBorder="1" applyAlignment="1">
      <alignment horizontal="center" vertical="center" wrapText="1"/>
    </xf>
    <xf numFmtId="0" fontId="48" fillId="26" borderId="74" xfId="37" applyFont="1" applyFill="1" applyBorder="1" applyAlignment="1">
      <alignment horizontal="center" vertical="center" wrapText="1"/>
    </xf>
    <xf numFmtId="0" fontId="48" fillId="26" borderId="64" xfId="37" applyFont="1" applyFill="1" applyBorder="1" applyAlignment="1">
      <alignment horizontal="center" vertical="center" wrapText="1"/>
    </xf>
    <xf numFmtId="0" fontId="48" fillId="26" borderId="32" xfId="37" applyFont="1" applyFill="1" applyBorder="1" applyAlignment="1">
      <alignment horizontal="center" vertical="center" wrapText="1"/>
    </xf>
    <xf numFmtId="0" fontId="48" fillId="26" borderId="49" xfId="37" applyFont="1" applyFill="1" applyBorder="1" applyAlignment="1">
      <alignment horizontal="center" vertical="center"/>
    </xf>
    <xf numFmtId="0" fontId="11" fillId="0" borderId="79" xfId="37" applyFont="1" applyBorder="1" applyAlignment="1">
      <alignment horizontal="center" vertical="center" wrapText="1"/>
    </xf>
    <xf numFmtId="0" fontId="11" fillId="0" borderId="97" xfId="37" applyFont="1" applyBorder="1" applyAlignment="1">
      <alignment horizontal="center" vertical="center" wrapText="1"/>
    </xf>
    <xf numFmtId="0" fontId="11" fillId="0" borderId="0" xfId="37" applyFont="1" applyAlignment="1">
      <alignment horizontal="center" vertical="center" wrapText="1"/>
    </xf>
    <xf numFmtId="0" fontId="11" fillId="0" borderId="98" xfId="37" applyFont="1" applyBorder="1" applyAlignment="1">
      <alignment horizontal="center" vertical="center" wrapText="1"/>
    </xf>
    <xf numFmtId="0" fontId="11" fillId="0" borderId="93" xfId="37" applyFont="1" applyBorder="1" applyAlignment="1">
      <alignment horizontal="center" vertical="center" wrapText="1"/>
    </xf>
    <xf numFmtId="0" fontId="11" fillId="0" borderId="100" xfId="37" applyFont="1" applyBorder="1" applyAlignment="1">
      <alignment horizontal="center" vertical="center" wrapText="1"/>
    </xf>
    <xf numFmtId="0" fontId="9" fillId="24" borderId="43" xfId="37" applyFill="1" applyBorder="1" applyAlignment="1">
      <alignment horizontal="center" vertical="center" wrapText="1"/>
    </xf>
    <xf numFmtId="0" fontId="9" fillId="24" borderId="46" xfId="37" applyFill="1" applyBorder="1" applyAlignment="1">
      <alignment horizontal="center" vertical="center"/>
    </xf>
    <xf numFmtId="0" fontId="9" fillId="24" borderId="10" xfId="37" applyFill="1" applyBorder="1" applyAlignment="1">
      <alignment horizontal="center" vertical="center"/>
    </xf>
    <xf numFmtId="0" fontId="9" fillId="24" borderId="17" xfId="37" applyFill="1" applyBorder="1" applyAlignment="1">
      <alignment horizontal="center" vertical="center"/>
    </xf>
    <xf numFmtId="0" fontId="9" fillId="24" borderId="20" xfId="37" applyFill="1" applyBorder="1" applyAlignment="1">
      <alignment horizontal="center" vertical="center"/>
    </xf>
    <xf numFmtId="0" fontId="9" fillId="24" borderId="28" xfId="37" applyFill="1" applyBorder="1" applyAlignment="1">
      <alignment horizontal="center" vertical="center"/>
    </xf>
    <xf numFmtId="0" fontId="48" fillId="26" borderId="32" xfId="37" applyFont="1" applyFill="1" applyBorder="1" applyAlignment="1">
      <alignment horizontal="center" vertical="center"/>
    </xf>
    <xf numFmtId="0" fontId="48" fillId="26" borderId="33" xfId="37" applyFont="1" applyFill="1" applyBorder="1" applyAlignment="1">
      <alignment horizontal="center" vertical="center"/>
    </xf>
    <xf numFmtId="0" fontId="53" fillId="36" borderId="91" xfId="37" applyFont="1" applyFill="1" applyBorder="1" applyAlignment="1">
      <alignment horizontal="center" vertical="center" wrapText="1"/>
    </xf>
    <xf numFmtId="0" fontId="53" fillId="36" borderId="91" xfId="37" applyFont="1" applyFill="1" applyBorder="1" applyAlignment="1">
      <alignment horizontal="center" vertical="center"/>
    </xf>
    <xf numFmtId="0" fontId="53" fillId="36" borderId="92" xfId="37" applyFont="1" applyFill="1" applyBorder="1" applyAlignment="1">
      <alignment horizontal="center" vertical="center"/>
    </xf>
    <xf numFmtId="0" fontId="11" fillId="24" borderId="93" xfId="37" applyFont="1" applyFill="1" applyBorder="1" applyAlignment="1">
      <alignment horizontal="center" vertical="center"/>
    </xf>
    <xf numFmtId="0" fontId="11" fillId="24" borderId="94" xfId="37" applyFont="1" applyFill="1" applyBorder="1" applyAlignment="1">
      <alignment horizontal="center" vertical="center"/>
    </xf>
    <xf numFmtId="0" fontId="9" fillId="24" borderId="46" xfId="37" applyFill="1" applyBorder="1" applyAlignment="1">
      <alignment horizontal="center" vertical="center" wrapText="1"/>
    </xf>
    <xf numFmtId="0" fontId="10" fillId="29" borderId="95" xfId="37" applyFont="1" applyFill="1" applyBorder="1" applyAlignment="1">
      <alignment horizontal="center" vertical="center" wrapText="1"/>
    </xf>
    <xf numFmtId="0" fontId="10" fillId="29" borderId="96" xfId="37" applyFont="1" applyFill="1" applyBorder="1" applyAlignment="1">
      <alignment horizontal="center" vertical="center" wrapText="1"/>
    </xf>
    <xf numFmtId="0" fontId="9" fillId="24" borderId="43" xfId="37" quotePrefix="1" applyFill="1" applyBorder="1" applyAlignment="1">
      <alignment horizontal="center" vertical="center" wrapText="1"/>
    </xf>
    <xf numFmtId="0" fontId="53" fillId="36" borderId="65" xfId="37" applyFont="1" applyFill="1" applyBorder="1" applyAlignment="1">
      <alignment horizontal="center" vertical="center" wrapText="1"/>
    </xf>
    <xf numFmtId="0" fontId="53" fillId="36" borderId="0" xfId="37" applyFont="1" applyFill="1" applyAlignment="1">
      <alignment horizontal="center" vertical="center" wrapText="1"/>
    </xf>
    <xf numFmtId="0" fontId="9" fillId="24" borderId="15" xfId="37" applyFill="1" applyBorder="1" applyAlignment="1">
      <alignment horizontal="center" vertical="center"/>
    </xf>
    <xf numFmtId="0" fontId="9" fillId="24" borderId="44" xfId="37" applyFill="1" applyBorder="1" applyAlignment="1">
      <alignment horizontal="center" vertical="center" wrapText="1"/>
    </xf>
    <xf numFmtId="0" fontId="9" fillId="24" borderId="10" xfId="37" applyFill="1" applyBorder="1" applyAlignment="1">
      <alignment horizontal="left" vertical="center" wrapText="1"/>
    </xf>
    <xf numFmtId="0" fontId="9" fillId="24" borderId="23" xfId="37" applyFill="1" applyBorder="1" applyAlignment="1">
      <alignment horizontal="left" vertical="center" wrapText="1"/>
    </xf>
    <xf numFmtId="0" fontId="9" fillId="24" borderId="20" xfId="37" applyFill="1" applyBorder="1" applyAlignment="1">
      <alignment horizontal="left" vertical="center" wrapText="1"/>
    </xf>
    <xf numFmtId="0" fontId="9" fillId="24" borderId="45" xfId="37" applyFill="1" applyBorder="1" applyAlignment="1">
      <alignment horizontal="left" vertical="center" wrapText="1"/>
    </xf>
    <xf numFmtId="0" fontId="31" fillId="24" borderId="29" xfId="37" applyFont="1" applyFill="1" applyBorder="1" applyAlignment="1">
      <alignment horizontal="center" vertical="center"/>
    </xf>
    <xf numFmtId="0" fontId="31" fillId="24" borderId="30" xfId="37" applyFont="1" applyFill="1" applyBorder="1" applyAlignment="1">
      <alignment horizontal="center" vertical="center"/>
    </xf>
    <xf numFmtId="0" fontId="9" fillId="24" borderId="24" xfId="37" applyFill="1" applyBorder="1" applyAlignment="1">
      <alignment horizontal="center" vertical="center"/>
    </xf>
    <xf numFmtId="0" fontId="9" fillId="24" borderId="30" xfId="37" applyFill="1" applyBorder="1" applyAlignment="1">
      <alignment horizontal="center" vertical="center"/>
    </xf>
    <xf numFmtId="0" fontId="10" fillId="30" borderId="0" xfId="37" applyFont="1" applyFill="1" applyAlignment="1">
      <alignment horizontal="center" vertical="center" wrapText="1"/>
    </xf>
    <xf numFmtId="0" fontId="10" fillId="30" borderId="63" xfId="37" quotePrefix="1" applyFont="1" applyFill="1" applyBorder="1" applyAlignment="1">
      <alignment horizontal="center" vertical="center" wrapText="1"/>
    </xf>
    <xf numFmtId="0" fontId="9" fillId="24" borderId="16" xfId="37" applyFill="1" applyBorder="1" applyAlignment="1">
      <alignment horizontal="center" vertical="center" wrapText="1"/>
    </xf>
    <xf numFmtId="0" fontId="9" fillId="24" borderId="36" xfId="37" applyFill="1" applyBorder="1" applyAlignment="1">
      <alignment horizontal="center" vertical="center"/>
    </xf>
    <xf numFmtId="0" fontId="9" fillId="24" borderId="37" xfId="37" applyFill="1" applyBorder="1" applyAlignment="1">
      <alignment horizontal="center" vertical="center"/>
    </xf>
    <xf numFmtId="0" fontId="9" fillId="24" borderId="15" xfId="37" applyFill="1" applyBorder="1" applyAlignment="1">
      <alignment horizontal="left" vertical="center" wrapText="1"/>
    </xf>
    <xf numFmtId="0" fontId="9" fillId="24" borderId="36" xfId="37" applyFill="1" applyBorder="1" applyAlignment="1">
      <alignment horizontal="left" vertical="center" wrapText="1"/>
    </xf>
    <xf numFmtId="0" fontId="9" fillId="24" borderId="15" xfId="37" applyFill="1" applyBorder="1" applyAlignment="1">
      <alignment horizontal="center" vertical="center" wrapText="1"/>
    </xf>
    <xf numFmtId="0" fontId="9" fillId="27" borderId="17" xfId="37" applyFill="1" applyBorder="1" applyAlignment="1">
      <alignment horizontal="center" vertical="center" wrapText="1"/>
    </xf>
    <xf numFmtId="0" fontId="9" fillId="24" borderId="28" xfId="37" applyFill="1" applyBorder="1" applyAlignment="1">
      <alignment horizontal="center" vertical="center" wrapText="1"/>
    </xf>
    <xf numFmtId="0" fontId="9" fillId="24" borderId="16" xfId="37" quotePrefix="1" applyFill="1" applyBorder="1" applyAlignment="1">
      <alignment horizontal="center" vertical="center"/>
    </xf>
    <xf numFmtId="0" fontId="9" fillId="24" borderId="38" xfId="37" applyFill="1" applyBorder="1" applyAlignment="1">
      <alignment horizontal="center" vertical="center" wrapText="1"/>
    </xf>
    <xf numFmtId="0" fontId="46" fillId="37" borderId="82" xfId="37" applyFont="1" applyFill="1" applyBorder="1" applyAlignment="1">
      <alignment horizontal="center" vertical="center"/>
    </xf>
    <xf numFmtId="0" fontId="46" fillId="37" borderId="77" xfId="37" applyFont="1" applyFill="1" applyBorder="1" applyAlignment="1">
      <alignment horizontal="center" vertical="center"/>
    </xf>
    <xf numFmtId="0" fontId="46" fillId="37" borderId="83" xfId="37" applyFont="1" applyFill="1" applyBorder="1" applyAlignment="1">
      <alignment horizontal="center" vertical="center"/>
    </xf>
    <xf numFmtId="0" fontId="53" fillId="36" borderId="84" xfId="37" applyFont="1" applyFill="1" applyBorder="1" applyAlignment="1">
      <alignment horizontal="center" vertical="center" wrapText="1"/>
    </xf>
    <xf numFmtId="0" fontId="53" fillId="36" borderId="85" xfId="37" applyFont="1" applyFill="1" applyBorder="1" applyAlignment="1">
      <alignment horizontal="center" vertical="center" wrapText="1"/>
    </xf>
    <xf numFmtId="0" fontId="53" fillId="36" borderId="85" xfId="37" applyFont="1" applyFill="1" applyBorder="1" applyAlignment="1">
      <alignment horizontal="center" vertical="center"/>
    </xf>
    <xf numFmtId="0" fontId="53" fillId="36" borderId="86" xfId="37" applyFont="1" applyFill="1" applyBorder="1" applyAlignment="1">
      <alignment horizontal="center" vertical="center"/>
    </xf>
    <xf numFmtId="0" fontId="12" fillId="27" borderId="82" xfId="37" applyFont="1" applyFill="1" applyBorder="1" applyAlignment="1">
      <alignment horizontal="center" vertical="center"/>
    </xf>
    <xf numFmtId="0" fontId="12" fillId="27" borderId="77" xfId="37" applyFont="1" applyFill="1" applyBorder="1" applyAlignment="1">
      <alignment horizontal="center" vertical="center"/>
    </xf>
    <xf numFmtId="0" fontId="12" fillId="27" borderId="83" xfId="37" applyFont="1" applyFill="1" applyBorder="1" applyAlignment="1">
      <alignment horizontal="center" vertical="center"/>
    </xf>
    <xf numFmtId="0" fontId="12" fillId="27" borderId="62" xfId="37" applyFont="1" applyFill="1" applyBorder="1" applyAlignment="1">
      <alignment horizontal="center" vertical="center"/>
    </xf>
    <xf numFmtId="0" fontId="12" fillId="27" borderId="0" xfId="37" applyFont="1" applyFill="1" applyAlignment="1">
      <alignment horizontal="center" vertical="center"/>
    </xf>
    <xf numFmtId="0" fontId="12" fillId="27" borderId="63" xfId="37" applyFont="1" applyFill="1" applyBorder="1" applyAlignment="1">
      <alignment horizontal="center" vertical="center"/>
    </xf>
    <xf numFmtId="0" fontId="9" fillId="24" borderId="31" xfId="37" applyFill="1" applyBorder="1" applyAlignment="1">
      <alignment horizontal="center" vertical="center"/>
    </xf>
    <xf numFmtId="0" fontId="9" fillId="24" borderId="27" xfId="37" applyFill="1" applyBorder="1" applyAlignment="1">
      <alignment horizontal="center" vertical="center"/>
    </xf>
    <xf numFmtId="0" fontId="9" fillId="24" borderId="29" xfId="37" applyFill="1" applyBorder="1" applyAlignment="1">
      <alignment horizontal="center" vertical="center"/>
    </xf>
    <xf numFmtId="0" fontId="9" fillId="24" borderId="26" xfId="37" applyFill="1" applyBorder="1" applyAlignment="1">
      <alignment horizontal="center" vertical="center"/>
    </xf>
    <xf numFmtId="0" fontId="53" fillId="36" borderId="78" xfId="37" applyFont="1" applyFill="1" applyBorder="1" applyAlignment="1">
      <alignment horizontal="center" vertical="center" wrapText="1"/>
    </xf>
    <xf numFmtId="0" fontId="53" fillId="36" borderId="79" xfId="37" applyFont="1" applyFill="1" applyBorder="1" applyAlignment="1">
      <alignment horizontal="center" vertical="center" wrapText="1"/>
    </xf>
    <xf numFmtId="0" fontId="53" fillId="36" borderId="80" xfId="37" applyFont="1" applyFill="1" applyBorder="1" applyAlignment="1">
      <alignment horizontal="center" vertical="center" wrapText="1"/>
    </xf>
    <xf numFmtId="0" fontId="53" fillId="36" borderId="81" xfId="37" applyFont="1" applyFill="1" applyBorder="1" applyAlignment="1">
      <alignment horizontal="center" vertical="center" wrapText="1"/>
    </xf>
    <xf numFmtId="0" fontId="9" fillId="24" borderId="35" xfId="37" applyFill="1" applyBorder="1" applyAlignment="1">
      <alignment horizontal="center" vertical="center"/>
    </xf>
    <xf numFmtId="0" fontId="9" fillId="24" borderId="27" xfId="37" applyFill="1" applyBorder="1" applyAlignment="1">
      <alignment horizontal="center" vertical="center" wrapText="1"/>
    </xf>
    <xf numFmtId="0" fontId="31" fillId="24" borderId="24" xfId="37" applyFont="1" applyFill="1" applyBorder="1" applyAlignment="1">
      <alignment horizontal="center" vertical="center" wrapText="1"/>
    </xf>
    <xf numFmtId="0" fontId="31" fillId="24" borderId="30" xfId="37" applyFont="1" applyFill="1" applyBorder="1" applyAlignment="1">
      <alignment horizontal="center" vertical="center" wrapText="1"/>
    </xf>
    <xf numFmtId="0" fontId="31" fillId="24" borderId="31" xfId="37" applyFont="1" applyFill="1" applyBorder="1" applyAlignment="1">
      <alignment horizontal="center" vertical="center" wrapText="1"/>
    </xf>
    <xf numFmtId="0" fontId="31" fillId="24" borderId="35" xfId="37" applyFont="1" applyFill="1" applyBorder="1" applyAlignment="1">
      <alignment horizontal="center" vertical="center" wrapText="1"/>
    </xf>
    <xf numFmtId="0" fontId="31" fillId="24" borderId="29" xfId="37" applyFont="1" applyFill="1" applyBorder="1" applyAlignment="1">
      <alignment horizontal="center" vertical="center" wrapText="1"/>
    </xf>
    <xf numFmtId="0" fontId="31" fillId="24" borderId="31" xfId="37" applyFont="1" applyFill="1" applyBorder="1" applyAlignment="1">
      <alignment horizontal="center" vertical="center"/>
    </xf>
    <xf numFmtId="0" fontId="31" fillId="24" borderId="35" xfId="37" applyFont="1" applyFill="1" applyBorder="1" applyAlignment="1">
      <alignment horizontal="center" vertical="center"/>
    </xf>
    <xf numFmtId="0" fontId="9" fillId="24" borderId="34" xfId="37" applyFill="1" applyBorder="1" applyAlignment="1">
      <alignment horizontal="center" vertical="center"/>
    </xf>
    <xf numFmtId="0" fontId="61" fillId="0" borderId="0" xfId="0" applyFont="1" applyAlignment="1">
      <alignment horizontal="left" vertical="center" wrapText="1"/>
    </xf>
    <xf numFmtId="0" fontId="65" fillId="34" borderId="0" xfId="0" applyFont="1" applyFill="1" applyAlignment="1">
      <alignment horizontal="center"/>
    </xf>
    <xf numFmtId="0" fontId="46" fillId="37" borderId="112" xfId="0" applyFont="1" applyFill="1" applyBorder="1" applyAlignment="1">
      <alignment horizontal="center"/>
    </xf>
    <xf numFmtId="0" fontId="46" fillId="37" borderId="113" xfId="0" applyFont="1" applyFill="1" applyBorder="1" applyAlignment="1">
      <alignment horizontal="center"/>
    </xf>
    <xf numFmtId="0" fontId="46" fillId="37" borderId="114" xfId="0" applyFont="1" applyFill="1" applyBorder="1" applyAlignment="1">
      <alignment horizontal="center"/>
    </xf>
    <xf numFmtId="0" fontId="30" fillId="28" borderId="116" xfId="0" applyFont="1" applyFill="1" applyBorder="1" applyAlignment="1">
      <alignment horizontal="center" vertical="center" wrapText="1"/>
    </xf>
    <xf numFmtId="0" fontId="30" fillId="28" borderId="103" xfId="0" applyFont="1" applyFill="1" applyBorder="1" applyAlignment="1">
      <alignment horizontal="center" vertical="center" wrapText="1"/>
    </xf>
    <xf numFmtId="0" fontId="30" fillId="28" borderId="104" xfId="0" applyFont="1" applyFill="1" applyBorder="1" applyAlignment="1">
      <alignment horizontal="center" vertical="center" wrapText="1"/>
    </xf>
    <xf numFmtId="0" fontId="30" fillId="28" borderId="117" xfId="0" applyFont="1" applyFill="1" applyBorder="1" applyAlignment="1">
      <alignment horizontal="center" vertical="center" wrapText="1"/>
    </xf>
    <xf numFmtId="0" fontId="30" fillId="28" borderId="0" xfId="0" applyFont="1" applyFill="1" applyAlignment="1">
      <alignment horizontal="center" vertical="center" wrapText="1"/>
    </xf>
    <xf numFmtId="0" fontId="30" fillId="28" borderId="110" xfId="0" applyFont="1" applyFill="1" applyBorder="1" applyAlignment="1">
      <alignment horizontal="center" vertical="center" wrapText="1"/>
    </xf>
    <xf numFmtId="0" fontId="30" fillId="28" borderId="118" xfId="0" applyFont="1" applyFill="1" applyBorder="1" applyAlignment="1">
      <alignment horizontal="center" vertical="center" wrapText="1"/>
    </xf>
    <xf numFmtId="0" fontId="30" fillId="28" borderId="105" xfId="0" applyFont="1" applyFill="1" applyBorder="1" applyAlignment="1">
      <alignment horizontal="center" vertical="center" wrapText="1"/>
    </xf>
    <xf numFmtId="0" fontId="30" fillId="28" borderId="106" xfId="0" applyFont="1" applyFill="1" applyBorder="1" applyAlignment="1">
      <alignment horizontal="center" vertical="center" wrapText="1"/>
    </xf>
    <xf numFmtId="0" fontId="30" fillId="0" borderId="117" xfId="0" applyFont="1" applyBorder="1" applyAlignment="1">
      <alignment horizontal="center" vertical="center" wrapText="1"/>
    </xf>
    <xf numFmtId="0" fontId="30" fillId="0" borderId="0" xfId="0" applyFont="1" applyAlignment="1">
      <alignment horizontal="center" vertical="center" wrapText="1"/>
    </xf>
    <xf numFmtId="0" fontId="30" fillId="0" borderId="110" xfId="0" applyFont="1" applyBorder="1" applyAlignment="1">
      <alignment horizontal="center" vertical="center" wrapText="1"/>
    </xf>
    <xf numFmtId="0" fontId="30" fillId="0" borderId="118" xfId="0" applyFont="1" applyBorder="1" applyAlignment="1">
      <alignment horizontal="center" vertical="center" wrapText="1"/>
    </xf>
    <xf numFmtId="0" fontId="30" fillId="0" borderId="105" xfId="0" applyFont="1" applyBorder="1" applyAlignment="1">
      <alignment horizontal="center" vertical="center" wrapText="1"/>
    </xf>
    <xf numFmtId="0" fontId="30" fillId="0" borderId="106" xfId="0" applyFont="1" applyBorder="1" applyAlignment="1">
      <alignment horizontal="center" vertical="center" wrapText="1"/>
    </xf>
    <xf numFmtId="0" fontId="30" fillId="28" borderId="115" xfId="0" applyFont="1" applyFill="1" applyBorder="1" applyAlignment="1">
      <alignment horizontal="center" vertical="center" wrapText="1"/>
    </xf>
    <xf numFmtId="0" fontId="30" fillId="28" borderId="109" xfId="0" applyFont="1" applyFill="1" applyBorder="1" applyAlignment="1">
      <alignment horizontal="center" vertical="center" wrapText="1"/>
    </xf>
    <xf numFmtId="0" fontId="30" fillId="28" borderId="111" xfId="0" applyFont="1" applyFill="1" applyBorder="1" applyAlignment="1">
      <alignment horizontal="center" vertical="center" wrapText="1"/>
    </xf>
    <xf numFmtId="0" fontId="30" fillId="0" borderId="109" xfId="0" applyFont="1" applyBorder="1" applyAlignment="1">
      <alignment horizontal="center" vertical="center" wrapText="1"/>
    </xf>
    <xf numFmtId="0" fontId="30" fillId="0" borderId="111" xfId="0" applyFont="1" applyBorder="1" applyAlignment="1">
      <alignment horizontal="center" vertical="center" wrapText="1"/>
    </xf>
    <xf numFmtId="0" fontId="30" fillId="27" borderId="116" xfId="0" applyFont="1" applyFill="1" applyBorder="1" applyAlignment="1">
      <alignment horizontal="center" vertical="center" wrapText="1"/>
    </xf>
    <xf numFmtId="0" fontId="30" fillId="27" borderId="103" xfId="0" applyFont="1" applyFill="1" applyBorder="1" applyAlignment="1">
      <alignment horizontal="center" vertical="center" wrapText="1"/>
    </xf>
    <xf numFmtId="0" fontId="30" fillId="27" borderId="104" xfId="0" applyFont="1" applyFill="1" applyBorder="1" applyAlignment="1">
      <alignment horizontal="center" vertical="center" wrapText="1"/>
    </xf>
    <xf numFmtId="0" fontId="30" fillId="27" borderId="117" xfId="0" applyFont="1" applyFill="1" applyBorder="1" applyAlignment="1">
      <alignment horizontal="center" vertical="center" wrapText="1"/>
    </xf>
    <xf numFmtId="0" fontId="30" fillId="27" borderId="0" xfId="0" applyFont="1" applyFill="1" applyAlignment="1">
      <alignment horizontal="center" vertical="center" wrapText="1"/>
    </xf>
    <xf numFmtId="0" fontId="30" fillId="27" borderId="110" xfId="0" applyFont="1" applyFill="1" applyBorder="1" applyAlignment="1">
      <alignment horizontal="center" vertical="center" wrapText="1"/>
    </xf>
    <xf numFmtId="0" fontId="30" fillId="28" borderId="112" xfId="0" applyFont="1" applyFill="1" applyBorder="1" applyAlignment="1">
      <alignment horizontal="center" vertical="center" wrapText="1"/>
    </xf>
    <xf numFmtId="0" fontId="30" fillId="28" borderId="113" xfId="0" applyFont="1" applyFill="1" applyBorder="1" applyAlignment="1">
      <alignment horizontal="center" vertical="center" wrapText="1"/>
    </xf>
    <xf numFmtId="0" fontId="30" fillId="28" borderId="114" xfId="0" applyFont="1" applyFill="1" applyBorder="1" applyAlignment="1">
      <alignment horizontal="center" vertical="center" wrapText="1"/>
    </xf>
    <xf numFmtId="0" fontId="30" fillId="27" borderId="115" xfId="0" applyFont="1" applyFill="1" applyBorder="1" applyAlignment="1">
      <alignment horizontal="center" vertical="center" wrapText="1"/>
    </xf>
    <xf numFmtId="0" fontId="30" fillId="27" borderId="109" xfId="0" applyFont="1" applyFill="1" applyBorder="1" applyAlignment="1">
      <alignment horizontal="center" vertical="center" wrapText="1"/>
    </xf>
    <xf numFmtId="0" fontId="30" fillId="27" borderId="111" xfId="0" applyFont="1" applyFill="1" applyBorder="1" applyAlignment="1">
      <alignment horizontal="center" vertical="center" wrapText="1"/>
    </xf>
    <xf numFmtId="0" fontId="30" fillId="27" borderId="118" xfId="0" applyFont="1" applyFill="1" applyBorder="1" applyAlignment="1">
      <alignment horizontal="center" vertical="center" wrapText="1"/>
    </xf>
    <xf numFmtId="0" fontId="30" fillId="27" borderId="106" xfId="0" applyFont="1" applyFill="1" applyBorder="1" applyAlignment="1">
      <alignment horizontal="center" vertical="center" wrapText="1"/>
    </xf>
    <xf numFmtId="0" fontId="8" fillId="24" borderId="39" xfId="37" applyFont="1" applyFill="1" applyBorder="1" applyAlignment="1">
      <alignment horizontal="center" vertical="center" wrapText="1"/>
    </xf>
    <xf numFmtId="0" fontId="8" fillId="24" borderId="40" xfId="37" applyFont="1" applyFill="1" applyBorder="1" applyAlignment="1">
      <alignment horizontal="center" vertical="center" wrapText="1"/>
    </xf>
    <xf numFmtId="0" fontId="8" fillId="24" borderId="41" xfId="37" applyFont="1" applyFill="1" applyBorder="1" applyAlignment="1">
      <alignment horizontal="center" vertical="center" wrapText="1"/>
    </xf>
    <xf numFmtId="0" fontId="8" fillId="27" borderId="0" xfId="37" applyFont="1" applyFill="1" applyAlignment="1">
      <alignment horizontal="center" vertical="center" wrapText="1"/>
    </xf>
    <xf numFmtId="0" fontId="8" fillId="24" borderId="42" xfId="37" applyFont="1" applyFill="1" applyBorder="1" applyAlignment="1">
      <alignment horizontal="center" vertical="center" wrapText="1"/>
    </xf>
    <xf numFmtId="0" fontId="8" fillId="24" borderId="21" xfId="37" applyFont="1" applyFill="1" applyBorder="1" applyAlignment="1">
      <alignment horizontal="center" vertical="center" wrapText="1"/>
    </xf>
    <xf numFmtId="0" fontId="8" fillId="27" borderId="17" xfId="37" applyFont="1" applyFill="1" applyBorder="1" applyAlignment="1">
      <alignment horizontal="center" vertical="center" wrapText="1"/>
    </xf>
    <xf numFmtId="0" fontId="8" fillId="24" borderId="28" xfId="37" applyFont="1" applyFill="1" applyBorder="1" applyAlignment="1">
      <alignment horizontal="center" vertical="center" wrapText="1"/>
    </xf>
    <xf numFmtId="0" fontId="47" fillId="38" borderId="119" xfId="37" applyFont="1" applyFill="1" applyBorder="1" applyAlignment="1">
      <alignment horizontal="center" vertical="center" wrapText="1"/>
    </xf>
    <xf numFmtId="0" fontId="47" fillId="38" borderId="120" xfId="37" applyFont="1" applyFill="1" applyBorder="1" applyAlignment="1">
      <alignment horizontal="center" vertical="center" wrapText="1"/>
    </xf>
    <xf numFmtId="0" fontId="47" fillId="38" borderId="121" xfId="37" applyFont="1" applyFill="1" applyBorder="1" applyAlignment="1">
      <alignment horizontal="center" vertical="center" wrapText="1"/>
    </xf>
    <xf numFmtId="0" fontId="39" fillId="34" borderId="76" xfId="37" applyFont="1" applyFill="1" applyBorder="1" applyAlignment="1">
      <alignment horizontal="center" vertical="center" wrapText="1"/>
    </xf>
    <xf numFmtId="0" fontId="47" fillId="37" borderId="119" xfId="37" applyFont="1" applyFill="1" applyBorder="1" applyAlignment="1">
      <alignment horizontal="center" vertical="center" wrapText="1"/>
    </xf>
    <xf numFmtId="0" fontId="47" fillId="37" borderId="120" xfId="37" applyFont="1" applyFill="1" applyBorder="1" applyAlignment="1">
      <alignment horizontal="center" vertical="center" wrapText="1"/>
    </xf>
    <xf numFmtId="0" fontId="47" fillId="37" borderId="121" xfId="37" applyFont="1" applyFill="1" applyBorder="1" applyAlignment="1">
      <alignment horizontal="center" vertical="center" wrapText="1"/>
    </xf>
    <xf numFmtId="164" fontId="38" fillId="30" borderId="0" xfId="35" applyFont="1" applyFill="1" applyBorder="1" applyAlignment="1">
      <alignment horizontal="center" vertical="center" wrapText="1"/>
    </xf>
    <xf numFmtId="164" fontId="38" fillId="30" borderId="63" xfId="35" quotePrefix="1" applyFont="1" applyFill="1" applyBorder="1" applyAlignment="1">
      <alignment horizontal="center" vertical="center" wrapText="1"/>
    </xf>
    <xf numFmtId="164" fontId="48" fillId="26" borderId="74" xfId="35" applyFont="1" applyFill="1" applyBorder="1" applyAlignment="1">
      <alignment horizontal="center" vertical="center" wrapText="1"/>
    </xf>
    <xf numFmtId="164" fontId="48" fillId="26" borderId="64" xfId="35" applyFont="1" applyFill="1" applyBorder="1" applyAlignment="1">
      <alignment horizontal="center" vertical="center" wrapText="1"/>
    </xf>
    <xf numFmtId="0" fontId="8" fillId="24" borderId="10" xfId="37" applyFont="1" applyFill="1" applyBorder="1" applyAlignment="1">
      <alignment horizontal="left" vertical="center" wrapText="1"/>
    </xf>
    <xf numFmtId="164" fontId="9" fillId="24" borderId="46" xfId="35" applyFont="1" applyFill="1" applyBorder="1" applyAlignment="1">
      <alignment horizontal="center" vertical="center" wrapText="1"/>
    </xf>
    <xf numFmtId="164" fontId="9" fillId="24" borderId="17" xfId="35" applyFont="1" applyFill="1" applyBorder="1" applyAlignment="1">
      <alignment horizontal="center" vertical="center"/>
    </xf>
    <xf numFmtId="0" fontId="8" fillId="24" borderId="43" xfId="53" applyFill="1" applyBorder="1" applyAlignment="1">
      <alignment horizontal="center" vertical="center"/>
    </xf>
    <xf numFmtId="0" fontId="8" fillId="24" borderId="40" xfId="53" applyFill="1" applyBorder="1" applyAlignment="1">
      <alignment horizontal="center" vertical="center"/>
    </xf>
    <xf numFmtId="0" fontId="31" fillId="24" borderId="31" xfId="53" applyFont="1" applyFill="1" applyBorder="1" applyAlignment="1">
      <alignment horizontal="center" vertical="center"/>
    </xf>
    <xf numFmtId="0" fontId="31" fillId="24" borderId="35" xfId="53" applyFont="1" applyFill="1" applyBorder="1" applyAlignment="1">
      <alignment horizontal="center" vertical="center"/>
    </xf>
    <xf numFmtId="0" fontId="31" fillId="0" borderId="24" xfId="37" applyFont="1" applyBorder="1" applyAlignment="1">
      <alignment horizontal="center" vertical="center" wrapText="1"/>
    </xf>
    <xf numFmtId="0" fontId="31" fillId="0" borderId="30" xfId="37" applyFont="1" applyBorder="1" applyAlignment="1">
      <alignment horizontal="center" vertical="center" wrapText="1"/>
    </xf>
    <xf numFmtId="0" fontId="8" fillId="24" borderId="34" xfId="53" applyFill="1" applyBorder="1" applyAlignment="1">
      <alignment horizontal="center" vertical="center" wrapText="1"/>
    </xf>
    <xf numFmtId="0" fontId="8" fillId="24" borderId="35" xfId="53" applyFill="1" applyBorder="1" applyAlignment="1">
      <alignment horizontal="center" vertical="center" wrapText="1"/>
    </xf>
    <xf numFmtId="0" fontId="8" fillId="24" borderId="41" xfId="53" applyFill="1" applyBorder="1" applyAlignment="1">
      <alignment horizontal="center" vertical="center" wrapText="1"/>
    </xf>
    <xf numFmtId="0" fontId="8" fillId="27" borderId="0" xfId="53" applyFill="1" applyAlignment="1">
      <alignment horizontal="center" vertical="center" wrapText="1"/>
    </xf>
    <xf numFmtId="0" fontId="8" fillId="24" borderId="42" xfId="53" applyFill="1" applyBorder="1" applyAlignment="1">
      <alignment horizontal="center" vertical="center" wrapText="1"/>
    </xf>
    <xf numFmtId="0" fontId="8" fillId="24" borderId="21" xfId="53" applyFill="1" applyBorder="1" applyAlignment="1">
      <alignment horizontal="center" vertical="center" wrapText="1"/>
    </xf>
    <xf numFmtId="0" fontId="31" fillId="0" borderId="31" xfId="37" applyFont="1" applyBorder="1" applyAlignment="1">
      <alignment horizontal="center" vertical="center" wrapText="1"/>
    </xf>
    <xf numFmtId="0" fontId="31" fillId="0" borderId="35" xfId="37" applyFont="1" applyBorder="1" applyAlignment="1">
      <alignment horizontal="center" vertical="center" wrapText="1"/>
    </xf>
    <xf numFmtId="0" fontId="8" fillId="24" borderId="43" xfId="37" applyFont="1" applyFill="1" applyBorder="1" applyAlignment="1">
      <alignment horizontal="center" vertical="center" wrapText="1"/>
    </xf>
    <xf numFmtId="0" fontId="8" fillId="24" borderId="44" xfId="37" applyFont="1" applyFill="1" applyBorder="1" applyAlignment="1">
      <alignment horizontal="center" vertical="center" wrapText="1"/>
    </xf>
    <xf numFmtId="0" fontId="8" fillId="24" borderId="39" xfId="53" applyFill="1" applyBorder="1" applyAlignment="1">
      <alignment horizontal="center" vertical="center" wrapText="1"/>
    </xf>
    <xf numFmtId="0" fontId="8" fillId="24" borderId="44" xfId="53" applyFill="1" applyBorder="1" applyAlignment="1">
      <alignment horizontal="center" vertical="center" wrapText="1"/>
    </xf>
    <xf numFmtId="0" fontId="8" fillId="24" borderId="23" xfId="53" applyFill="1" applyBorder="1" applyAlignment="1">
      <alignment horizontal="center" vertical="center" wrapText="1"/>
    </xf>
    <xf numFmtId="0" fontId="8" fillId="24" borderId="45" xfId="53" applyFill="1" applyBorder="1" applyAlignment="1">
      <alignment horizontal="center" vertical="center" wrapText="1"/>
    </xf>
    <xf numFmtId="0" fontId="8" fillId="27" borderId="39" xfId="37" applyFont="1" applyFill="1" applyBorder="1" applyAlignment="1">
      <alignment horizontal="center" vertical="center" wrapText="1"/>
    </xf>
    <xf numFmtId="0" fontId="8" fillId="27" borderId="40" xfId="37" applyFont="1" applyFill="1" applyBorder="1" applyAlignment="1">
      <alignment horizontal="center" vertical="center" wrapText="1"/>
    </xf>
    <xf numFmtId="0" fontId="8" fillId="27" borderId="41" xfId="37" applyFont="1" applyFill="1" applyBorder="1" applyAlignment="1">
      <alignment horizontal="center" vertical="center" wrapText="1"/>
    </xf>
    <xf numFmtId="0" fontId="8" fillId="27" borderId="42" xfId="37" applyFont="1" applyFill="1" applyBorder="1" applyAlignment="1">
      <alignment horizontal="center" vertical="center" wrapText="1"/>
    </xf>
    <xf numFmtId="0" fontId="8" fillId="27" borderId="21" xfId="37" applyFont="1" applyFill="1" applyBorder="1" applyAlignment="1">
      <alignment horizontal="center" vertical="center" wrapText="1"/>
    </xf>
    <xf numFmtId="0" fontId="31" fillId="24" borderId="34" xfId="37" applyFont="1" applyFill="1" applyBorder="1" applyAlignment="1">
      <alignment horizontal="center" vertical="center" wrapText="1"/>
    </xf>
    <xf numFmtId="0" fontId="8" fillId="24" borderId="43" xfId="37" quotePrefix="1" applyFont="1" applyFill="1" applyBorder="1" applyAlignment="1">
      <alignment horizontal="center" vertical="center" wrapText="1"/>
    </xf>
    <xf numFmtId="0" fontId="31" fillId="24" borderId="122" xfId="37" applyFont="1" applyFill="1" applyBorder="1" applyAlignment="1">
      <alignment horizontal="center" vertical="center" wrapText="1"/>
    </xf>
    <xf numFmtId="0" fontId="31" fillId="24" borderId="27" xfId="37" applyFont="1" applyFill="1" applyBorder="1" applyAlignment="1">
      <alignment horizontal="center" vertical="center" wrapText="1"/>
    </xf>
    <xf numFmtId="0" fontId="8" fillId="24" borderId="24" xfId="37" applyFont="1" applyFill="1" applyBorder="1" applyAlignment="1">
      <alignment horizontal="center" vertical="center" wrapText="1"/>
    </xf>
    <xf numFmtId="0" fontId="8" fillId="24" borderId="30" xfId="37" applyFont="1" applyFill="1" applyBorder="1" applyAlignment="1">
      <alignment horizontal="center" vertical="center" wrapText="1"/>
    </xf>
    <xf numFmtId="0" fontId="8" fillId="24" borderId="26" xfId="37" applyFont="1" applyFill="1" applyBorder="1" applyAlignment="1">
      <alignment horizontal="center" vertical="center" wrapText="1"/>
    </xf>
    <xf numFmtId="164" fontId="47" fillId="26" borderId="74" xfId="35" applyFont="1" applyFill="1" applyBorder="1" applyAlignment="1">
      <alignment horizontal="center" vertical="center" wrapText="1"/>
    </xf>
    <xf numFmtId="164" fontId="47" fillId="26" borderId="64" xfId="35" applyFont="1" applyFill="1" applyBorder="1" applyAlignment="1">
      <alignment horizontal="center" vertical="center" wrapText="1"/>
    </xf>
    <xf numFmtId="0" fontId="47" fillId="37" borderId="67" xfId="37" applyFont="1" applyFill="1" applyBorder="1" applyAlignment="1">
      <alignment horizontal="center" vertical="center" wrapText="1"/>
    </xf>
    <xf numFmtId="164" fontId="38" fillId="30" borderId="62" xfId="35" applyFont="1" applyFill="1" applyBorder="1" applyAlignment="1">
      <alignment horizontal="center" vertical="center" wrapText="1"/>
    </xf>
    <xf numFmtId="164" fontId="38" fillId="30" borderId="63" xfId="35" applyFont="1" applyFill="1" applyBorder="1" applyAlignment="1">
      <alignment horizontal="center" vertical="center" wrapText="1"/>
    </xf>
    <xf numFmtId="164" fontId="38" fillId="29" borderId="13" xfId="35" applyFont="1" applyFill="1" applyBorder="1" applyAlignment="1">
      <alignment horizontal="center" vertical="center" wrapText="1"/>
    </xf>
    <xf numFmtId="164" fontId="38" fillId="29" borderId="90" xfId="35" applyFont="1" applyFill="1" applyBorder="1" applyAlignment="1">
      <alignment horizontal="center" vertical="center" wrapText="1"/>
    </xf>
    <xf numFmtId="0" fontId="47" fillId="26" borderId="67" xfId="37" applyFont="1" applyFill="1" applyBorder="1" applyAlignment="1">
      <alignment horizontal="center" vertical="center" wrapText="1"/>
    </xf>
    <xf numFmtId="164" fontId="47" fillId="37" borderId="82" xfId="35" applyFont="1" applyFill="1" applyBorder="1" applyAlignment="1">
      <alignment horizontal="center" vertical="center" wrapText="1"/>
    </xf>
    <xf numFmtId="164" fontId="47" fillId="37" borderId="77" xfId="35" applyFont="1" applyFill="1" applyBorder="1" applyAlignment="1">
      <alignment horizontal="center" vertical="center" wrapText="1"/>
    </xf>
    <xf numFmtId="164" fontId="47" fillId="37" borderId="83" xfId="35" applyFont="1" applyFill="1" applyBorder="1" applyAlignment="1">
      <alignment horizontal="center" vertical="center" wrapText="1"/>
    </xf>
    <xf numFmtId="164" fontId="39" fillId="34" borderId="62" xfId="35" applyFont="1" applyFill="1" applyBorder="1" applyAlignment="1">
      <alignment horizontal="center" vertical="center" wrapText="1"/>
    </xf>
    <xf numFmtId="164" fontId="39" fillId="34" borderId="0" xfId="35" applyFont="1" applyFill="1" applyBorder="1" applyAlignment="1">
      <alignment horizontal="center" vertical="center" wrapText="1"/>
    </xf>
    <xf numFmtId="164" fontId="39" fillId="34" borderId="63" xfId="35" applyFont="1" applyFill="1" applyBorder="1" applyAlignment="1">
      <alignment horizontal="center" vertical="center" wrapText="1"/>
    </xf>
    <xf numFmtId="164" fontId="10" fillId="30" borderId="62" xfId="35" applyFont="1" applyFill="1" applyBorder="1" applyAlignment="1">
      <alignment horizontal="center" vertical="center" wrapText="1"/>
    </xf>
    <xf numFmtId="164" fontId="10" fillId="30" borderId="63" xfId="35" applyFont="1" applyFill="1" applyBorder="1" applyAlignment="1">
      <alignment horizontal="center" vertical="center" wrapText="1"/>
    </xf>
    <xf numFmtId="0" fontId="8" fillId="24" borderId="39" xfId="53" applyFill="1" applyBorder="1" applyAlignment="1">
      <alignment horizontal="center" vertical="center"/>
    </xf>
    <xf numFmtId="0" fontId="8" fillId="24" borderId="41" xfId="53" applyFill="1" applyBorder="1" applyAlignment="1">
      <alignment horizontal="center" vertical="center"/>
    </xf>
    <xf numFmtId="0" fontId="8" fillId="27" borderId="0" xfId="53" applyFill="1" applyAlignment="1">
      <alignment horizontal="center" vertical="center"/>
    </xf>
    <xf numFmtId="0" fontId="8" fillId="24" borderId="42" xfId="53" applyFill="1" applyBorder="1" applyAlignment="1">
      <alignment horizontal="center" vertical="center"/>
    </xf>
    <xf numFmtId="0" fontId="8" fillId="24" borderId="21" xfId="53" applyFill="1" applyBorder="1" applyAlignment="1">
      <alignment horizontal="center" vertical="center"/>
    </xf>
    <xf numFmtId="0" fontId="8" fillId="24" borderId="24" xfId="37" applyFont="1" applyFill="1" applyBorder="1" applyAlignment="1">
      <alignment horizontal="center" vertical="center"/>
    </xf>
    <xf numFmtId="0" fontId="8" fillId="24" borderId="30" xfId="37" applyFont="1" applyFill="1" applyBorder="1" applyAlignment="1">
      <alignment horizontal="center" vertical="center"/>
    </xf>
    <xf numFmtId="0" fontId="8" fillId="24" borderId="34" xfId="53" applyFill="1" applyBorder="1" applyAlignment="1">
      <alignment horizontal="center" vertical="center"/>
    </xf>
    <xf numFmtId="0" fontId="8" fillId="24" borderId="35" xfId="53" applyFill="1" applyBorder="1" applyAlignment="1">
      <alignment horizontal="center" vertical="center"/>
    </xf>
    <xf numFmtId="0" fontId="8" fillId="43" borderId="39" xfId="37" applyFont="1" applyFill="1" applyBorder="1" applyAlignment="1">
      <alignment horizontal="center" vertical="center" wrapText="1"/>
    </xf>
    <xf numFmtId="0" fontId="8" fillId="43" borderId="40" xfId="37" applyFont="1" applyFill="1" applyBorder="1" applyAlignment="1">
      <alignment horizontal="center" vertical="center" wrapText="1"/>
    </xf>
    <xf numFmtId="0" fontId="8" fillId="43" borderId="41" xfId="37" applyFont="1" applyFill="1" applyBorder="1" applyAlignment="1">
      <alignment horizontal="center" vertical="center" wrapText="1"/>
    </xf>
    <xf numFmtId="0" fontId="8" fillId="43" borderId="0" xfId="37" applyFont="1" applyFill="1" applyAlignment="1">
      <alignment horizontal="center" vertical="center" wrapText="1"/>
    </xf>
    <xf numFmtId="0" fontId="8" fillId="43" borderId="42" xfId="37" applyFont="1" applyFill="1" applyBorder="1" applyAlignment="1">
      <alignment horizontal="center" vertical="center" wrapText="1"/>
    </xf>
    <xf numFmtId="0" fontId="8" fillId="43" borderId="21" xfId="37" applyFont="1" applyFill="1" applyBorder="1" applyAlignment="1">
      <alignment horizontal="center" vertical="center" wrapText="1"/>
    </xf>
    <xf numFmtId="0" fontId="47" fillId="37" borderId="87" xfId="53" applyFont="1" applyFill="1" applyBorder="1" applyAlignment="1">
      <alignment horizontal="center" vertical="center" wrapText="1"/>
    </xf>
    <xf numFmtId="0" fontId="47" fillId="37" borderId="88" xfId="53" applyFont="1" applyFill="1" applyBorder="1" applyAlignment="1">
      <alignment horizontal="center" vertical="center" wrapText="1"/>
    </xf>
    <xf numFmtId="0" fontId="47" fillId="37" borderId="89" xfId="53" applyFont="1" applyFill="1" applyBorder="1" applyAlignment="1">
      <alignment horizontal="center" vertical="center" wrapText="1"/>
    </xf>
    <xf numFmtId="0" fontId="8" fillId="24" borderId="53" xfId="37" applyFont="1" applyFill="1" applyBorder="1" applyAlignment="1">
      <alignment horizontal="center" vertical="center" wrapText="1"/>
    </xf>
    <xf numFmtId="0" fontId="8" fillId="24" borderId="54" xfId="37" applyFont="1" applyFill="1" applyBorder="1" applyAlignment="1">
      <alignment horizontal="center" vertical="center" wrapText="1"/>
    </xf>
    <xf numFmtId="0" fontId="47" fillId="37" borderId="77" xfId="37" applyFont="1" applyFill="1" applyBorder="1" applyAlignment="1">
      <alignment horizontal="center" vertical="center"/>
    </xf>
    <xf numFmtId="0" fontId="51" fillId="0" borderId="0" xfId="53" applyFont="1" applyAlignment="1">
      <alignment horizontal="left" vertical="center"/>
    </xf>
    <xf numFmtId="0" fontId="49" fillId="24" borderId="43" xfId="53" applyFont="1" applyFill="1" applyBorder="1" applyAlignment="1">
      <alignment horizontal="center" vertical="center" wrapText="1"/>
    </xf>
    <xf numFmtId="0" fontId="49" fillId="24" borderId="46" xfId="53" applyFont="1" applyFill="1" applyBorder="1" applyAlignment="1">
      <alignment horizontal="center" vertical="center" wrapText="1"/>
    </xf>
    <xf numFmtId="0" fontId="49" fillId="24" borderId="10" xfId="53" applyFont="1" applyFill="1" applyBorder="1" applyAlignment="1">
      <alignment horizontal="center" vertical="center" wrapText="1"/>
    </xf>
    <xf numFmtId="0" fontId="49" fillId="24" borderId="17" xfId="53" applyFont="1" applyFill="1" applyBorder="1" applyAlignment="1">
      <alignment horizontal="center" vertical="center" wrapText="1"/>
    </xf>
    <xf numFmtId="0" fontId="49" fillId="24" borderId="20" xfId="53" applyFont="1" applyFill="1" applyBorder="1" applyAlignment="1">
      <alignment horizontal="center" vertical="center" wrapText="1"/>
    </xf>
    <xf numFmtId="0" fontId="49" fillId="24" borderId="28" xfId="53" applyFont="1" applyFill="1" applyBorder="1" applyAlignment="1">
      <alignment horizontal="center" vertical="center" wrapText="1"/>
    </xf>
    <xf numFmtId="0" fontId="8" fillId="24" borderId="33" xfId="53" applyFill="1" applyBorder="1" applyAlignment="1">
      <alignment horizontal="center" vertical="center" wrapText="1"/>
    </xf>
    <xf numFmtId="0" fontId="8" fillId="24" borderId="0" xfId="53" applyFill="1" applyAlignment="1">
      <alignment horizontal="center" vertical="center" wrapText="1"/>
    </xf>
    <xf numFmtId="0" fontId="71" fillId="24" borderId="136" xfId="53" applyFont="1" applyFill="1" applyBorder="1" applyAlignment="1">
      <alignment horizontal="center" vertical="center" wrapText="1"/>
    </xf>
    <xf numFmtId="0" fontId="71" fillId="24" borderId="49" xfId="53" applyFont="1" applyFill="1" applyBorder="1" applyAlignment="1">
      <alignment horizontal="center" vertical="center" wrapText="1"/>
    </xf>
    <xf numFmtId="0" fontId="71" fillId="24" borderId="41" xfId="53" applyFont="1" applyFill="1" applyBorder="1" applyAlignment="1">
      <alignment horizontal="center" vertical="center" wrapText="1"/>
    </xf>
    <xf numFmtId="0" fontId="71" fillId="27" borderId="17" xfId="53" applyFont="1" applyFill="1" applyBorder="1" applyAlignment="1">
      <alignment horizontal="center" vertical="center" wrapText="1"/>
    </xf>
    <xf numFmtId="0" fontId="71" fillId="24" borderId="42" xfId="53" applyFont="1" applyFill="1" applyBorder="1" applyAlignment="1">
      <alignment horizontal="center" vertical="center" wrapText="1"/>
    </xf>
    <xf numFmtId="0" fontId="71" fillId="24" borderId="28" xfId="53" applyFont="1" applyFill="1" applyBorder="1" applyAlignment="1">
      <alignment horizontal="center" vertical="center" wrapText="1"/>
    </xf>
    <xf numFmtId="0" fontId="8" fillId="24" borderId="136" xfId="53" applyFill="1" applyBorder="1" applyAlignment="1">
      <alignment horizontal="center" vertical="center" wrapText="1"/>
    </xf>
    <xf numFmtId="0" fontId="8" fillId="24" borderId="135" xfId="53" applyFill="1" applyBorder="1" applyAlignment="1">
      <alignment horizontal="center" vertical="center" wrapText="1"/>
    </xf>
    <xf numFmtId="0" fontId="8" fillId="27" borderId="41" xfId="53" applyFill="1" applyBorder="1" applyAlignment="1">
      <alignment horizontal="center" vertical="center" wrapText="1"/>
    </xf>
    <xf numFmtId="0" fontId="8" fillId="24" borderId="37" xfId="53" applyFill="1" applyBorder="1" applyAlignment="1">
      <alignment horizontal="center" vertical="center" wrapText="1"/>
    </xf>
    <xf numFmtId="0" fontId="8" fillId="24" borderId="16" xfId="53" applyFill="1" applyBorder="1" applyAlignment="1">
      <alignment horizontal="center" vertical="center" wrapText="1"/>
    </xf>
    <xf numFmtId="0" fontId="12" fillId="0" borderId="78" xfId="53" applyFont="1" applyBorder="1" applyAlignment="1">
      <alignment horizontal="center" vertical="center" wrapText="1"/>
    </xf>
    <xf numFmtId="0" fontId="12" fillId="0" borderId="97" xfId="53" applyFont="1" applyBorder="1" applyAlignment="1">
      <alignment horizontal="center" vertical="center" wrapText="1"/>
    </xf>
    <xf numFmtId="0" fontId="12" fillId="0" borderId="65" xfId="53" applyFont="1" applyBorder="1" applyAlignment="1">
      <alignment horizontal="center" vertical="center" wrapText="1"/>
    </xf>
    <xf numFmtId="0" fontId="12" fillId="0" borderId="98" xfId="53" applyFont="1" applyBorder="1" applyAlignment="1">
      <alignment horizontal="center" vertical="center" wrapText="1"/>
    </xf>
    <xf numFmtId="0" fontId="12" fillId="0" borderId="99" xfId="53" applyFont="1" applyBorder="1" applyAlignment="1">
      <alignment horizontal="center" vertical="center" wrapText="1"/>
    </xf>
    <xf numFmtId="0" fontId="12" fillId="0" borderId="100" xfId="53" applyFont="1" applyBorder="1" applyAlignment="1">
      <alignment horizontal="center" vertical="center" wrapText="1"/>
    </xf>
    <xf numFmtId="0" fontId="8" fillId="24" borderId="137" xfId="53" applyFill="1" applyBorder="1" applyAlignment="1">
      <alignment horizontal="center" vertical="center" wrapText="1"/>
    </xf>
    <xf numFmtId="0" fontId="8" fillId="24" borderId="138" xfId="53" applyFill="1" applyBorder="1" applyAlignment="1">
      <alignment horizontal="center" vertical="center" wrapText="1"/>
    </xf>
    <xf numFmtId="0" fontId="8" fillId="24" borderId="139" xfId="53" applyFill="1" applyBorder="1" applyAlignment="1">
      <alignment horizontal="center" vertical="center" wrapText="1"/>
    </xf>
    <xf numFmtId="0" fontId="8" fillId="24" borderId="32" xfId="53" applyFill="1" applyBorder="1" applyAlignment="1">
      <alignment horizontal="center" vertical="center" wrapText="1"/>
    </xf>
    <xf numFmtId="0" fontId="8" fillId="24" borderId="10" xfId="53" applyFill="1" applyBorder="1" applyAlignment="1">
      <alignment horizontal="center" vertical="center" wrapText="1"/>
    </xf>
    <xf numFmtId="0" fontId="8" fillId="24" borderId="20" xfId="53" applyFill="1" applyBorder="1" applyAlignment="1">
      <alignment horizontal="center" vertical="center" wrapText="1"/>
    </xf>
    <xf numFmtId="0" fontId="53" fillId="36" borderId="86" xfId="37" applyFont="1" applyFill="1" applyBorder="1" applyAlignment="1">
      <alignment horizontal="center" vertical="center" wrapText="1"/>
    </xf>
    <xf numFmtId="0" fontId="9" fillId="24" borderId="38" xfId="37" applyFill="1" applyBorder="1" applyAlignment="1">
      <alignment horizontal="center" vertical="center"/>
    </xf>
    <xf numFmtId="0" fontId="49" fillId="24" borderId="15" xfId="53" applyFont="1" applyFill="1" applyBorder="1" applyAlignment="1">
      <alignment horizontal="center" vertical="center"/>
    </xf>
    <xf numFmtId="0" fontId="49" fillId="24" borderId="16" xfId="53" applyFont="1" applyFill="1" applyBorder="1" applyAlignment="1">
      <alignment horizontal="center" vertical="center"/>
    </xf>
    <xf numFmtId="0" fontId="49" fillId="24" borderId="15" xfId="53" quotePrefix="1" applyFont="1" applyFill="1" applyBorder="1" applyAlignment="1">
      <alignment horizontal="center" vertical="center" wrapText="1"/>
    </xf>
    <xf numFmtId="0" fontId="49" fillId="24" borderId="16" xfId="53" quotePrefix="1" applyFont="1" applyFill="1" applyBorder="1" applyAlignment="1">
      <alignment horizontal="center" vertical="center" wrapText="1"/>
    </xf>
    <xf numFmtId="0" fontId="8" fillId="24" borderId="15" xfId="53" applyFill="1" applyBorder="1" applyAlignment="1">
      <alignment horizontal="center" vertical="center" wrapText="1"/>
    </xf>
    <xf numFmtId="0" fontId="8" fillId="24" borderId="36" xfId="53" applyFill="1" applyBorder="1" applyAlignment="1">
      <alignment horizontal="center" vertical="center" wrapText="1"/>
    </xf>
    <xf numFmtId="0" fontId="71" fillId="24" borderId="37" xfId="53" quotePrefix="1" applyFont="1" applyFill="1" applyBorder="1" applyAlignment="1">
      <alignment horizontal="center" vertical="center" wrapText="1"/>
    </xf>
    <xf numFmtId="0" fontId="71" fillId="24" borderId="16" xfId="53" quotePrefix="1" applyFont="1" applyFill="1" applyBorder="1" applyAlignment="1">
      <alignment horizontal="center" vertical="center"/>
    </xf>
    <xf numFmtId="0" fontId="8" fillId="24" borderId="38" xfId="53" applyFill="1" applyBorder="1" applyAlignment="1">
      <alignment horizontal="center" vertical="center" wrapText="1"/>
    </xf>
    <xf numFmtId="0" fontId="49" fillId="24" borderId="15" xfId="53" quotePrefix="1" applyFont="1" applyFill="1" applyBorder="1" applyAlignment="1">
      <alignment horizontal="center" vertical="center"/>
    </xf>
    <xf numFmtId="0" fontId="49" fillId="24" borderId="16" xfId="53" quotePrefix="1" applyFont="1" applyFill="1" applyBorder="1" applyAlignment="1">
      <alignment horizontal="center" vertical="center"/>
    </xf>
    <xf numFmtId="0" fontId="71" fillId="24" borderId="15" xfId="53" quotePrefix="1" applyFont="1" applyFill="1" applyBorder="1" applyAlignment="1">
      <alignment horizontal="center" vertical="center" wrapText="1"/>
    </xf>
    <xf numFmtId="0" fontId="71" fillId="24" borderId="36" xfId="53" quotePrefix="1" applyFont="1" applyFill="1" applyBorder="1" applyAlignment="1">
      <alignment horizontal="center" vertical="center"/>
    </xf>
    <xf numFmtId="0" fontId="71" fillId="24" borderId="38" xfId="53" quotePrefix="1" applyFont="1" applyFill="1" applyBorder="1" applyAlignment="1">
      <alignment horizontal="center" vertical="center"/>
    </xf>
    <xf numFmtId="0" fontId="71" fillId="24" borderId="36" xfId="53" quotePrefix="1" applyFont="1" applyFill="1" applyBorder="1" applyAlignment="1">
      <alignment horizontal="center" vertical="center" wrapText="1"/>
    </xf>
    <xf numFmtId="0" fontId="12" fillId="24" borderId="82" xfId="37" applyFont="1" applyFill="1" applyBorder="1" applyAlignment="1">
      <alignment horizontal="center" vertical="center"/>
    </xf>
    <xf numFmtId="0" fontId="12" fillId="24" borderId="77" xfId="37" applyFont="1" applyFill="1" applyBorder="1" applyAlignment="1">
      <alignment horizontal="center" vertical="center"/>
    </xf>
    <xf numFmtId="0" fontId="12" fillId="24" borderId="83" xfId="37" applyFont="1" applyFill="1" applyBorder="1" applyAlignment="1">
      <alignment horizontal="center" vertical="center"/>
    </xf>
    <xf numFmtId="0" fontId="12" fillId="24" borderId="62" xfId="37" applyFont="1" applyFill="1" applyBorder="1" applyAlignment="1">
      <alignment horizontal="center" vertical="center"/>
    </xf>
    <xf numFmtId="0" fontId="12" fillId="24" borderId="63" xfId="37" applyFont="1" applyFill="1" applyBorder="1" applyAlignment="1">
      <alignment horizontal="center" vertical="center"/>
    </xf>
    <xf numFmtId="0" fontId="10" fillId="29" borderId="51" xfId="37" applyFont="1" applyFill="1" applyBorder="1" applyAlignment="1">
      <alignment horizontal="center" vertical="center" wrapText="1"/>
    </xf>
    <xf numFmtId="0" fontId="53" fillId="36" borderId="81" xfId="37" applyFont="1" applyFill="1" applyBorder="1" applyAlignment="1">
      <alignment horizontal="center" vertical="center"/>
    </xf>
    <xf numFmtId="0" fontId="53" fillId="36" borderId="101" xfId="37" applyFont="1" applyFill="1" applyBorder="1" applyAlignment="1">
      <alignment horizontal="center" vertical="center"/>
    </xf>
    <xf numFmtId="0" fontId="11" fillId="0" borderId="78" xfId="37" applyFont="1" applyBorder="1" applyAlignment="1">
      <alignment horizontal="center" vertical="center" wrapText="1"/>
    </xf>
    <xf numFmtId="0" fontId="11" fillId="0" borderId="65" xfId="37" applyFont="1" applyBorder="1" applyAlignment="1">
      <alignment horizontal="center" vertical="center" wrapText="1"/>
    </xf>
    <xf numFmtId="0" fontId="11" fillId="0" borderId="99" xfId="37" applyFont="1" applyBorder="1" applyAlignment="1">
      <alignment horizontal="center" vertical="center" wrapText="1"/>
    </xf>
    <xf numFmtId="0" fontId="10" fillId="29" borderId="47" xfId="37" applyFont="1" applyFill="1" applyBorder="1" applyAlignment="1">
      <alignment horizontal="center" vertical="center" wrapText="1"/>
    </xf>
    <xf numFmtId="0" fontId="9" fillId="24" borderId="44" xfId="37" applyFill="1" applyBorder="1" applyAlignment="1">
      <alignment horizontal="center" vertical="center"/>
    </xf>
    <xf numFmtId="0" fontId="9" fillId="24" borderId="23" xfId="37" applyFill="1" applyBorder="1" applyAlignment="1">
      <alignment horizontal="center" vertical="center"/>
    </xf>
    <xf numFmtId="0" fontId="9" fillId="24" borderId="45" xfId="37" applyFill="1" applyBorder="1" applyAlignment="1">
      <alignment horizontal="center" vertical="center"/>
    </xf>
    <xf numFmtId="0" fontId="9" fillId="24" borderId="38" xfId="37" quotePrefix="1" applyFill="1" applyBorder="1" applyAlignment="1">
      <alignment horizontal="center" vertical="center"/>
    </xf>
    <xf numFmtId="0" fontId="8" fillId="27" borderId="62" xfId="51" applyFill="1" applyBorder="1" applyAlignment="1">
      <alignment horizontal="center"/>
    </xf>
    <xf numFmtId="0" fontId="8" fillId="27" borderId="63" xfId="51" applyFill="1" applyBorder="1" applyAlignment="1">
      <alignment horizontal="center"/>
    </xf>
    <xf numFmtId="0" fontId="8" fillId="27" borderId="119" xfId="51" applyFill="1" applyBorder="1" applyAlignment="1">
      <alignment horizontal="center"/>
    </xf>
    <xf numFmtId="0" fontId="8" fillId="27" borderId="121" xfId="51" applyFill="1" applyBorder="1" applyAlignment="1">
      <alignment horizontal="center"/>
    </xf>
    <xf numFmtId="0" fontId="10" fillId="25" borderId="62" xfId="37" applyFont="1" applyFill="1" applyBorder="1" applyAlignment="1">
      <alignment horizontal="center" vertical="center" wrapText="1"/>
    </xf>
    <xf numFmtId="0" fontId="10" fillId="25" borderId="63" xfId="37" applyFont="1" applyFill="1" applyBorder="1" applyAlignment="1">
      <alignment horizontal="center" vertical="center" wrapText="1"/>
    </xf>
    <xf numFmtId="0" fontId="8" fillId="24" borderId="52" xfId="37" applyFont="1" applyFill="1" applyBorder="1" applyAlignment="1">
      <alignment horizontal="center" vertical="center" wrapText="1"/>
    </xf>
    <xf numFmtId="0" fontId="9" fillId="24" borderId="53" xfId="37" applyFill="1" applyBorder="1" applyAlignment="1">
      <alignment horizontal="center" vertical="center" wrapText="1"/>
    </xf>
    <xf numFmtId="0" fontId="9" fillId="24" borderId="54" xfId="37" applyFill="1" applyBorder="1" applyAlignment="1">
      <alignment horizontal="center" vertical="center" wrapText="1"/>
    </xf>
    <xf numFmtId="0" fontId="9" fillId="24" borderId="55" xfId="37" applyFill="1" applyBorder="1" applyAlignment="1">
      <alignment horizontal="center" vertical="center" wrapText="1"/>
    </xf>
    <xf numFmtId="0" fontId="9" fillId="24" borderId="56" xfId="37" applyFill="1" applyBorder="1" applyAlignment="1">
      <alignment horizontal="center" vertical="center" wrapText="1"/>
    </xf>
    <xf numFmtId="0" fontId="9" fillId="24" borderId="57" xfId="37" applyFill="1" applyBorder="1" applyAlignment="1">
      <alignment horizontal="center" vertical="center" wrapText="1"/>
    </xf>
    <xf numFmtId="0" fontId="9" fillId="24" borderId="58" xfId="37" applyFill="1" applyBorder="1" applyAlignment="1">
      <alignment horizontal="center" vertical="center" wrapText="1"/>
    </xf>
    <xf numFmtId="0" fontId="9" fillId="24" borderId="59" xfId="37" applyFill="1" applyBorder="1" applyAlignment="1">
      <alignment horizontal="center" vertical="center" wrapText="1"/>
    </xf>
    <xf numFmtId="0" fontId="9" fillId="24" borderId="60" xfId="37" applyFill="1" applyBorder="1" applyAlignment="1">
      <alignment horizontal="center" vertical="center" wrapText="1"/>
    </xf>
    <xf numFmtId="0" fontId="53" fillId="36" borderId="99" xfId="37" applyFont="1" applyFill="1" applyBorder="1" applyAlignment="1">
      <alignment horizontal="center" vertical="center" wrapText="1"/>
    </xf>
    <xf numFmtId="0" fontId="53" fillId="36" borderId="93" xfId="37" applyFont="1" applyFill="1" applyBorder="1" applyAlignment="1">
      <alignment horizontal="center" vertical="center" wrapText="1"/>
    </xf>
    <xf numFmtId="0" fontId="47" fillId="37" borderId="63" xfId="37" applyFont="1" applyFill="1" applyBorder="1" applyAlignment="1">
      <alignment horizontal="center" vertical="center" wrapText="1"/>
    </xf>
    <xf numFmtId="0" fontId="10" fillId="29" borderId="102" xfId="37" applyFont="1" applyFill="1" applyBorder="1" applyAlignment="1">
      <alignment horizontal="center" vertical="center" wrapText="1"/>
    </xf>
    <xf numFmtId="0" fontId="10" fillId="29" borderId="90" xfId="37" applyFont="1" applyFill="1" applyBorder="1" applyAlignment="1">
      <alignment horizontal="center" vertical="center" wrapText="1"/>
    </xf>
    <xf numFmtId="0" fontId="51" fillId="27" borderId="0" xfId="37" applyFont="1" applyFill="1" applyAlignment="1">
      <alignment horizontal="left" vertical="center"/>
    </xf>
  </cellXfs>
  <cellStyles count="148">
    <cellStyle name="%" xfId="1" xr:uid="{00000000-0005-0000-0000-000000000000}"/>
    <cellStyle name="% 2" xfId="2" xr:uid="{00000000-0005-0000-0000-000001000000}"/>
    <cellStyle name="% 2 2" xfId="51" xr:uid="{00000000-0005-0000-0000-000002000000}"/>
    <cellStyle name="% 3" xfId="3" xr:uid="{00000000-0005-0000-0000-000003000000}"/>
    <cellStyle name="% 3 2" xfId="49" xr:uid="{00000000-0005-0000-0000-000004000000}"/>
    <cellStyle name="% 3 2 2" xfId="55" xr:uid="{02FF1F44-6C3A-4750-8379-3218CB285480}"/>
    <cellStyle name="% 3 3" xfId="52" xr:uid="{00000000-0005-0000-0000-000005000000}"/>
    <cellStyle name="20% - Énfasis1" xfId="4" builtinId="30" customBuiltin="1"/>
    <cellStyle name="20% - Énfasis2" xfId="5" builtinId="34" customBuiltin="1"/>
    <cellStyle name="20% - Énfasis3" xfId="6" builtinId="38" customBuiltin="1"/>
    <cellStyle name="20% - Énfasis4" xfId="7" builtinId="42" customBuiltin="1"/>
    <cellStyle name="20% - Énfasis5" xfId="8" builtinId="46" customBuiltin="1"/>
    <cellStyle name="20% - Énfasis6" xfId="9" builtinId="50" customBuiltin="1"/>
    <cellStyle name="40% - Énfasis1" xfId="10" builtinId="31" customBuiltin="1"/>
    <cellStyle name="40% - Énfasis2" xfId="11" builtinId="35" customBuiltin="1"/>
    <cellStyle name="40% - Énfasis3" xfId="12" builtinId="39" customBuiltin="1"/>
    <cellStyle name="40% - Énfasis4" xfId="13" builtinId="43" customBuiltin="1"/>
    <cellStyle name="40% - Énfasis5" xfId="14" builtinId="47" customBuiltin="1"/>
    <cellStyle name="40% - Énfasis6" xfId="15" builtinId="51" customBuiltin="1"/>
    <cellStyle name="60% - Énfasis1" xfId="16" builtinId="32" customBuiltin="1"/>
    <cellStyle name="60% - Énfasis2" xfId="17" builtinId="36" customBuiltin="1"/>
    <cellStyle name="60% - Énfasis3" xfId="18" builtinId="40" customBuiltin="1"/>
    <cellStyle name="60% - Énfasis4" xfId="19" builtinId="44" customBuiltin="1"/>
    <cellStyle name="60% - Énfasis5" xfId="20" builtinId="48" customBuiltin="1"/>
    <cellStyle name="60% - Énfasis6" xfId="21" builtinId="52" customBuiltin="1"/>
    <cellStyle name="AF Column - IBM Cognos" xfId="74" xr:uid="{CF1D8086-20EC-43B8-8082-F96807C59703}"/>
    <cellStyle name="AF Data - IBM Cognos" xfId="75" xr:uid="{1761C9FE-7131-4E72-B8B8-F6A03B4233D0}"/>
    <cellStyle name="AF Data 0 - IBM Cognos" xfId="76" xr:uid="{7CF3701D-7AB6-465E-B016-742E4E93244D}"/>
    <cellStyle name="AF Data 1 - IBM Cognos" xfId="77" xr:uid="{336CE461-EE68-42C6-B251-D3C9F7D5DD7C}"/>
    <cellStyle name="AF Data 2 - IBM Cognos" xfId="78" xr:uid="{E24D7101-0901-4F46-A45C-98F210FBFA52}"/>
    <cellStyle name="AF Data 3 - IBM Cognos" xfId="79" xr:uid="{7F8AFF18-0A81-4E52-AE35-0BAADC852DE4}"/>
    <cellStyle name="AF Data 4 - IBM Cognos" xfId="80" xr:uid="{2DE2492E-6EA1-4ACF-9A38-C747AC14EF37}"/>
    <cellStyle name="AF Data 5 - IBM Cognos" xfId="81" xr:uid="{880EEA7F-6968-4C84-B5F1-E79C8546968F}"/>
    <cellStyle name="AF Data Leaf - IBM Cognos" xfId="82" xr:uid="{0C2EA849-1D8A-423C-A9F5-0517D3EF5DCA}"/>
    <cellStyle name="AF Header - IBM Cognos" xfId="83" xr:uid="{3B9495C9-C8B6-4C47-A4C8-565676D68B00}"/>
    <cellStyle name="AF Header 0 - IBM Cognos" xfId="84" xr:uid="{9AA0F718-743B-43EF-95BA-FF61DD10DF2E}"/>
    <cellStyle name="AF Header 1 - IBM Cognos" xfId="85" xr:uid="{96E947FB-DA32-4256-B6E6-C4D625FA74D9}"/>
    <cellStyle name="AF Header 2 - IBM Cognos" xfId="86" xr:uid="{A7D33459-AE02-4AF3-9131-222EA33B156B}"/>
    <cellStyle name="AF Header 3 - IBM Cognos" xfId="87" xr:uid="{E952F8F6-83AF-4C62-91B1-CAD1E6E7C5FC}"/>
    <cellStyle name="AF Header 4 - IBM Cognos" xfId="88" xr:uid="{4B879465-156A-4737-AC36-423A0ED44014}"/>
    <cellStyle name="AF Header 5 - IBM Cognos" xfId="89" xr:uid="{4F16212E-6D2B-49E3-ABD7-0ADA2BE6622A}"/>
    <cellStyle name="AF Header Leaf - IBM Cognos" xfId="90" xr:uid="{8E08282D-229A-47DB-8109-A5D34EEE4104}"/>
    <cellStyle name="AF Row - IBM Cognos" xfId="91" xr:uid="{6E908C2B-AD89-48F9-BCA9-D767AAFAF00A}"/>
    <cellStyle name="AF Row 0 - IBM Cognos" xfId="92" xr:uid="{CE5E4C6A-D167-48DC-BCD3-A7770AEA3441}"/>
    <cellStyle name="AF Row 1 - IBM Cognos" xfId="93" xr:uid="{4DE36919-E79E-4FFD-9D85-11C68BE9886B}"/>
    <cellStyle name="AF Row 2 - IBM Cognos" xfId="94" xr:uid="{F093FD50-8421-4CFB-8CE4-2F9D2619614B}"/>
    <cellStyle name="AF Row 3 - IBM Cognos" xfId="95" xr:uid="{4AEBFE7E-68F9-469E-A8C7-A4683B9A663E}"/>
    <cellStyle name="AF Row 4 - IBM Cognos" xfId="96" xr:uid="{09D63D31-547B-4303-99DA-BFE7808DF751}"/>
    <cellStyle name="AF Row 5 - IBM Cognos" xfId="97" xr:uid="{66B657A3-D766-455F-8FD0-C67A1BB423AC}"/>
    <cellStyle name="AF Row Leaf - IBM Cognos" xfId="98" xr:uid="{93077E2F-B96F-4EB7-8796-D3557AB7FCDC}"/>
    <cellStyle name="AF Subnm - IBM Cognos" xfId="99" xr:uid="{39A9BD2D-180B-4ED8-9210-726127410C40}"/>
    <cellStyle name="AF Title - IBM Cognos" xfId="100" xr:uid="{2F071241-C8E5-4BC7-84DF-F21418451656}"/>
    <cellStyle name="Bueno" xfId="22" builtinId="26" customBuiltin="1"/>
    <cellStyle name="Calculated Column - IBM Cognos" xfId="101" xr:uid="{ABC4A6F4-E61F-4BE0-AB7E-B8606932893D}"/>
    <cellStyle name="Calculated Column Name - IBM Cognos" xfId="102" xr:uid="{09CB8CBE-7BEB-45BA-909E-97B3E2BAAA7F}"/>
    <cellStyle name="Calculated Row - IBM Cognos" xfId="103" xr:uid="{53AC5B00-B021-4C89-B19E-09D672CFFF95}"/>
    <cellStyle name="Calculated Row Name - IBM Cognos" xfId="104" xr:uid="{75EAEAD6-A851-402F-9280-EBA2034C888A}"/>
    <cellStyle name="Cálculo" xfId="23" builtinId="22" customBuiltin="1"/>
    <cellStyle name="Celda de comprobación" xfId="24" builtinId="23" customBuiltin="1"/>
    <cellStyle name="Celda vinculada" xfId="25" builtinId="24" customBuiltin="1"/>
    <cellStyle name="Column Name - IBM Cognos" xfId="105" xr:uid="{C128B4D5-0478-4F22-8F59-19C7DFB92310}"/>
    <cellStyle name="Column Template - IBM Cognos" xfId="106" xr:uid="{C042C8C7-D78C-450C-9DCD-87C01829E6CD}"/>
    <cellStyle name="Differs From Base - IBM Cognos" xfId="107" xr:uid="{6277C9E4-7128-4C72-9CC4-25CA189D67B5}"/>
    <cellStyle name="Edit - IBM Cognos" xfId="108" xr:uid="{07CF22B4-15BE-4EBB-A863-2C630DE6283D}"/>
    <cellStyle name="Encabezado 1" xfId="43" builtinId="16" customBuiltin="1"/>
    <cellStyle name="Encabezado 4" xfId="26" builtinId="19" customBuiltin="1"/>
    <cellStyle name="Énfasis1" xfId="27" builtinId="29" customBuiltin="1"/>
    <cellStyle name="Énfasis2" xfId="28" builtinId="33" customBuiltin="1"/>
    <cellStyle name="Énfasis3" xfId="29" builtinId="37" customBuiltin="1"/>
    <cellStyle name="Énfasis4" xfId="30" builtinId="41" customBuiltin="1"/>
    <cellStyle name="Énfasis5" xfId="31" builtinId="45" customBuiltin="1"/>
    <cellStyle name="Énfasis6" xfId="32" builtinId="49" customBuiltin="1"/>
    <cellStyle name="Entrada" xfId="33" builtinId="20" customBuiltin="1"/>
    <cellStyle name="Formula - IBM Cognos" xfId="109" xr:uid="{8FDC795B-5118-40FD-9895-E7426ACB2B84}"/>
    <cellStyle name="Group Name - IBM Cognos" xfId="110" xr:uid="{16C58F0E-71A9-4352-BA75-E7446501BBD4}"/>
    <cellStyle name="Hold Values - IBM Cognos" xfId="111" xr:uid="{BB6B1D38-1074-4749-9AA2-6F1452BACFF6}"/>
    <cellStyle name="Incorrecto" xfId="34" builtinId="27" customBuiltin="1"/>
    <cellStyle name="List Name - IBM Cognos" xfId="112" xr:uid="{CDF7512F-C63A-4868-AAE5-1FB2B00C4C48}"/>
    <cellStyle name="Locked - IBM Cognos" xfId="113" xr:uid="{FF54443D-B207-4AF8-88F1-AFE762AFD2BA}"/>
    <cellStyle name="Measure - IBM Cognos" xfId="114" xr:uid="{9DE829AB-2FB7-489B-BA4B-99AF2F1FD280}"/>
    <cellStyle name="Measure Header - IBM Cognos" xfId="115" xr:uid="{39482846-F9E7-47EB-A067-9BBBDD45DDCA}"/>
    <cellStyle name="Measure Name - IBM Cognos" xfId="116" xr:uid="{4A0B457B-B21A-4E83-9841-E041DD7DC440}"/>
    <cellStyle name="Measure Summary - IBM Cognos" xfId="117" xr:uid="{1FDDA14D-2839-4445-9F32-583371652C3A}"/>
    <cellStyle name="Measure Summary TM1 - IBM Cognos" xfId="118" xr:uid="{AB46D10D-6181-4A14-B328-7F771798ED10}"/>
    <cellStyle name="Measure Template - IBM Cognos" xfId="119" xr:uid="{45DB519F-4CBF-493E-A07F-66002B99A70F}"/>
    <cellStyle name="Millares" xfId="35" builtinId="3"/>
    <cellStyle name="Millares 2" xfId="47" xr:uid="{00000000-0005-0000-0000-000027000000}"/>
    <cellStyle name="Millares 2 2" xfId="63" xr:uid="{2CE5B8D9-96CF-4B1C-819F-D05646ED3E2A}"/>
    <cellStyle name="Millares 2 2 2" xfId="132" xr:uid="{9FED4B20-C181-4FFF-855F-A3350F7B75CB}"/>
    <cellStyle name="Millares 2 2 3" xfId="143" xr:uid="{1F6B88F2-2A21-48CB-9108-4AD7A7A8F841}"/>
    <cellStyle name="Millares 2 3" xfId="57" xr:uid="{BD63B840-D9E8-4007-8BE8-E758EC070E86}"/>
    <cellStyle name="Millares 2 3 2" xfId="131" xr:uid="{5823FDF3-E57D-4BCE-84F6-71FFBF98402A}"/>
    <cellStyle name="Millares 2 3 3" xfId="142" xr:uid="{02A6E4F8-6FD6-48A4-9D91-6A5F494B2D03}"/>
    <cellStyle name="Millares 2 4" xfId="66" xr:uid="{728FF205-CB9C-4163-8C14-5C7F13F25F47}"/>
    <cellStyle name="Millares 2 4 2" xfId="134" xr:uid="{1944F8AB-9588-48C8-B376-C4976FCACB0F}"/>
    <cellStyle name="Millares 2 4 3" xfId="144" xr:uid="{C17B9E06-3DA8-4B8E-B63C-904B08AE4D07}"/>
    <cellStyle name="Millares 2 5" xfId="68" xr:uid="{DE077AA9-8D97-4F7D-993B-B3FC5EA952A5}"/>
    <cellStyle name="Millares 2 5 2" xfId="136" xr:uid="{7F8A0556-B4E8-4567-8A71-4EA2B6D74693}"/>
    <cellStyle name="Millares 2 5 3" xfId="145" xr:uid="{FDEE8750-85B9-45CD-898F-15A100C8D626}"/>
    <cellStyle name="Millares 2 6" xfId="70" xr:uid="{1A94810A-ED4E-4032-BC97-B321759BC6AC}"/>
    <cellStyle name="Millares 2 6 2" xfId="138" xr:uid="{72B870A1-AB3D-4B28-9866-5E60FB6049F1}"/>
    <cellStyle name="Millares 2 6 3" xfId="146" xr:uid="{BB436BAE-A411-4825-AA75-578190EC8896}"/>
    <cellStyle name="Millares 2 7" xfId="72" xr:uid="{D048169E-870A-4F71-87C5-BF129F945690}"/>
    <cellStyle name="Millares 2 7 2" xfId="140" xr:uid="{32FECB8C-6A2E-46B9-BF38-162C2B88ED11}"/>
    <cellStyle name="Millares 2 7 3" xfId="147" xr:uid="{27DBE194-FB39-4278-86E9-A7D21DB896BA}"/>
    <cellStyle name="Moneda 2" xfId="59" xr:uid="{88BDD7D7-493E-4CC4-B2CF-46699C6DF3E8}"/>
    <cellStyle name="More - IBM Cognos" xfId="120" xr:uid="{7EEC4B95-6609-4905-87AE-C913D14C741E}"/>
    <cellStyle name="Neutral" xfId="36" builtinId="28" customBuiltin="1"/>
    <cellStyle name="Normal" xfId="0" builtinId="0"/>
    <cellStyle name="Normal 10" xfId="73" xr:uid="{8315B7FF-ED9B-4F0D-A9F7-21D3E079CE3C}"/>
    <cellStyle name="Normal 10 2" xfId="141" xr:uid="{7CE1A7BB-D513-41B5-93FF-7A97036D738D}"/>
    <cellStyle name="Normal 10 2 3" xfId="64" xr:uid="{D74772CC-9479-4DA9-85E1-95B42E47E5BD}"/>
    <cellStyle name="Normal 10 2 3 3" xfId="50" xr:uid="{00000000-0005-0000-0000-00002A000000}"/>
    <cellStyle name="Normal 11" xfId="129" xr:uid="{C1960BCA-6407-4325-815F-E3B5D92D84FC}"/>
    <cellStyle name="Normal 12 7" xfId="60" xr:uid="{2622640C-0BEB-411B-B085-1F7B252AA383}"/>
    <cellStyle name="Normal 2" xfId="37" xr:uid="{00000000-0005-0000-0000-00002B000000}"/>
    <cellStyle name="Normal 2 2" xfId="53" xr:uid="{00000000-0005-0000-0000-00002C000000}"/>
    <cellStyle name="Normal 257 2" xfId="61" xr:uid="{720BA9E6-7619-43E2-B397-9F0F9810B2D3}"/>
    <cellStyle name="Normal 3" xfId="54" xr:uid="{C049DC03-C364-4E55-8EF4-032FFDA300F4}"/>
    <cellStyle name="Normal 4" xfId="58" xr:uid="{A7ECE4EE-F3EE-4021-BDC8-0A68F5133605}"/>
    <cellStyle name="Normal 4 5 2" xfId="48" xr:uid="{00000000-0005-0000-0000-00002D000000}"/>
    <cellStyle name="Normal 4 6" xfId="62" xr:uid="{42DCD038-0CA5-4A51-9B9E-3237AEFCE9DA}"/>
    <cellStyle name="Normal 5" xfId="56" xr:uid="{58481CF8-DCF0-4A87-AA9C-59CE2E615B8C}"/>
    <cellStyle name="Normal 5 2" xfId="130" xr:uid="{66ACDC81-DA67-4815-8254-3EF175C75EEA}"/>
    <cellStyle name="Normal 6" xfId="65" xr:uid="{A05786CC-AD47-4FA0-A1F6-8E8184F0E2C7}"/>
    <cellStyle name="Normal 6 2" xfId="133" xr:uid="{75280C4E-9AE3-4055-A247-E4BAD4BAA1E7}"/>
    <cellStyle name="Normal 7" xfId="67" xr:uid="{CE9C0EA3-14B2-420D-BCB2-2B7FB51D2B50}"/>
    <cellStyle name="Normal 7 2" xfId="135" xr:uid="{A19E8B86-70F6-4FBC-B604-FC7FD5DAB36D}"/>
    <cellStyle name="Normal 8" xfId="69" xr:uid="{31F6F636-DA40-4DDA-A32D-68B9B54CBA01}"/>
    <cellStyle name="Normal 8 2" xfId="137" xr:uid="{6826E78E-0A56-4175-A9EE-DC4B1C41C494}"/>
    <cellStyle name="Normal 9" xfId="71" xr:uid="{4B3D67A2-E7AE-4ADD-8532-7314A014A952}"/>
    <cellStyle name="Normal 9 2" xfId="139" xr:uid="{C12EAAC1-DDA8-4297-8506-6FEF5EDFC194}"/>
    <cellStyle name="Notas" xfId="38" builtinId="10" customBuiltin="1"/>
    <cellStyle name="Pending Change - IBM Cognos" xfId="121" xr:uid="{888F6192-016E-4B85-BCC8-6E0A95034DC9}"/>
    <cellStyle name="Row Name - IBM Cognos" xfId="122" xr:uid="{C79EF378-5FE4-46F6-A6DF-DF50BA4A5DCA}"/>
    <cellStyle name="Row Template - IBM Cognos" xfId="123" xr:uid="{4349C115-AA7D-439C-87D6-A6649B044D12}"/>
    <cellStyle name="Salida" xfId="39" builtinId="21" customBuiltin="1"/>
    <cellStyle name="Summary Column Name - IBM Cognos" xfId="124" xr:uid="{921ABB7A-D419-444D-A9AC-C17D92AD7187}"/>
    <cellStyle name="Summary Column Name TM1 - IBM Cognos" xfId="125" xr:uid="{82439300-A03F-45C5-BE07-90717C685049}"/>
    <cellStyle name="Summary Row Name - IBM Cognos" xfId="126" xr:uid="{ACACC9B6-B968-4E22-B568-6A92F7594D2A}"/>
    <cellStyle name="Summary Row Name TM1 - IBM Cognos" xfId="127" xr:uid="{AAA5DA3D-B893-40E5-A537-AC342185C666}"/>
    <cellStyle name="Texto de advertencia" xfId="40" builtinId="11" customBuiltin="1"/>
    <cellStyle name="Texto explicativo" xfId="41" builtinId="53" customBuiltin="1"/>
    <cellStyle name="Título" xfId="42" builtinId="15" customBuiltin="1"/>
    <cellStyle name="Título 2" xfId="44" builtinId="17" customBuiltin="1"/>
    <cellStyle name="Título 3" xfId="45" builtinId="18" customBuiltin="1"/>
    <cellStyle name="Total" xfId="46" builtinId="25" customBuiltin="1"/>
    <cellStyle name="Unsaved Change - IBM Cognos" xfId="128" xr:uid="{D43B198F-6B11-409C-9597-9830E16ED523}"/>
  </cellStyles>
  <dxfs count="104">
    <dxf>
      <font>
        <b/>
        <i val="0"/>
        <color rgb="FFFF0000"/>
      </font>
      <fill>
        <patternFill>
          <bgColor rgb="FFFFFF00"/>
        </patternFill>
      </fill>
    </dxf>
    <dxf>
      <font>
        <color rgb="FFFF0000"/>
      </font>
      <fill>
        <patternFill>
          <bgColor rgb="FFFFFF00"/>
        </patternFill>
      </fill>
    </dxf>
    <dxf>
      <font>
        <b/>
        <i val="0"/>
        <color rgb="FFFF0000"/>
      </font>
      <fill>
        <patternFill>
          <bgColor rgb="FFFFFF00"/>
        </patternFill>
      </fill>
    </dxf>
    <dxf>
      <font>
        <color rgb="FFFF0000"/>
      </font>
      <fill>
        <patternFill>
          <bgColor rgb="FFFFFF00"/>
        </patternFill>
      </fill>
    </dxf>
    <dxf>
      <font>
        <b/>
        <i val="0"/>
        <color rgb="FFFF0000"/>
      </font>
      <fill>
        <patternFill>
          <bgColor rgb="FFFFFF00"/>
        </patternFill>
      </fill>
    </dxf>
    <dxf>
      <font>
        <color rgb="FFFF0000"/>
      </font>
      <fill>
        <patternFill>
          <bgColor rgb="FFFFFF00"/>
        </patternFill>
      </fill>
    </dxf>
    <dxf>
      <font>
        <b val="0"/>
        <i val="0"/>
        <color rgb="FFFF3300"/>
      </font>
      <fill>
        <patternFill>
          <bgColor theme="2" tint="-9.9948118533890809E-2"/>
        </patternFill>
      </fill>
    </dxf>
    <dxf>
      <font>
        <color rgb="FFFF0000"/>
      </font>
      <fill>
        <patternFill>
          <bgColor theme="2" tint="-9.9948118533890809E-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FF0000"/>
      </font>
      <fill>
        <patternFill>
          <bgColor rgb="FFFFFF00"/>
        </patternFill>
      </fill>
    </dxf>
    <dxf>
      <font>
        <color rgb="FFFF0000"/>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color rgb="FFFF0000"/>
      </font>
      <fill>
        <patternFill>
          <bgColor rgb="FFFFFF00"/>
        </patternFill>
      </fill>
    </dxf>
    <dxf>
      <font>
        <color rgb="FFFF0000"/>
      </font>
      <fill>
        <patternFill>
          <bgColor rgb="FFFFFF00"/>
        </patternFill>
      </fill>
    </dxf>
    <dxf>
      <font>
        <b/>
        <i val="0"/>
        <color rgb="FFFF0000"/>
      </font>
      <fill>
        <patternFill>
          <bgColor rgb="FFFFFF00"/>
        </patternFill>
      </fill>
    </dxf>
    <dxf>
      <font>
        <color rgb="FFFF0000"/>
      </font>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1" defaultTableStyle="TableStyleMedium2" defaultPivotStyle="PivotStyleLight16">
    <tableStyle name="Invisible" pivot="0" table="0" count="0" xr9:uid="{EB6AB5BA-ACB6-48CB-8083-6113139A1287}"/>
  </tableStyles>
  <colors>
    <mruColors>
      <color rgb="FFFFFFCC"/>
      <color rgb="FFFF6600"/>
      <color rgb="FFFFAFB1"/>
      <color rgb="FF808080"/>
      <color rgb="FF0000FF"/>
      <color rgb="FFEBF1DE"/>
      <color rgb="FFB1A0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53</xdr:col>
      <xdr:colOff>163286</xdr:colOff>
      <xdr:row>29</xdr:row>
      <xdr:rowOff>0</xdr:rowOff>
    </xdr:from>
    <xdr:to>
      <xdr:col>56</xdr:col>
      <xdr:colOff>585108</xdr:colOff>
      <xdr:row>32</xdr:row>
      <xdr:rowOff>110558</xdr:rowOff>
    </xdr:to>
    <xdr:sp macro="" textlink="">
      <xdr:nvSpPr>
        <xdr:cNvPr id="3" name="CuadroTexto 2">
          <a:extLst>
            <a:ext uri="{FF2B5EF4-FFF2-40B4-BE49-F238E27FC236}">
              <a16:creationId xmlns:a16="http://schemas.microsoft.com/office/drawing/2014/main" id="{AEFF13AC-6D09-48E3-96DF-DEDF8A9B50CC}"/>
            </a:ext>
          </a:extLst>
        </xdr:cNvPr>
        <xdr:cNvSpPr txBox="1"/>
      </xdr:nvSpPr>
      <xdr:spPr>
        <a:xfrm>
          <a:off x="37936715" y="8871857"/>
          <a:ext cx="2381250" cy="641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800"/>
            <a:t>quitar columnas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indexed="53"/>
    <pageSetUpPr fitToPage="1"/>
  </sheetPr>
  <dimension ref="A2:EH240"/>
  <sheetViews>
    <sheetView showGridLines="0" topLeftCell="A22" zoomScale="66" zoomScaleNormal="66" workbookViewId="0">
      <selection activeCell="AZ40" sqref="AZ40"/>
    </sheetView>
  </sheetViews>
  <sheetFormatPr baseColWidth="10" defaultColWidth="11.42578125" defaultRowHeight="12.75"/>
  <cols>
    <col min="1" max="1" width="1.5703125" style="4" customWidth="1"/>
    <col min="2" max="2" width="13.28515625" style="1" customWidth="1"/>
    <col min="3" max="3" width="52.28515625" style="1" customWidth="1"/>
    <col min="4" max="4" width="9.28515625" style="1" customWidth="1"/>
    <col min="5" max="5" width="9" style="1" customWidth="1"/>
    <col min="6" max="6" width="9.28515625" style="1" customWidth="1"/>
    <col min="7" max="7" width="8.5703125" style="1" customWidth="1"/>
    <col min="8" max="8" width="11.28515625" style="1" customWidth="1"/>
    <col min="9" max="9" width="1" style="4" customWidth="1"/>
    <col min="10" max="10" width="13.7109375" style="1" bestFit="1" customWidth="1"/>
    <col min="11" max="11" width="8.42578125" style="1" customWidth="1"/>
    <col min="12" max="12" width="1" style="4" customWidth="1"/>
    <col min="13" max="20" width="10.28515625" style="1" customWidth="1"/>
    <col min="21" max="21" width="1.42578125" style="4" customWidth="1"/>
    <col min="22" max="25" width="11.7109375" style="1" customWidth="1"/>
    <col min="26" max="29" width="10.28515625" style="1" customWidth="1"/>
    <col min="30" max="30" width="2.28515625" style="4" customWidth="1"/>
    <col min="31" max="34" width="11" style="1" customWidth="1"/>
    <col min="35" max="35" width="1.7109375" style="4" customWidth="1"/>
    <col min="36" max="41" width="11" style="1" customWidth="1"/>
    <col min="42" max="42" width="4.7109375" style="4" customWidth="1"/>
    <col min="43" max="43" width="8.7109375" style="1" bestFit="1" customWidth="1"/>
    <col min="44" max="44" width="2.42578125" style="4" customWidth="1"/>
    <col min="45" max="45" width="9.5703125" style="1" customWidth="1"/>
    <col min="46" max="46" width="9.42578125" style="1" customWidth="1"/>
    <col min="47" max="47" width="1.5703125" style="4" customWidth="1"/>
    <col min="48" max="48" width="10.5703125" style="1" bestFit="1" customWidth="1"/>
    <col min="49" max="49" width="9" style="1" customWidth="1"/>
    <col min="50" max="50" width="9.5703125" style="1" customWidth="1"/>
    <col min="51" max="51" width="9" style="1" customWidth="1"/>
    <col min="52" max="52" width="8.7109375" style="1" bestFit="1" customWidth="1"/>
    <col min="53" max="53" width="8.42578125" style="1" bestFit="1" customWidth="1"/>
    <col min="54" max="54" width="8.7109375" style="1" bestFit="1" customWidth="1"/>
    <col min="55" max="55" width="8.42578125" style="1" bestFit="1" customWidth="1"/>
    <col min="56" max="56" width="1.7109375" style="4" customWidth="1"/>
    <col min="57" max="64" width="9" style="1" customWidth="1"/>
    <col min="65" max="65" width="11.42578125" style="4"/>
    <col min="66" max="66" width="11.42578125" style="1"/>
    <col min="67" max="67" width="1" style="1" customWidth="1"/>
    <col min="68" max="69" width="11.42578125" style="1"/>
    <col min="70" max="70" width="1" style="1" customWidth="1"/>
    <col min="71" max="78" width="11.42578125" style="1"/>
    <col min="79" max="79" width="1.42578125" style="1" customWidth="1"/>
    <col min="80" max="87" width="11.42578125" style="1"/>
    <col min="88" max="89" width="11.42578125" style="4"/>
    <col min="90" max="90" width="1.28515625" style="4" customWidth="1"/>
    <col min="91" max="91" width="13.7109375" style="4" customWidth="1"/>
    <col min="92" max="92" width="1.42578125" style="4" customWidth="1"/>
    <col min="93" max="93" width="15.7109375" style="4" customWidth="1"/>
    <col min="94" max="94" width="16.5703125" style="4" customWidth="1"/>
    <col min="95" max="95" width="14" style="4" customWidth="1"/>
    <col min="96" max="96" width="14.28515625" style="4" customWidth="1"/>
    <col min="97" max="97" width="1.28515625" style="4" customWidth="1"/>
    <col min="98" max="101" width="20.7109375" style="4" customWidth="1"/>
    <col min="102" max="138" width="11.42578125" style="4"/>
    <col min="139" max="16384" width="11.42578125" style="1"/>
  </cols>
  <sheetData>
    <row r="2" spans="2:29" ht="23.25" customHeight="1">
      <c r="B2" s="582" t="s">
        <v>22</v>
      </c>
      <c r="C2" s="582"/>
      <c r="D2" s="582"/>
      <c r="E2" s="582"/>
      <c r="F2" s="582"/>
      <c r="G2" s="582"/>
      <c r="H2" s="593" t="s">
        <v>23</v>
      </c>
      <c r="J2" s="595" t="s">
        <v>30</v>
      </c>
      <c r="K2" s="596"/>
      <c r="L2" s="12"/>
      <c r="M2" s="609" t="s">
        <v>0</v>
      </c>
      <c r="N2" s="610"/>
      <c r="O2" s="610"/>
      <c r="P2" s="610"/>
      <c r="Q2" s="610"/>
      <c r="R2" s="610"/>
      <c r="S2" s="610"/>
      <c r="T2" s="610"/>
      <c r="U2" s="610"/>
      <c r="V2" s="610"/>
      <c r="W2" s="610"/>
      <c r="X2" s="610"/>
      <c r="Y2" s="610"/>
      <c r="Z2" s="610"/>
      <c r="AA2" s="610"/>
      <c r="AB2" s="610"/>
      <c r="AC2" s="596"/>
    </row>
    <row r="3" spans="2:29" customFormat="1" ht="3.75" customHeight="1">
      <c r="B3" s="57"/>
      <c r="H3" s="594"/>
      <c r="M3" s="30"/>
      <c r="U3" s="28"/>
      <c r="AA3" s="13"/>
      <c r="AB3" s="13"/>
      <c r="AC3" s="13"/>
    </row>
    <row r="4" spans="2:29" s="14" customFormat="1" ht="30" customHeight="1" thickBot="1">
      <c r="B4" s="125">
        <f>'PVP VaP Auton-McrPyme'!B4</f>
        <v>45658</v>
      </c>
      <c r="C4" s="126" t="str">
        <f>'PVP VaP Auton-McrPyme'!C4</f>
        <v>7/01 al 2/02</v>
      </c>
      <c r="D4" s="614"/>
      <c r="E4" s="614"/>
      <c r="F4" s="614"/>
      <c r="G4" s="615"/>
      <c r="H4" s="594"/>
      <c r="I4" s="11"/>
      <c r="J4" s="617" t="s">
        <v>7</v>
      </c>
      <c r="K4" s="618"/>
      <c r="L4" s="11"/>
      <c r="M4" s="553" t="s">
        <v>7</v>
      </c>
      <c r="N4" s="554"/>
      <c r="O4" s="555" t="s">
        <v>204</v>
      </c>
      <c r="P4" s="554"/>
      <c r="Q4" s="555" t="s">
        <v>9</v>
      </c>
      <c r="R4" s="554"/>
      <c r="S4" s="556" t="s">
        <v>10</v>
      </c>
      <c r="T4" s="565"/>
      <c r="U4" s="29"/>
      <c r="V4" s="553" t="s">
        <v>7</v>
      </c>
      <c r="W4" s="554"/>
      <c r="X4" s="555" t="s">
        <v>8</v>
      </c>
      <c r="Y4" s="554"/>
      <c r="Z4" s="555" t="s">
        <v>9</v>
      </c>
      <c r="AA4" s="554"/>
      <c r="AB4" s="556" t="s">
        <v>10</v>
      </c>
      <c r="AC4" s="557"/>
    </row>
    <row r="5" spans="2:29" ht="15.75" customHeight="1">
      <c r="B5" s="587" t="s">
        <v>40</v>
      </c>
      <c r="C5" s="588"/>
      <c r="D5" s="597" t="s">
        <v>4</v>
      </c>
      <c r="E5" s="597"/>
      <c r="F5" s="597"/>
      <c r="G5" s="598"/>
      <c r="H5" s="616" t="s">
        <v>12</v>
      </c>
      <c r="I5" s="6"/>
      <c r="J5" s="603" t="s">
        <v>3</v>
      </c>
      <c r="K5" s="604"/>
      <c r="L5" s="7"/>
      <c r="M5" s="584" t="s">
        <v>99</v>
      </c>
      <c r="N5" s="567"/>
      <c r="O5" s="566" t="s">
        <v>97</v>
      </c>
      <c r="P5" s="567"/>
      <c r="Q5" s="572" t="s">
        <v>98</v>
      </c>
      <c r="R5" s="573"/>
      <c r="S5" s="574" t="s">
        <v>104</v>
      </c>
      <c r="T5" s="575"/>
      <c r="U5" s="31"/>
      <c r="V5" s="603" t="s">
        <v>343</v>
      </c>
      <c r="W5" s="623"/>
      <c r="X5" s="572" t="s">
        <v>340</v>
      </c>
      <c r="Y5" s="573"/>
      <c r="Z5" s="572" t="s">
        <v>350</v>
      </c>
      <c r="AA5" s="573"/>
      <c r="AB5" s="574" t="s">
        <v>351</v>
      </c>
      <c r="AC5" s="640"/>
    </row>
    <row r="6" spans="2:29" ht="15.75" customHeight="1">
      <c r="B6" s="589"/>
      <c r="C6" s="590"/>
      <c r="D6" s="599"/>
      <c r="E6" s="599"/>
      <c r="F6" s="599"/>
      <c r="G6" s="600"/>
      <c r="H6" s="606"/>
      <c r="I6" s="7"/>
      <c r="J6" s="605"/>
      <c r="K6" s="606"/>
      <c r="L6" s="7"/>
      <c r="M6" s="58"/>
      <c r="N6" s="50"/>
      <c r="O6" s="568"/>
      <c r="P6" s="569"/>
      <c r="Q6" s="574"/>
      <c r="R6" s="575"/>
      <c r="S6" s="574"/>
      <c r="T6" s="575"/>
      <c r="U6" s="31"/>
      <c r="V6" s="58"/>
      <c r="W6" s="92"/>
      <c r="X6" s="574"/>
      <c r="Y6" s="575"/>
      <c r="Z6" s="574"/>
      <c r="AA6" s="575"/>
      <c r="AB6" s="574"/>
      <c r="AC6" s="640"/>
    </row>
    <row r="7" spans="2:29" ht="15.75" customHeight="1">
      <c r="B7" s="589"/>
      <c r="C7" s="590"/>
      <c r="D7" s="599"/>
      <c r="E7" s="599"/>
      <c r="F7" s="599"/>
      <c r="G7" s="600"/>
      <c r="H7" s="606"/>
      <c r="I7" s="7"/>
      <c r="J7" s="605"/>
      <c r="K7" s="606"/>
      <c r="L7" s="7"/>
      <c r="M7" s="60" t="s">
        <v>344</v>
      </c>
      <c r="N7" s="50"/>
      <c r="O7" s="568"/>
      <c r="P7" s="569"/>
      <c r="Q7" s="574"/>
      <c r="R7" s="575"/>
      <c r="S7" s="574"/>
      <c r="T7" s="575"/>
      <c r="U7" s="31"/>
      <c r="V7" s="624" t="s">
        <v>341</v>
      </c>
      <c r="W7" s="625"/>
      <c r="X7" s="574"/>
      <c r="Y7" s="575"/>
      <c r="Z7" s="574"/>
      <c r="AA7" s="575"/>
      <c r="AB7" s="574"/>
      <c r="AC7" s="640"/>
    </row>
    <row r="8" spans="2:29" ht="15.75" customHeight="1">
      <c r="B8" s="589"/>
      <c r="C8" s="590"/>
      <c r="D8" s="599"/>
      <c r="E8" s="599"/>
      <c r="F8" s="599"/>
      <c r="G8" s="600"/>
      <c r="H8" s="606"/>
      <c r="I8" s="7"/>
      <c r="J8" s="605"/>
      <c r="K8" s="606"/>
      <c r="L8" s="7"/>
      <c r="M8" s="60" t="s">
        <v>345</v>
      </c>
      <c r="N8" s="50"/>
      <c r="O8" s="568"/>
      <c r="P8" s="569"/>
      <c r="Q8" s="574"/>
      <c r="R8" s="575"/>
      <c r="S8" s="574"/>
      <c r="T8" s="575"/>
      <c r="U8" s="31"/>
      <c r="V8" s="624"/>
      <c r="W8" s="625"/>
      <c r="X8" s="574"/>
      <c r="Y8" s="575"/>
      <c r="Z8" s="574"/>
      <c r="AA8" s="575"/>
      <c r="AB8" s="574"/>
      <c r="AC8" s="640"/>
    </row>
    <row r="9" spans="2:29" ht="15.75" customHeight="1">
      <c r="B9" s="589"/>
      <c r="C9" s="590"/>
      <c r="D9" s="599"/>
      <c r="E9" s="599"/>
      <c r="F9" s="599"/>
      <c r="G9" s="600"/>
      <c r="H9" s="606"/>
      <c r="I9" s="7"/>
      <c r="J9" s="605"/>
      <c r="K9" s="606"/>
      <c r="L9" s="7"/>
      <c r="M9" s="60" t="s">
        <v>103</v>
      </c>
      <c r="N9" s="50"/>
      <c r="O9" s="568"/>
      <c r="P9" s="569"/>
      <c r="Q9" s="574"/>
      <c r="R9" s="575"/>
      <c r="S9" s="574"/>
      <c r="T9" s="575"/>
      <c r="U9" s="31"/>
      <c r="V9" s="624"/>
      <c r="W9" s="625"/>
      <c r="X9" s="574"/>
      <c r="Y9" s="575"/>
      <c r="Z9" s="574"/>
      <c r="AA9" s="575"/>
      <c r="AB9" s="574"/>
      <c r="AC9" s="640"/>
    </row>
    <row r="10" spans="2:29" ht="15.75" customHeight="1">
      <c r="B10" s="589"/>
      <c r="C10" s="590"/>
      <c r="D10" s="599"/>
      <c r="E10" s="599"/>
      <c r="F10" s="599"/>
      <c r="G10" s="600"/>
      <c r="H10" s="606"/>
      <c r="I10" s="7"/>
      <c r="J10" s="605"/>
      <c r="K10" s="606"/>
      <c r="L10" s="7"/>
      <c r="M10" s="60"/>
      <c r="N10" s="50"/>
      <c r="O10" s="568"/>
      <c r="P10" s="569"/>
      <c r="Q10" s="574"/>
      <c r="R10" s="575"/>
      <c r="S10" s="574"/>
      <c r="T10" s="575"/>
      <c r="U10" s="31"/>
      <c r="V10" s="624"/>
      <c r="W10" s="625"/>
      <c r="X10" s="574"/>
      <c r="Y10" s="575"/>
      <c r="Z10" s="574"/>
      <c r="AA10" s="575"/>
      <c r="AB10" s="574"/>
      <c r="AC10" s="640"/>
    </row>
    <row r="11" spans="2:29" ht="15.75" customHeight="1">
      <c r="B11" s="589"/>
      <c r="C11" s="590"/>
      <c r="D11" s="599"/>
      <c r="E11" s="599"/>
      <c r="F11" s="599"/>
      <c r="G11" s="600"/>
      <c r="H11" s="606"/>
      <c r="I11" s="7"/>
      <c r="J11" s="605"/>
      <c r="K11" s="606"/>
      <c r="L11" s="7"/>
      <c r="M11" s="60"/>
      <c r="N11" s="50"/>
      <c r="O11" s="568"/>
      <c r="P11" s="569"/>
      <c r="Q11" s="574"/>
      <c r="R11" s="575"/>
      <c r="S11" s="574"/>
      <c r="T11" s="575"/>
      <c r="U11" s="31"/>
      <c r="V11" s="624"/>
      <c r="W11" s="625"/>
      <c r="X11" s="574"/>
      <c r="Y11" s="575"/>
      <c r="Z11" s="574"/>
      <c r="AA11" s="575"/>
      <c r="AB11" s="574"/>
      <c r="AC11" s="640"/>
    </row>
    <row r="12" spans="2:29" ht="13.5" customHeight="1" thickBot="1">
      <c r="B12" s="589"/>
      <c r="C12" s="590"/>
      <c r="D12" s="601"/>
      <c r="E12" s="601"/>
      <c r="F12" s="601"/>
      <c r="G12" s="602"/>
      <c r="H12" s="606"/>
      <c r="I12" s="7"/>
      <c r="J12" s="607"/>
      <c r="K12" s="608"/>
      <c r="L12" s="7"/>
      <c r="M12" s="61"/>
      <c r="N12" s="67"/>
      <c r="O12" s="570"/>
      <c r="P12" s="571"/>
      <c r="Q12" s="576"/>
      <c r="R12" s="577"/>
      <c r="S12" s="576"/>
      <c r="T12" s="577"/>
      <c r="U12" s="31"/>
      <c r="V12" s="626"/>
      <c r="W12" s="627"/>
      <c r="X12" s="576"/>
      <c r="Y12" s="577"/>
      <c r="Z12" s="576"/>
      <c r="AA12" s="577"/>
      <c r="AB12" s="576"/>
      <c r="AC12" s="641"/>
    </row>
    <row r="13" spans="2:29" ht="37.9" customHeight="1">
      <c r="B13" s="589"/>
      <c r="C13" s="590"/>
      <c r="D13" s="661" t="s">
        <v>334</v>
      </c>
      <c r="E13" s="662"/>
      <c r="F13" s="662"/>
      <c r="G13" s="662"/>
      <c r="H13" s="96" t="s">
        <v>338</v>
      </c>
      <c r="I13" s="7"/>
      <c r="J13" s="657" t="s">
        <v>3</v>
      </c>
      <c r="K13" s="658"/>
      <c r="L13" s="7"/>
      <c r="M13" s="672" t="s">
        <v>3</v>
      </c>
      <c r="N13" s="673"/>
      <c r="O13" s="674" t="s">
        <v>3</v>
      </c>
      <c r="P13" s="665"/>
      <c r="Q13" s="580" t="s">
        <v>3</v>
      </c>
      <c r="R13" s="581"/>
      <c r="S13" s="580" t="s">
        <v>3</v>
      </c>
      <c r="T13" s="666"/>
      <c r="U13" s="31"/>
      <c r="V13" s="669" t="s">
        <v>336</v>
      </c>
      <c r="W13" s="670"/>
      <c r="X13" s="580" t="s">
        <v>335</v>
      </c>
      <c r="Y13" s="581"/>
      <c r="Z13" s="580" t="s">
        <v>353</v>
      </c>
      <c r="AA13" s="665"/>
      <c r="AB13" s="580" t="s">
        <v>352</v>
      </c>
      <c r="AC13" s="666"/>
    </row>
    <row r="14" spans="2:29" ht="37.9" customHeight="1" thickBot="1">
      <c r="B14" s="589"/>
      <c r="C14" s="590"/>
      <c r="D14" s="663"/>
      <c r="E14" s="664"/>
      <c r="F14" s="664"/>
      <c r="G14" s="664"/>
      <c r="H14" s="97" t="s">
        <v>339</v>
      </c>
      <c r="I14" s="7"/>
      <c r="J14" s="659" t="s">
        <v>3</v>
      </c>
      <c r="K14" s="660"/>
      <c r="L14" s="7"/>
      <c r="M14" s="628" t="s">
        <v>3</v>
      </c>
      <c r="N14" s="629"/>
      <c r="O14" s="630" t="s">
        <v>3</v>
      </c>
      <c r="P14" s="631"/>
      <c r="Q14" s="562" t="s">
        <v>3</v>
      </c>
      <c r="R14" s="563"/>
      <c r="S14" s="562" t="s">
        <v>3</v>
      </c>
      <c r="T14" s="564"/>
      <c r="U14" s="31"/>
      <c r="V14" s="671" t="s">
        <v>337</v>
      </c>
      <c r="W14" s="668"/>
      <c r="X14" s="667" t="s">
        <v>346</v>
      </c>
      <c r="Y14" s="668"/>
      <c r="Z14" s="93"/>
      <c r="AA14" s="94"/>
      <c r="AB14" s="93"/>
      <c r="AC14" s="95"/>
    </row>
    <row r="15" spans="2:29" ht="30.75" customHeight="1" thickBot="1">
      <c r="B15" s="589"/>
      <c r="C15" s="590"/>
      <c r="D15" s="611" t="s">
        <v>27</v>
      </c>
      <c r="E15" s="611"/>
      <c r="F15" s="612"/>
      <c r="G15" s="613"/>
      <c r="H15" s="33" t="s">
        <v>3</v>
      </c>
      <c r="I15" s="10"/>
      <c r="J15" s="585" t="s">
        <v>3</v>
      </c>
      <c r="K15" s="586"/>
      <c r="L15" s="7"/>
      <c r="M15" s="583" t="s">
        <v>49</v>
      </c>
      <c r="N15" s="561"/>
      <c r="O15" s="578" t="s">
        <v>15</v>
      </c>
      <c r="P15" s="579"/>
      <c r="Q15" s="560" t="s">
        <v>15</v>
      </c>
      <c r="R15" s="561"/>
      <c r="S15" s="560" t="s">
        <v>15</v>
      </c>
      <c r="T15" s="561"/>
      <c r="U15" s="31"/>
      <c r="V15" s="583" t="s">
        <v>49</v>
      </c>
      <c r="W15" s="561"/>
      <c r="X15" s="578" t="s">
        <v>15</v>
      </c>
      <c r="Y15" s="579"/>
      <c r="Z15" s="560" t="s">
        <v>15</v>
      </c>
      <c r="AA15" s="561"/>
      <c r="AB15" s="560" t="s">
        <v>15</v>
      </c>
      <c r="AC15" s="642"/>
    </row>
    <row r="16" spans="2:29" ht="65.25" customHeight="1" thickBot="1">
      <c r="B16" s="589"/>
      <c r="C16" s="590"/>
      <c r="D16" s="611" t="s">
        <v>53</v>
      </c>
      <c r="E16" s="611"/>
      <c r="F16" s="612"/>
      <c r="G16" s="613"/>
      <c r="H16" s="33" t="s">
        <v>48</v>
      </c>
      <c r="I16" s="10"/>
      <c r="J16" s="619" t="s">
        <v>56</v>
      </c>
      <c r="K16" s="604"/>
      <c r="L16" s="7"/>
      <c r="M16" s="637" t="s">
        <v>62</v>
      </c>
      <c r="N16" s="638"/>
      <c r="O16" s="558" t="s">
        <v>50</v>
      </c>
      <c r="P16" s="559"/>
      <c r="Q16" s="558" t="s">
        <v>50</v>
      </c>
      <c r="R16" s="559"/>
      <c r="S16" s="558" t="s">
        <v>50</v>
      </c>
      <c r="T16" s="559"/>
      <c r="U16" s="31"/>
      <c r="V16" s="637" t="s">
        <v>62</v>
      </c>
      <c r="W16" s="638"/>
      <c r="X16" s="558" t="s">
        <v>50</v>
      </c>
      <c r="Y16" s="559"/>
      <c r="Z16" s="558" t="s">
        <v>50</v>
      </c>
      <c r="AA16" s="559"/>
      <c r="AB16" s="558" t="s">
        <v>50</v>
      </c>
      <c r="AC16" s="634"/>
    </row>
    <row r="17" spans="2:101" ht="21" customHeight="1" thickBot="1">
      <c r="B17" s="591"/>
      <c r="C17" s="592"/>
      <c r="D17" s="620" t="s">
        <v>5</v>
      </c>
      <c r="E17" s="621"/>
      <c r="F17" s="621"/>
      <c r="G17" s="621"/>
      <c r="H17" s="32" t="s">
        <v>3</v>
      </c>
      <c r="I17" s="9"/>
      <c r="J17" s="622" t="s">
        <v>3</v>
      </c>
      <c r="K17" s="586"/>
      <c r="L17" s="7"/>
      <c r="M17" s="622" t="s">
        <v>64</v>
      </c>
      <c r="N17" s="635"/>
      <c r="O17" s="636" t="s">
        <v>64</v>
      </c>
      <c r="P17" s="635"/>
      <c r="Q17" s="636" t="s">
        <v>64</v>
      </c>
      <c r="R17" s="635"/>
      <c r="S17" s="636" t="s">
        <v>64</v>
      </c>
      <c r="T17" s="635"/>
      <c r="U17" s="31"/>
      <c r="V17" s="622" t="s">
        <v>64</v>
      </c>
      <c r="W17" s="635"/>
      <c r="X17" s="636" t="s">
        <v>64</v>
      </c>
      <c r="Y17" s="635"/>
      <c r="Z17" s="636" t="s">
        <v>64</v>
      </c>
      <c r="AA17" s="635"/>
      <c r="AB17" s="636" t="s">
        <v>64</v>
      </c>
      <c r="AC17" s="586"/>
      <c r="AQ17" s="46"/>
      <c r="AR17" s="7"/>
      <c r="AS17" s="50"/>
      <c r="AT17" s="50"/>
      <c r="AU17" s="7"/>
      <c r="AV17" s="50"/>
      <c r="AW17" s="50"/>
      <c r="AX17" s="50"/>
      <c r="AY17" s="50"/>
      <c r="AZ17" s="50"/>
      <c r="BA17" s="50"/>
      <c r="BB17" s="50"/>
      <c r="BC17" s="50"/>
      <c r="BD17" s="7"/>
      <c r="BE17" s="50"/>
      <c r="BF17" s="50"/>
      <c r="BG17" s="50"/>
      <c r="BH17" s="50"/>
      <c r="BI17" s="49"/>
      <c r="BJ17" s="50"/>
    </row>
    <row r="18" spans="2:101" ht="69" customHeight="1" thickBot="1">
      <c r="B18" s="70"/>
      <c r="C18" s="70"/>
      <c r="D18" s="647" t="s">
        <v>100</v>
      </c>
      <c r="E18" s="648"/>
      <c r="F18" s="649"/>
      <c r="G18" s="650"/>
      <c r="H18" s="83" t="s">
        <v>128</v>
      </c>
      <c r="I18" s="9"/>
      <c r="J18" s="622" t="s">
        <v>121</v>
      </c>
      <c r="K18" s="586"/>
      <c r="L18" s="7"/>
      <c r="M18" s="639" t="s">
        <v>121</v>
      </c>
      <c r="N18" s="559"/>
      <c r="O18" s="558" t="s">
        <v>121</v>
      </c>
      <c r="P18" s="559"/>
      <c r="Q18" s="558" t="s">
        <v>121</v>
      </c>
      <c r="R18" s="559"/>
      <c r="S18" s="558" t="s">
        <v>121</v>
      </c>
      <c r="T18" s="559"/>
      <c r="U18" s="31"/>
      <c r="V18" s="639" t="s">
        <v>121</v>
      </c>
      <c r="W18" s="635"/>
      <c r="X18" s="558" t="s">
        <v>121</v>
      </c>
      <c r="Y18" s="635"/>
      <c r="Z18" s="558" t="s">
        <v>121</v>
      </c>
      <c r="AA18" s="643"/>
      <c r="AB18" s="558" t="s">
        <v>121</v>
      </c>
      <c r="AC18" s="586"/>
      <c r="AE18" s="71" t="s">
        <v>96</v>
      </c>
      <c r="AF18" s="55" t="s">
        <v>97</v>
      </c>
      <c r="AG18" s="81" t="s">
        <v>120</v>
      </c>
      <c r="AH18" s="51" t="s">
        <v>101</v>
      </c>
      <c r="AI18" s="123"/>
      <c r="AJ18" s="71" t="s">
        <v>329</v>
      </c>
      <c r="AK18" s="55" t="s">
        <v>330</v>
      </c>
      <c r="AL18" s="55" t="s">
        <v>331</v>
      </c>
      <c r="AM18" s="55" t="s">
        <v>332</v>
      </c>
      <c r="AN18" s="55" t="s">
        <v>333</v>
      </c>
      <c r="AO18" s="51" t="s">
        <v>347</v>
      </c>
      <c r="AQ18" s="46"/>
      <c r="AR18" s="7"/>
      <c r="AS18" s="50"/>
      <c r="AT18" s="50"/>
      <c r="AU18" s="7"/>
      <c r="AV18" s="50"/>
      <c r="AW18" s="50"/>
      <c r="AX18" s="50"/>
      <c r="AY18" s="50"/>
      <c r="AZ18" s="50"/>
      <c r="BA18" s="50"/>
      <c r="BB18" s="50"/>
      <c r="BC18" s="50"/>
      <c r="BD18" s="7"/>
      <c r="BE18" s="50"/>
      <c r="BF18" s="50"/>
      <c r="BG18" s="50"/>
      <c r="BH18" s="50"/>
      <c r="BI18" s="49"/>
      <c r="BJ18" s="50"/>
    </row>
    <row r="19" spans="2:101" ht="21" customHeight="1" thickBot="1">
      <c r="B19" s="3"/>
      <c r="C19" s="66" t="s">
        <v>342</v>
      </c>
      <c r="BN19" s="544" t="s">
        <v>66</v>
      </c>
      <c r="BO19" s="545"/>
      <c r="BP19" s="545"/>
      <c r="BQ19" s="545"/>
      <c r="BR19" s="545"/>
      <c r="BS19" s="545"/>
      <c r="BT19" s="545"/>
      <c r="BU19" s="545"/>
      <c r="BV19" s="545"/>
      <c r="BW19" s="545"/>
      <c r="BX19" s="545"/>
      <c r="BY19" s="545"/>
      <c r="BZ19" s="545"/>
      <c r="CA19" s="545"/>
      <c r="CB19" s="545"/>
      <c r="CC19" s="545"/>
      <c r="CD19" s="545"/>
      <c r="CE19" s="545"/>
      <c r="CF19" s="545"/>
      <c r="CG19" s="545"/>
      <c r="CH19" s="545"/>
      <c r="CI19" s="546"/>
      <c r="CK19" s="523" t="s">
        <v>375</v>
      </c>
      <c r="CL19" s="524"/>
      <c r="CM19" s="524"/>
      <c r="CN19" s="524"/>
      <c r="CO19" s="524"/>
      <c r="CP19" s="524"/>
      <c r="CQ19" s="524"/>
      <c r="CR19" s="524"/>
      <c r="CS19" s="524"/>
      <c r="CT19" s="524"/>
      <c r="CU19" s="524"/>
      <c r="CV19" s="524"/>
      <c r="CW19" s="525"/>
    </row>
    <row r="20" spans="2:101" ht="23.25" customHeight="1">
      <c r="C20" s="66" t="s">
        <v>95</v>
      </c>
      <c r="D20" s="63"/>
      <c r="E20" s="63"/>
      <c r="F20" s="2"/>
      <c r="G20" s="2"/>
      <c r="H20" s="2"/>
      <c r="J20" s="2"/>
      <c r="K20" s="2"/>
      <c r="M20" s="2"/>
      <c r="N20" s="2"/>
      <c r="CK20" s="2"/>
      <c r="CL20" s="2"/>
      <c r="CM20" s="2"/>
      <c r="CN20" s="2"/>
      <c r="CO20" s="2"/>
      <c r="CP20" s="2"/>
      <c r="CQ20" s="1"/>
      <c r="CR20" s="1"/>
      <c r="CS20" s="2"/>
      <c r="CT20" s="1"/>
      <c r="CU20" s="1"/>
      <c r="CV20" s="1"/>
      <c r="CW20" s="1"/>
    </row>
    <row r="21" spans="2:101" ht="23.25" customHeight="1" thickBot="1">
      <c r="C21" s="66" t="s">
        <v>348</v>
      </c>
      <c r="D21" s="63"/>
      <c r="E21" s="63"/>
      <c r="F21" s="2"/>
      <c r="G21" s="2"/>
      <c r="H21" s="2"/>
      <c r="J21" s="2"/>
      <c r="K21" s="2"/>
      <c r="M21" s="2"/>
      <c r="N21" s="2"/>
      <c r="CK21" s="2"/>
      <c r="CL21" s="2"/>
      <c r="CM21" s="2"/>
      <c r="CN21" s="2"/>
      <c r="CO21" s="2"/>
      <c r="CP21" s="2"/>
      <c r="CQ21" s="1"/>
      <c r="CR21" s="1"/>
      <c r="CS21" s="2"/>
      <c r="CT21" s="1"/>
      <c r="CU21" s="1"/>
      <c r="CV21" s="1"/>
      <c r="CW21" s="1"/>
    </row>
    <row r="22" spans="2:101" ht="23.25" customHeight="1">
      <c r="B22" s="651" t="s">
        <v>25</v>
      </c>
      <c r="C22" s="652"/>
      <c r="D22" s="652"/>
      <c r="E22" s="652"/>
      <c r="F22" s="652"/>
      <c r="G22" s="653"/>
      <c r="H22" s="526" t="s">
        <v>23</v>
      </c>
      <c r="J22" s="533" t="s">
        <v>24</v>
      </c>
      <c r="K22" s="534"/>
      <c r="L22" s="12"/>
      <c r="M22" s="533" t="s">
        <v>6</v>
      </c>
      <c r="N22" s="551"/>
      <c r="O22" s="551"/>
      <c r="P22" s="551"/>
      <c r="Q22" s="551"/>
      <c r="R22" s="551"/>
      <c r="S22" s="551"/>
      <c r="T22" s="551"/>
      <c r="U22" s="551"/>
      <c r="V22" s="551"/>
      <c r="W22" s="551"/>
      <c r="X22" s="551"/>
      <c r="Y22" s="551"/>
      <c r="Z22" s="551"/>
      <c r="AA22" s="551"/>
      <c r="AB22" s="551"/>
      <c r="AC22" s="552"/>
      <c r="AE22" s="644" t="s">
        <v>102</v>
      </c>
      <c r="AF22" s="645"/>
      <c r="AG22" s="645"/>
      <c r="AH22" s="645"/>
      <c r="AI22" s="645"/>
      <c r="AJ22" s="645"/>
      <c r="AK22" s="645"/>
      <c r="AL22" s="645"/>
      <c r="AM22" s="645"/>
      <c r="AN22" s="645"/>
      <c r="AO22" s="646"/>
      <c r="AQ22" s="526" t="s">
        <v>41</v>
      </c>
      <c r="AS22" s="533" t="s">
        <v>42</v>
      </c>
      <c r="AT22" s="534"/>
      <c r="AU22" s="12"/>
      <c r="AV22" s="530" t="s">
        <v>46</v>
      </c>
      <c r="AW22" s="531"/>
      <c r="AX22" s="531"/>
      <c r="AY22" s="531"/>
      <c r="AZ22" s="531"/>
      <c r="BA22" s="531"/>
      <c r="BB22" s="531"/>
      <c r="BC22" s="531"/>
      <c r="BD22" s="531"/>
      <c r="BE22" s="531"/>
      <c r="BF22" s="531"/>
      <c r="BG22" s="531"/>
      <c r="BH22" s="531"/>
      <c r="BI22" s="531"/>
      <c r="BJ22" s="531"/>
      <c r="BK22" s="531"/>
      <c r="BL22" s="531"/>
      <c r="BN22" s="526" t="s">
        <v>41</v>
      </c>
      <c r="BP22" s="533" t="s">
        <v>24</v>
      </c>
      <c r="BQ22" s="534"/>
      <c r="BR22" s="12"/>
      <c r="BS22" s="533" t="s">
        <v>6</v>
      </c>
      <c r="BT22" s="551"/>
      <c r="BU22" s="551"/>
      <c r="BV22" s="551"/>
      <c r="BW22" s="551"/>
      <c r="BX22" s="551"/>
      <c r="BY22" s="551"/>
      <c r="BZ22" s="551"/>
      <c r="CA22" s="551"/>
      <c r="CB22" s="551"/>
      <c r="CC22" s="551"/>
      <c r="CD22" s="551"/>
      <c r="CE22" s="551"/>
      <c r="CF22" s="551"/>
      <c r="CG22" s="551"/>
      <c r="CH22" s="551"/>
      <c r="CI22" s="552"/>
      <c r="CK22" s="526" t="s">
        <v>23</v>
      </c>
      <c r="CM22" s="528" t="s">
        <v>24</v>
      </c>
      <c r="CO22" s="530" t="s">
        <v>6</v>
      </c>
      <c r="CP22" s="531"/>
      <c r="CQ22" s="531"/>
      <c r="CR22" s="531"/>
      <c r="CS22" s="531"/>
      <c r="CT22" s="531"/>
      <c r="CU22" s="531"/>
      <c r="CV22" s="531"/>
      <c r="CW22" s="531"/>
    </row>
    <row r="23" spans="2:101" ht="3.75" customHeight="1">
      <c r="B23" s="654"/>
      <c r="C23" s="655"/>
      <c r="D23" s="655"/>
      <c r="E23" s="655"/>
      <c r="F23" s="655"/>
      <c r="G23" s="656"/>
      <c r="H23" s="527"/>
      <c r="J23" s="535"/>
      <c r="K23" s="536"/>
      <c r="L23" s="12"/>
      <c r="M23" s="26"/>
      <c r="N23" s="12"/>
      <c r="O23" s="12"/>
      <c r="P23" s="12"/>
      <c r="Q23" s="12"/>
      <c r="R23" s="12"/>
      <c r="S23" s="12"/>
      <c r="T23" s="12"/>
      <c r="U23" s="12"/>
      <c r="V23" s="12"/>
      <c r="W23" s="12"/>
      <c r="X23" s="12"/>
      <c r="Y23" s="12"/>
      <c r="Z23" s="12"/>
      <c r="AA23" s="12"/>
      <c r="AB23" s="12"/>
      <c r="AC23" s="12"/>
      <c r="AQ23" s="527"/>
      <c r="AS23" s="535"/>
      <c r="AT23" s="536"/>
      <c r="AU23" s="12"/>
      <c r="AV23" s="26"/>
      <c r="AW23" s="12"/>
      <c r="AX23" s="12"/>
      <c r="AY23" s="12"/>
      <c r="AZ23" s="12"/>
      <c r="BA23" s="12"/>
      <c r="BB23" s="12"/>
      <c r="BC23" s="12"/>
      <c r="BD23" s="12"/>
      <c r="BE23" s="12"/>
      <c r="BF23" s="12"/>
      <c r="BG23" s="12"/>
      <c r="BH23" s="12"/>
      <c r="BI23" s="12"/>
      <c r="BJ23" s="12"/>
      <c r="BK23" s="12"/>
      <c r="BL23" s="12"/>
      <c r="BN23" s="527"/>
      <c r="BP23" s="535"/>
      <c r="BQ23" s="536"/>
      <c r="BR23" s="12"/>
      <c r="BS23" s="26"/>
      <c r="BT23" s="12"/>
      <c r="BU23" s="12"/>
      <c r="BV23" s="12"/>
      <c r="BW23" s="12"/>
      <c r="BX23" s="12"/>
      <c r="BY23" s="12"/>
      <c r="BZ23" s="12"/>
      <c r="CA23" s="12"/>
      <c r="CB23" s="12"/>
      <c r="CC23" s="12"/>
      <c r="CD23" s="12"/>
      <c r="CE23" s="12"/>
      <c r="CF23" s="12"/>
      <c r="CG23" s="12"/>
      <c r="CH23" s="12"/>
      <c r="CI23" s="12"/>
      <c r="CK23" s="527"/>
      <c r="CM23" s="529"/>
      <c r="CO23" s="26"/>
      <c r="CP23" s="12"/>
      <c r="CQ23" s="12"/>
      <c r="CR23" s="12"/>
      <c r="CT23" s="12"/>
      <c r="CU23" s="12"/>
      <c r="CV23" s="12"/>
      <c r="CW23" s="12"/>
    </row>
    <row r="24" spans="2:101" ht="33.75" customHeight="1">
      <c r="B24" s="654"/>
      <c r="C24" s="655"/>
      <c r="D24" s="655"/>
      <c r="E24" s="655"/>
      <c r="F24" s="655"/>
      <c r="G24" s="656"/>
      <c r="H24" s="527"/>
      <c r="J24" s="535"/>
      <c r="K24" s="536"/>
      <c r="L24" s="11"/>
      <c r="M24" s="537" t="s">
        <v>18</v>
      </c>
      <c r="N24" s="538"/>
      <c r="O24" s="538"/>
      <c r="P24" s="538"/>
      <c r="Q24" s="538"/>
      <c r="R24" s="538"/>
      <c r="S24" s="538"/>
      <c r="T24" s="539"/>
      <c r="U24" s="13"/>
      <c r="V24" s="537" t="s">
        <v>31</v>
      </c>
      <c r="W24" s="538"/>
      <c r="X24" s="538"/>
      <c r="Y24" s="538"/>
      <c r="Z24" s="538"/>
      <c r="AA24" s="538"/>
      <c r="AB24" s="538"/>
      <c r="AC24" s="539"/>
      <c r="AE24" s="537" t="s">
        <v>18</v>
      </c>
      <c r="AF24" s="538"/>
      <c r="AG24" s="538"/>
      <c r="AH24" s="539"/>
      <c r="AJ24" s="537" t="s">
        <v>31</v>
      </c>
      <c r="AK24" s="538"/>
      <c r="AL24" s="538"/>
      <c r="AM24" s="538"/>
      <c r="AN24" s="538"/>
      <c r="AO24" s="539"/>
      <c r="AQ24" s="527"/>
      <c r="AS24" s="535"/>
      <c r="AT24" s="536"/>
      <c r="AU24" s="11"/>
      <c r="AV24" s="537" t="s">
        <v>18</v>
      </c>
      <c r="AW24" s="538"/>
      <c r="AX24" s="538"/>
      <c r="AY24" s="538"/>
      <c r="AZ24" s="538"/>
      <c r="BA24" s="538"/>
      <c r="BB24" s="538"/>
      <c r="BC24" s="539"/>
      <c r="BD24" s="13"/>
      <c r="BE24" s="537" t="s">
        <v>31</v>
      </c>
      <c r="BF24" s="538"/>
      <c r="BG24" s="538"/>
      <c r="BH24" s="538"/>
      <c r="BI24" s="538"/>
      <c r="BJ24" s="538"/>
      <c r="BK24" s="538"/>
      <c r="BL24" s="539"/>
      <c r="BN24" s="527"/>
      <c r="BP24" s="535"/>
      <c r="BQ24" s="536"/>
      <c r="BR24" s="11"/>
      <c r="BS24" s="537" t="s">
        <v>18</v>
      </c>
      <c r="BT24" s="538"/>
      <c r="BU24" s="538"/>
      <c r="BV24" s="538"/>
      <c r="BW24" s="538"/>
      <c r="BX24" s="538"/>
      <c r="BY24" s="538"/>
      <c r="BZ24" s="539"/>
      <c r="CA24" s="13"/>
      <c r="CB24" s="537" t="s">
        <v>31</v>
      </c>
      <c r="CC24" s="538"/>
      <c r="CD24" s="538"/>
      <c r="CE24" s="538"/>
      <c r="CF24" s="538"/>
      <c r="CG24" s="538"/>
      <c r="CH24" s="538"/>
      <c r="CI24" s="539"/>
      <c r="CK24" s="527"/>
      <c r="CM24" s="529"/>
      <c r="CO24" s="532" t="s">
        <v>18</v>
      </c>
      <c r="CP24" s="532"/>
      <c r="CQ24" s="532"/>
      <c r="CR24" s="532"/>
      <c r="CT24" s="532" t="s">
        <v>31</v>
      </c>
      <c r="CU24" s="532"/>
      <c r="CV24" s="532"/>
      <c r="CW24" s="532"/>
    </row>
    <row r="25" spans="2:101" s="4" customFormat="1" ht="3.75" customHeight="1">
      <c r="B25" s="654"/>
      <c r="C25" s="655"/>
      <c r="D25" s="655"/>
      <c r="E25" s="655"/>
      <c r="F25" s="655"/>
      <c r="G25" s="656"/>
      <c r="H25" s="527"/>
      <c r="J25" s="12"/>
      <c r="K25" s="12"/>
      <c r="L25" s="11"/>
      <c r="M25" s="24"/>
      <c r="N25" s="13"/>
      <c r="O25" s="13"/>
      <c r="P25" s="13"/>
      <c r="Q25" s="13"/>
      <c r="R25" s="13"/>
      <c r="S25" s="13"/>
      <c r="T25" s="25"/>
      <c r="U25" s="13"/>
      <c r="V25" s="24"/>
      <c r="W25" s="13"/>
      <c r="X25" s="13"/>
      <c r="Y25" s="13"/>
      <c r="Z25" s="13"/>
      <c r="AA25" s="13"/>
      <c r="AB25" s="13"/>
      <c r="AC25" s="25"/>
      <c r="AQ25" s="527"/>
      <c r="AS25" s="12"/>
      <c r="AT25" s="12"/>
      <c r="AU25" s="11"/>
      <c r="AV25" s="24"/>
      <c r="AW25" s="13"/>
      <c r="AX25" s="13"/>
      <c r="AY25" s="13"/>
      <c r="AZ25" s="13"/>
      <c r="BA25" s="13"/>
      <c r="BB25" s="13"/>
      <c r="BC25" s="25"/>
      <c r="BD25" s="13"/>
      <c r="BE25" s="24"/>
      <c r="BF25" s="13"/>
      <c r="BG25" s="13"/>
      <c r="BH25" s="13"/>
      <c r="BI25" s="13"/>
      <c r="BJ25" s="25"/>
      <c r="BL25" s="62"/>
      <c r="BN25" s="527"/>
      <c r="BP25" s="12"/>
      <c r="BQ25" s="12"/>
      <c r="BR25" s="11"/>
      <c r="BS25" s="24"/>
      <c r="BT25" s="13"/>
      <c r="BU25" s="13"/>
      <c r="BV25" s="13"/>
      <c r="BW25" s="13"/>
      <c r="BX25" s="13"/>
      <c r="BY25" s="13"/>
      <c r="BZ25" s="25"/>
      <c r="CA25" s="13"/>
      <c r="CB25" s="24"/>
      <c r="CC25" s="13"/>
      <c r="CD25" s="13"/>
      <c r="CE25" s="13"/>
      <c r="CF25" s="13"/>
      <c r="CG25" s="25"/>
      <c r="CH25" s="13"/>
      <c r="CI25" s="25"/>
      <c r="CK25" s="527"/>
      <c r="CM25" s="12"/>
      <c r="CO25" s="12"/>
      <c r="CP25" s="13"/>
      <c r="CQ25" s="13"/>
      <c r="CR25" s="13"/>
      <c r="CT25" s="24"/>
      <c r="CU25" s="13"/>
      <c r="CV25" s="13"/>
      <c r="CW25" s="13"/>
    </row>
    <row r="26" spans="2:101" ht="30" customHeight="1">
      <c r="B26" s="654"/>
      <c r="C26" s="655"/>
      <c r="D26" s="655"/>
      <c r="E26" s="655"/>
      <c r="F26" s="655"/>
      <c r="G26" s="656"/>
      <c r="H26" s="527"/>
      <c r="I26" s="8"/>
      <c r="J26" s="540" t="s">
        <v>7</v>
      </c>
      <c r="K26" s="541"/>
      <c r="L26" s="11"/>
      <c r="M26" s="540" t="s">
        <v>7</v>
      </c>
      <c r="N26" s="632"/>
      <c r="O26" s="540" t="s">
        <v>204</v>
      </c>
      <c r="P26" s="632"/>
      <c r="Q26" s="540" t="s">
        <v>9</v>
      </c>
      <c r="R26" s="632"/>
      <c r="S26" s="547" t="s">
        <v>10</v>
      </c>
      <c r="T26" s="548"/>
      <c r="U26" s="11"/>
      <c r="V26" s="540" t="s">
        <v>17</v>
      </c>
      <c r="W26" s="632"/>
      <c r="X26" s="540" t="s">
        <v>14</v>
      </c>
      <c r="Y26" s="632"/>
      <c r="Z26" s="540" t="s">
        <v>16</v>
      </c>
      <c r="AA26" s="632"/>
      <c r="AB26" s="547" t="s">
        <v>54</v>
      </c>
      <c r="AC26" s="548"/>
      <c r="AQ26" s="527"/>
      <c r="AR26" s="8"/>
      <c r="AS26" s="540" t="s">
        <v>7</v>
      </c>
      <c r="AT26" s="541"/>
      <c r="AU26" s="11"/>
      <c r="AV26" s="540" t="s">
        <v>7</v>
      </c>
      <c r="AW26" s="541"/>
      <c r="AX26" s="540" t="s">
        <v>8</v>
      </c>
      <c r="AY26" s="541"/>
      <c r="AZ26" s="540" t="s">
        <v>9</v>
      </c>
      <c r="BA26" s="541"/>
      <c r="BB26" s="540" t="s">
        <v>10</v>
      </c>
      <c r="BC26" s="541"/>
      <c r="BD26" s="11"/>
      <c r="BE26" s="547" t="s">
        <v>17</v>
      </c>
      <c r="BF26" s="548"/>
      <c r="BG26" s="547" t="s">
        <v>14</v>
      </c>
      <c r="BH26" s="548"/>
      <c r="BI26" s="632" t="s">
        <v>16</v>
      </c>
      <c r="BJ26" s="633"/>
      <c r="BK26" s="542" t="s">
        <v>54</v>
      </c>
      <c r="BL26" s="543"/>
      <c r="BN26" s="527"/>
      <c r="BP26" s="540" t="s">
        <v>7</v>
      </c>
      <c r="BQ26" s="541"/>
      <c r="BR26" s="11"/>
      <c r="BS26" s="540" t="s">
        <v>7</v>
      </c>
      <c r="BT26" s="541"/>
      <c r="BU26" s="540" t="s">
        <v>8</v>
      </c>
      <c r="BV26" s="541"/>
      <c r="BW26" s="540" t="s">
        <v>9</v>
      </c>
      <c r="BX26" s="541"/>
      <c r="BY26" s="540" t="s">
        <v>10</v>
      </c>
      <c r="BZ26" s="541"/>
      <c r="CA26" s="11"/>
      <c r="CB26" s="547" t="s">
        <v>17</v>
      </c>
      <c r="CC26" s="548"/>
      <c r="CD26" s="547" t="s">
        <v>14</v>
      </c>
      <c r="CE26" s="548"/>
      <c r="CF26" s="549" t="s">
        <v>16</v>
      </c>
      <c r="CG26" s="550"/>
      <c r="CH26" s="542" t="s">
        <v>54</v>
      </c>
      <c r="CI26" s="543"/>
      <c r="CK26" s="527"/>
      <c r="CL26" s="8"/>
      <c r="CM26" s="42" t="s">
        <v>7</v>
      </c>
      <c r="CN26" s="8"/>
      <c r="CO26" s="52" t="s">
        <v>7</v>
      </c>
      <c r="CP26" s="52" t="s">
        <v>204</v>
      </c>
      <c r="CQ26" s="52" t="s">
        <v>9</v>
      </c>
      <c r="CR26" s="128" t="s">
        <v>10</v>
      </c>
      <c r="CS26" s="8"/>
      <c r="CT26" s="52" t="s">
        <v>17</v>
      </c>
      <c r="CU26" s="52" t="s">
        <v>14</v>
      </c>
      <c r="CV26" s="52" t="s">
        <v>16</v>
      </c>
      <c r="CW26" s="128" t="s">
        <v>54</v>
      </c>
    </row>
    <row r="27" spans="2:101" customFormat="1" ht="3.75" customHeight="1">
      <c r="B27" s="87"/>
      <c r="H27" s="18"/>
      <c r="J27" s="16"/>
      <c r="K27" s="17"/>
      <c r="M27" s="16"/>
      <c r="V27" s="16"/>
      <c r="AI27" s="4"/>
      <c r="AQ27" s="18"/>
      <c r="AS27" s="16"/>
      <c r="AT27" s="17"/>
      <c r="AV27" s="16"/>
      <c r="BC27" s="17"/>
      <c r="BE27" s="16"/>
      <c r="BF27" s="17"/>
      <c r="BG27" s="16"/>
      <c r="BH27" s="17"/>
      <c r="BJ27" s="17"/>
      <c r="BL27" s="17"/>
      <c r="BN27" s="18"/>
      <c r="BP27" s="16"/>
      <c r="BQ27" s="17"/>
      <c r="BS27" s="16"/>
      <c r="BZ27" s="17"/>
      <c r="CB27" s="16"/>
      <c r="CC27" s="17"/>
      <c r="CD27" s="16"/>
      <c r="CE27" s="17"/>
      <c r="CG27" s="17"/>
      <c r="CI27" s="17"/>
      <c r="CK27" s="18"/>
      <c r="CM27" s="16"/>
      <c r="CO27" s="16"/>
      <c r="CT27" s="16"/>
    </row>
    <row r="28" spans="2:101" ht="48.75" customHeight="1">
      <c r="B28" s="19" t="s">
        <v>19</v>
      </c>
      <c r="C28" s="20" t="s">
        <v>32</v>
      </c>
      <c r="D28" s="21" t="s">
        <v>1</v>
      </c>
      <c r="E28" s="21" t="s">
        <v>127</v>
      </c>
      <c r="F28" s="20" t="s">
        <v>2</v>
      </c>
      <c r="G28" s="20" t="s">
        <v>11</v>
      </c>
      <c r="H28" s="20" t="s">
        <v>122</v>
      </c>
      <c r="I28" s="11"/>
      <c r="J28" s="15" t="s">
        <v>118</v>
      </c>
      <c r="K28" s="23" t="s">
        <v>28</v>
      </c>
      <c r="L28" s="11"/>
      <c r="M28" s="15" t="s">
        <v>118</v>
      </c>
      <c r="N28" s="69" t="s">
        <v>29</v>
      </c>
      <c r="O28" s="15" t="s">
        <v>118</v>
      </c>
      <c r="P28" s="68" t="s">
        <v>29</v>
      </c>
      <c r="Q28" s="15" t="s">
        <v>118</v>
      </c>
      <c r="R28" s="68" t="s">
        <v>29</v>
      </c>
      <c r="S28" s="15" t="s">
        <v>118</v>
      </c>
      <c r="T28" s="72" t="s">
        <v>29</v>
      </c>
      <c r="U28" s="11"/>
      <c r="V28" s="15" t="s">
        <v>118</v>
      </c>
      <c r="W28" s="68" t="s">
        <v>29</v>
      </c>
      <c r="X28" s="15" t="s">
        <v>118</v>
      </c>
      <c r="Y28" s="68" t="s">
        <v>29</v>
      </c>
      <c r="Z28" s="15" t="s">
        <v>118</v>
      </c>
      <c r="AA28" s="68" t="s">
        <v>29</v>
      </c>
      <c r="AB28" s="15" t="s">
        <v>118</v>
      </c>
      <c r="AC28" s="72" t="s">
        <v>29</v>
      </c>
      <c r="AE28" s="73" t="s">
        <v>91</v>
      </c>
      <c r="AF28" s="76" t="s">
        <v>91</v>
      </c>
      <c r="AG28" s="77" t="s">
        <v>91</v>
      </c>
      <c r="AH28" s="74" t="s">
        <v>91</v>
      </c>
      <c r="AJ28" s="75" t="s">
        <v>91</v>
      </c>
      <c r="AK28" s="76" t="s">
        <v>91</v>
      </c>
      <c r="AL28" s="76" t="s">
        <v>91</v>
      </c>
      <c r="AM28" s="76" t="s">
        <v>91</v>
      </c>
      <c r="AN28" s="76" t="s">
        <v>91</v>
      </c>
      <c r="AO28" s="74" t="s">
        <v>91</v>
      </c>
      <c r="AQ28" s="20" t="s">
        <v>43</v>
      </c>
      <c r="AR28" s="11"/>
      <c r="AS28" s="15" t="s">
        <v>44</v>
      </c>
      <c r="AT28" s="23" t="s">
        <v>45</v>
      </c>
      <c r="AU28" s="11"/>
      <c r="AV28" s="15" t="s">
        <v>44</v>
      </c>
      <c r="AW28" s="23" t="s">
        <v>45</v>
      </c>
      <c r="AX28" s="15" t="s">
        <v>44</v>
      </c>
      <c r="AY28" s="23" t="s">
        <v>45</v>
      </c>
      <c r="AZ28" s="15" t="s">
        <v>44</v>
      </c>
      <c r="BA28" s="23" t="s">
        <v>45</v>
      </c>
      <c r="BB28" s="15" t="s">
        <v>44</v>
      </c>
      <c r="BC28" s="23" t="s">
        <v>45</v>
      </c>
      <c r="BD28" s="11"/>
      <c r="BE28" s="15" t="s">
        <v>44</v>
      </c>
      <c r="BF28" s="23" t="s">
        <v>45</v>
      </c>
      <c r="BG28" s="15" t="s">
        <v>44</v>
      </c>
      <c r="BH28" s="23" t="s">
        <v>45</v>
      </c>
      <c r="BI28" s="15" t="s">
        <v>44</v>
      </c>
      <c r="BJ28" s="23" t="s">
        <v>45</v>
      </c>
      <c r="BK28" s="15" t="s">
        <v>44</v>
      </c>
      <c r="BL28" s="23" t="s">
        <v>45</v>
      </c>
      <c r="BN28" s="20" t="s">
        <v>122</v>
      </c>
      <c r="BP28" s="15" t="s">
        <v>118</v>
      </c>
      <c r="BQ28" s="23" t="s">
        <v>28</v>
      </c>
      <c r="BR28" s="11"/>
      <c r="BS28" s="15" t="s">
        <v>118</v>
      </c>
      <c r="BT28" s="23" t="s">
        <v>29</v>
      </c>
      <c r="BU28" s="15" t="s">
        <v>118</v>
      </c>
      <c r="BV28" s="23" t="s">
        <v>29</v>
      </c>
      <c r="BW28" s="15" t="s">
        <v>118</v>
      </c>
      <c r="BX28" s="23" t="s">
        <v>29</v>
      </c>
      <c r="BY28" s="15" t="s">
        <v>118</v>
      </c>
      <c r="BZ28" s="23" t="s">
        <v>29</v>
      </c>
      <c r="CA28" s="11"/>
      <c r="CB28" s="15" t="s">
        <v>118</v>
      </c>
      <c r="CC28" s="23" t="s">
        <v>29</v>
      </c>
      <c r="CD28" s="15" t="s">
        <v>118</v>
      </c>
      <c r="CE28" s="23" t="s">
        <v>29</v>
      </c>
      <c r="CF28" s="15" t="s">
        <v>118</v>
      </c>
      <c r="CG28" s="23" t="s">
        <v>29</v>
      </c>
      <c r="CH28" s="15" t="s">
        <v>118</v>
      </c>
      <c r="CI28" s="23" t="s">
        <v>29</v>
      </c>
      <c r="CK28" s="20" t="s">
        <v>122</v>
      </c>
      <c r="CL28" s="11"/>
      <c r="CM28" s="15" t="s">
        <v>376</v>
      </c>
      <c r="CN28" s="11"/>
      <c r="CO28" s="15" t="s">
        <v>377</v>
      </c>
      <c r="CP28" s="15" t="s">
        <v>118</v>
      </c>
      <c r="CQ28" s="15" t="s">
        <v>118</v>
      </c>
      <c r="CR28" s="15" t="s">
        <v>118</v>
      </c>
      <c r="CS28" s="11"/>
      <c r="CT28" s="15" t="s">
        <v>118</v>
      </c>
      <c r="CU28" s="15" t="s">
        <v>118</v>
      </c>
      <c r="CV28" s="15" t="s">
        <v>118</v>
      </c>
      <c r="CW28" s="15" t="s">
        <v>118</v>
      </c>
    </row>
    <row r="29" spans="2:101" s="4" customFormat="1" ht="12.75" customHeight="1">
      <c r="B29" s="102" t="s">
        <v>20</v>
      </c>
      <c r="C29" s="103" t="s">
        <v>205</v>
      </c>
      <c r="D29" s="104" t="e">
        <f>VLOOKUP($C29,#REF!,5,0)</f>
        <v>#REF!</v>
      </c>
      <c r="E29" s="104" t="e">
        <f>VLOOKUP($C29,#REF!,6,0)</f>
        <v>#REF!</v>
      </c>
      <c r="F29" s="104" t="e">
        <f>VLOOKUP($C29,#REF!,7,0)</f>
        <v>#REF!</v>
      </c>
      <c r="G29" s="104" t="e">
        <f>VLOOKUP($C29,#REF!,8,0)</f>
        <v>#REF!</v>
      </c>
      <c r="H29" s="104" t="e">
        <f>VLOOKUP($C29,#REF!,9,0)</f>
        <v>#REF!</v>
      </c>
      <c r="I29" s="5"/>
      <c r="J29" s="105" t="e">
        <f>VLOOKUP($C29,#REF!,10,0)</f>
        <v>#REF!</v>
      </c>
      <c r="K29" s="106" t="e">
        <f>VLOOKUP($C29,#REF!,11,0)</f>
        <v>#REF!</v>
      </c>
      <c r="L29" s="34"/>
      <c r="M29" s="105" t="e">
        <f>VLOOKUP($C29,#REF!,12,0)</f>
        <v>#REF!</v>
      </c>
      <c r="N29" s="34" t="e">
        <f>VLOOKUP($C29,#REF!,13,0)</f>
        <v>#REF!</v>
      </c>
      <c r="O29" s="105" t="e">
        <f>VLOOKUP($C29,#REF!,14,0)</f>
        <v>#REF!</v>
      </c>
      <c r="P29" s="34" t="e">
        <f>VLOOKUP($C29,#REF!,15,0)</f>
        <v>#REF!</v>
      </c>
      <c r="Q29" s="105" t="e">
        <f>VLOOKUP($C29,#REF!,16,0)</f>
        <v>#REF!</v>
      </c>
      <c r="R29" s="106" t="e">
        <f>VLOOKUP($C29,#REF!,17,0)</f>
        <v>#REF!</v>
      </c>
      <c r="S29" s="34" t="e">
        <f>VLOOKUP($C29,#REF!,18,0)</f>
        <v>#REF!</v>
      </c>
      <c r="T29" s="106" t="e">
        <f>VLOOKUP($C29,#REF!,19,0)</f>
        <v>#REF!</v>
      </c>
      <c r="U29" s="34"/>
      <c r="V29" s="105" t="e">
        <f>VLOOKUP($C29,#REF!,20,0)</f>
        <v>#REF!</v>
      </c>
      <c r="W29" s="34" t="e">
        <f>VLOOKUP($C29,#REF!,21,0)</f>
        <v>#REF!</v>
      </c>
      <c r="X29" s="105" t="e">
        <f>VLOOKUP($C29,#REF!,22,0)</f>
        <v>#REF!</v>
      </c>
      <c r="Y29" s="34" t="e">
        <f>VLOOKUP($C29,#REF!,23,0)</f>
        <v>#REF!</v>
      </c>
      <c r="Z29" s="105" t="e">
        <f>VLOOKUP($C29,#REF!,24,0)</f>
        <v>#REF!</v>
      </c>
      <c r="AA29" s="106" t="e">
        <f>VLOOKUP($C29,#REF!,25,0)</f>
        <v>#REF!</v>
      </c>
      <c r="AB29" s="34" t="e">
        <f>VLOOKUP($C29,#REF!,26,0)</f>
        <v>#REF!</v>
      </c>
      <c r="AC29" s="106" t="e">
        <f>VLOOKUP($C29,#REF!,27,0)</f>
        <v>#REF!</v>
      </c>
      <c r="AE29" s="105" t="e">
        <f>IF(M29="-","-","0,5 GB")</f>
        <v>#REF!</v>
      </c>
      <c r="AF29" s="107" t="s">
        <v>320</v>
      </c>
      <c r="AG29" s="107" t="s">
        <v>321</v>
      </c>
      <c r="AH29" s="106" t="s">
        <v>322</v>
      </c>
      <c r="AJ29" s="105" t="s">
        <v>323</v>
      </c>
      <c r="AK29" s="107" t="s">
        <v>324</v>
      </c>
      <c r="AL29" s="107" t="s">
        <v>325</v>
      </c>
      <c r="AM29" s="107" t="s">
        <v>326</v>
      </c>
      <c r="AN29" s="107" t="s">
        <v>326</v>
      </c>
      <c r="AO29" s="106" t="s">
        <v>320</v>
      </c>
      <c r="AQ29" s="108" t="e">
        <f>+ROUND($D29-H29,0)</f>
        <v>#REF!</v>
      </c>
      <c r="AR29" s="5"/>
      <c r="AS29" s="105">
        <v>0</v>
      </c>
      <c r="AT29" s="106">
        <v>0</v>
      </c>
      <c r="AU29" s="34"/>
      <c r="AV29" s="105">
        <f>IFERROR(ROUND($D29-M29-AW29,0),0)</f>
        <v>0</v>
      </c>
      <c r="AW29" s="106">
        <f>IFERROR(N29*$G29,0)</f>
        <v>0</v>
      </c>
      <c r="AX29" s="105">
        <f>IFERROR(ROUND($D29-O29-AY29,0),0)</f>
        <v>0</v>
      </c>
      <c r="AY29" s="106">
        <f>IFERROR(P29*$G29,0)</f>
        <v>0</v>
      </c>
      <c r="AZ29" s="105">
        <f>IFERROR(ROUND($D29-Q29-BA29,0),0)</f>
        <v>0</v>
      </c>
      <c r="BA29" s="106">
        <f>IFERROR(R29*$G29,0)</f>
        <v>0</v>
      </c>
      <c r="BB29" s="34">
        <f>IFERROR(ROUND($D29-S29-BC29,0),0)</f>
        <v>0</v>
      </c>
      <c r="BC29" s="106">
        <f>IFERROR(T29*$G29,0)</f>
        <v>0</v>
      </c>
      <c r="BD29" s="34"/>
      <c r="BE29" s="105">
        <f>IFERROR(ROUND($D29-V29-BF29,0),0)</f>
        <v>0</v>
      </c>
      <c r="BF29" s="106">
        <f>IFERROR(W29*$G29,0)</f>
        <v>0</v>
      </c>
      <c r="BG29" s="105">
        <f>IFERROR(ROUND($D29-X29-BH29,0),0)</f>
        <v>0</v>
      </c>
      <c r="BH29" s="106">
        <f>IFERROR(Y29*$G29,0)</f>
        <v>0</v>
      </c>
      <c r="BI29" s="34">
        <f>IFERROR(ROUND($D29-Z29-BJ29,0),0)</f>
        <v>0</v>
      </c>
      <c r="BJ29" s="106">
        <f>IFERROR(AA29*$G29,0)</f>
        <v>0</v>
      </c>
      <c r="BK29" s="34">
        <f>IFERROR(ROUND($D29-AB29-BL29,0),0)</f>
        <v>0</v>
      </c>
      <c r="BL29" s="106">
        <f>IFERROR(AC29*$G29,0)</f>
        <v>0</v>
      </c>
      <c r="BN29" s="108">
        <v>-3.3099999999999987</v>
      </c>
      <c r="BO29" s="5"/>
      <c r="BP29" s="105">
        <v>-3.3099999999999987</v>
      </c>
      <c r="BQ29" s="106">
        <v>0</v>
      </c>
      <c r="BR29" s="34"/>
      <c r="BS29" s="105">
        <v>0</v>
      </c>
      <c r="BT29" s="106">
        <v>0</v>
      </c>
      <c r="BU29" s="105">
        <v>0</v>
      </c>
      <c r="BV29" s="106">
        <v>0</v>
      </c>
      <c r="BW29" s="105">
        <v>0</v>
      </c>
      <c r="BX29" s="106">
        <v>0</v>
      </c>
      <c r="BY29" s="105">
        <v>0</v>
      </c>
      <c r="BZ29" s="106">
        <v>0</v>
      </c>
      <c r="CA29" s="34"/>
      <c r="CB29" s="105">
        <v>0</v>
      </c>
      <c r="CC29" s="106">
        <v>0</v>
      </c>
      <c r="CD29" s="105">
        <v>0</v>
      </c>
      <c r="CE29" s="106">
        <v>0</v>
      </c>
      <c r="CF29" s="105">
        <v>0</v>
      </c>
      <c r="CG29" s="106">
        <v>0</v>
      </c>
      <c r="CH29" s="105">
        <v>0</v>
      </c>
      <c r="CI29" s="106">
        <v>0</v>
      </c>
      <c r="CK29" s="78"/>
      <c r="CL29" s="5"/>
      <c r="CM29" s="38" t="str">
        <f>IFERROR(+$H29-($J29+$K29*$G29),"-")</f>
        <v>-</v>
      </c>
      <c r="CN29" s="5"/>
      <c r="CO29" s="38" t="str">
        <f>IFERROR(+$H29-($M29+$N29*$G29),"-")</f>
        <v>-</v>
      </c>
      <c r="CP29" s="38" t="str">
        <f>IFERROR(+$H29-($O29+$P29*$G29),"-")</f>
        <v>-</v>
      </c>
      <c r="CQ29" s="38" t="str">
        <f>IFERROR(+$H29-($Q29+$R29*$G29),"-")</f>
        <v>-</v>
      </c>
      <c r="CR29" s="38" t="str">
        <f>IFERROR(+$H29-($S29+$T29*$G29),"-")</f>
        <v>-</v>
      </c>
      <c r="CS29" s="5"/>
      <c r="CT29" s="38" t="str">
        <f>IFERROR(+$H29-($V29+$W29*$G29),"-")</f>
        <v>-</v>
      </c>
      <c r="CU29" s="38" t="str">
        <f>IFERROR(+$H29-($X29+$Y29*$G29),"-")</f>
        <v>-</v>
      </c>
      <c r="CV29" s="38" t="str">
        <f>IFERROR(+$H29-($Z29+$AA29*$G29),"-")</f>
        <v>-</v>
      </c>
      <c r="CW29" s="38" t="str">
        <f>IFERROR(+$H29-($AB29+$AC29*$G29),"-")</f>
        <v>-</v>
      </c>
    </row>
    <row r="30" spans="2:101" s="113" customFormat="1" ht="12.75" customHeight="1">
      <c r="B30" s="99" t="s">
        <v>20</v>
      </c>
      <c r="C30" s="98" t="s">
        <v>81</v>
      </c>
      <c r="D30" s="114" t="e">
        <f>VLOOKUP($C30,#REF!,5,0)</f>
        <v>#REF!</v>
      </c>
      <c r="E30" s="115" t="e">
        <f>VLOOKUP($C30,#REF!,6,0)</f>
        <v>#REF!</v>
      </c>
      <c r="F30" s="98" t="e">
        <f>VLOOKUP($C30,#REF!,7,0)</f>
        <v>#REF!</v>
      </c>
      <c r="G30" s="98" t="e">
        <f>VLOOKUP($C30,#REF!,8,0)</f>
        <v>#REF!</v>
      </c>
      <c r="H30" s="116" t="e">
        <f>VLOOKUP($C30,#REF!,9,0)</f>
        <v>#REF!</v>
      </c>
      <c r="I30" s="5"/>
      <c r="J30" s="118" t="e">
        <f>VLOOKUP($C30,#REF!,10,0)</f>
        <v>#REF!</v>
      </c>
      <c r="K30" s="119" t="e">
        <f>VLOOKUP($C30,#REF!,11,0)</f>
        <v>#REF!</v>
      </c>
      <c r="L30" s="34"/>
      <c r="M30" s="118" t="e">
        <f>VLOOKUP($C30,#REF!,12,0)</f>
        <v>#REF!</v>
      </c>
      <c r="N30" s="120" t="e">
        <f>VLOOKUP($C30,#REF!,13,0)</f>
        <v>#REF!</v>
      </c>
      <c r="O30" s="118" t="e">
        <f>VLOOKUP($C30,#REF!,14,0)</f>
        <v>#REF!</v>
      </c>
      <c r="P30" s="120" t="e">
        <f>VLOOKUP($C30,#REF!,15,0)</f>
        <v>#REF!</v>
      </c>
      <c r="Q30" s="118" t="e">
        <f>VLOOKUP($C30,#REF!,16,0)</f>
        <v>#REF!</v>
      </c>
      <c r="R30" s="119" t="e">
        <f>VLOOKUP($C30,#REF!,17,0)</f>
        <v>#REF!</v>
      </c>
      <c r="S30" s="120" t="e">
        <f>VLOOKUP($C30,#REF!,18,0)</f>
        <v>#REF!</v>
      </c>
      <c r="T30" s="119" t="e">
        <f>VLOOKUP($C30,#REF!,19,0)</f>
        <v>#REF!</v>
      </c>
      <c r="U30" s="34"/>
      <c r="V30" s="118" t="e">
        <f>VLOOKUP($C30,#REF!,20,0)</f>
        <v>#REF!</v>
      </c>
      <c r="W30" s="120" t="e">
        <f>VLOOKUP($C30,#REF!,21,0)</f>
        <v>#REF!</v>
      </c>
      <c r="X30" s="118" t="e">
        <f>VLOOKUP($C30,#REF!,22,0)</f>
        <v>#REF!</v>
      </c>
      <c r="Y30" s="120" t="e">
        <f>VLOOKUP($C30,#REF!,23,0)</f>
        <v>#REF!</v>
      </c>
      <c r="Z30" s="118" t="e">
        <f>VLOOKUP($C30,#REF!,24,0)</f>
        <v>#REF!</v>
      </c>
      <c r="AA30" s="119" t="e">
        <f>VLOOKUP($C30,#REF!,25,0)</f>
        <v>#REF!</v>
      </c>
      <c r="AB30" s="120" t="e">
        <f>VLOOKUP($C30,#REF!,26,0)</f>
        <v>#REF!</v>
      </c>
      <c r="AC30" s="119" t="e">
        <f>VLOOKUP($C30,#REF!,27,0)</f>
        <v>#REF!</v>
      </c>
      <c r="AD30" s="4"/>
      <c r="AE30" s="118" t="e">
        <f t="shared" ref="AE30:AE93" si="0">IF(M30="-","-","0,5 GB")</f>
        <v>#REF!</v>
      </c>
      <c r="AF30" s="121" t="s">
        <v>320</v>
      </c>
      <c r="AG30" s="121" t="s">
        <v>321</v>
      </c>
      <c r="AH30" s="119" t="s">
        <v>322</v>
      </c>
      <c r="AI30" s="4"/>
      <c r="AJ30" s="118" t="s">
        <v>323</v>
      </c>
      <c r="AK30" s="121" t="s">
        <v>324</v>
      </c>
      <c r="AL30" s="121" t="s">
        <v>325</v>
      </c>
      <c r="AM30" s="121" t="s">
        <v>326</v>
      </c>
      <c r="AN30" s="121" t="s">
        <v>326</v>
      </c>
      <c r="AO30" s="119" t="s">
        <v>320</v>
      </c>
      <c r="AP30" s="4"/>
      <c r="AQ30" s="122">
        <v>5</v>
      </c>
      <c r="AR30" s="5"/>
      <c r="AS30" s="118">
        <v>0</v>
      </c>
      <c r="AT30" s="119">
        <v>0</v>
      </c>
      <c r="AU30" s="34"/>
      <c r="AV30" s="118">
        <f t="shared" ref="AV30:AV49" si="1">IFERROR(ROUND($D30-M30-AW30,0),0)</f>
        <v>0</v>
      </c>
      <c r="AW30" s="119">
        <f t="shared" ref="AW30:AW49" si="2">IFERROR(N30*$G30,0)</f>
        <v>0</v>
      </c>
      <c r="AX30" s="118">
        <f t="shared" ref="AX30:AX93" si="3">IFERROR(ROUND($D30-O30-AY30,0),0)</f>
        <v>0</v>
      </c>
      <c r="AY30" s="119">
        <f t="shared" ref="AY30:AY93" si="4">IFERROR(P30*$G30,0)</f>
        <v>0</v>
      </c>
      <c r="AZ30" s="118">
        <f t="shared" ref="AZ30:AZ93" si="5">IFERROR(ROUND($D30-Q30-BA30,0),0)</f>
        <v>0</v>
      </c>
      <c r="BA30" s="119">
        <f t="shared" ref="BA30:BA93" si="6">IFERROR(R30*$G30,0)</f>
        <v>0</v>
      </c>
      <c r="BB30" s="120">
        <f t="shared" ref="BB30:BB93" si="7">IFERROR(ROUND($D30-S30-BC30,0),0)</f>
        <v>0</v>
      </c>
      <c r="BC30" s="119">
        <f t="shared" ref="BC30:BC93" si="8">IFERROR(T30*$G30,0)</f>
        <v>0</v>
      </c>
      <c r="BD30" s="34"/>
      <c r="BE30" s="118">
        <f t="shared" ref="BE30:BE93" si="9">IFERROR(ROUND($D30-V30-BF30,0),0)</f>
        <v>0</v>
      </c>
      <c r="BF30" s="119">
        <f t="shared" ref="BF30:BF93" si="10">IFERROR(W30*$G30,0)</f>
        <v>0</v>
      </c>
      <c r="BG30" s="118">
        <f t="shared" ref="BG30:BG93" si="11">IFERROR(ROUND($D30-X30-BH30,0),0)</f>
        <v>0</v>
      </c>
      <c r="BH30" s="119">
        <f t="shared" ref="BH30:BH93" si="12">IFERROR(Y30*$G30,0)</f>
        <v>0</v>
      </c>
      <c r="BI30" s="120">
        <f t="shared" ref="BI30:BI93" si="13">IFERROR(ROUND($D30-Z30-BJ30,0),0)</f>
        <v>0</v>
      </c>
      <c r="BJ30" s="119">
        <f t="shared" ref="BJ30:BJ93" si="14">IFERROR(AA30*$G30,0)</f>
        <v>0</v>
      </c>
      <c r="BK30" s="120">
        <f t="shared" ref="BK30:BK93" si="15">IFERROR(ROUND($D30-AB30-BL30,0),0)</f>
        <v>0</v>
      </c>
      <c r="BL30" s="119">
        <f t="shared" ref="BL30:BL93" si="16">IFERROR(AC30*$G30,0)</f>
        <v>0</v>
      </c>
      <c r="BM30" s="4"/>
      <c r="BN30" s="122">
        <v>-8.2700000000000031</v>
      </c>
      <c r="BO30" s="117"/>
      <c r="BP30" s="118">
        <v>-8.2700000000000031</v>
      </c>
      <c r="BQ30" s="119">
        <v>0</v>
      </c>
      <c r="BR30" s="120"/>
      <c r="BS30" s="118">
        <v>0</v>
      </c>
      <c r="BT30" s="119">
        <v>0</v>
      </c>
      <c r="BU30" s="118">
        <v>0</v>
      </c>
      <c r="BV30" s="119">
        <v>0</v>
      </c>
      <c r="BW30" s="118">
        <v>0</v>
      </c>
      <c r="BX30" s="119">
        <v>0</v>
      </c>
      <c r="BY30" s="118">
        <v>0</v>
      </c>
      <c r="BZ30" s="119">
        <v>0</v>
      </c>
      <c r="CA30" s="120"/>
      <c r="CB30" s="118">
        <v>0</v>
      </c>
      <c r="CC30" s="119">
        <v>0</v>
      </c>
      <c r="CD30" s="118">
        <v>0</v>
      </c>
      <c r="CE30" s="119">
        <v>0</v>
      </c>
      <c r="CF30" s="118">
        <v>0</v>
      </c>
      <c r="CG30" s="119">
        <v>0</v>
      </c>
      <c r="CH30" s="118">
        <v>0</v>
      </c>
      <c r="CI30" s="119">
        <v>0</v>
      </c>
      <c r="CJ30" s="4"/>
      <c r="CK30" s="79"/>
      <c r="CL30" s="5"/>
      <c r="CM30" s="39" t="str">
        <f t="shared" ref="CM30:CM93" si="17">IFERROR(+$H30-($J30+$K30*$G30),"-")</f>
        <v>-</v>
      </c>
      <c r="CN30" s="5"/>
      <c r="CO30" s="39" t="str">
        <f t="shared" ref="CO30:CO93" si="18">IFERROR(+$H30-($M30+$N30*$G30),"-")</f>
        <v>-</v>
      </c>
      <c r="CP30" s="39" t="str">
        <f t="shared" ref="CP30:CP93" si="19">IFERROR(+$H30-($O30+$P30*$G30),"-")</f>
        <v>-</v>
      </c>
      <c r="CQ30" s="39" t="str">
        <f t="shared" ref="CQ30:CR93" si="20">IFERROR(+$H30-($Q30+$R30*$G30),"-")</f>
        <v>-</v>
      </c>
      <c r="CR30" s="39" t="str">
        <f t="shared" si="20"/>
        <v>-</v>
      </c>
      <c r="CS30" s="5"/>
      <c r="CT30" s="39" t="str">
        <f t="shared" ref="CT30:CT93" si="21">IFERROR(+$H30-($V30+$W30*$G30),"-")</f>
        <v>-</v>
      </c>
      <c r="CU30" s="39" t="str">
        <f t="shared" ref="CU30:CU93" si="22">IFERROR(+$H30-($X30+$Y30*$G30),"-")</f>
        <v>-</v>
      </c>
      <c r="CV30" s="39" t="str">
        <f t="shared" ref="CV30:CV93" si="23">IFERROR(+$H30-($Z30+$AA30*$G30),"-")</f>
        <v>-</v>
      </c>
      <c r="CW30" s="39" t="str">
        <f t="shared" ref="CW30:CW93" si="24">IFERROR(+$H30-($AB30+$AC30*$G30),"-")</f>
        <v>-</v>
      </c>
    </row>
    <row r="31" spans="2:101" s="4" customFormat="1" ht="12.75" customHeight="1">
      <c r="B31" s="102" t="s">
        <v>20</v>
      </c>
      <c r="C31" s="103" t="s">
        <v>82</v>
      </c>
      <c r="D31" s="104" t="e">
        <f>VLOOKUP($C31,#REF!,5,0)</f>
        <v>#REF!</v>
      </c>
      <c r="E31" s="109" t="e">
        <f>VLOOKUP($C31,#REF!,6,0)</f>
        <v>#REF!</v>
      </c>
      <c r="F31" s="103" t="e">
        <f>VLOOKUP($C31,#REF!,7,0)</f>
        <v>#REF!</v>
      </c>
      <c r="G31" s="103" t="e">
        <f>VLOOKUP($C31,#REF!,8,0)</f>
        <v>#REF!</v>
      </c>
      <c r="H31" s="110" t="e">
        <f>VLOOKUP($C31,#REF!,9,0)</f>
        <v>#REF!</v>
      </c>
      <c r="I31" s="5"/>
      <c r="J31" s="105" t="e">
        <f>VLOOKUP($C31,#REF!,10,0)</f>
        <v>#REF!</v>
      </c>
      <c r="K31" s="106" t="e">
        <f>VLOOKUP($C31,#REF!,11,0)</f>
        <v>#REF!</v>
      </c>
      <c r="L31" s="34"/>
      <c r="M31" s="105" t="e">
        <f>VLOOKUP($C31,#REF!,12,0)</f>
        <v>#REF!</v>
      </c>
      <c r="N31" s="34" t="e">
        <f>VLOOKUP($C31,#REF!,13,0)</f>
        <v>#REF!</v>
      </c>
      <c r="O31" s="105" t="e">
        <f>VLOOKUP($C31,#REF!,14,0)</f>
        <v>#REF!</v>
      </c>
      <c r="P31" s="34" t="e">
        <f>VLOOKUP($C31,#REF!,15,0)</f>
        <v>#REF!</v>
      </c>
      <c r="Q31" s="105" t="e">
        <f>VLOOKUP($C31,#REF!,16,0)</f>
        <v>#REF!</v>
      </c>
      <c r="R31" s="106" t="e">
        <f>VLOOKUP($C31,#REF!,17,0)</f>
        <v>#REF!</v>
      </c>
      <c r="S31" s="34" t="e">
        <f>VLOOKUP($C31,#REF!,18,0)</f>
        <v>#REF!</v>
      </c>
      <c r="T31" s="106" t="e">
        <f>VLOOKUP($C31,#REF!,19,0)</f>
        <v>#REF!</v>
      </c>
      <c r="U31" s="34"/>
      <c r="V31" s="105" t="e">
        <f>VLOOKUP($C31,#REF!,20,0)</f>
        <v>#REF!</v>
      </c>
      <c r="W31" s="34" t="e">
        <f>VLOOKUP($C31,#REF!,21,0)</f>
        <v>#REF!</v>
      </c>
      <c r="X31" s="105" t="e">
        <f>VLOOKUP($C31,#REF!,22,0)</f>
        <v>#REF!</v>
      </c>
      <c r="Y31" s="34" t="e">
        <f>VLOOKUP($C31,#REF!,23,0)</f>
        <v>#REF!</v>
      </c>
      <c r="Z31" s="105" t="e">
        <f>VLOOKUP($C31,#REF!,24,0)</f>
        <v>#REF!</v>
      </c>
      <c r="AA31" s="106" t="e">
        <f>VLOOKUP($C31,#REF!,25,0)</f>
        <v>#REF!</v>
      </c>
      <c r="AB31" s="34" t="e">
        <f>VLOOKUP($C31,#REF!,26,0)</f>
        <v>#REF!</v>
      </c>
      <c r="AC31" s="106" t="e">
        <f>VLOOKUP($C31,#REF!,27,0)</f>
        <v>#REF!</v>
      </c>
      <c r="AE31" s="105" t="e">
        <f t="shared" si="0"/>
        <v>#REF!</v>
      </c>
      <c r="AF31" s="107" t="s">
        <v>320</v>
      </c>
      <c r="AG31" s="107" t="s">
        <v>321</v>
      </c>
      <c r="AH31" s="106" t="s">
        <v>322</v>
      </c>
      <c r="AJ31" s="105" t="s">
        <v>323</v>
      </c>
      <c r="AK31" s="107" t="s">
        <v>324</v>
      </c>
      <c r="AL31" s="107" t="s">
        <v>325</v>
      </c>
      <c r="AM31" s="107" t="s">
        <v>326</v>
      </c>
      <c r="AN31" s="107" t="s">
        <v>326</v>
      </c>
      <c r="AO31" s="106" t="s">
        <v>320</v>
      </c>
      <c r="AQ31" s="108">
        <v>-7</v>
      </c>
      <c r="AR31" s="5"/>
      <c r="AS31" s="105">
        <v>0</v>
      </c>
      <c r="AT31" s="106">
        <v>0</v>
      </c>
      <c r="AU31" s="34"/>
      <c r="AV31" s="105">
        <f t="shared" si="1"/>
        <v>0</v>
      </c>
      <c r="AW31" s="106">
        <f t="shared" si="2"/>
        <v>0</v>
      </c>
      <c r="AX31" s="105">
        <f t="shared" si="3"/>
        <v>0</v>
      </c>
      <c r="AY31" s="106">
        <f t="shared" si="4"/>
        <v>0</v>
      </c>
      <c r="AZ31" s="105">
        <f t="shared" si="5"/>
        <v>0</v>
      </c>
      <c r="BA31" s="106">
        <f t="shared" si="6"/>
        <v>0</v>
      </c>
      <c r="BB31" s="34">
        <f t="shared" si="7"/>
        <v>0</v>
      </c>
      <c r="BC31" s="106">
        <f t="shared" si="8"/>
        <v>0</v>
      </c>
      <c r="BD31" s="34"/>
      <c r="BE31" s="105">
        <f t="shared" si="9"/>
        <v>0</v>
      </c>
      <c r="BF31" s="106">
        <f t="shared" si="10"/>
        <v>0</v>
      </c>
      <c r="BG31" s="105">
        <f t="shared" si="11"/>
        <v>0</v>
      </c>
      <c r="BH31" s="106">
        <f t="shared" si="12"/>
        <v>0</v>
      </c>
      <c r="BI31" s="34">
        <f t="shared" si="13"/>
        <v>0</v>
      </c>
      <c r="BJ31" s="106">
        <f t="shared" si="14"/>
        <v>0</v>
      </c>
      <c r="BK31" s="34">
        <f t="shared" si="15"/>
        <v>0</v>
      </c>
      <c r="BL31" s="106">
        <f t="shared" si="16"/>
        <v>0</v>
      </c>
      <c r="BN31" s="108">
        <v>-4.9500000000000028</v>
      </c>
      <c r="BO31" s="5"/>
      <c r="BP31" s="105">
        <v>-4.9500000000000028</v>
      </c>
      <c r="BQ31" s="106">
        <v>0</v>
      </c>
      <c r="BR31" s="34"/>
      <c r="BS31" s="105">
        <v>0</v>
      </c>
      <c r="BT31" s="106">
        <v>0</v>
      </c>
      <c r="BU31" s="105">
        <v>0</v>
      </c>
      <c r="BV31" s="106">
        <v>0</v>
      </c>
      <c r="BW31" s="105">
        <v>0</v>
      </c>
      <c r="BX31" s="106">
        <v>0</v>
      </c>
      <c r="BY31" s="105">
        <v>0</v>
      </c>
      <c r="BZ31" s="106">
        <v>0</v>
      </c>
      <c r="CA31" s="34"/>
      <c r="CB31" s="105">
        <v>0</v>
      </c>
      <c r="CC31" s="106">
        <v>0</v>
      </c>
      <c r="CD31" s="105">
        <v>0</v>
      </c>
      <c r="CE31" s="106">
        <v>0</v>
      </c>
      <c r="CF31" s="105">
        <v>0</v>
      </c>
      <c r="CG31" s="106">
        <v>0</v>
      </c>
      <c r="CH31" s="105">
        <v>0</v>
      </c>
      <c r="CI31" s="106">
        <v>0</v>
      </c>
      <c r="CK31" s="78"/>
      <c r="CL31" s="5"/>
      <c r="CM31" s="38" t="str">
        <f t="shared" si="17"/>
        <v>-</v>
      </c>
      <c r="CN31" s="5"/>
      <c r="CO31" s="38" t="str">
        <f t="shared" si="18"/>
        <v>-</v>
      </c>
      <c r="CP31" s="38" t="str">
        <f t="shared" si="19"/>
        <v>-</v>
      </c>
      <c r="CQ31" s="38" t="str">
        <f t="shared" si="20"/>
        <v>-</v>
      </c>
      <c r="CR31" s="38" t="str">
        <f t="shared" si="20"/>
        <v>-</v>
      </c>
      <c r="CS31" s="5"/>
      <c r="CT31" s="38" t="str">
        <f t="shared" si="21"/>
        <v>-</v>
      </c>
      <c r="CU31" s="38" t="str">
        <f t="shared" si="22"/>
        <v>-</v>
      </c>
      <c r="CV31" s="38" t="str">
        <f t="shared" si="23"/>
        <v>-</v>
      </c>
      <c r="CW31" s="38" t="str">
        <f t="shared" si="24"/>
        <v>-</v>
      </c>
    </row>
    <row r="32" spans="2:101" s="113" customFormat="1" ht="12.75" customHeight="1">
      <c r="B32" s="99" t="s">
        <v>20</v>
      </c>
      <c r="C32" s="98" t="s">
        <v>266</v>
      </c>
      <c r="D32" s="114" t="e">
        <f>VLOOKUP($C32,#REF!,5,0)</f>
        <v>#REF!</v>
      </c>
      <c r="E32" s="115" t="e">
        <f>VLOOKUP($C32,#REF!,6,0)</f>
        <v>#REF!</v>
      </c>
      <c r="F32" s="98" t="e">
        <f>VLOOKUP($C32,#REF!,7,0)</f>
        <v>#REF!</v>
      </c>
      <c r="G32" s="98" t="e">
        <f>VLOOKUP($C32,#REF!,8,0)</f>
        <v>#REF!</v>
      </c>
      <c r="H32" s="116" t="e">
        <f>VLOOKUP($C32,#REF!,9,0)</f>
        <v>#REF!</v>
      </c>
      <c r="I32" s="5"/>
      <c r="J32" s="118" t="e">
        <f>VLOOKUP($C32,#REF!,10,0)</f>
        <v>#REF!</v>
      </c>
      <c r="K32" s="119" t="e">
        <f>VLOOKUP($C32,#REF!,11,0)</f>
        <v>#REF!</v>
      </c>
      <c r="L32" s="34"/>
      <c r="M32" s="118" t="e">
        <f>VLOOKUP($C32,#REF!,12,0)</f>
        <v>#REF!</v>
      </c>
      <c r="N32" s="120" t="e">
        <f>VLOOKUP($C32,#REF!,13,0)</f>
        <v>#REF!</v>
      </c>
      <c r="O32" s="118" t="e">
        <f>VLOOKUP($C32,#REF!,14,0)</f>
        <v>#REF!</v>
      </c>
      <c r="P32" s="120" t="e">
        <f>VLOOKUP($C32,#REF!,15,0)</f>
        <v>#REF!</v>
      </c>
      <c r="Q32" s="118" t="e">
        <f>VLOOKUP($C32,#REF!,16,0)</f>
        <v>#REF!</v>
      </c>
      <c r="R32" s="119" t="e">
        <f>VLOOKUP($C32,#REF!,17,0)</f>
        <v>#REF!</v>
      </c>
      <c r="S32" s="120" t="e">
        <f>VLOOKUP($C32,#REF!,18,0)</f>
        <v>#REF!</v>
      </c>
      <c r="T32" s="119" t="e">
        <f>VLOOKUP($C32,#REF!,19,0)</f>
        <v>#REF!</v>
      </c>
      <c r="U32" s="34"/>
      <c r="V32" s="118" t="e">
        <f>VLOOKUP($C32,#REF!,20,0)</f>
        <v>#REF!</v>
      </c>
      <c r="W32" s="120" t="e">
        <f>VLOOKUP($C32,#REF!,21,0)</f>
        <v>#REF!</v>
      </c>
      <c r="X32" s="118" t="e">
        <f>VLOOKUP($C32,#REF!,22,0)</f>
        <v>#REF!</v>
      </c>
      <c r="Y32" s="120" t="e">
        <f>VLOOKUP($C32,#REF!,23,0)</f>
        <v>#REF!</v>
      </c>
      <c r="Z32" s="118" t="e">
        <f>VLOOKUP($C32,#REF!,24,0)</f>
        <v>#REF!</v>
      </c>
      <c r="AA32" s="119" t="e">
        <f>VLOOKUP($C32,#REF!,25,0)</f>
        <v>#REF!</v>
      </c>
      <c r="AB32" s="120" t="e">
        <f>VLOOKUP($C32,#REF!,26,0)</f>
        <v>#REF!</v>
      </c>
      <c r="AC32" s="119" t="e">
        <f>VLOOKUP($C32,#REF!,27,0)</f>
        <v>#REF!</v>
      </c>
      <c r="AD32" s="4"/>
      <c r="AE32" s="118" t="e">
        <f t="shared" si="0"/>
        <v>#REF!</v>
      </c>
      <c r="AF32" s="121" t="s">
        <v>320</v>
      </c>
      <c r="AG32" s="121" t="s">
        <v>321</v>
      </c>
      <c r="AH32" s="119" t="s">
        <v>322</v>
      </c>
      <c r="AI32" s="4"/>
      <c r="AJ32" s="118" t="s">
        <v>323</v>
      </c>
      <c r="AK32" s="121" t="s">
        <v>324</v>
      </c>
      <c r="AL32" s="121" t="s">
        <v>325</v>
      </c>
      <c r="AM32" s="121" t="s">
        <v>326</v>
      </c>
      <c r="AN32" s="121" t="s">
        <v>326</v>
      </c>
      <c r="AO32" s="119" t="s">
        <v>320</v>
      </c>
      <c r="AP32" s="4"/>
      <c r="AQ32" s="122">
        <v>0</v>
      </c>
      <c r="AR32" s="5"/>
      <c r="AS32" s="118">
        <v>0</v>
      </c>
      <c r="AT32" s="119">
        <v>0</v>
      </c>
      <c r="AU32" s="34"/>
      <c r="AV32" s="118">
        <f t="shared" si="1"/>
        <v>0</v>
      </c>
      <c r="AW32" s="119">
        <f t="shared" si="2"/>
        <v>0</v>
      </c>
      <c r="AX32" s="118">
        <f t="shared" si="3"/>
        <v>0</v>
      </c>
      <c r="AY32" s="119">
        <f t="shared" si="4"/>
        <v>0</v>
      </c>
      <c r="AZ32" s="118">
        <f t="shared" si="5"/>
        <v>0</v>
      </c>
      <c r="BA32" s="119">
        <f t="shared" si="6"/>
        <v>0</v>
      </c>
      <c r="BB32" s="120">
        <f t="shared" si="7"/>
        <v>0</v>
      </c>
      <c r="BC32" s="119">
        <f t="shared" si="8"/>
        <v>0</v>
      </c>
      <c r="BD32" s="34"/>
      <c r="BE32" s="118">
        <f t="shared" si="9"/>
        <v>0</v>
      </c>
      <c r="BF32" s="119">
        <f t="shared" si="10"/>
        <v>0</v>
      </c>
      <c r="BG32" s="118">
        <f t="shared" si="11"/>
        <v>0</v>
      </c>
      <c r="BH32" s="119">
        <f t="shared" si="12"/>
        <v>0</v>
      </c>
      <c r="BI32" s="120">
        <f t="shared" si="13"/>
        <v>0</v>
      </c>
      <c r="BJ32" s="119">
        <f t="shared" si="14"/>
        <v>0</v>
      </c>
      <c r="BK32" s="120">
        <f t="shared" si="15"/>
        <v>0</v>
      </c>
      <c r="BL32" s="119">
        <f t="shared" si="16"/>
        <v>0</v>
      </c>
      <c r="BM32" s="4"/>
      <c r="BN32" s="122">
        <v>0</v>
      </c>
      <c r="BO32" s="117"/>
      <c r="BP32" s="118">
        <v>0</v>
      </c>
      <c r="BQ32" s="119">
        <v>0</v>
      </c>
      <c r="BR32" s="120"/>
      <c r="BS32" s="118">
        <v>0</v>
      </c>
      <c r="BT32" s="119">
        <v>0</v>
      </c>
      <c r="BU32" s="118">
        <v>0</v>
      </c>
      <c r="BV32" s="119">
        <v>0</v>
      </c>
      <c r="BW32" s="118">
        <v>0</v>
      </c>
      <c r="BX32" s="119">
        <v>0</v>
      </c>
      <c r="BY32" s="118">
        <v>0</v>
      </c>
      <c r="BZ32" s="119">
        <v>0</v>
      </c>
      <c r="CA32" s="120"/>
      <c r="CB32" s="118">
        <v>0</v>
      </c>
      <c r="CC32" s="119">
        <v>0</v>
      </c>
      <c r="CD32" s="118">
        <v>0</v>
      </c>
      <c r="CE32" s="119">
        <v>0</v>
      </c>
      <c r="CF32" s="118">
        <v>0</v>
      </c>
      <c r="CG32" s="119">
        <v>0</v>
      </c>
      <c r="CH32" s="118">
        <v>0</v>
      </c>
      <c r="CI32" s="119">
        <v>0</v>
      </c>
      <c r="CJ32" s="4"/>
      <c r="CK32" s="79"/>
      <c r="CL32" s="5"/>
      <c r="CM32" s="39" t="str">
        <f t="shared" si="17"/>
        <v>-</v>
      </c>
      <c r="CN32" s="5"/>
      <c r="CO32" s="39" t="str">
        <f t="shared" si="18"/>
        <v>-</v>
      </c>
      <c r="CP32" s="39" t="str">
        <f t="shared" si="19"/>
        <v>-</v>
      </c>
      <c r="CQ32" s="39" t="str">
        <f t="shared" si="20"/>
        <v>-</v>
      </c>
      <c r="CR32" s="39" t="str">
        <f t="shared" si="20"/>
        <v>-</v>
      </c>
      <c r="CS32" s="5"/>
      <c r="CT32" s="39" t="str">
        <f t="shared" si="21"/>
        <v>-</v>
      </c>
      <c r="CU32" s="39" t="str">
        <f t="shared" si="22"/>
        <v>-</v>
      </c>
      <c r="CV32" s="39" t="str">
        <f t="shared" si="23"/>
        <v>-</v>
      </c>
      <c r="CW32" s="39" t="str">
        <f t="shared" si="24"/>
        <v>-</v>
      </c>
    </row>
    <row r="33" spans="2:101" s="4" customFormat="1" ht="12.75" customHeight="1">
      <c r="B33" s="102" t="s">
        <v>20</v>
      </c>
      <c r="C33" s="103" t="s">
        <v>213</v>
      </c>
      <c r="D33" s="104" t="e">
        <f>VLOOKUP($C33,#REF!,5,0)</f>
        <v>#REF!</v>
      </c>
      <c r="E33" s="109" t="e">
        <f>VLOOKUP($C33,#REF!,6,0)</f>
        <v>#REF!</v>
      </c>
      <c r="F33" s="103" t="e">
        <f>VLOOKUP($C33,#REF!,7,0)</f>
        <v>#REF!</v>
      </c>
      <c r="G33" s="103" t="e">
        <f>VLOOKUP($C33,#REF!,8,0)</f>
        <v>#REF!</v>
      </c>
      <c r="H33" s="110" t="e">
        <f>VLOOKUP($C33,#REF!,9,0)</f>
        <v>#REF!</v>
      </c>
      <c r="I33" s="5"/>
      <c r="J33" s="105" t="e">
        <f>VLOOKUP($C33,#REF!,10,0)</f>
        <v>#REF!</v>
      </c>
      <c r="K33" s="106" t="e">
        <f>VLOOKUP($C33,#REF!,11,0)</f>
        <v>#REF!</v>
      </c>
      <c r="L33" s="34"/>
      <c r="M33" s="105" t="e">
        <f>VLOOKUP($C33,#REF!,12,0)</f>
        <v>#REF!</v>
      </c>
      <c r="N33" s="34" t="e">
        <f>VLOOKUP($C33,#REF!,13,0)</f>
        <v>#REF!</v>
      </c>
      <c r="O33" s="105" t="e">
        <f>VLOOKUP($C33,#REF!,14,0)</f>
        <v>#REF!</v>
      </c>
      <c r="P33" s="34" t="e">
        <f>VLOOKUP($C33,#REF!,15,0)</f>
        <v>#REF!</v>
      </c>
      <c r="Q33" s="105" t="e">
        <f>VLOOKUP($C33,#REF!,16,0)</f>
        <v>#REF!</v>
      </c>
      <c r="R33" s="106" t="e">
        <f>VLOOKUP($C33,#REF!,17,0)</f>
        <v>#REF!</v>
      </c>
      <c r="S33" s="34" t="e">
        <f>VLOOKUP($C33,#REF!,18,0)</f>
        <v>#REF!</v>
      </c>
      <c r="T33" s="106" t="e">
        <f>VLOOKUP($C33,#REF!,19,0)</f>
        <v>#REF!</v>
      </c>
      <c r="U33" s="34"/>
      <c r="V33" s="105" t="e">
        <f>VLOOKUP($C33,#REF!,20,0)</f>
        <v>#REF!</v>
      </c>
      <c r="W33" s="34" t="e">
        <f>VLOOKUP($C33,#REF!,21,0)</f>
        <v>#REF!</v>
      </c>
      <c r="X33" s="105" t="e">
        <f>VLOOKUP($C33,#REF!,22,0)</f>
        <v>#REF!</v>
      </c>
      <c r="Y33" s="34" t="e">
        <f>VLOOKUP($C33,#REF!,23,0)</f>
        <v>#REF!</v>
      </c>
      <c r="Z33" s="105" t="e">
        <f>VLOOKUP($C33,#REF!,24,0)</f>
        <v>#REF!</v>
      </c>
      <c r="AA33" s="106" t="e">
        <f>VLOOKUP($C33,#REF!,25,0)</f>
        <v>#REF!</v>
      </c>
      <c r="AB33" s="34" t="e">
        <f>VLOOKUP($C33,#REF!,26,0)</f>
        <v>#REF!</v>
      </c>
      <c r="AC33" s="106" t="e">
        <f>VLOOKUP($C33,#REF!,27,0)</f>
        <v>#REF!</v>
      </c>
      <c r="AE33" s="105" t="e">
        <f t="shared" si="0"/>
        <v>#REF!</v>
      </c>
      <c r="AF33" s="107" t="s">
        <v>320</v>
      </c>
      <c r="AG33" s="107" t="s">
        <v>321</v>
      </c>
      <c r="AH33" s="106" t="s">
        <v>322</v>
      </c>
      <c r="AJ33" s="105" t="s">
        <v>323</v>
      </c>
      <c r="AK33" s="107" t="s">
        <v>324</v>
      </c>
      <c r="AL33" s="107" t="s">
        <v>325</v>
      </c>
      <c r="AM33" s="107" t="s">
        <v>326</v>
      </c>
      <c r="AN33" s="107" t="s">
        <v>326</v>
      </c>
      <c r="AO33" s="106" t="s">
        <v>320</v>
      </c>
      <c r="AQ33" s="108">
        <v>33</v>
      </c>
      <c r="AR33" s="5"/>
      <c r="AS33" s="105">
        <v>0</v>
      </c>
      <c r="AT33" s="106">
        <v>0</v>
      </c>
      <c r="AU33" s="34"/>
      <c r="AV33" s="105">
        <f t="shared" si="1"/>
        <v>0</v>
      </c>
      <c r="AW33" s="106">
        <f t="shared" si="2"/>
        <v>0</v>
      </c>
      <c r="AX33" s="105">
        <f t="shared" si="3"/>
        <v>0</v>
      </c>
      <c r="AY33" s="106">
        <f t="shared" si="4"/>
        <v>0</v>
      </c>
      <c r="AZ33" s="105">
        <f t="shared" si="5"/>
        <v>0</v>
      </c>
      <c r="BA33" s="106">
        <f t="shared" si="6"/>
        <v>0</v>
      </c>
      <c r="BB33" s="34">
        <f t="shared" si="7"/>
        <v>0</v>
      </c>
      <c r="BC33" s="106">
        <f t="shared" si="8"/>
        <v>0</v>
      </c>
      <c r="BD33" s="34"/>
      <c r="BE33" s="105">
        <f t="shared" si="9"/>
        <v>0</v>
      </c>
      <c r="BF33" s="106">
        <f t="shared" si="10"/>
        <v>0</v>
      </c>
      <c r="BG33" s="105">
        <f t="shared" si="11"/>
        <v>0</v>
      </c>
      <c r="BH33" s="106">
        <f t="shared" si="12"/>
        <v>0</v>
      </c>
      <c r="BI33" s="34">
        <f t="shared" si="13"/>
        <v>0</v>
      </c>
      <c r="BJ33" s="106">
        <f t="shared" si="14"/>
        <v>0</v>
      </c>
      <c r="BK33" s="34">
        <f t="shared" si="15"/>
        <v>0</v>
      </c>
      <c r="BL33" s="106">
        <f t="shared" si="16"/>
        <v>0</v>
      </c>
      <c r="BN33" s="108">
        <v>0</v>
      </c>
      <c r="BO33" s="5"/>
      <c r="BP33" s="105">
        <v>0</v>
      </c>
      <c r="BQ33" s="106">
        <v>0</v>
      </c>
      <c r="BR33" s="34"/>
      <c r="BS33" s="105">
        <v>0</v>
      </c>
      <c r="BT33" s="106">
        <v>0</v>
      </c>
      <c r="BU33" s="105">
        <v>0</v>
      </c>
      <c r="BV33" s="106">
        <v>0</v>
      </c>
      <c r="BW33" s="105">
        <v>0</v>
      </c>
      <c r="BX33" s="106">
        <v>0</v>
      </c>
      <c r="BY33" s="105">
        <v>0</v>
      </c>
      <c r="BZ33" s="106">
        <v>0</v>
      </c>
      <c r="CA33" s="34"/>
      <c r="CB33" s="105">
        <v>0</v>
      </c>
      <c r="CC33" s="106">
        <v>0</v>
      </c>
      <c r="CD33" s="105">
        <v>0</v>
      </c>
      <c r="CE33" s="106">
        <v>0</v>
      </c>
      <c r="CF33" s="105">
        <v>0</v>
      </c>
      <c r="CG33" s="106">
        <v>0</v>
      </c>
      <c r="CH33" s="105">
        <v>0</v>
      </c>
      <c r="CI33" s="106">
        <v>0</v>
      </c>
      <c r="CK33" s="78"/>
      <c r="CL33" s="5"/>
      <c r="CM33" s="38" t="str">
        <f t="shared" si="17"/>
        <v>-</v>
      </c>
      <c r="CN33" s="5"/>
      <c r="CO33" s="38" t="str">
        <f t="shared" si="18"/>
        <v>-</v>
      </c>
      <c r="CP33" s="38" t="str">
        <f t="shared" si="19"/>
        <v>-</v>
      </c>
      <c r="CQ33" s="38" t="str">
        <f t="shared" si="20"/>
        <v>-</v>
      </c>
      <c r="CR33" s="38" t="str">
        <f t="shared" si="20"/>
        <v>-</v>
      </c>
      <c r="CS33" s="5"/>
      <c r="CT33" s="38" t="str">
        <f t="shared" si="21"/>
        <v>-</v>
      </c>
      <c r="CU33" s="38" t="str">
        <f t="shared" si="22"/>
        <v>-</v>
      </c>
      <c r="CV33" s="38" t="str">
        <f t="shared" si="23"/>
        <v>-</v>
      </c>
      <c r="CW33" s="38" t="str">
        <f t="shared" si="24"/>
        <v>-</v>
      </c>
    </row>
    <row r="34" spans="2:101" s="113" customFormat="1" ht="12.75" customHeight="1">
      <c r="B34" s="99" t="s">
        <v>20</v>
      </c>
      <c r="C34" s="98" t="s">
        <v>307</v>
      </c>
      <c r="D34" s="114" t="e">
        <f>VLOOKUP($C34,#REF!,5,0)</f>
        <v>#REF!</v>
      </c>
      <c r="E34" s="115" t="e">
        <f>VLOOKUP($C34,#REF!,6,0)</f>
        <v>#REF!</v>
      </c>
      <c r="F34" s="98" t="e">
        <f>VLOOKUP($C34,#REF!,7,0)</f>
        <v>#REF!</v>
      </c>
      <c r="G34" s="98" t="e">
        <f>VLOOKUP($C34,#REF!,8,0)</f>
        <v>#REF!</v>
      </c>
      <c r="H34" s="116" t="e">
        <f>VLOOKUP($C34,#REF!,9,0)</f>
        <v>#REF!</v>
      </c>
      <c r="I34" s="5"/>
      <c r="J34" s="118" t="e">
        <f>VLOOKUP($C34,#REF!,10,0)</f>
        <v>#REF!</v>
      </c>
      <c r="K34" s="119" t="e">
        <f>VLOOKUP($C34,#REF!,11,0)</f>
        <v>#REF!</v>
      </c>
      <c r="L34" s="34"/>
      <c r="M34" s="118" t="e">
        <f>VLOOKUP($C34,#REF!,12,0)</f>
        <v>#REF!</v>
      </c>
      <c r="N34" s="120" t="e">
        <f>VLOOKUP($C34,#REF!,13,0)</f>
        <v>#REF!</v>
      </c>
      <c r="O34" s="118" t="e">
        <f>VLOOKUP($C34,#REF!,14,0)</f>
        <v>#REF!</v>
      </c>
      <c r="P34" s="120" t="e">
        <f>VLOOKUP($C34,#REF!,15,0)</f>
        <v>#REF!</v>
      </c>
      <c r="Q34" s="118" t="e">
        <f>VLOOKUP($C34,#REF!,16,0)</f>
        <v>#REF!</v>
      </c>
      <c r="R34" s="119" t="e">
        <f>VLOOKUP($C34,#REF!,17,0)</f>
        <v>#REF!</v>
      </c>
      <c r="S34" s="120" t="e">
        <f>VLOOKUP($C34,#REF!,18,0)</f>
        <v>#REF!</v>
      </c>
      <c r="T34" s="119" t="e">
        <f>VLOOKUP($C34,#REF!,19,0)</f>
        <v>#REF!</v>
      </c>
      <c r="U34" s="34"/>
      <c r="V34" s="118" t="e">
        <f>VLOOKUP($C34,#REF!,20,0)</f>
        <v>#REF!</v>
      </c>
      <c r="W34" s="120" t="e">
        <f>VLOOKUP($C34,#REF!,21,0)</f>
        <v>#REF!</v>
      </c>
      <c r="X34" s="118" t="e">
        <f>VLOOKUP($C34,#REF!,22,0)</f>
        <v>#REF!</v>
      </c>
      <c r="Y34" s="120" t="e">
        <f>VLOOKUP($C34,#REF!,23,0)</f>
        <v>#REF!</v>
      </c>
      <c r="Z34" s="118" t="e">
        <f>VLOOKUP($C34,#REF!,24,0)</f>
        <v>#REF!</v>
      </c>
      <c r="AA34" s="119" t="e">
        <f>VLOOKUP($C34,#REF!,25,0)</f>
        <v>#REF!</v>
      </c>
      <c r="AB34" s="120" t="e">
        <f>VLOOKUP($C34,#REF!,26,0)</f>
        <v>#REF!</v>
      </c>
      <c r="AC34" s="119" t="e">
        <f>VLOOKUP($C34,#REF!,27,0)</f>
        <v>#REF!</v>
      </c>
      <c r="AD34" s="4"/>
      <c r="AE34" s="118" t="e">
        <f t="shared" si="0"/>
        <v>#REF!</v>
      </c>
      <c r="AF34" s="121" t="s">
        <v>320</v>
      </c>
      <c r="AG34" s="121" t="s">
        <v>321</v>
      </c>
      <c r="AH34" s="119" t="s">
        <v>322</v>
      </c>
      <c r="AI34" s="4"/>
      <c r="AJ34" s="118" t="s">
        <v>323</v>
      </c>
      <c r="AK34" s="121" t="s">
        <v>324</v>
      </c>
      <c r="AL34" s="121" t="s">
        <v>325</v>
      </c>
      <c r="AM34" s="121" t="s">
        <v>326</v>
      </c>
      <c r="AN34" s="121" t="s">
        <v>326</v>
      </c>
      <c r="AO34" s="119" t="s">
        <v>320</v>
      </c>
      <c r="AP34" s="4"/>
      <c r="AQ34" s="122">
        <v>8</v>
      </c>
      <c r="AR34" s="5"/>
      <c r="AS34" s="118">
        <v>0</v>
      </c>
      <c r="AT34" s="119">
        <v>0</v>
      </c>
      <c r="AU34" s="34"/>
      <c r="AV34" s="118">
        <f t="shared" si="1"/>
        <v>0</v>
      </c>
      <c r="AW34" s="119">
        <f t="shared" si="2"/>
        <v>0</v>
      </c>
      <c r="AX34" s="118">
        <f t="shared" si="3"/>
        <v>0</v>
      </c>
      <c r="AY34" s="119">
        <f t="shared" si="4"/>
        <v>0</v>
      </c>
      <c r="AZ34" s="118">
        <f t="shared" si="5"/>
        <v>0</v>
      </c>
      <c r="BA34" s="119">
        <f t="shared" si="6"/>
        <v>0</v>
      </c>
      <c r="BB34" s="120">
        <f t="shared" si="7"/>
        <v>0</v>
      </c>
      <c r="BC34" s="119">
        <f t="shared" si="8"/>
        <v>0</v>
      </c>
      <c r="BD34" s="34"/>
      <c r="BE34" s="118">
        <f t="shared" si="9"/>
        <v>0</v>
      </c>
      <c r="BF34" s="119">
        <f t="shared" si="10"/>
        <v>0</v>
      </c>
      <c r="BG34" s="118">
        <f t="shared" si="11"/>
        <v>0</v>
      </c>
      <c r="BH34" s="119">
        <f t="shared" si="12"/>
        <v>0</v>
      </c>
      <c r="BI34" s="120">
        <f t="shared" si="13"/>
        <v>0</v>
      </c>
      <c r="BJ34" s="119">
        <f t="shared" si="14"/>
        <v>0</v>
      </c>
      <c r="BK34" s="120">
        <f t="shared" si="15"/>
        <v>0</v>
      </c>
      <c r="BL34" s="119">
        <f t="shared" si="16"/>
        <v>0</v>
      </c>
      <c r="BM34" s="4"/>
      <c r="BN34" s="122" t="e">
        <v>#N/A</v>
      </c>
      <c r="BO34" s="117"/>
      <c r="BP34" s="118" t="e">
        <v>#N/A</v>
      </c>
      <c r="BQ34" s="119" t="e">
        <v>#N/A</v>
      </c>
      <c r="BR34" s="120"/>
      <c r="BS34" s="118" t="e">
        <v>#N/A</v>
      </c>
      <c r="BT34" s="119" t="e">
        <v>#N/A</v>
      </c>
      <c r="BU34" s="118" t="e">
        <v>#N/A</v>
      </c>
      <c r="BV34" s="119" t="e">
        <v>#N/A</v>
      </c>
      <c r="BW34" s="118" t="e">
        <v>#N/A</v>
      </c>
      <c r="BX34" s="119" t="e">
        <v>#N/A</v>
      </c>
      <c r="BY34" s="118" t="e">
        <v>#N/A</v>
      </c>
      <c r="BZ34" s="119" t="e">
        <v>#N/A</v>
      </c>
      <c r="CA34" s="120"/>
      <c r="CB34" s="118" t="e">
        <v>#N/A</v>
      </c>
      <c r="CC34" s="119" t="e">
        <v>#N/A</v>
      </c>
      <c r="CD34" s="118" t="e">
        <v>#N/A</v>
      </c>
      <c r="CE34" s="119" t="e">
        <v>#N/A</v>
      </c>
      <c r="CF34" s="118" t="e">
        <v>#N/A</v>
      </c>
      <c r="CG34" s="119" t="e">
        <v>#N/A</v>
      </c>
      <c r="CH34" s="118" t="e">
        <v>#N/A</v>
      </c>
      <c r="CI34" s="119" t="e">
        <v>#N/A</v>
      </c>
      <c r="CJ34" s="4"/>
      <c r="CK34" s="79"/>
      <c r="CL34" s="5"/>
      <c r="CM34" s="39" t="str">
        <f t="shared" si="17"/>
        <v>-</v>
      </c>
      <c r="CN34" s="5"/>
      <c r="CO34" s="39" t="str">
        <f t="shared" si="18"/>
        <v>-</v>
      </c>
      <c r="CP34" s="39" t="str">
        <f t="shared" si="19"/>
        <v>-</v>
      </c>
      <c r="CQ34" s="39" t="str">
        <f t="shared" si="20"/>
        <v>-</v>
      </c>
      <c r="CR34" s="39" t="str">
        <f t="shared" si="20"/>
        <v>-</v>
      </c>
      <c r="CS34" s="5"/>
      <c r="CT34" s="39" t="str">
        <f t="shared" si="21"/>
        <v>-</v>
      </c>
      <c r="CU34" s="39" t="str">
        <f t="shared" si="22"/>
        <v>-</v>
      </c>
      <c r="CV34" s="39" t="str">
        <f t="shared" si="23"/>
        <v>-</v>
      </c>
      <c r="CW34" s="39" t="str">
        <f t="shared" si="24"/>
        <v>-</v>
      </c>
    </row>
    <row r="35" spans="2:101" s="4" customFormat="1" ht="12.75" customHeight="1">
      <c r="B35" s="102" t="s">
        <v>20</v>
      </c>
      <c r="C35" s="103" t="s">
        <v>229</v>
      </c>
      <c r="D35" s="104" t="e">
        <f>VLOOKUP($C35,#REF!,5,0)</f>
        <v>#REF!</v>
      </c>
      <c r="E35" s="109" t="e">
        <f>VLOOKUP($C35,#REF!,6,0)</f>
        <v>#REF!</v>
      </c>
      <c r="F35" s="103" t="e">
        <f>VLOOKUP($C35,#REF!,7,0)</f>
        <v>#REF!</v>
      </c>
      <c r="G35" s="103" t="e">
        <f>VLOOKUP($C35,#REF!,8,0)</f>
        <v>#REF!</v>
      </c>
      <c r="H35" s="110" t="e">
        <f>VLOOKUP($C35,#REF!,9,0)</f>
        <v>#REF!</v>
      </c>
      <c r="I35" s="5"/>
      <c r="J35" s="105" t="e">
        <f>VLOOKUP($C35,#REF!,10,0)</f>
        <v>#REF!</v>
      </c>
      <c r="K35" s="106" t="e">
        <f>VLOOKUP($C35,#REF!,11,0)</f>
        <v>#REF!</v>
      </c>
      <c r="L35" s="34"/>
      <c r="M35" s="105" t="e">
        <f>VLOOKUP($C35,#REF!,12,0)</f>
        <v>#REF!</v>
      </c>
      <c r="N35" s="34" t="e">
        <f>VLOOKUP($C35,#REF!,13,0)</f>
        <v>#REF!</v>
      </c>
      <c r="O35" s="105" t="e">
        <f>VLOOKUP($C35,#REF!,14,0)</f>
        <v>#REF!</v>
      </c>
      <c r="P35" s="34" t="e">
        <f>VLOOKUP($C35,#REF!,15,0)</f>
        <v>#REF!</v>
      </c>
      <c r="Q35" s="105" t="e">
        <f>VLOOKUP($C35,#REF!,16,0)</f>
        <v>#REF!</v>
      </c>
      <c r="R35" s="106" t="e">
        <f>VLOOKUP($C35,#REF!,17,0)</f>
        <v>#REF!</v>
      </c>
      <c r="S35" s="34" t="e">
        <f>VLOOKUP($C35,#REF!,18,0)</f>
        <v>#REF!</v>
      </c>
      <c r="T35" s="106" t="e">
        <f>VLOOKUP($C35,#REF!,19,0)</f>
        <v>#REF!</v>
      </c>
      <c r="U35" s="34"/>
      <c r="V35" s="105" t="e">
        <f>VLOOKUP($C35,#REF!,20,0)</f>
        <v>#REF!</v>
      </c>
      <c r="W35" s="34" t="e">
        <f>VLOOKUP($C35,#REF!,21,0)</f>
        <v>#REF!</v>
      </c>
      <c r="X35" s="105" t="e">
        <f>VLOOKUP($C35,#REF!,22,0)</f>
        <v>#REF!</v>
      </c>
      <c r="Y35" s="34" t="e">
        <f>VLOOKUP($C35,#REF!,23,0)</f>
        <v>#REF!</v>
      </c>
      <c r="Z35" s="105" t="e">
        <f>VLOOKUP($C35,#REF!,24,0)</f>
        <v>#REF!</v>
      </c>
      <c r="AA35" s="106" t="e">
        <f>VLOOKUP($C35,#REF!,25,0)</f>
        <v>#REF!</v>
      </c>
      <c r="AB35" s="34" t="e">
        <f>VLOOKUP($C35,#REF!,26,0)</f>
        <v>#REF!</v>
      </c>
      <c r="AC35" s="106" t="e">
        <f>VLOOKUP($C35,#REF!,27,0)</f>
        <v>#REF!</v>
      </c>
      <c r="AE35" s="105" t="e">
        <f t="shared" si="0"/>
        <v>#REF!</v>
      </c>
      <c r="AF35" s="107" t="s">
        <v>320</v>
      </c>
      <c r="AG35" s="107" t="s">
        <v>321</v>
      </c>
      <c r="AH35" s="106" t="s">
        <v>322</v>
      </c>
      <c r="AJ35" s="105" t="s">
        <v>323</v>
      </c>
      <c r="AK35" s="107" t="s">
        <v>324</v>
      </c>
      <c r="AL35" s="107" t="s">
        <v>325</v>
      </c>
      <c r="AM35" s="107" t="s">
        <v>326</v>
      </c>
      <c r="AN35" s="107" t="s">
        <v>326</v>
      </c>
      <c r="AO35" s="106" t="s">
        <v>320</v>
      </c>
      <c r="AQ35" s="108">
        <v>17</v>
      </c>
      <c r="AR35" s="5"/>
      <c r="AS35" s="105">
        <v>0</v>
      </c>
      <c r="AT35" s="106">
        <v>0</v>
      </c>
      <c r="AU35" s="34"/>
      <c r="AV35" s="105">
        <f t="shared" si="1"/>
        <v>0</v>
      </c>
      <c r="AW35" s="106">
        <f t="shared" si="2"/>
        <v>0</v>
      </c>
      <c r="AX35" s="105">
        <f t="shared" si="3"/>
        <v>0</v>
      </c>
      <c r="AY35" s="106">
        <f t="shared" si="4"/>
        <v>0</v>
      </c>
      <c r="AZ35" s="105">
        <f t="shared" si="5"/>
        <v>0</v>
      </c>
      <c r="BA35" s="106">
        <f t="shared" si="6"/>
        <v>0</v>
      </c>
      <c r="BB35" s="34">
        <f t="shared" si="7"/>
        <v>0</v>
      </c>
      <c r="BC35" s="106">
        <f t="shared" si="8"/>
        <v>0</v>
      </c>
      <c r="BD35" s="34"/>
      <c r="BE35" s="105">
        <f t="shared" si="9"/>
        <v>0</v>
      </c>
      <c r="BF35" s="106">
        <f t="shared" si="10"/>
        <v>0</v>
      </c>
      <c r="BG35" s="105">
        <f t="shared" si="11"/>
        <v>0</v>
      </c>
      <c r="BH35" s="106">
        <f t="shared" si="12"/>
        <v>0</v>
      </c>
      <c r="BI35" s="34">
        <f t="shared" si="13"/>
        <v>0</v>
      </c>
      <c r="BJ35" s="106">
        <f t="shared" si="14"/>
        <v>0</v>
      </c>
      <c r="BK35" s="34">
        <f t="shared" si="15"/>
        <v>0</v>
      </c>
      <c r="BL35" s="106">
        <f>IFERROR(AC35*$G35,0)</f>
        <v>0</v>
      </c>
      <c r="BN35" s="108">
        <v>8.2600000000000051</v>
      </c>
      <c r="BO35" s="5"/>
      <c r="BP35" s="105">
        <v>8.2600000000000051</v>
      </c>
      <c r="BQ35" s="106">
        <v>0</v>
      </c>
      <c r="BR35" s="34"/>
      <c r="BS35" s="105">
        <v>0</v>
      </c>
      <c r="BT35" s="106">
        <v>0</v>
      </c>
      <c r="BU35" s="105">
        <v>0</v>
      </c>
      <c r="BV35" s="106">
        <v>0</v>
      </c>
      <c r="BW35" s="105">
        <v>0</v>
      </c>
      <c r="BX35" s="106">
        <v>0</v>
      </c>
      <c r="BY35" s="105">
        <v>0</v>
      </c>
      <c r="BZ35" s="106">
        <v>0</v>
      </c>
      <c r="CA35" s="34"/>
      <c r="CB35" s="105">
        <v>0</v>
      </c>
      <c r="CC35" s="106">
        <v>0</v>
      </c>
      <c r="CD35" s="105">
        <v>0</v>
      </c>
      <c r="CE35" s="106">
        <v>0</v>
      </c>
      <c r="CF35" s="105">
        <v>0</v>
      </c>
      <c r="CG35" s="106">
        <v>0</v>
      </c>
      <c r="CH35" s="105">
        <v>0</v>
      </c>
      <c r="CI35" s="106">
        <v>0</v>
      </c>
      <c r="CK35" s="78"/>
      <c r="CL35" s="5"/>
      <c r="CM35" s="38" t="str">
        <f t="shared" si="17"/>
        <v>-</v>
      </c>
      <c r="CN35" s="5"/>
      <c r="CO35" s="38" t="str">
        <f t="shared" si="18"/>
        <v>-</v>
      </c>
      <c r="CP35" s="38" t="str">
        <f t="shared" si="19"/>
        <v>-</v>
      </c>
      <c r="CQ35" s="38" t="str">
        <f t="shared" si="20"/>
        <v>-</v>
      </c>
      <c r="CR35" s="38" t="str">
        <f t="shared" si="20"/>
        <v>-</v>
      </c>
      <c r="CS35" s="5"/>
      <c r="CT35" s="38" t="str">
        <f t="shared" si="21"/>
        <v>-</v>
      </c>
      <c r="CU35" s="38" t="str">
        <f t="shared" si="22"/>
        <v>-</v>
      </c>
      <c r="CV35" s="38" t="str">
        <f t="shared" si="23"/>
        <v>-</v>
      </c>
      <c r="CW35" s="38" t="str">
        <f t="shared" si="24"/>
        <v>-</v>
      </c>
    </row>
    <row r="36" spans="2:101" s="113" customFormat="1" ht="12.75" customHeight="1">
      <c r="B36" s="99" t="s">
        <v>20</v>
      </c>
      <c r="C36" s="98" t="s">
        <v>267</v>
      </c>
      <c r="D36" s="114" t="e">
        <f>VLOOKUP($C36,#REF!,5,0)</f>
        <v>#REF!</v>
      </c>
      <c r="E36" s="115" t="e">
        <f>VLOOKUP($C36,#REF!,6,0)</f>
        <v>#REF!</v>
      </c>
      <c r="F36" s="98" t="e">
        <f>VLOOKUP($C36,#REF!,7,0)</f>
        <v>#REF!</v>
      </c>
      <c r="G36" s="98" t="e">
        <f>VLOOKUP($C36,#REF!,8,0)</f>
        <v>#REF!</v>
      </c>
      <c r="H36" s="116" t="e">
        <f>VLOOKUP($C36,#REF!,9,0)</f>
        <v>#REF!</v>
      </c>
      <c r="I36" s="5"/>
      <c r="J36" s="118" t="e">
        <f>VLOOKUP($C36,#REF!,10,0)</f>
        <v>#REF!</v>
      </c>
      <c r="K36" s="119" t="e">
        <f>VLOOKUP($C36,#REF!,11,0)</f>
        <v>#REF!</v>
      </c>
      <c r="L36" s="34"/>
      <c r="M36" s="118" t="e">
        <f>VLOOKUP($C36,#REF!,12,0)</f>
        <v>#REF!</v>
      </c>
      <c r="N36" s="120" t="e">
        <f>VLOOKUP($C36,#REF!,13,0)</f>
        <v>#REF!</v>
      </c>
      <c r="O36" s="118" t="e">
        <f>VLOOKUP($C36,#REF!,14,0)</f>
        <v>#REF!</v>
      </c>
      <c r="P36" s="120" t="e">
        <f>VLOOKUP($C36,#REF!,15,0)</f>
        <v>#REF!</v>
      </c>
      <c r="Q36" s="118" t="e">
        <f>VLOOKUP($C36,#REF!,16,0)</f>
        <v>#REF!</v>
      </c>
      <c r="R36" s="119" t="e">
        <f>VLOOKUP($C36,#REF!,17,0)</f>
        <v>#REF!</v>
      </c>
      <c r="S36" s="120" t="e">
        <f>VLOOKUP($C36,#REF!,18,0)</f>
        <v>#REF!</v>
      </c>
      <c r="T36" s="119" t="e">
        <f>VLOOKUP($C36,#REF!,19,0)</f>
        <v>#REF!</v>
      </c>
      <c r="U36" s="34"/>
      <c r="V36" s="118" t="e">
        <f>VLOOKUP($C36,#REF!,20,0)</f>
        <v>#REF!</v>
      </c>
      <c r="W36" s="120" t="e">
        <f>VLOOKUP($C36,#REF!,21,0)</f>
        <v>#REF!</v>
      </c>
      <c r="X36" s="118" t="e">
        <f>VLOOKUP($C36,#REF!,22,0)</f>
        <v>#REF!</v>
      </c>
      <c r="Y36" s="120" t="e">
        <f>VLOOKUP($C36,#REF!,23,0)</f>
        <v>#REF!</v>
      </c>
      <c r="Z36" s="118" t="e">
        <f>VLOOKUP($C36,#REF!,24,0)</f>
        <v>#REF!</v>
      </c>
      <c r="AA36" s="119" t="e">
        <f>VLOOKUP($C36,#REF!,25,0)</f>
        <v>#REF!</v>
      </c>
      <c r="AB36" s="120" t="e">
        <f>VLOOKUP($C36,#REF!,26,0)</f>
        <v>#REF!</v>
      </c>
      <c r="AC36" s="119" t="e">
        <f>VLOOKUP($C36,#REF!,27,0)</f>
        <v>#REF!</v>
      </c>
      <c r="AD36" s="4"/>
      <c r="AE36" s="118" t="e">
        <f t="shared" si="0"/>
        <v>#REF!</v>
      </c>
      <c r="AF36" s="121" t="s">
        <v>320</v>
      </c>
      <c r="AG36" s="121" t="s">
        <v>321</v>
      </c>
      <c r="AH36" s="119" t="s">
        <v>322</v>
      </c>
      <c r="AI36" s="4"/>
      <c r="AJ36" s="118" t="s">
        <v>323</v>
      </c>
      <c r="AK36" s="121" t="s">
        <v>324</v>
      </c>
      <c r="AL36" s="121" t="s">
        <v>325</v>
      </c>
      <c r="AM36" s="121" t="s">
        <v>326</v>
      </c>
      <c r="AN36" s="121" t="s">
        <v>326</v>
      </c>
      <c r="AO36" s="119" t="s">
        <v>320</v>
      </c>
      <c r="AP36" s="4"/>
      <c r="AQ36" s="122">
        <v>34</v>
      </c>
      <c r="AR36" s="5"/>
      <c r="AS36" s="118">
        <v>0</v>
      </c>
      <c r="AT36" s="119">
        <v>0</v>
      </c>
      <c r="AU36" s="34"/>
      <c r="AV36" s="118">
        <f t="shared" si="1"/>
        <v>0</v>
      </c>
      <c r="AW36" s="119">
        <f t="shared" si="2"/>
        <v>0</v>
      </c>
      <c r="AX36" s="118">
        <f t="shared" si="3"/>
        <v>0</v>
      </c>
      <c r="AY36" s="119">
        <f t="shared" si="4"/>
        <v>0</v>
      </c>
      <c r="AZ36" s="118">
        <f t="shared" si="5"/>
        <v>0</v>
      </c>
      <c r="BA36" s="119">
        <f t="shared" si="6"/>
        <v>0</v>
      </c>
      <c r="BB36" s="120">
        <f t="shared" si="7"/>
        <v>0</v>
      </c>
      <c r="BC36" s="119">
        <f t="shared" si="8"/>
        <v>0</v>
      </c>
      <c r="BD36" s="34"/>
      <c r="BE36" s="118">
        <f t="shared" si="9"/>
        <v>0</v>
      </c>
      <c r="BF36" s="119">
        <f t="shared" si="10"/>
        <v>0</v>
      </c>
      <c r="BG36" s="118">
        <f t="shared" si="11"/>
        <v>0</v>
      </c>
      <c r="BH36" s="119">
        <f t="shared" si="12"/>
        <v>0</v>
      </c>
      <c r="BI36" s="120">
        <f t="shared" si="13"/>
        <v>0</v>
      </c>
      <c r="BJ36" s="119">
        <f t="shared" si="14"/>
        <v>0</v>
      </c>
      <c r="BK36" s="120">
        <f t="shared" si="15"/>
        <v>0</v>
      </c>
      <c r="BL36" s="119">
        <f t="shared" si="16"/>
        <v>0</v>
      </c>
      <c r="BM36" s="4"/>
      <c r="BN36" s="122">
        <v>-8.2600000000000193</v>
      </c>
      <c r="BO36" s="117"/>
      <c r="BP36" s="118">
        <v>-8.2600000000000193</v>
      </c>
      <c r="BQ36" s="119">
        <v>0</v>
      </c>
      <c r="BR36" s="120"/>
      <c r="BS36" s="118">
        <v>0</v>
      </c>
      <c r="BT36" s="119">
        <v>0</v>
      </c>
      <c r="BU36" s="118">
        <v>0</v>
      </c>
      <c r="BV36" s="119">
        <v>0</v>
      </c>
      <c r="BW36" s="118">
        <v>0</v>
      </c>
      <c r="BX36" s="119">
        <v>0</v>
      </c>
      <c r="BY36" s="118">
        <v>0</v>
      </c>
      <c r="BZ36" s="119">
        <v>0</v>
      </c>
      <c r="CA36" s="120"/>
      <c r="CB36" s="118">
        <v>0</v>
      </c>
      <c r="CC36" s="119">
        <v>0</v>
      </c>
      <c r="CD36" s="118">
        <v>0</v>
      </c>
      <c r="CE36" s="119">
        <v>0</v>
      </c>
      <c r="CF36" s="118">
        <v>0</v>
      </c>
      <c r="CG36" s="119">
        <v>0</v>
      </c>
      <c r="CH36" s="118">
        <v>0</v>
      </c>
      <c r="CI36" s="119">
        <v>0</v>
      </c>
      <c r="CJ36" s="4"/>
      <c r="CK36" s="79"/>
      <c r="CL36" s="5"/>
      <c r="CM36" s="39" t="str">
        <f t="shared" si="17"/>
        <v>-</v>
      </c>
      <c r="CN36" s="5"/>
      <c r="CO36" s="39" t="str">
        <f t="shared" si="18"/>
        <v>-</v>
      </c>
      <c r="CP36" s="39" t="str">
        <f t="shared" si="19"/>
        <v>-</v>
      </c>
      <c r="CQ36" s="39" t="str">
        <f t="shared" si="20"/>
        <v>-</v>
      </c>
      <c r="CR36" s="39" t="str">
        <f t="shared" si="20"/>
        <v>-</v>
      </c>
      <c r="CS36" s="5"/>
      <c r="CT36" s="39" t="str">
        <f t="shared" si="21"/>
        <v>-</v>
      </c>
      <c r="CU36" s="39" t="str">
        <f t="shared" si="22"/>
        <v>-</v>
      </c>
      <c r="CV36" s="39" t="str">
        <f t="shared" si="23"/>
        <v>-</v>
      </c>
      <c r="CW36" s="39" t="str">
        <f t="shared" si="24"/>
        <v>-</v>
      </c>
    </row>
    <row r="37" spans="2:101" s="4" customFormat="1" ht="12.75" customHeight="1">
      <c r="B37" s="102" t="s">
        <v>20</v>
      </c>
      <c r="C37" s="103" t="s">
        <v>105</v>
      </c>
      <c r="D37" s="104" t="e">
        <f>VLOOKUP($C37,#REF!,5,0)</f>
        <v>#REF!</v>
      </c>
      <c r="E37" s="109" t="e">
        <f>VLOOKUP($C37,#REF!,6,0)</f>
        <v>#REF!</v>
      </c>
      <c r="F37" s="103" t="e">
        <f>VLOOKUP($C37,#REF!,7,0)</f>
        <v>#REF!</v>
      </c>
      <c r="G37" s="103" t="e">
        <f>VLOOKUP($C37,#REF!,8,0)</f>
        <v>#REF!</v>
      </c>
      <c r="H37" s="110" t="e">
        <f>VLOOKUP($C37,#REF!,9,0)</f>
        <v>#REF!</v>
      </c>
      <c r="I37" s="5"/>
      <c r="J37" s="105" t="e">
        <f>VLOOKUP($C37,#REF!,10,0)</f>
        <v>#REF!</v>
      </c>
      <c r="K37" s="106" t="e">
        <f>VLOOKUP($C37,#REF!,11,0)</f>
        <v>#REF!</v>
      </c>
      <c r="L37" s="34"/>
      <c r="M37" s="105" t="e">
        <f>VLOOKUP($C37,#REF!,12,0)</f>
        <v>#REF!</v>
      </c>
      <c r="N37" s="34" t="e">
        <f>VLOOKUP($C37,#REF!,13,0)</f>
        <v>#REF!</v>
      </c>
      <c r="O37" s="105" t="e">
        <f>VLOOKUP($C37,#REF!,14,0)</f>
        <v>#REF!</v>
      </c>
      <c r="P37" s="34" t="e">
        <f>VLOOKUP($C37,#REF!,15,0)</f>
        <v>#REF!</v>
      </c>
      <c r="Q37" s="105" t="e">
        <f>VLOOKUP($C37,#REF!,16,0)</f>
        <v>#REF!</v>
      </c>
      <c r="R37" s="106" t="e">
        <f>VLOOKUP($C37,#REF!,17,0)</f>
        <v>#REF!</v>
      </c>
      <c r="S37" s="34" t="e">
        <f>VLOOKUP($C37,#REF!,18,0)</f>
        <v>#REF!</v>
      </c>
      <c r="T37" s="106" t="e">
        <f>VLOOKUP($C37,#REF!,19,0)</f>
        <v>#REF!</v>
      </c>
      <c r="U37" s="34"/>
      <c r="V37" s="105" t="e">
        <f>VLOOKUP($C37,#REF!,20,0)</f>
        <v>#REF!</v>
      </c>
      <c r="W37" s="34" t="e">
        <f>VLOOKUP($C37,#REF!,21,0)</f>
        <v>#REF!</v>
      </c>
      <c r="X37" s="105" t="e">
        <f>VLOOKUP($C37,#REF!,22,0)</f>
        <v>#REF!</v>
      </c>
      <c r="Y37" s="34" t="e">
        <f>VLOOKUP($C37,#REF!,23,0)</f>
        <v>#REF!</v>
      </c>
      <c r="Z37" s="105" t="e">
        <f>VLOOKUP($C37,#REF!,24,0)</f>
        <v>#REF!</v>
      </c>
      <c r="AA37" s="106" t="e">
        <f>VLOOKUP($C37,#REF!,25,0)</f>
        <v>#REF!</v>
      </c>
      <c r="AB37" s="34" t="e">
        <f>VLOOKUP($C37,#REF!,26,0)</f>
        <v>#REF!</v>
      </c>
      <c r="AC37" s="106" t="e">
        <f>VLOOKUP($C37,#REF!,27,0)</f>
        <v>#REF!</v>
      </c>
      <c r="AE37" s="105" t="e">
        <f t="shared" si="0"/>
        <v>#REF!</v>
      </c>
      <c r="AF37" s="107" t="s">
        <v>320</v>
      </c>
      <c r="AG37" s="107" t="s">
        <v>321</v>
      </c>
      <c r="AH37" s="106" t="s">
        <v>322</v>
      </c>
      <c r="AJ37" s="105" t="s">
        <v>323</v>
      </c>
      <c r="AK37" s="107" t="s">
        <v>324</v>
      </c>
      <c r="AL37" s="107" t="s">
        <v>325</v>
      </c>
      <c r="AM37" s="107" t="s">
        <v>326</v>
      </c>
      <c r="AN37" s="107" t="s">
        <v>326</v>
      </c>
      <c r="AO37" s="106" t="s">
        <v>320</v>
      </c>
      <c r="AQ37" s="108">
        <v>-18</v>
      </c>
      <c r="AR37" s="5"/>
      <c r="AS37" s="105">
        <v>0</v>
      </c>
      <c r="AT37" s="106">
        <v>0</v>
      </c>
      <c r="AU37" s="34"/>
      <c r="AV37" s="105">
        <f t="shared" si="1"/>
        <v>0</v>
      </c>
      <c r="AW37" s="106">
        <f t="shared" si="2"/>
        <v>0</v>
      </c>
      <c r="AX37" s="105">
        <f t="shared" si="3"/>
        <v>0</v>
      </c>
      <c r="AY37" s="106">
        <f t="shared" si="4"/>
        <v>0</v>
      </c>
      <c r="AZ37" s="105">
        <f t="shared" si="5"/>
        <v>0</v>
      </c>
      <c r="BA37" s="106">
        <f t="shared" si="6"/>
        <v>0</v>
      </c>
      <c r="BB37" s="34">
        <f t="shared" si="7"/>
        <v>0</v>
      </c>
      <c r="BC37" s="106">
        <f t="shared" si="8"/>
        <v>0</v>
      </c>
      <c r="BD37" s="34"/>
      <c r="BE37" s="105">
        <f t="shared" si="9"/>
        <v>0</v>
      </c>
      <c r="BF37" s="106">
        <f t="shared" si="10"/>
        <v>0</v>
      </c>
      <c r="BG37" s="105">
        <f t="shared" si="11"/>
        <v>0</v>
      </c>
      <c r="BH37" s="106">
        <f t="shared" si="12"/>
        <v>0</v>
      </c>
      <c r="BI37" s="34">
        <f t="shared" si="13"/>
        <v>0</v>
      </c>
      <c r="BJ37" s="106">
        <f t="shared" si="14"/>
        <v>0</v>
      </c>
      <c r="BK37" s="34">
        <f t="shared" si="15"/>
        <v>0</v>
      </c>
      <c r="BL37" s="106">
        <f t="shared" si="16"/>
        <v>0</v>
      </c>
      <c r="BN37" s="108">
        <v>0</v>
      </c>
      <c r="BO37" s="5"/>
      <c r="BP37" s="105">
        <v>0</v>
      </c>
      <c r="BQ37" s="106">
        <v>0</v>
      </c>
      <c r="BR37" s="34"/>
      <c r="BS37" s="105">
        <v>0</v>
      </c>
      <c r="BT37" s="106">
        <v>0</v>
      </c>
      <c r="BU37" s="105">
        <v>0</v>
      </c>
      <c r="BV37" s="106">
        <v>0</v>
      </c>
      <c r="BW37" s="105">
        <v>0</v>
      </c>
      <c r="BX37" s="106">
        <v>0</v>
      </c>
      <c r="BY37" s="105">
        <v>0</v>
      </c>
      <c r="BZ37" s="106">
        <v>0</v>
      </c>
      <c r="CA37" s="34"/>
      <c r="CB37" s="105">
        <v>0</v>
      </c>
      <c r="CC37" s="106">
        <v>0</v>
      </c>
      <c r="CD37" s="105">
        <v>0</v>
      </c>
      <c r="CE37" s="106">
        <v>0</v>
      </c>
      <c r="CF37" s="105">
        <v>0</v>
      </c>
      <c r="CG37" s="106">
        <v>0</v>
      </c>
      <c r="CH37" s="105">
        <v>0</v>
      </c>
      <c r="CI37" s="106">
        <v>0</v>
      </c>
      <c r="CK37" s="78"/>
      <c r="CL37" s="5"/>
      <c r="CM37" s="38" t="str">
        <f t="shared" si="17"/>
        <v>-</v>
      </c>
      <c r="CN37" s="5"/>
      <c r="CO37" s="38" t="str">
        <f t="shared" si="18"/>
        <v>-</v>
      </c>
      <c r="CP37" s="38" t="str">
        <f t="shared" si="19"/>
        <v>-</v>
      </c>
      <c r="CQ37" s="38" t="str">
        <f t="shared" si="20"/>
        <v>-</v>
      </c>
      <c r="CR37" s="38" t="str">
        <f t="shared" si="20"/>
        <v>-</v>
      </c>
      <c r="CS37" s="5"/>
      <c r="CT37" s="38" t="str">
        <f t="shared" si="21"/>
        <v>-</v>
      </c>
      <c r="CU37" s="38" t="str">
        <f t="shared" si="22"/>
        <v>-</v>
      </c>
      <c r="CV37" s="38" t="str">
        <f t="shared" si="23"/>
        <v>-</v>
      </c>
      <c r="CW37" s="38" t="str">
        <f t="shared" si="24"/>
        <v>-</v>
      </c>
    </row>
    <row r="38" spans="2:101" s="113" customFormat="1" ht="12.75" customHeight="1">
      <c r="B38" s="99" t="s">
        <v>20</v>
      </c>
      <c r="C38" s="98" t="s">
        <v>254</v>
      </c>
      <c r="D38" s="114" t="e">
        <f>VLOOKUP($C38,#REF!,5,0)</f>
        <v>#REF!</v>
      </c>
      <c r="E38" s="115" t="e">
        <f>VLOOKUP($C38,#REF!,6,0)</f>
        <v>#REF!</v>
      </c>
      <c r="F38" s="98" t="e">
        <f>VLOOKUP($C38,#REF!,7,0)</f>
        <v>#REF!</v>
      </c>
      <c r="G38" s="98" t="e">
        <f>VLOOKUP($C38,#REF!,8,0)</f>
        <v>#REF!</v>
      </c>
      <c r="H38" s="116" t="e">
        <f>VLOOKUP($C38,#REF!,9,0)</f>
        <v>#REF!</v>
      </c>
      <c r="I38" s="5"/>
      <c r="J38" s="118" t="e">
        <f>VLOOKUP($C38,#REF!,10,0)</f>
        <v>#REF!</v>
      </c>
      <c r="K38" s="119" t="e">
        <f>VLOOKUP($C38,#REF!,11,0)</f>
        <v>#REF!</v>
      </c>
      <c r="L38" s="34"/>
      <c r="M38" s="118" t="e">
        <f>VLOOKUP($C38,#REF!,12,0)</f>
        <v>#REF!</v>
      </c>
      <c r="N38" s="120" t="e">
        <f>VLOOKUP($C38,#REF!,13,0)</f>
        <v>#REF!</v>
      </c>
      <c r="O38" s="118" t="e">
        <f>VLOOKUP($C38,#REF!,14,0)</f>
        <v>#REF!</v>
      </c>
      <c r="P38" s="120" t="e">
        <f>VLOOKUP($C38,#REF!,15,0)</f>
        <v>#REF!</v>
      </c>
      <c r="Q38" s="118" t="e">
        <f>VLOOKUP($C38,#REF!,16,0)</f>
        <v>#REF!</v>
      </c>
      <c r="R38" s="119" t="e">
        <f>VLOOKUP($C38,#REF!,17,0)</f>
        <v>#REF!</v>
      </c>
      <c r="S38" s="120" t="e">
        <f>VLOOKUP($C38,#REF!,18,0)</f>
        <v>#REF!</v>
      </c>
      <c r="T38" s="119" t="e">
        <f>VLOOKUP($C38,#REF!,19,0)</f>
        <v>#REF!</v>
      </c>
      <c r="U38" s="34"/>
      <c r="V38" s="118" t="e">
        <f>VLOOKUP($C38,#REF!,20,0)</f>
        <v>#REF!</v>
      </c>
      <c r="W38" s="120" t="e">
        <f>VLOOKUP($C38,#REF!,21,0)</f>
        <v>#REF!</v>
      </c>
      <c r="X38" s="118" t="e">
        <f>VLOOKUP($C38,#REF!,22,0)</f>
        <v>#REF!</v>
      </c>
      <c r="Y38" s="120" t="e">
        <f>VLOOKUP($C38,#REF!,23,0)</f>
        <v>#REF!</v>
      </c>
      <c r="Z38" s="118" t="e">
        <f>VLOOKUP($C38,#REF!,24,0)</f>
        <v>#REF!</v>
      </c>
      <c r="AA38" s="119" t="e">
        <f>VLOOKUP($C38,#REF!,25,0)</f>
        <v>#REF!</v>
      </c>
      <c r="AB38" s="120" t="e">
        <f>VLOOKUP($C38,#REF!,26,0)</f>
        <v>#REF!</v>
      </c>
      <c r="AC38" s="119" t="e">
        <f>VLOOKUP($C38,#REF!,27,0)</f>
        <v>#REF!</v>
      </c>
      <c r="AD38" s="4"/>
      <c r="AE38" s="118" t="e">
        <f t="shared" si="0"/>
        <v>#REF!</v>
      </c>
      <c r="AF38" s="121" t="s">
        <v>320</v>
      </c>
      <c r="AG38" s="121" t="s">
        <v>321</v>
      </c>
      <c r="AH38" s="119" t="s">
        <v>322</v>
      </c>
      <c r="AI38" s="4"/>
      <c r="AJ38" s="118" t="s">
        <v>323</v>
      </c>
      <c r="AK38" s="121" t="s">
        <v>324</v>
      </c>
      <c r="AL38" s="121" t="s">
        <v>325</v>
      </c>
      <c r="AM38" s="121" t="s">
        <v>326</v>
      </c>
      <c r="AN38" s="121" t="s">
        <v>326</v>
      </c>
      <c r="AO38" s="119" t="s">
        <v>320</v>
      </c>
      <c r="AP38" s="4"/>
      <c r="AQ38" s="122">
        <v>-3</v>
      </c>
      <c r="AR38" s="5"/>
      <c r="AS38" s="118">
        <v>0</v>
      </c>
      <c r="AT38" s="119">
        <v>0</v>
      </c>
      <c r="AU38" s="34"/>
      <c r="AV38" s="118">
        <f t="shared" si="1"/>
        <v>0</v>
      </c>
      <c r="AW38" s="119">
        <f t="shared" si="2"/>
        <v>0</v>
      </c>
      <c r="AX38" s="118">
        <f t="shared" si="3"/>
        <v>0</v>
      </c>
      <c r="AY38" s="119">
        <f t="shared" si="4"/>
        <v>0</v>
      </c>
      <c r="AZ38" s="118">
        <f t="shared" si="5"/>
        <v>0</v>
      </c>
      <c r="BA38" s="119">
        <f t="shared" si="6"/>
        <v>0</v>
      </c>
      <c r="BB38" s="120">
        <f t="shared" si="7"/>
        <v>0</v>
      </c>
      <c r="BC38" s="119">
        <f t="shared" si="8"/>
        <v>0</v>
      </c>
      <c r="BD38" s="34"/>
      <c r="BE38" s="118">
        <f t="shared" si="9"/>
        <v>0</v>
      </c>
      <c r="BF38" s="119">
        <f t="shared" si="10"/>
        <v>0</v>
      </c>
      <c r="BG38" s="118">
        <f t="shared" si="11"/>
        <v>0</v>
      </c>
      <c r="BH38" s="119">
        <f t="shared" si="12"/>
        <v>0</v>
      </c>
      <c r="BI38" s="120">
        <f t="shared" si="13"/>
        <v>0</v>
      </c>
      <c r="BJ38" s="119">
        <f t="shared" si="14"/>
        <v>0</v>
      </c>
      <c r="BK38" s="120">
        <f t="shared" si="15"/>
        <v>0</v>
      </c>
      <c r="BL38" s="119">
        <f t="shared" si="16"/>
        <v>0</v>
      </c>
      <c r="BM38" s="4"/>
      <c r="BN38" s="122">
        <v>0</v>
      </c>
      <c r="BO38" s="117"/>
      <c r="BP38" s="118">
        <v>0</v>
      </c>
      <c r="BQ38" s="119">
        <v>0</v>
      </c>
      <c r="BR38" s="120"/>
      <c r="BS38" s="118">
        <v>0</v>
      </c>
      <c r="BT38" s="119">
        <v>0</v>
      </c>
      <c r="BU38" s="118">
        <v>0</v>
      </c>
      <c r="BV38" s="119">
        <v>0</v>
      </c>
      <c r="BW38" s="118">
        <v>0</v>
      </c>
      <c r="BX38" s="119">
        <v>0</v>
      </c>
      <c r="BY38" s="118">
        <v>0</v>
      </c>
      <c r="BZ38" s="119">
        <v>0</v>
      </c>
      <c r="CA38" s="120"/>
      <c r="CB38" s="118">
        <v>0</v>
      </c>
      <c r="CC38" s="119">
        <v>0</v>
      </c>
      <c r="CD38" s="118">
        <v>0</v>
      </c>
      <c r="CE38" s="119">
        <v>0</v>
      </c>
      <c r="CF38" s="118">
        <v>0</v>
      </c>
      <c r="CG38" s="119">
        <v>0</v>
      </c>
      <c r="CH38" s="118">
        <v>0</v>
      </c>
      <c r="CI38" s="119">
        <v>0</v>
      </c>
      <c r="CJ38" s="4"/>
      <c r="CK38" s="79"/>
      <c r="CL38" s="5"/>
      <c r="CM38" s="39" t="str">
        <f t="shared" si="17"/>
        <v>-</v>
      </c>
      <c r="CN38" s="5"/>
      <c r="CO38" s="39" t="str">
        <f t="shared" si="18"/>
        <v>-</v>
      </c>
      <c r="CP38" s="39" t="str">
        <f t="shared" si="19"/>
        <v>-</v>
      </c>
      <c r="CQ38" s="39" t="str">
        <f t="shared" si="20"/>
        <v>-</v>
      </c>
      <c r="CR38" s="39" t="str">
        <f t="shared" si="20"/>
        <v>-</v>
      </c>
      <c r="CS38" s="5"/>
      <c r="CT38" s="39" t="str">
        <f t="shared" si="21"/>
        <v>-</v>
      </c>
      <c r="CU38" s="39" t="str">
        <f t="shared" si="22"/>
        <v>-</v>
      </c>
      <c r="CV38" s="39" t="str">
        <f t="shared" si="23"/>
        <v>-</v>
      </c>
      <c r="CW38" s="39" t="str">
        <f t="shared" si="24"/>
        <v>-</v>
      </c>
    </row>
    <row r="39" spans="2:101" s="4" customFormat="1" ht="12.75" customHeight="1">
      <c r="B39" s="102" t="s">
        <v>293</v>
      </c>
      <c r="C39" s="103" t="s">
        <v>268</v>
      </c>
      <c r="D39" s="104" t="e">
        <f>VLOOKUP($C39,#REF!,5,0)</f>
        <v>#REF!</v>
      </c>
      <c r="E39" s="109" t="e">
        <f>VLOOKUP($C39,#REF!,6,0)</f>
        <v>#REF!</v>
      </c>
      <c r="F39" s="103" t="e">
        <f>VLOOKUP($C39,#REF!,7,0)</f>
        <v>#REF!</v>
      </c>
      <c r="G39" s="103" t="e">
        <f>VLOOKUP($C39,#REF!,8,0)</f>
        <v>#REF!</v>
      </c>
      <c r="H39" s="110" t="e">
        <f>VLOOKUP($C39,#REF!,9,0)</f>
        <v>#REF!</v>
      </c>
      <c r="I39" s="5"/>
      <c r="J39" s="105" t="e">
        <f>VLOOKUP($C39,#REF!,10,0)</f>
        <v>#REF!</v>
      </c>
      <c r="K39" s="106" t="e">
        <f>VLOOKUP($C39,#REF!,11,0)</f>
        <v>#REF!</v>
      </c>
      <c r="L39" s="34"/>
      <c r="M39" s="105" t="e">
        <f>VLOOKUP($C39,#REF!,12,0)</f>
        <v>#REF!</v>
      </c>
      <c r="N39" s="34" t="e">
        <f>VLOOKUP($C39,#REF!,13,0)</f>
        <v>#REF!</v>
      </c>
      <c r="O39" s="105" t="e">
        <f>VLOOKUP($C39,#REF!,14,0)</f>
        <v>#REF!</v>
      </c>
      <c r="P39" s="34" t="e">
        <f>VLOOKUP($C39,#REF!,15,0)</f>
        <v>#REF!</v>
      </c>
      <c r="Q39" s="105" t="e">
        <f>VLOOKUP($C39,#REF!,16,0)</f>
        <v>#REF!</v>
      </c>
      <c r="R39" s="106" t="e">
        <f>VLOOKUP($C39,#REF!,17,0)</f>
        <v>#REF!</v>
      </c>
      <c r="S39" s="34" t="e">
        <f>VLOOKUP($C39,#REF!,18,0)</f>
        <v>#REF!</v>
      </c>
      <c r="T39" s="106" t="e">
        <f>VLOOKUP($C39,#REF!,19,0)</f>
        <v>#REF!</v>
      </c>
      <c r="U39" s="34"/>
      <c r="V39" s="105" t="e">
        <f>VLOOKUP($C39,#REF!,20,0)</f>
        <v>#REF!</v>
      </c>
      <c r="W39" s="34" t="e">
        <f>VLOOKUP($C39,#REF!,21,0)</f>
        <v>#REF!</v>
      </c>
      <c r="X39" s="105" t="e">
        <f>VLOOKUP($C39,#REF!,22,0)</f>
        <v>#REF!</v>
      </c>
      <c r="Y39" s="34" t="e">
        <f>VLOOKUP($C39,#REF!,23,0)</f>
        <v>#REF!</v>
      </c>
      <c r="Z39" s="105" t="e">
        <f>VLOOKUP($C39,#REF!,24,0)</f>
        <v>#REF!</v>
      </c>
      <c r="AA39" s="106" t="e">
        <f>VLOOKUP($C39,#REF!,25,0)</f>
        <v>#REF!</v>
      </c>
      <c r="AB39" s="34" t="e">
        <f>VLOOKUP($C39,#REF!,26,0)</f>
        <v>#REF!</v>
      </c>
      <c r="AC39" s="106" t="e">
        <f>VLOOKUP($C39,#REF!,27,0)</f>
        <v>#REF!</v>
      </c>
      <c r="AE39" s="105" t="e">
        <f t="shared" si="0"/>
        <v>#REF!</v>
      </c>
      <c r="AF39" s="107" t="s">
        <v>320</v>
      </c>
      <c r="AG39" s="107" t="s">
        <v>321</v>
      </c>
      <c r="AH39" s="106" t="s">
        <v>322</v>
      </c>
      <c r="AJ39" s="105" t="s">
        <v>323</v>
      </c>
      <c r="AK39" s="107" t="s">
        <v>324</v>
      </c>
      <c r="AL39" s="107" t="s">
        <v>325</v>
      </c>
      <c r="AM39" s="107" t="s">
        <v>326</v>
      </c>
      <c r="AN39" s="107" t="s">
        <v>326</v>
      </c>
      <c r="AO39" s="106" t="s">
        <v>320</v>
      </c>
      <c r="AQ39" s="108">
        <v>1</v>
      </c>
      <c r="AR39" s="5"/>
      <c r="AS39" s="105">
        <v>0</v>
      </c>
      <c r="AT39" s="106">
        <v>0</v>
      </c>
      <c r="AU39" s="34"/>
      <c r="AV39" s="105">
        <f t="shared" si="1"/>
        <v>0</v>
      </c>
      <c r="AW39" s="106">
        <f t="shared" si="2"/>
        <v>0</v>
      </c>
      <c r="AX39" s="105">
        <f t="shared" si="3"/>
        <v>0</v>
      </c>
      <c r="AY39" s="106">
        <f t="shared" si="4"/>
        <v>0</v>
      </c>
      <c r="AZ39" s="105">
        <f t="shared" si="5"/>
        <v>0</v>
      </c>
      <c r="BA39" s="106">
        <f t="shared" si="6"/>
        <v>0</v>
      </c>
      <c r="BB39" s="34">
        <f t="shared" si="7"/>
        <v>0</v>
      </c>
      <c r="BC39" s="106">
        <f t="shared" si="8"/>
        <v>0</v>
      </c>
      <c r="BD39" s="34"/>
      <c r="BE39" s="105">
        <f t="shared" si="9"/>
        <v>0</v>
      </c>
      <c r="BF39" s="106">
        <f t="shared" si="10"/>
        <v>0</v>
      </c>
      <c r="BG39" s="105">
        <f t="shared" si="11"/>
        <v>0</v>
      </c>
      <c r="BH39" s="106">
        <f t="shared" si="12"/>
        <v>0</v>
      </c>
      <c r="BI39" s="34">
        <f t="shared" si="13"/>
        <v>0</v>
      </c>
      <c r="BJ39" s="106">
        <f t="shared" si="14"/>
        <v>0</v>
      </c>
      <c r="BK39" s="34">
        <f t="shared" si="15"/>
        <v>0</v>
      </c>
      <c r="BL39" s="106">
        <f>IFERROR(AC39*$G39,0)</f>
        <v>0</v>
      </c>
      <c r="BN39" s="108">
        <v>0</v>
      </c>
      <c r="BO39" s="5"/>
      <c r="BP39" s="105">
        <v>0</v>
      </c>
      <c r="BQ39" s="106">
        <v>0</v>
      </c>
      <c r="BR39" s="34"/>
      <c r="BS39" s="105">
        <v>0</v>
      </c>
      <c r="BT39" s="106">
        <v>0</v>
      </c>
      <c r="BU39" s="105">
        <v>0</v>
      </c>
      <c r="BV39" s="106">
        <v>0</v>
      </c>
      <c r="BW39" s="105">
        <v>0</v>
      </c>
      <c r="BX39" s="106">
        <v>0</v>
      </c>
      <c r="BY39" s="105">
        <v>0</v>
      </c>
      <c r="BZ39" s="106">
        <v>0</v>
      </c>
      <c r="CA39" s="34"/>
      <c r="CB39" s="105">
        <v>0</v>
      </c>
      <c r="CC39" s="106">
        <v>0</v>
      </c>
      <c r="CD39" s="105">
        <v>0</v>
      </c>
      <c r="CE39" s="106">
        <v>0</v>
      </c>
      <c r="CF39" s="105">
        <v>0</v>
      </c>
      <c r="CG39" s="106">
        <v>0</v>
      </c>
      <c r="CH39" s="105">
        <v>0</v>
      </c>
      <c r="CI39" s="106">
        <v>0</v>
      </c>
      <c r="CK39" s="78"/>
      <c r="CL39" s="5"/>
      <c r="CM39" s="38" t="str">
        <f t="shared" si="17"/>
        <v>-</v>
      </c>
      <c r="CN39" s="5"/>
      <c r="CO39" s="38" t="str">
        <f t="shared" si="18"/>
        <v>-</v>
      </c>
      <c r="CP39" s="38" t="str">
        <f t="shared" si="19"/>
        <v>-</v>
      </c>
      <c r="CQ39" s="38" t="str">
        <f t="shared" si="20"/>
        <v>-</v>
      </c>
      <c r="CR39" s="38" t="str">
        <f t="shared" si="20"/>
        <v>-</v>
      </c>
      <c r="CS39" s="5"/>
      <c r="CT39" s="38" t="str">
        <f t="shared" si="21"/>
        <v>-</v>
      </c>
      <c r="CU39" s="38" t="str">
        <f t="shared" si="22"/>
        <v>-</v>
      </c>
      <c r="CV39" s="38" t="str">
        <f t="shared" si="23"/>
        <v>-</v>
      </c>
      <c r="CW39" s="38" t="str">
        <f t="shared" si="24"/>
        <v>-</v>
      </c>
    </row>
    <row r="40" spans="2:101" s="113" customFormat="1" ht="12.75" customHeight="1">
      <c r="B40" s="99" t="s">
        <v>182</v>
      </c>
      <c r="C40" s="98" t="s">
        <v>158</v>
      </c>
      <c r="D40" s="114" t="e">
        <f>VLOOKUP($C40,#REF!,5,0)</f>
        <v>#REF!</v>
      </c>
      <c r="E40" s="115" t="e">
        <f>VLOOKUP($C40,#REF!,6,0)</f>
        <v>#REF!</v>
      </c>
      <c r="F40" s="98" t="e">
        <f>VLOOKUP($C40,#REF!,7,0)</f>
        <v>#REF!</v>
      </c>
      <c r="G40" s="98" t="e">
        <f>VLOOKUP($C40,#REF!,8,0)</f>
        <v>#REF!</v>
      </c>
      <c r="H40" s="116" t="e">
        <f>VLOOKUP($C40,#REF!,9,0)</f>
        <v>#REF!</v>
      </c>
      <c r="I40" s="5"/>
      <c r="J40" s="118" t="e">
        <f>VLOOKUP($C40,#REF!,10,0)</f>
        <v>#REF!</v>
      </c>
      <c r="K40" s="119" t="e">
        <f>VLOOKUP($C40,#REF!,11,0)</f>
        <v>#REF!</v>
      </c>
      <c r="L40" s="34"/>
      <c r="M40" s="118" t="e">
        <f>VLOOKUP($C40,#REF!,12,0)</f>
        <v>#REF!</v>
      </c>
      <c r="N40" s="120" t="e">
        <f>VLOOKUP($C40,#REF!,13,0)</f>
        <v>#REF!</v>
      </c>
      <c r="O40" s="118" t="e">
        <f>VLOOKUP($C40,#REF!,14,0)</f>
        <v>#REF!</v>
      </c>
      <c r="P40" s="120" t="e">
        <f>VLOOKUP($C40,#REF!,15,0)</f>
        <v>#REF!</v>
      </c>
      <c r="Q40" s="118" t="e">
        <f>VLOOKUP($C40,#REF!,16,0)</f>
        <v>#REF!</v>
      </c>
      <c r="R40" s="119" t="e">
        <f>VLOOKUP($C40,#REF!,17,0)</f>
        <v>#REF!</v>
      </c>
      <c r="S40" s="120" t="e">
        <f>VLOOKUP($C40,#REF!,18,0)</f>
        <v>#REF!</v>
      </c>
      <c r="T40" s="119" t="e">
        <f>VLOOKUP($C40,#REF!,19,0)</f>
        <v>#REF!</v>
      </c>
      <c r="U40" s="34"/>
      <c r="V40" s="118" t="e">
        <f>VLOOKUP($C40,#REF!,20,0)</f>
        <v>#REF!</v>
      </c>
      <c r="W40" s="120" t="e">
        <f>VLOOKUP($C40,#REF!,21,0)</f>
        <v>#REF!</v>
      </c>
      <c r="X40" s="118" t="e">
        <f>VLOOKUP($C40,#REF!,22,0)</f>
        <v>#REF!</v>
      </c>
      <c r="Y40" s="120" t="e">
        <f>VLOOKUP($C40,#REF!,23,0)</f>
        <v>#REF!</v>
      </c>
      <c r="Z40" s="118" t="e">
        <f>VLOOKUP($C40,#REF!,24,0)</f>
        <v>#REF!</v>
      </c>
      <c r="AA40" s="119" t="e">
        <f>VLOOKUP($C40,#REF!,25,0)</f>
        <v>#REF!</v>
      </c>
      <c r="AB40" s="120" t="e">
        <f>VLOOKUP($C40,#REF!,26,0)</f>
        <v>#REF!</v>
      </c>
      <c r="AC40" s="119" t="e">
        <f>VLOOKUP($C40,#REF!,27,0)</f>
        <v>#REF!</v>
      </c>
      <c r="AD40" s="4"/>
      <c r="AE40" s="118" t="e">
        <f t="shared" si="0"/>
        <v>#REF!</v>
      </c>
      <c r="AF40" s="121" t="s">
        <v>320</v>
      </c>
      <c r="AG40" s="121" t="s">
        <v>321</v>
      </c>
      <c r="AH40" s="119" t="s">
        <v>322</v>
      </c>
      <c r="AI40" s="4"/>
      <c r="AJ40" s="118" t="s">
        <v>323</v>
      </c>
      <c r="AK40" s="121" t="s">
        <v>324</v>
      </c>
      <c r="AL40" s="121" t="s">
        <v>325</v>
      </c>
      <c r="AM40" s="121" t="s">
        <v>326</v>
      </c>
      <c r="AN40" s="121" t="s">
        <v>326</v>
      </c>
      <c r="AO40" s="119" t="s">
        <v>320</v>
      </c>
      <c r="AP40" s="4"/>
      <c r="AQ40" s="122">
        <v>34</v>
      </c>
      <c r="AR40" s="5"/>
      <c r="AS40" s="118">
        <v>0</v>
      </c>
      <c r="AT40" s="119">
        <v>0</v>
      </c>
      <c r="AU40" s="34"/>
      <c r="AV40" s="118">
        <f t="shared" si="1"/>
        <v>0</v>
      </c>
      <c r="AW40" s="119">
        <f t="shared" si="2"/>
        <v>0</v>
      </c>
      <c r="AX40" s="118">
        <f t="shared" si="3"/>
        <v>0</v>
      </c>
      <c r="AY40" s="119">
        <f t="shared" si="4"/>
        <v>0</v>
      </c>
      <c r="AZ40" s="118">
        <f t="shared" si="5"/>
        <v>0</v>
      </c>
      <c r="BA40" s="119">
        <f t="shared" si="6"/>
        <v>0</v>
      </c>
      <c r="BB40" s="120">
        <f t="shared" si="7"/>
        <v>0</v>
      </c>
      <c r="BC40" s="119">
        <f t="shared" si="8"/>
        <v>0</v>
      </c>
      <c r="BD40" s="34"/>
      <c r="BE40" s="118">
        <f t="shared" si="9"/>
        <v>0</v>
      </c>
      <c r="BF40" s="119">
        <f t="shared" si="10"/>
        <v>0</v>
      </c>
      <c r="BG40" s="118">
        <f t="shared" si="11"/>
        <v>0</v>
      </c>
      <c r="BH40" s="119">
        <f t="shared" si="12"/>
        <v>0</v>
      </c>
      <c r="BI40" s="120">
        <f t="shared" si="13"/>
        <v>0</v>
      </c>
      <c r="BJ40" s="119">
        <f t="shared" si="14"/>
        <v>0</v>
      </c>
      <c r="BK40" s="120">
        <f>IFERROR(ROUND($D40-AB40-BL40,0),0)</f>
        <v>0</v>
      </c>
      <c r="BL40" s="119">
        <f t="shared" si="16"/>
        <v>0</v>
      </c>
      <c r="BM40" s="4"/>
      <c r="BN40" s="122">
        <v>0</v>
      </c>
      <c r="BO40" s="117"/>
      <c r="BP40" s="118">
        <v>0</v>
      </c>
      <c r="BQ40" s="119">
        <v>0</v>
      </c>
      <c r="BR40" s="120"/>
      <c r="BS40" s="118">
        <v>0</v>
      </c>
      <c r="BT40" s="119">
        <v>0</v>
      </c>
      <c r="BU40" s="118">
        <v>0</v>
      </c>
      <c r="BV40" s="119">
        <v>0</v>
      </c>
      <c r="BW40" s="118">
        <v>0</v>
      </c>
      <c r="BX40" s="119">
        <v>0</v>
      </c>
      <c r="BY40" s="118">
        <v>0</v>
      </c>
      <c r="BZ40" s="119">
        <v>0</v>
      </c>
      <c r="CA40" s="120"/>
      <c r="CB40" s="118">
        <v>0</v>
      </c>
      <c r="CC40" s="119">
        <v>0</v>
      </c>
      <c r="CD40" s="118">
        <v>0</v>
      </c>
      <c r="CE40" s="119">
        <v>0</v>
      </c>
      <c r="CF40" s="118">
        <v>0</v>
      </c>
      <c r="CG40" s="119">
        <v>0</v>
      </c>
      <c r="CH40" s="118">
        <v>0</v>
      </c>
      <c r="CI40" s="119">
        <v>0</v>
      </c>
      <c r="CJ40" s="4"/>
      <c r="CK40" s="79"/>
      <c r="CL40" s="5"/>
      <c r="CM40" s="39" t="str">
        <f t="shared" si="17"/>
        <v>-</v>
      </c>
      <c r="CN40" s="5"/>
      <c r="CO40" s="39" t="str">
        <f t="shared" si="18"/>
        <v>-</v>
      </c>
      <c r="CP40" s="39" t="str">
        <f t="shared" si="19"/>
        <v>-</v>
      </c>
      <c r="CQ40" s="39" t="str">
        <f t="shared" si="20"/>
        <v>-</v>
      </c>
      <c r="CR40" s="39" t="str">
        <f t="shared" si="20"/>
        <v>-</v>
      </c>
      <c r="CS40" s="5"/>
      <c r="CT40" s="39" t="str">
        <f t="shared" si="21"/>
        <v>-</v>
      </c>
      <c r="CU40" s="39" t="str">
        <f t="shared" si="22"/>
        <v>-</v>
      </c>
      <c r="CV40" s="39" t="str">
        <f t="shared" si="23"/>
        <v>-</v>
      </c>
      <c r="CW40" s="39" t="str">
        <f t="shared" si="24"/>
        <v>-</v>
      </c>
    </row>
    <row r="41" spans="2:101" s="4" customFormat="1" ht="12.75" customHeight="1">
      <c r="B41" s="102" t="s">
        <v>58</v>
      </c>
      <c r="C41" s="103" t="s">
        <v>269</v>
      </c>
      <c r="D41" s="104" t="e">
        <f>VLOOKUP($C41,#REF!,5,0)</f>
        <v>#REF!</v>
      </c>
      <c r="E41" s="109" t="e">
        <f>VLOOKUP($C41,#REF!,6,0)</f>
        <v>#REF!</v>
      </c>
      <c r="F41" s="103" t="e">
        <f>VLOOKUP($C41,#REF!,7,0)</f>
        <v>#REF!</v>
      </c>
      <c r="G41" s="103" t="e">
        <f>VLOOKUP($C41,#REF!,8,0)</f>
        <v>#REF!</v>
      </c>
      <c r="H41" s="110" t="e">
        <f>VLOOKUP($C41,#REF!,9,0)</f>
        <v>#REF!</v>
      </c>
      <c r="I41" s="5"/>
      <c r="J41" s="105" t="e">
        <f>VLOOKUP($C41,#REF!,10,0)</f>
        <v>#REF!</v>
      </c>
      <c r="K41" s="106" t="e">
        <f>VLOOKUP($C41,#REF!,11,0)</f>
        <v>#REF!</v>
      </c>
      <c r="L41" s="34"/>
      <c r="M41" s="105" t="e">
        <f>VLOOKUP($C41,#REF!,12,0)</f>
        <v>#REF!</v>
      </c>
      <c r="N41" s="34" t="e">
        <f>VLOOKUP($C41,#REF!,13,0)</f>
        <v>#REF!</v>
      </c>
      <c r="O41" s="105" t="e">
        <f>VLOOKUP($C41,#REF!,14,0)</f>
        <v>#REF!</v>
      </c>
      <c r="P41" s="34" t="e">
        <f>VLOOKUP($C41,#REF!,15,0)</f>
        <v>#REF!</v>
      </c>
      <c r="Q41" s="105" t="e">
        <f>VLOOKUP($C41,#REF!,16,0)</f>
        <v>#REF!</v>
      </c>
      <c r="R41" s="106" t="e">
        <f>VLOOKUP($C41,#REF!,17,0)</f>
        <v>#REF!</v>
      </c>
      <c r="S41" s="34" t="e">
        <f>VLOOKUP($C41,#REF!,18,0)</f>
        <v>#REF!</v>
      </c>
      <c r="T41" s="106" t="e">
        <f>VLOOKUP($C41,#REF!,19,0)</f>
        <v>#REF!</v>
      </c>
      <c r="U41" s="34"/>
      <c r="V41" s="105" t="e">
        <f>VLOOKUP($C41,#REF!,20,0)</f>
        <v>#REF!</v>
      </c>
      <c r="W41" s="34" t="e">
        <f>VLOOKUP($C41,#REF!,21,0)</f>
        <v>#REF!</v>
      </c>
      <c r="X41" s="105" t="e">
        <f>VLOOKUP($C41,#REF!,22,0)</f>
        <v>#REF!</v>
      </c>
      <c r="Y41" s="34" t="e">
        <f>VLOOKUP($C41,#REF!,23,0)</f>
        <v>#REF!</v>
      </c>
      <c r="Z41" s="105" t="e">
        <f>VLOOKUP($C41,#REF!,24,0)</f>
        <v>#REF!</v>
      </c>
      <c r="AA41" s="106" t="e">
        <f>VLOOKUP($C41,#REF!,25,0)</f>
        <v>#REF!</v>
      </c>
      <c r="AB41" s="34" t="e">
        <f>VLOOKUP($C41,#REF!,26,0)</f>
        <v>#REF!</v>
      </c>
      <c r="AC41" s="106" t="e">
        <f>VLOOKUP($C41,#REF!,27,0)</f>
        <v>#REF!</v>
      </c>
      <c r="AE41" s="105" t="e">
        <f t="shared" si="0"/>
        <v>#REF!</v>
      </c>
      <c r="AF41" s="107" t="s">
        <v>320</v>
      </c>
      <c r="AG41" s="107" t="s">
        <v>321</v>
      </c>
      <c r="AH41" s="106" t="s">
        <v>322</v>
      </c>
      <c r="AJ41" s="105" t="s">
        <v>323</v>
      </c>
      <c r="AK41" s="107" t="s">
        <v>324</v>
      </c>
      <c r="AL41" s="107" t="s">
        <v>325</v>
      </c>
      <c r="AM41" s="107" t="s">
        <v>326</v>
      </c>
      <c r="AN41" s="107" t="s">
        <v>326</v>
      </c>
      <c r="AO41" s="106" t="s">
        <v>320</v>
      </c>
      <c r="AQ41" s="108"/>
      <c r="AR41" s="5"/>
      <c r="AS41" s="105">
        <v>0</v>
      </c>
      <c r="AT41" s="106">
        <v>0</v>
      </c>
      <c r="AU41" s="34"/>
      <c r="AV41" s="105">
        <f t="shared" si="1"/>
        <v>0</v>
      </c>
      <c r="AW41" s="106">
        <f t="shared" si="2"/>
        <v>0</v>
      </c>
      <c r="AX41" s="105">
        <f t="shared" si="3"/>
        <v>0</v>
      </c>
      <c r="AY41" s="106">
        <f t="shared" si="4"/>
        <v>0</v>
      </c>
      <c r="AZ41" s="105">
        <f t="shared" si="5"/>
        <v>0</v>
      </c>
      <c r="BA41" s="106">
        <f t="shared" si="6"/>
        <v>0</v>
      </c>
      <c r="BB41" s="34">
        <f t="shared" si="7"/>
        <v>0</v>
      </c>
      <c r="BC41" s="106">
        <f t="shared" si="8"/>
        <v>0</v>
      </c>
      <c r="BD41" s="34"/>
      <c r="BE41" s="105">
        <f t="shared" si="9"/>
        <v>0</v>
      </c>
      <c r="BF41" s="106">
        <f t="shared" si="10"/>
        <v>0</v>
      </c>
      <c r="BG41" s="105">
        <f t="shared" si="11"/>
        <v>0</v>
      </c>
      <c r="BH41" s="106">
        <f t="shared" si="12"/>
        <v>0</v>
      </c>
      <c r="BI41" s="34">
        <f t="shared" si="13"/>
        <v>0</v>
      </c>
      <c r="BJ41" s="106">
        <f t="shared" si="14"/>
        <v>0</v>
      </c>
      <c r="BK41" s="34">
        <f t="shared" si="15"/>
        <v>0</v>
      </c>
      <c r="BL41" s="106">
        <f t="shared" si="16"/>
        <v>0</v>
      </c>
      <c r="BN41" s="108"/>
      <c r="BO41" s="5"/>
      <c r="BP41" s="105"/>
      <c r="BQ41" s="106"/>
      <c r="BR41" s="34"/>
      <c r="BS41" s="105"/>
      <c r="BT41" s="106"/>
      <c r="BU41" s="105"/>
      <c r="BV41" s="106"/>
      <c r="BW41" s="105"/>
      <c r="BX41" s="106"/>
      <c r="BY41" s="105"/>
      <c r="BZ41" s="106"/>
      <c r="CA41" s="34"/>
      <c r="CB41" s="105"/>
      <c r="CC41" s="106"/>
      <c r="CD41" s="105"/>
      <c r="CE41" s="106"/>
      <c r="CF41" s="105"/>
      <c r="CG41" s="106"/>
      <c r="CH41" s="105"/>
      <c r="CI41" s="106"/>
      <c r="CK41" s="78"/>
      <c r="CL41" s="5"/>
      <c r="CM41" s="38" t="str">
        <f t="shared" si="17"/>
        <v>-</v>
      </c>
      <c r="CN41" s="5"/>
      <c r="CO41" s="38" t="str">
        <f t="shared" si="18"/>
        <v>-</v>
      </c>
      <c r="CP41" s="38" t="str">
        <f t="shared" si="19"/>
        <v>-</v>
      </c>
      <c r="CQ41" s="38" t="str">
        <f t="shared" si="20"/>
        <v>-</v>
      </c>
      <c r="CR41" s="38" t="str">
        <f t="shared" si="20"/>
        <v>-</v>
      </c>
      <c r="CS41" s="5"/>
      <c r="CT41" s="38" t="str">
        <f t="shared" si="21"/>
        <v>-</v>
      </c>
      <c r="CU41" s="38" t="str">
        <f t="shared" si="22"/>
        <v>-</v>
      </c>
      <c r="CV41" s="38" t="str">
        <f t="shared" si="23"/>
        <v>-</v>
      </c>
      <c r="CW41" s="38" t="str">
        <f t="shared" si="24"/>
        <v>-</v>
      </c>
    </row>
    <row r="42" spans="2:101" s="113" customFormat="1" ht="12.75" customHeight="1">
      <c r="B42" s="99" t="s">
        <v>58</v>
      </c>
      <c r="C42" s="98" t="s">
        <v>291</v>
      </c>
      <c r="D42" s="114" t="e">
        <f>VLOOKUP($C42,#REF!,5,0)</f>
        <v>#REF!</v>
      </c>
      <c r="E42" s="115" t="e">
        <f>VLOOKUP($C42,#REF!,6,0)</f>
        <v>#REF!</v>
      </c>
      <c r="F42" s="98" t="e">
        <f>VLOOKUP($C42,#REF!,7,0)</f>
        <v>#REF!</v>
      </c>
      <c r="G42" s="98" t="e">
        <f>VLOOKUP($C42,#REF!,8,0)</f>
        <v>#REF!</v>
      </c>
      <c r="H42" s="116" t="e">
        <f>VLOOKUP($C42,#REF!,9,0)</f>
        <v>#REF!</v>
      </c>
      <c r="I42" s="5"/>
      <c r="J42" s="118" t="e">
        <f>VLOOKUP($C42,#REF!,10,0)</f>
        <v>#REF!</v>
      </c>
      <c r="K42" s="119" t="e">
        <f>VLOOKUP($C42,#REF!,11,0)</f>
        <v>#REF!</v>
      </c>
      <c r="L42" s="34"/>
      <c r="M42" s="118" t="e">
        <f>VLOOKUP($C42,#REF!,12,0)</f>
        <v>#REF!</v>
      </c>
      <c r="N42" s="120" t="e">
        <f>VLOOKUP($C42,#REF!,13,0)</f>
        <v>#REF!</v>
      </c>
      <c r="O42" s="118" t="e">
        <f>VLOOKUP($C42,#REF!,14,0)</f>
        <v>#REF!</v>
      </c>
      <c r="P42" s="120" t="e">
        <f>VLOOKUP($C42,#REF!,15,0)</f>
        <v>#REF!</v>
      </c>
      <c r="Q42" s="118" t="e">
        <f>VLOOKUP($C42,#REF!,16,0)</f>
        <v>#REF!</v>
      </c>
      <c r="R42" s="119" t="e">
        <f>VLOOKUP($C42,#REF!,17,0)</f>
        <v>#REF!</v>
      </c>
      <c r="S42" s="120" t="e">
        <f>VLOOKUP($C42,#REF!,18,0)</f>
        <v>#REF!</v>
      </c>
      <c r="T42" s="119" t="e">
        <f>VLOOKUP($C42,#REF!,19,0)</f>
        <v>#REF!</v>
      </c>
      <c r="U42" s="34"/>
      <c r="V42" s="118" t="e">
        <f>VLOOKUP($C42,#REF!,20,0)</f>
        <v>#REF!</v>
      </c>
      <c r="W42" s="120" t="e">
        <f>VLOOKUP($C42,#REF!,21,0)</f>
        <v>#REF!</v>
      </c>
      <c r="X42" s="118" t="e">
        <f>VLOOKUP($C42,#REF!,22,0)</f>
        <v>#REF!</v>
      </c>
      <c r="Y42" s="120" t="e">
        <f>VLOOKUP($C42,#REF!,23,0)</f>
        <v>#REF!</v>
      </c>
      <c r="Z42" s="118" t="e">
        <f>VLOOKUP($C42,#REF!,24,0)</f>
        <v>#REF!</v>
      </c>
      <c r="AA42" s="119" t="e">
        <f>VLOOKUP($C42,#REF!,25,0)</f>
        <v>#REF!</v>
      </c>
      <c r="AB42" s="120" t="e">
        <f>VLOOKUP($C42,#REF!,26,0)</f>
        <v>#REF!</v>
      </c>
      <c r="AC42" s="119" t="e">
        <f>VLOOKUP($C42,#REF!,27,0)</f>
        <v>#REF!</v>
      </c>
      <c r="AD42" s="4"/>
      <c r="AE42" s="118" t="e">
        <f t="shared" si="0"/>
        <v>#REF!</v>
      </c>
      <c r="AF42" s="121" t="s">
        <v>320</v>
      </c>
      <c r="AG42" s="121" t="s">
        <v>321</v>
      </c>
      <c r="AH42" s="119" t="s">
        <v>322</v>
      </c>
      <c r="AI42" s="4"/>
      <c r="AJ42" s="118" t="s">
        <v>323</v>
      </c>
      <c r="AK42" s="121" t="s">
        <v>324</v>
      </c>
      <c r="AL42" s="121" t="s">
        <v>325</v>
      </c>
      <c r="AM42" s="121" t="s">
        <v>326</v>
      </c>
      <c r="AN42" s="121" t="s">
        <v>326</v>
      </c>
      <c r="AO42" s="119" t="s">
        <v>320</v>
      </c>
      <c r="AP42" s="4"/>
      <c r="AQ42" s="122"/>
      <c r="AR42" s="5"/>
      <c r="AS42" s="118">
        <v>0</v>
      </c>
      <c r="AT42" s="119">
        <v>0</v>
      </c>
      <c r="AU42" s="34"/>
      <c r="AV42" s="118">
        <f t="shared" si="1"/>
        <v>0</v>
      </c>
      <c r="AW42" s="119">
        <f t="shared" si="2"/>
        <v>0</v>
      </c>
      <c r="AX42" s="118">
        <f t="shared" si="3"/>
        <v>0</v>
      </c>
      <c r="AY42" s="119">
        <f t="shared" si="4"/>
        <v>0</v>
      </c>
      <c r="AZ42" s="118">
        <f t="shared" si="5"/>
        <v>0</v>
      </c>
      <c r="BA42" s="119">
        <f t="shared" si="6"/>
        <v>0</v>
      </c>
      <c r="BB42" s="120">
        <f t="shared" si="7"/>
        <v>0</v>
      </c>
      <c r="BC42" s="119">
        <f t="shared" si="8"/>
        <v>0</v>
      </c>
      <c r="BD42" s="34"/>
      <c r="BE42" s="118">
        <f t="shared" si="9"/>
        <v>0</v>
      </c>
      <c r="BF42" s="119">
        <f t="shared" si="10"/>
        <v>0</v>
      </c>
      <c r="BG42" s="118">
        <f t="shared" si="11"/>
        <v>0</v>
      </c>
      <c r="BH42" s="119">
        <f t="shared" si="12"/>
        <v>0</v>
      </c>
      <c r="BI42" s="120">
        <f t="shared" si="13"/>
        <v>0</v>
      </c>
      <c r="BJ42" s="119">
        <f t="shared" si="14"/>
        <v>0</v>
      </c>
      <c r="BK42" s="120">
        <f t="shared" si="15"/>
        <v>0</v>
      </c>
      <c r="BL42" s="119">
        <f t="shared" si="16"/>
        <v>0</v>
      </c>
      <c r="BM42" s="4"/>
      <c r="BN42" s="122"/>
      <c r="BO42" s="117"/>
      <c r="BP42" s="118"/>
      <c r="BQ42" s="119"/>
      <c r="BR42" s="120"/>
      <c r="BS42" s="118"/>
      <c r="BT42" s="119"/>
      <c r="BU42" s="118"/>
      <c r="BV42" s="119"/>
      <c r="BW42" s="118"/>
      <c r="BX42" s="119"/>
      <c r="BY42" s="118"/>
      <c r="BZ42" s="119"/>
      <c r="CA42" s="120"/>
      <c r="CB42" s="118"/>
      <c r="CC42" s="119"/>
      <c r="CD42" s="118"/>
      <c r="CE42" s="119"/>
      <c r="CF42" s="118"/>
      <c r="CG42" s="119"/>
      <c r="CH42" s="118"/>
      <c r="CI42" s="119"/>
      <c r="CJ42" s="4"/>
      <c r="CK42" s="79"/>
      <c r="CL42" s="5"/>
      <c r="CM42" s="39" t="str">
        <f t="shared" si="17"/>
        <v>-</v>
      </c>
      <c r="CN42" s="5"/>
      <c r="CO42" s="39" t="str">
        <f t="shared" si="18"/>
        <v>-</v>
      </c>
      <c r="CP42" s="39" t="str">
        <f t="shared" si="19"/>
        <v>-</v>
      </c>
      <c r="CQ42" s="39" t="str">
        <f t="shared" si="20"/>
        <v>-</v>
      </c>
      <c r="CR42" s="39" t="str">
        <f t="shared" si="20"/>
        <v>-</v>
      </c>
      <c r="CS42" s="5"/>
      <c r="CT42" s="39" t="str">
        <f t="shared" si="21"/>
        <v>-</v>
      </c>
      <c r="CU42" s="39" t="str">
        <f t="shared" si="22"/>
        <v>-</v>
      </c>
      <c r="CV42" s="39" t="str">
        <f t="shared" si="23"/>
        <v>-</v>
      </c>
      <c r="CW42" s="39" t="str">
        <f t="shared" si="24"/>
        <v>-</v>
      </c>
    </row>
    <row r="43" spans="2:101" s="4" customFormat="1" ht="12.75" customHeight="1">
      <c r="B43" s="102" t="s">
        <v>58</v>
      </c>
      <c r="C43" s="103" t="s">
        <v>292</v>
      </c>
      <c r="D43" s="104" t="e">
        <f>VLOOKUP($C43,#REF!,5,0)</f>
        <v>#REF!</v>
      </c>
      <c r="E43" s="109" t="e">
        <f>VLOOKUP($C43,#REF!,6,0)</f>
        <v>#REF!</v>
      </c>
      <c r="F43" s="103" t="e">
        <f>VLOOKUP($C43,#REF!,7,0)</f>
        <v>#REF!</v>
      </c>
      <c r="G43" s="103" t="e">
        <f>VLOOKUP($C43,#REF!,8,0)</f>
        <v>#REF!</v>
      </c>
      <c r="H43" s="110" t="e">
        <f>VLOOKUP($C43,#REF!,9,0)</f>
        <v>#REF!</v>
      </c>
      <c r="I43" s="5"/>
      <c r="J43" s="105" t="e">
        <f>VLOOKUP($C43,#REF!,10,0)</f>
        <v>#REF!</v>
      </c>
      <c r="K43" s="106" t="e">
        <f>VLOOKUP($C43,#REF!,11,0)</f>
        <v>#REF!</v>
      </c>
      <c r="L43" s="34"/>
      <c r="M43" s="105" t="e">
        <f>VLOOKUP($C43,#REF!,12,0)</f>
        <v>#REF!</v>
      </c>
      <c r="N43" s="34" t="e">
        <f>VLOOKUP($C43,#REF!,13,0)</f>
        <v>#REF!</v>
      </c>
      <c r="O43" s="105" t="e">
        <f>VLOOKUP($C43,#REF!,14,0)</f>
        <v>#REF!</v>
      </c>
      <c r="P43" s="34" t="e">
        <f>VLOOKUP($C43,#REF!,15,0)</f>
        <v>#REF!</v>
      </c>
      <c r="Q43" s="105" t="e">
        <f>VLOOKUP($C43,#REF!,16,0)</f>
        <v>#REF!</v>
      </c>
      <c r="R43" s="106" t="e">
        <f>VLOOKUP($C43,#REF!,17,0)</f>
        <v>#REF!</v>
      </c>
      <c r="S43" s="34" t="e">
        <f>VLOOKUP($C43,#REF!,18,0)</f>
        <v>#REF!</v>
      </c>
      <c r="T43" s="106" t="e">
        <f>VLOOKUP($C43,#REF!,19,0)</f>
        <v>#REF!</v>
      </c>
      <c r="U43" s="34"/>
      <c r="V43" s="105" t="e">
        <f>VLOOKUP($C43,#REF!,20,0)</f>
        <v>#REF!</v>
      </c>
      <c r="W43" s="34" t="e">
        <f>VLOOKUP($C43,#REF!,21,0)</f>
        <v>#REF!</v>
      </c>
      <c r="X43" s="105" t="e">
        <f>VLOOKUP($C43,#REF!,22,0)</f>
        <v>#REF!</v>
      </c>
      <c r="Y43" s="34" t="e">
        <f>VLOOKUP($C43,#REF!,23,0)</f>
        <v>#REF!</v>
      </c>
      <c r="Z43" s="105" t="e">
        <f>VLOOKUP($C43,#REF!,24,0)</f>
        <v>#REF!</v>
      </c>
      <c r="AA43" s="106" t="e">
        <f>VLOOKUP($C43,#REF!,25,0)</f>
        <v>#REF!</v>
      </c>
      <c r="AB43" s="34" t="e">
        <f>VLOOKUP($C43,#REF!,26,0)</f>
        <v>#REF!</v>
      </c>
      <c r="AC43" s="106" t="e">
        <f>VLOOKUP($C43,#REF!,27,0)</f>
        <v>#REF!</v>
      </c>
      <c r="AE43" s="105" t="e">
        <f t="shared" si="0"/>
        <v>#REF!</v>
      </c>
      <c r="AF43" s="107" t="s">
        <v>320</v>
      </c>
      <c r="AG43" s="107" t="s">
        <v>321</v>
      </c>
      <c r="AH43" s="106" t="s">
        <v>322</v>
      </c>
      <c r="AJ43" s="105" t="s">
        <v>323</v>
      </c>
      <c r="AK43" s="107" t="s">
        <v>324</v>
      </c>
      <c r="AL43" s="107" t="s">
        <v>325</v>
      </c>
      <c r="AM43" s="107" t="s">
        <v>326</v>
      </c>
      <c r="AN43" s="107" t="s">
        <v>326</v>
      </c>
      <c r="AO43" s="106" t="s">
        <v>320</v>
      </c>
      <c r="AQ43" s="108"/>
      <c r="AR43" s="5"/>
      <c r="AS43" s="105">
        <v>0</v>
      </c>
      <c r="AT43" s="106">
        <v>0</v>
      </c>
      <c r="AU43" s="34"/>
      <c r="AV43" s="105">
        <f t="shared" si="1"/>
        <v>0</v>
      </c>
      <c r="AW43" s="106">
        <f t="shared" si="2"/>
        <v>0</v>
      </c>
      <c r="AX43" s="105">
        <f t="shared" si="3"/>
        <v>0</v>
      </c>
      <c r="AY43" s="106">
        <f t="shared" si="4"/>
        <v>0</v>
      </c>
      <c r="AZ43" s="105">
        <f t="shared" si="5"/>
        <v>0</v>
      </c>
      <c r="BA43" s="106">
        <f t="shared" si="6"/>
        <v>0</v>
      </c>
      <c r="BB43" s="34">
        <f t="shared" si="7"/>
        <v>0</v>
      </c>
      <c r="BC43" s="106">
        <f t="shared" si="8"/>
        <v>0</v>
      </c>
      <c r="BD43" s="34"/>
      <c r="BE43" s="105">
        <f t="shared" si="9"/>
        <v>0</v>
      </c>
      <c r="BF43" s="106">
        <f t="shared" si="10"/>
        <v>0</v>
      </c>
      <c r="BG43" s="105">
        <f t="shared" si="11"/>
        <v>0</v>
      </c>
      <c r="BH43" s="106">
        <f t="shared" si="12"/>
        <v>0</v>
      </c>
      <c r="BI43" s="34">
        <f t="shared" si="13"/>
        <v>0</v>
      </c>
      <c r="BJ43" s="106">
        <f t="shared" si="14"/>
        <v>0</v>
      </c>
      <c r="BK43" s="34">
        <f t="shared" si="15"/>
        <v>0</v>
      </c>
      <c r="BL43" s="106">
        <f t="shared" si="16"/>
        <v>0</v>
      </c>
      <c r="BN43" s="108"/>
      <c r="BO43" s="5"/>
      <c r="BP43" s="105"/>
      <c r="BQ43" s="106"/>
      <c r="BR43" s="34"/>
      <c r="BS43" s="105"/>
      <c r="BT43" s="106"/>
      <c r="BU43" s="105"/>
      <c r="BV43" s="106"/>
      <c r="BW43" s="105"/>
      <c r="BX43" s="106"/>
      <c r="BY43" s="105"/>
      <c r="BZ43" s="106"/>
      <c r="CA43" s="34"/>
      <c r="CB43" s="105"/>
      <c r="CC43" s="106"/>
      <c r="CD43" s="105"/>
      <c r="CE43" s="106"/>
      <c r="CF43" s="105"/>
      <c r="CG43" s="106"/>
      <c r="CH43" s="105"/>
      <c r="CI43" s="106"/>
      <c r="CK43" s="78"/>
      <c r="CL43" s="5"/>
      <c r="CM43" s="38" t="str">
        <f t="shared" si="17"/>
        <v>-</v>
      </c>
      <c r="CN43" s="5"/>
      <c r="CO43" s="38" t="str">
        <f t="shared" si="18"/>
        <v>-</v>
      </c>
      <c r="CP43" s="38" t="str">
        <f t="shared" si="19"/>
        <v>-</v>
      </c>
      <c r="CQ43" s="38" t="str">
        <f t="shared" si="20"/>
        <v>-</v>
      </c>
      <c r="CR43" s="38" t="str">
        <f t="shared" si="20"/>
        <v>-</v>
      </c>
      <c r="CS43" s="5"/>
      <c r="CT43" s="38" t="str">
        <f t="shared" si="21"/>
        <v>-</v>
      </c>
      <c r="CU43" s="38" t="str">
        <f t="shared" si="22"/>
        <v>-</v>
      </c>
      <c r="CV43" s="38" t="str">
        <f t="shared" si="23"/>
        <v>-</v>
      </c>
      <c r="CW43" s="38" t="str">
        <f t="shared" si="24"/>
        <v>-</v>
      </c>
    </row>
    <row r="44" spans="2:101" s="113" customFormat="1" ht="12.75" customHeight="1">
      <c r="B44" s="99" t="s">
        <v>58</v>
      </c>
      <c r="C44" s="98" t="s">
        <v>270</v>
      </c>
      <c r="D44" s="114" t="e">
        <f>VLOOKUP($C44,#REF!,5,0)</f>
        <v>#REF!</v>
      </c>
      <c r="E44" s="115" t="e">
        <f>VLOOKUP($C44,#REF!,6,0)</f>
        <v>#REF!</v>
      </c>
      <c r="F44" s="98" t="e">
        <f>VLOOKUP($C44,#REF!,7,0)</f>
        <v>#REF!</v>
      </c>
      <c r="G44" s="98" t="e">
        <f>VLOOKUP($C44,#REF!,8,0)</f>
        <v>#REF!</v>
      </c>
      <c r="H44" s="116" t="e">
        <f>VLOOKUP($C44,#REF!,9,0)</f>
        <v>#REF!</v>
      </c>
      <c r="I44" s="5"/>
      <c r="J44" s="118" t="e">
        <f>VLOOKUP($C44,#REF!,10,0)</f>
        <v>#REF!</v>
      </c>
      <c r="K44" s="119" t="e">
        <f>VLOOKUP($C44,#REF!,11,0)</f>
        <v>#REF!</v>
      </c>
      <c r="L44" s="34"/>
      <c r="M44" s="118" t="e">
        <f>VLOOKUP($C44,#REF!,12,0)</f>
        <v>#REF!</v>
      </c>
      <c r="N44" s="120" t="e">
        <f>VLOOKUP($C44,#REF!,13,0)</f>
        <v>#REF!</v>
      </c>
      <c r="O44" s="118" t="e">
        <f>VLOOKUP($C44,#REF!,14,0)</f>
        <v>#REF!</v>
      </c>
      <c r="P44" s="120" t="e">
        <f>VLOOKUP($C44,#REF!,15,0)</f>
        <v>#REF!</v>
      </c>
      <c r="Q44" s="118" t="e">
        <f>VLOOKUP($C44,#REF!,16,0)</f>
        <v>#REF!</v>
      </c>
      <c r="R44" s="119" t="e">
        <f>VLOOKUP($C44,#REF!,17,0)</f>
        <v>#REF!</v>
      </c>
      <c r="S44" s="120" t="e">
        <f>VLOOKUP($C44,#REF!,18,0)</f>
        <v>#REF!</v>
      </c>
      <c r="T44" s="119" t="e">
        <f>VLOOKUP($C44,#REF!,19,0)</f>
        <v>#REF!</v>
      </c>
      <c r="U44" s="34"/>
      <c r="V44" s="118" t="e">
        <f>VLOOKUP($C44,#REF!,20,0)</f>
        <v>#REF!</v>
      </c>
      <c r="W44" s="120" t="e">
        <f>VLOOKUP($C44,#REF!,21,0)</f>
        <v>#REF!</v>
      </c>
      <c r="X44" s="118" t="e">
        <f>VLOOKUP($C44,#REF!,22,0)</f>
        <v>#REF!</v>
      </c>
      <c r="Y44" s="120" t="e">
        <f>VLOOKUP($C44,#REF!,23,0)</f>
        <v>#REF!</v>
      </c>
      <c r="Z44" s="118" t="e">
        <f>VLOOKUP($C44,#REF!,24,0)</f>
        <v>#REF!</v>
      </c>
      <c r="AA44" s="119" t="e">
        <f>VLOOKUP($C44,#REF!,25,0)</f>
        <v>#REF!</v>
      </c>
      <c r="AB44" s="120" t="e">
        <f>VLOOKUP($C44,#REF!,26,0)</f>
        <v>#REF!</v>
      </c>
      <c r="AC44" s="119" t="e">
        <f>VLOOKUP($C44,#REF!,27,0)</f>
        <v>#REF!</v>
      </c>
      <c r="AD44" s="4"/>
      <c r="AE44" s="118" t="e">
        <f t="shared" si="0"/>
        <v>#REF!</v>
      </c>
      <c r="AF44" s="121" t="s">
        <v>320</v>
      </c>
      <c r="AG44" s="121" t="s">
        <v>321</v>
      </c>
      <c r="AH44" s="119" t="s">
        <v>322</v>
      </c>
      <c r="AI44" s="4"/>
      <c r="AJ44" s="118" t="s">
        <v>323</v>
      </c>
      <c r="AK44" s="121" t="s">
        <v>324</v>
      </c>
      <c r="AL44" s="121" t="s">
        <v>325</v>
      </c>
      <c r="AM44" s="121" t="s">
        <v>326</v>
      </c>
      <c r="AN44" s="121" t="s">
        <v>326</v>
      </c>
      <c r="AO44" s="119" t="s">
        <v>320</v>
      </c>
      <c r="AP44" s="4"/>
      <c r="AQ44" s="122">
        <v>83</v>
      </c>
      <c r="AR44" s="5"/>
      <c r="AS44" s="118">
        <v>0</v>
      </c>
      <c r="AT44" s="119">
        <v>0</v>
      </c>
      <c r="AU44" s="34"/>
      <c r="AV44" s="118">
        <f t="shared" si="1"/>
        <v>0</v>
      </c>
      <c r="AW44" s="119">
        <f t="shared" si="2"/>
        <v>0</v>
      </c>
      <c r="AX44" s="118">
        <f t="shared" si="3"/>
        <v>0</v>
      </c>
      <c r="AY44" s="119">
        <f t="shared" si="4"/>
        <v>0</v>
      </c>
      <c r="AZ44" s="118">
        <f t="shared" si="5"/>
        <v>0</v>
      </c>
      <c r="BA44" s="119">
        <f t="shared" si="6"/>
        <v>0</v>
      </c>
      <c r="BB44" s="120">
        <f t="shared" si="7"/>
        <v>0</v>
      </c>
      <c r="BC44" s="119">
        <f t="shared" si="8"/>
        <v>0</v>
      </c>
      <c r="BD44" s="34"/>
      <c r="BE44" s="118">
        <f t="shared" si="9"/>
        <v>0</v>
      </c>
      <c r="BF44" s="119">
        <f t="shared" si="10"/>
        <v>0</v>
      </c>
      <c r="BG44" s="118">
        <f t="shared" si="11"/>
        <v>0</v>
      </c>
      <c r="BH44" s="119">
        <f t="shared" si="12"/>
        <v>0</v>
      </c>
      <c r="BI44" s="120">
        <f t="shared" si="13"/>
        <v>0</v>
      </c>
      <c r="BJ44" s="119">
        <f t="shared" si="14"/>
        <v>0</v>
      </c>
      <c r="BK44" s="120">
        <f t="shared" si="15"/>
        <v>0</v>
      </c>
      <c r="BL44" s="119">
        <f t="shared" si="16"/>
        <v>0</v>
      </c>
      <c r="BM44" s="4"/>
      <c r="BN44" s="122">
        <v>0</v>
      </c>
      <c r="BO44" s="117"/>
      <c r="BP44" s="118">
        <v>0</v>
      </c>
      <c r="BQ44" s="119">
        <v>0</v>
      </c>
      <c r="BR44" s="120"/>
      <c r="BS44" s="118">
        <v>0</v>
      </c>
      <c r="BT44" s="119">
        <v>0</v>
      </c>
      <c r="BU44" s="118">
        <v>0</v>
      </c>
      <c r="BV44" s="119">
        <v>0</v>
      </c>
      <c r="BW44" s="118">
        <v>-50</v>
      </c>
      <c r="BX44" s="119">
        <v>-3</v>
      </c>
      <c r="BY44" s="118">
        <v>-50</v>
      </c>
      <c r="BZ44" s="119">
        <v>-3</v>
      </c>
      <c r="CA44" s="120"/>
      <c r="CB44" s="118">
        <v>0</v>
      </c>
      <c r="CC44" s="119">
        <v>0</v>
      </c>
      <c r="CD44" s="118">
        <v>0</v>
      </c>
      <c r="CE44" s="119">
        <v>0</v>
      </c>
      <c r="CF44" s="118">
        <v>0</v>
      </c>
      <c r="CG44" s="119">
        <v>-5</v>
      </c>
      <c r="CH44" s="118">
        <v>0</v>
      </c>
      <c r="CI44" s="119">
        <v>-5</v>
      </c>
      <c r="CJ44" s="4"/>
      <c r="CK44" s="79"/>
      <c r="CL44" s="5"/>
      <c r="CM44" s="39" t="str">
        <f t="shared" si="17"/>
        <v>-</v>
      </c>
      <c r="CN44" s="5"/>
      <c r="CO44" s="39" t="str">
        <f t="shared" si="18"/>
        <v>-</v>
      </c>
      <c r="CP44" s="39" t="str">
        <f t="shared" si="19"/>
        <v>-</v>
      </c>
      <c r="CQ44" s="39" t="str">
        <f t="shared" si="20"/>
        <v>-</v>
      </c>
      <c r="CR44" s="39" t="str">
        <f t="shared" si="20"/>
        <v>-</v>
      </c>
      <c r="CS44" s="5"/>
      <c r="CT44" s="39" t="str">
        <f t="shared" si="21"/>
        <v>-</v>
      </c>
      <c r="CU44" s="39" t="str">
        <f t="shared" si="22"/>
        <v>-</v>
      </c>
      <c r="CV44" s="39" t="str">
        <f t="shared" si="23"/>
        <v>-</v>
      </c>
      <c r="CW44" s="39" t="str">
        <f t="shared" si="24"/>
        <v>-</v>
      </c>
    </row>
    <row r="45" spans="2:101" s="4" customFormat="1" ht="12.75" customHeight="1">
      <c r="B45" s="102" t="s">
        <v>58</v>
      </c>
      <c r="C45" s="103" t="s">
        <v>271</v>
      </c>
      <c r="D45" s="104" t="e">
        <f>VLOOKUP($C45,#REF!,5,0)</f>
        <v>#REF!</v>
      </c>
      <c r="E45" s="109" t="e">
        <f>VLOOKUP($C45,#REF!,6,0)</f>
        <v>#REF!</v>
      </c>
      <c r="F45" s="103" t="e">
        <f>VLOOKUP($C45,#REF!,7,0)</f>
        <v>#REF!</v>
      </c>
      <c r="G45" s="103" t="e">
        <f>VLOOKUP($C45,#REF!,8,0)</f>
        <v>#REF!</v>
      </c>
      <c r="H45" s="110" t="e">
        <f>VLOOKUP($C45,#REF!,9,0)</f>
        <v>#REF!</v>
      </c>
      <c r="I45" s="5"/>
      <c r="J45" s="105" t="e">
        <f>VLOOKUP($C45,#REF!,10,0)</f>
        <v>#REF!</v>
      </c>
      <c r="K45" s="106" t="e">
        <f>VLOOKUP($C45,#REF!,11,0)</f>
        <v>#REF!</v>
      </c>
      <c r="L45" s="34"/>
      <c r="M45" s="105" t="e">
        <f>VLOOKUP($C45,#REF!,12,0)</f>
        <v>#REF!</v>
      </c>
      <c r="N45" s="34" t="e">
        <f>VLOOKUP($C45,#REF!,13,0)</f>
        <v>#REF!</v>
      </c>
      <c r="O45" s="105" t="e">
        <f>VLOOKUP($C45,#REF!,14,0)</f>
        <v>#REF!</v>
      </c>
      <c r="P45" s="34" t="e">
        <f>VLOOKUP($C45,#REF!,15,0)</f>
        <v>#REF!</v>
      </c>
      <c r="Q45" s="105" t="e">
        <f>VLOOKUP($C45,#REF!,16,0)</f>
        <v>#REF!</v>
      </c>
      <c r="R45" s="106" t="e">
        <f>VLOOKUP($C45,#REF!,17,0)</f>
        <v>#REF!</v>
      </c>
      <c r="S45" s="34" t="e">
        <f>VLOOKUP($C45,#REF!,18,0)</f>
        <v>#REF!</v>
      </c>
      <c r="T45" s="106" t="e">
        <f>VLOOKUP($C45,#REF!,19,0)</f>
        <v>#REF!</v>
      </c>
      <c r="U45" s="34"/>
      <c r="V45" s="105" t="e">
        <f>VLOOKUP($C45,#REF!,20,0)</f>
        <v>#REF!</v>
      </c>
      <c r="W45" s="34" t="e">
        <f>VLOOKUP($C45,#REF!,21,0)</f>
        <v>#REF!</v>
      </c>
      <c r="X45" s="105" t="e">
        <f>VLOOKUP($C45,#REF!,22,0)</f>
        <v>#REF!</v>
      </c>
      <c r="Y45" s="34" t="e">
        <f>VLOOKUP($C45,#REF!,23,0)</f>
        <v>#REF!</v>
      </c>
      <c r="Z45" s="105" t="e">
        <f>VLOOKUP($C45,#REF!,24,0)</f>
        <v>#REF!</v>
      </c>
      <c r="AA45" s="106" t="e">
        <f>VLOOKUP($C45,#REF!,25,0)</f>
        <v>#REF!</v>
      </c>
      <c r="AB45" s="34" t="e">
        <f>VLOOKUP($C45,#REF!,26,0)</f>
        <v>#REF!</v>
      </c>
      <c r="AC45" s="106" t="e">
        <f>VLOOKUP($C45,#REF!,27,0)</f>
        <v>#REF!</v>
      </c>
      <c r="AE45" s="105" t="e">
        <f t="shared" si="0"/>
        <v>#REF!</v>
      </c>
      <c r="AF45" s="107" t="s">
        <v>320</v>
      </c>
      <c r="AG45" s="107" t="s">
        <v>321</v>
      </c>
      <c r="AH45" s="106" t="s">
        <v>322</v>
      </c>
      <c r="AJ45" s="105" t="s">
        <v>323</v>
      </c>
      <c r="AK45" s="107" t="s">
        <v>324</v>
      </c>
      <c r="AL45" s="107" t="s">
        <v>325</v>
      </c>
      <c r="AM45" s="107" t="s">
        <v>326</v>
      </c>
      <c r="AN45" s="107" t="s">
        <v>326</v>
      </c>
      <c r="AO45" s="106" t="s">
        <v>320</v>
      </c>
      <c r="AQ45" s="108">
        <v>116</v>
      </c>
      <c r="AR45" s="5"/>
      <c r="AS45" s="105">
        <v>0</v>
      </c>
      <c r="AT45" s="106">
        <v>0</v>
      </c>
      <c r="AU45" s="34"/>
      <c r="AV45" s="105">
        <f t="shared" si="1"/>
        <v>0</v>
      </c>
      <c r="AW45" s="106">
        <f t="shared" si="2"/>
        <v>0</v>
      </c>
      <c r="AX45" s="105">
        <f t="shared" si="3"/>
        <v>0</v>
      </c>
      <c r="AY45" s="106">
        <f t="shared" si="4"/>
        <v>0</v>
      </c>
      <c r="AZ45" s="105">
        <f t="shared" si="5"/>
        <v>0</v>
      </c>
      <c r="BA45" s="106">
        <f t="shared" si="6"/>
        <v>0</v>
      </c>
      <c r="BB45" s="34">
        <f t="shared" si="7"/>
        <v>0</v>
      </c>
      <c r="BC45" s="106">
        <f t="shared" si="8"/>
        <v>0</v>
      </c>
      <c r="BD45" s="34"/>
      <c r="BE45" s="105">
        <f t="shared" si="9"/>
        <v>0</v>
      </c>
      <c r="BF45" s="106">
        <f t="shared" si="10"/>
        <v>0</v>
      </c>
      <c r="BG45" s="105">
        <f t="shared" si="11"/>
        <v>0</v>
      </c>
      <c r="BH45" s="106">
        <f t="shared" si="12"/>
        <v>0</v>
      </c>
      <c r="BI45" s="34">
        <f t="shared" si="13"/>
        <v>0</v>
      </c>
      <c r="BJ45" s="106">
        <f t="shared" si="14"/>
        <v>0</v>
      </c>
      <c r="BK45" s="34">
        <f t="shared" si="15"/>
        <v>0</v>
      </c>
      <c r="BL45" s="106">
        <f t="shared" si="16"/>
        <v>0</v>
      </c>
      <c r="BN45" s="108">
        <v>-32.230000000000018</v>
      </c>
      <c r="BO45" s="5"/>
      <c r="BP45" s="105">
        <v>-32.230000000000018</v>
      </c>
      <c r="BQ45" s="106">
        <v>0</v>
      </c>
      <c r="BR45" s="34"/>
      <c r="BS45" s="105">
        <v>0</v>
      </c>
      <c r="BT45" s="106">
        <v>0</v>
      </c>
      <c r="BU45" s="105">
        <v>0</v>
      </c>
      <c r="BV45" s="106">
        <v>0</v>
      </c>
      <c r="BW45" s="105">
        <v>0</v>
      </c>
      <c r="BX45" s="106">
        <v>0</v>
      </c>
      <c r="BY45" s="105">
        <v>0</v>
      </c>
      <c r="BZ45" s="106">
        <v>0</v>
      </c>
      <c r="CA45" s="34"/>
      <c r="CB45" s="105">
        <v>0</v>
      </c>
      <c r="CC45" s="106">
        <v>0</v>
      </c>
      <c r="CD45" s="105">
        <v>0</v>
      </c>
      <c r="CE45" s="106">
        <v>0</v>
      </c>
      <c r="CF45" s="105">
        <v>0</v>
      </c>
      <c r="CG45" s="106">
        <v>0</v>
      </c>
      <c r="CH45" s="105">
        <v>0</v>
      </c>
      <c r="CI45" s="106">
        <v>0</v>
      </c>
      <c r="CK45" s="78"/>
      <c r="CL45" s="5"/>
      <c r="CM45" s="38" t="str">
        <f t="shared" si="17"/>
        <v>-</v>
      </c>
      <c r="CN45" s="5"/>
      <c r="CO45" s="38" t="str">
        <f t="shared" si="18"/>
        <v>-</v>
      </c>
      <c r="CP45" s="38" t="str">
        <f t="shared" si="19"/>
        <v>-</v>
      </c>
      <c r="CQ45" s="38" t="str">
        <f t="shared" si="20"/>
        <v>-</v>
      </c>
      <c r="CR45" s="38" t="str">
        <f t="shared" si="20"/>
        <v>-</v>
      </c>
      <c r="CS45" s="5"/>
      <c r="CT45" s="38" t="str">
        <f t="shared" si="21"/>
        <v>-</v>
      </c>
      <c r="CU45" s="38" t="str">
        <f t="shared" si="22"/>
        <v>-</v>
      </c>
      <c r="CV45" s="38" t="str">
        <f t="shared" si="23"/>
        <v>-</v>
      </c>
      <c r="CW45" s="38" t="str">
        <f t="shared" si="24"/>
        <v>-</v>
      </c>
    </row>
    <row r="46" spans="2:101" s="113" customFormat="1" ht="12.75" customHeight="1">
      <c r="B46" s="99" t="s">
        <v>58</v>
      </c>
      <c r="C46" s="98" t="s">
        <v>272</v>
      </c>
      <c r="D46" s="114" t="e">
        <f>VLOOKUP($C46,#REF!,5,0)</f>
        <v>#REF!</v>
      </c>
      <c r="E46" s="115" t="e">
        <f>VLOOKUP($C46,#REF!,6,0)</f>
        <v>#REF!</v>
      </c>
      <c r="F46" s="98" t="e">
        <f>VLOOKUP($C46,#REF!,7,0)</f>
        <v>#REF!</v>
      </c>
      <c r="G46" s="98" t="e">
        <f>VLOOKUP($C46,#REF!,8,0)</f>
        <v>#REF!</v>
      </c>
      <c r="H46" s="116" t="e">
        <f>VLOOKUP($C46,#REF!,9,0)</f>
        <v>#REF!</v>
      </c>
      <c r="I46" s="5"/>
      <c r="J46" s="118" t="e">
        <f>VLOOKUP($C46,#REF!,10,0)</f>
        <v>#REF!</v>
      </c>
      <c r="K46" s="119" t="e">
        <f>VLOOKUP($C46,#REF!,11,0)</f>
        <v>#REF!</v>
      </c>
      <c r="L46" s="34"/>
      <c r="M46" s="118" t="e">
        <f>VLOOKUP($C46,#REF!,12,0)</f>
        <v>#REF!</v>
      </c>
      <c r="N46" s="120" t="e">
        <f>VLOOKUP($C46,#REF!,13,0)</f>
        <v>#REF!</v>
      </c>
      <c r="O46" s="118" t="e">
        <f>VLOOKUP($C46,#REF!,14,0)</f>
        <v>#REF!</v>
      </c>
      <c r="P46" s="120" t="e">
        <f>VLOOKUP($C46,#REF!,15,0)</f>
        <v>#REF!</v>
      </c>
      <c r="Q46" s="118" t="e">
        <f>VLOOKUP($C46,#REF!,16,0)</f>
        <v>#REF!</v>
      </c>
      <c r="R46" s="119" t="e">
        <f>VLOOKUP($C46,#REF!,17,0)</f>
        <v>#REF!</v>
      </c>
      <c r="S46" s="120" t="e">
        <f>VLOOKUP($C46,#REF!,18,0)</f>
        <v>#REF!</v>
      </c>
      <c r="T46" s="119" t="e">
        <f>VLOOKUP($C46,#REF!,19,0)</f>
        <v>#REF!</v>
      </c>
      <c r="U46" s="34"/>
      <c r="V46" s="118" t="e">
        <f>VLOOKUP($C46,#REF!,20,0)</f>
        <v>#REF!</v>
      </c>
      <c r="W46" s="120" t="e">
        <f>VLOOKUP($C46,#REF!,21,0)</f>
        <v>#REF!</v>
      </c>
      <c r="X46" s="118" t="e">
        <f>VLOOKUP($C46,#REF!,22,0)</f>
        <v>#REF!</v>
      </c>
      <c r="Y46" s="120" t="e">
        <f>VLOOKUP($C46,#REF!,23,0)</f>
        <v>#REF!</v>
      </c>
      <c r="Z46" s="118" t="e">
        <f>VLOOKUP($C46,#REF!,24,0)</f>
        <v>#REF!</v>
      </c>
      <c r="AA46" s="119" t="e">
        <f>VLOOKUP($C46,#REF!,25,0)</f>
        <v>#REF!</v>
      </c>
      <c r="AB46" s="120" t="e">
        <f>VLOOKUP($C46,#REF!,26,0)</f>
        <v>#REF!</v>
      </c>
      <c r="AC46" s="119" t="e">
        <f>VLOOKUP($C46,#REF!,27,0)</f>
        <v>#REF!</v>
      </c>
      <c r="AD46" s="4"/>
      <c r="AE46" s="118" t="e">
        <f t="shared" si="0"/>
        <v>#REF!</v>
      </c>
      <c r="AF46" s="121" t="s">
        <v>320</v>
      </c>
      <c r="AG46" s="121" t="s">
        <v>321</v>
      </c>
      <c r="AH46" s="119" t="s">
        <v>322</v>
      </c>
      <c r="AI46" s="4"/>
      <c r="AJ46" s="118" t="s">
        <v>323</v>
      </c>
      <c r="AK46" s="121" t="s">
        <v>324</v>
      </c>
      <c r="AL46" s="121" t="s">
        <v>325</v>
      </c>
      <c r="AM46" s="121" t="s">
        <v>326</v>
      </c>
      <c r="AN46" s="121" t="s">
        <v>326</v>
      </c>
      <c r="AO46" s="119" t="s">
        <v>320</v>
      </c>
      <c r="AP46" s="4"/>
      <c r="AQ46" s="122">
        <v>-7</v>
      </c>
      <c r="AR46" s="5"/>
      <c r="AS46" s="118">
        <v>0</v>
      </c>
      <c r="AT46" s="119">
        <v>0</v>
      </c>
      <c r="AU46" s="34"/>
      <c r="AV46" s="118">
        <f t="shared" si="1"/>
        <v>0</v>
      </c>
      <c r="AW46" s="119">
        <f t="shared" si="2"/>
        <v>0</v>
      </c>
      <c r="AX46" s="118">
        <f t="shared" si="3"/>
        <v>0</v>
      </c>
      <c r="AY46" s="119">
        <f t="shared" si="4"/>
        <v>0</v>
      </c>
      <c r="AZ46" s="118">
        <f t="shared" si="5"/>
        <v>0</v>
      </c>
      <c r="BA46" s="119">
        <f t="shared" si="6"/>
        <v>0</v>
      </c>
      <c r="BB46" s="120">
        <f t="shared" si="7"/>
        <v>0</v>
      </c>
      <c r="BC46" s="119">
        <f t="shared" si="8"/>
        <v>0</v>
      </c>
      <c r="BD46" s="34"/>
      <c r="BE46" s="118">
        <f t="shared" si="9"/>
        <v>0</v>
      </c>
      <c r="BF46" s="119">
        <f t="shared" si="10"/>
        <v>0</v>
      </c>
      <c r="BG46" s="118">
        <f t="shared" si="11"/>
        <v>0</v>
      </c>
      <c r="BH46" s="119">
        <f t="shared" si="12"/>
        <v>0</v>
      </c>
      <c r="BI46" s="120">
        <f t="shared" si="13"/>
        <v>0</v>
      </c>
      <c r="BJ46" s="119">
        <f t="shared" si="14"/>
        <v>0</v>
      </c>
      <c r="BK46" s="120">
        <f t="shared" si="15"/>
        <v>0</v>
      </c>
      <c r="BL46" s="119">
        <f t="shared" si="16"/>
        <v>0</v>
      </c>
      <c r="BM46" s="4"/>
      <c r="BN46" s="122">
        <v>0</v>
      </c>
      <c r="BO46" s="117"/>
      <c r="BP46" s="118">
        <v>0</v>
      </c>
      <c r="BQ46" s="119">
        <v>0</v>
      </c>
      <c r="BR46" s="120"/>
      <c r="BS46" s="118">
        <v>0</v>
      </c>
      <c r="BT46" s="119">
        <v>0</v>
      </c>
      <c r="BU46" s="118">
        <v>0</v>
      </c>
      <c r="BV46" s="119">
        <v>0</v>
      </c>
      <c r="BW46" s="118">
        <v>0</v>
      </c>
      <c r="BX46" s="119">
        <v>0</v>
      </c>
      <c r="BY46" s="118">
        <v>0</v>
      </c>
      <c r="BZ46" s="119">
        <v>0</v>
      </c>
      <c r="CA46" s="120"/>
      <c r="CB46" s="118">
        <v>0</v>
      </c>
      <c r="CC46" s="119">
        <v>0</v>
      </c>
      <c r="CD46" s="118">
        <v>0</v>
      </c>
      <c r="CE46" s="119">
        <v>0</v>
      </c>
      <c r="CF46" s="118">
        <v>0</v>
      </c>
      <c r="CG46" s="119">
        <v>0</v>
      </c>
      <c r="CH46" s="118">
        <v>0</v>
      </c>
      <c r="CI46" s="119">
        <v>0</v>
      </c>
      <c r="CJ46" s="4"/>
      <c r="CK46" s="79"/>
      <c r="CL46" s="5"/>
      <c r="CM46" s="39" t="str">
        <f t="shared" si="17"/>
        <v>-</v>
      </c>
      <c r="CN46" s="5"/>
      <c r="CO46" s="39" t="str">
        <f t="shared" si="18"/>
        <v>-</v>
      </c>
      <c r="CP46" s="39" t="str">
        <f t="shared" si="19"/>
        <v>-</v>
      </c>
      <c r="CQ46" s="39" t="str">
        <f t="shared" si="20"/>
        <v>-</v>
      </c>
      <c r="CR46" s="39" t="str">
        <f t="shared" si="20"/>
        <v>-</v>
      </c>
      <c r="CS46" s="5"/>
      <c r="CT46" s="39" t="str">
        <f t="shared" si="21"/>
        <v>-</v>
      </c>
      <c r="CU46" s="39" t="str">
        <f t="shared" si="22"/>
        <v>-</v>
      </c>
      <c r="CV46" s="39" t="str">
        <f t="shared" si="23"/>
        <v>-</v>
      </c>
      <c r="CW46" s="39" t="str">
        <f t="shared" si="24"/>
        <v>-</v>
      </c>
    </row>
    <row r="47" spans="2:101" s="4" customFormat="1" ht="12.75" customHeight="1">
      <c r="B47" s="102" t="s">
        <v>58</v>
      </c>
      <c r="C47" s="103" t="s">
        <v>273</v>
      </c>
      <c r="D47" s="104" t="e">
        <f>VLOOKUP($C47,#REF!,5,0)</f>
        <v>#REF!</v>
      </c>
      <c r="E47" s="109" t="e">
        <f>VLOOKUP($C47,#REF!,6,0)</f>
        <v>#REF!</v>
      </c>
      <c r="F47" s="103" t="e">
        <f>VLOOKUP($C47,#REF!,7,0)</f>
        <v>#REF!</v>
      </c>
      <c r="G47" s="103" t="e">
        <f>VLOOKUP($C47,#REF!,8,0)</f>
        <v>#REF!</v>
      </c>
      <c r="H47" s="110" t="e">
        <f>VLOOKUP($C47,#REF!,9,0)</f>
        <v>#REF!</v>
      </c>
      <c r="I47" s="5"/>
      <c r="J47" s="105" t="e">
        <f>VLOOKUP($C47,#REF!,10,0)</f>
        <v>#REF!</v>
      </c>
      <c r="K47" s="106" t="e">
        <f>VLOOKUP($C47,#REF!,11,0)</f>
        <v>#REF!</v>
      </c>
      <c r="L47" s="34"/>
      <c r="M47" s="105" t="e">
        <f>VLOOKUP($C47,#REF!,12,0)</f>
        <v>#REF!</v>
      </c>
      <c r="N47" s="34" t="e">
        <f>VLOOKUP($C47,#REF!,13,0)</f>
        <v>#REF!</v>
      </c>
      <c r="O47" s="105" t="e">
        <f>VLOOKUP($C47,#REF!,14,0)</f>
        <v>#REF!</v>
      </c>
      <c r="P47" s="34" t="e">
        <f>VLOOKUP($C47,#REF!,15,0)</f>
        <v>#REF!</v>
      </c>
      <c r="Q47" s="105" t="e">
        <f>VLOOKUP($C47,#REF!,16,0)</f>
        <v>#REF!</v>
      </c>
      <c r="R47" s="106" t="e">
        <f>VLOOKUP($C47,#REF!,17,0)</f>
        <v>#REF!</v>
      </c>
      <c r="S47" s="34" t="e">
        <f>VLOOKUP($C47,#REF!,18,0)</f>
        <v>#REF!</v>
      </c>
      <c r="T47" s="106" t="e">
        <f>VLOOKUP($C47,#REF!,19,0)</f>
        <v>#REF!</v>
      </c>
      <c r="U47" s="34"/>
      <c r="V47" s="105" t="e">
        <f>VLOOKUP($C47,#REF!,20,0)</f>
        <v>#REF!</v>
      </c>
      <c r="W47" s="34" t="e">
        <f>VLOOKUP($C47,#REF!,21,0)</f>
        <v>#REF!</v>
      </c>
      <c r="X47" s="105" t="e">
        <f>VLOOKUP($C47,#REF!,22,0)</f>
        <v>#REF!</v>
      </c>
      <c r="Y47" s="34" t="e">
        <f>VLOOKUP($C47,#REF!,23,0)</f>
        <v>#REF!</v>
      </c>
      <c r="Z47" s="105" t="e">
        <f>VLOOKUP($C47,#REF!,24,0)</f>
        <v>#REF!</v>
      </c>
      <c r="AA47" s="106" t="e">
        <f>VLOOKUP($C47,#REF!,25,0)</f>
        <v>#REF!</v>
      </c>
      <c r="AB47" s="34" t="e">
        <f>VLOOKUP($C47,#REF!,26,0)</f>
        <v>#REF!</v>
      </c>
      <c r="AC47" s="106" t="e">
        <f>VLOOKUP($C47,#REF!,27,0)</f>
        <v>#REF!</v>
      </c>
      <c r="AE47" s="105" t="e">
        <f t="shared" si="0"/>
        <v>#REF!</v>
      </c>
      <c r="AF47" s="107" t="s">
        <v>320</v>
      </c>
      <c r="AG47" s="107" t="s">
        <v>321</v>
      </c>
      <c r="AH47" s="106" t="s">
        <v>322</v>
      </c>
      <c r="AJ47" s="105" t="s">
        <v>323</v>
      </c>
      <c r="AK47" s="107" t="s">
        <v>324</v>
      </c>
      <c r="AL47" s="107" t="s">
        <v>325</v>
      </c>
      <c r="AM47" s="107" t="s">
        <v>326</v>
      </c>
      <c r="AN47" s="107" t="s">
        <v>326</v>
      </c>
      <c r="AO47" s="106" t="s">
        <v>320</v>
      </c>
      <c r="AQ47" s="108">
        <v>30</v>
      </c>
      <c r="AR47" s="5"/>
      <c r="AS47" s="105">
        <v>0</v>
      </c>
      <c r="AT47" s="106">
        <v>0</v>
      </c>
      <c r="AU47" s="34"/>
      <c r="AV47" s="105">
        <f t="shared" si="1"/>
        <v>0</v>
      </c>
      <c r="AW47" s="106">
        <f t="shared" si="2"/>
        <v>0</v>
      </c>
      <c r="AX47" s="105">
        <f t="shared" si="3"/>
        <v>0</v>
      </c>
      <c r="AY47" s="106">
        <f t="shared" si="4"/>
        <v>0</v>
      </c>
      <c r="AZ47" s="105">
        <f t="shared" si="5"/>
        <v>0</v>
      </c>
      <c r="BA47" s="106">
        <f t="shared" si="6"/>
        <v>0</v>
      </c>
      <c r="BB47" s="34">
        <f t="shared" si="7"/>
        <v>0</v>
      </c>
      <c r="BC47" s="106">
        <f t="shared" si="8"/>
        <v>0</v>
      </c>
      <c r="BD47" s="34"/>
      <c r="BE47" s="105">
        <f t="shared" si="9"/>
        <v>0</v>
      </c>
      <c r="BF47" s="106">
        <f t="shared" si="10"/>
        <v>0</v>
      </c>
      <c r="BG47" s="105">
        <f t="shared" si="11"/>
        <v>0</v>
      </c>
      <c r="BH47" s="106">
        <f t="shared" si="12"/>
        <v>0</v>
      </c>
      <c r="BI47" s="34">
        <f t="shared" si="13"/>
        <v>0</v>
      </c>
      <c r="BJ47" s="106">
        <f t="shared" si="14"/>
        <v>0</v>
      </c>
      <c r="BK47" s="34">
        <f t="shared" si="15"/>
        <v>0</v>
      </c>
      <c r="BL47" s="106">
        <f t="shared" si="16"/>
        <v>0</v>
      </c>
      <c r="BN47" s="108">
        <v>0</v>
      </c>
      <c r="BO47" s="5"/>
      <c r="BP47" s="105">
        <v>0</v>
      </c>
      <c r="BQ47" s="106">
        <v>0</v>
      </c>
      <c r="BR47" s="34"/>
      <c r="BS47" s="105">
        <v>0</v>
      </c>
      <c r="BT47" s="106">
        <v>0</v>
      </c>
      <c r="BU47" s="105">
        <v>0</v>
      </c>
      <c r="BV47" s="106">
        <v>0</v>
      </c>
      <c r="BW47" s="105">
        <v>0</v>
      </c>
      <c r="BX47" s="106">
        <v>0</v>
      </c>
      <c r="BY47" s="105">
        <v>0</v>
      </c>
      <c r="BZ47" s="106">
        <v>0</v>
      </c>
      <c r="CA47" s="34"/>
      <c r="CB47" s="105">
        <v>0</v>
      </c>
      <c r="CC47" s="106">
        <v>0</v>
      </c>
      <c r="CD47" s="105">
        <v>0</v>
      </c>
      <c r="CE47" s="106">
        <v>0</v>
      </c>
      <c r="CF47" s="105">
        <v>0</v>
      </c>
      <c r="CG47" s="106">
        <v>0</v>
      </c>
      <c r="CH47" s="105">
        <v>0</v>
      </c>
      <c r="CI47" s="106">
        <v>0</v>
      </c>
      <c r="CK47" s="78"/>
      <c r="CL47" s="5"/>
      <c r="CM47" s="38" t="str">
        <f t="shared" si="17"/>
        <v>-</v>
      </c>
      <c r="CN47" s="5"/>
      <c r="CO47" s="38" t="str">
        <f t="shared" si="18"/>
        <v>-</v>
      </c>
      <c r="CP47" s="38" t="str">
        <f t="shared" si="19"/>
        <v>-</v>
      </c>
      <c r="CQ47" s="38" t="str">
        <f t="shared" si="20"/>
        <v>-</v>
      </c>
      <c r="CR47" s="38" t="str">
        <f t="shared" si="20"/>
        <v>-</v>
      </c>
      <c r="CS47" s="5"/>
      <c r="CT47" s="38" t="str">
        <f t="shared" si="21"/>
        <v>-</v>
      </c>
      <c r="CU47" s="38" t="str">
        <f t="shared" si="22"/>
        <v>-</v>
      </c>
      <c r="CV47" s="38" t="str">
        <f t="shared" si="23"/>
        <v>-</v>
      </c>
      <c r="CW47" s="38" t="str">
        <f t="shared" si="24"/>
        <v>-</v>
      </c>
    </row>
    <row r="48" spans="2:101" s="113" customFormat="1" ht="12.75" customHeight="1">
      <c r="B48" s="99" t="s">
        <v>202</v>
      </c>
      <c r="C48" s="98" t="s">
        <v>197</v>
      </c>
      <c r="D48" s="114" t="e">
        <f>VLOOKUP($C48,#REF!,5,0)</f>
        <v>#REF!</v>
      </c>
      <c r="E48" s="115" t="e">
        <f>VLOOKUP($C48,#REF!,6,0)</f>
        <v>#REF!</v>
      </c>
      <c r="F48" s="98" t="e">
        <f>VLOOKUP($C48,#REF!,7,0)</f>
        <v>#REF!</v>
      </c>
      <c r="G48" s="98" t="e">
        <f>VLOOKUP($C48,#REF!,8,0)</f>
        <v>#REF!</v>
      </c>
      <c r="H48" s="116" t="e">
        <f>VLOOKUP($C48,#REF!,9,0)</f>
        <v>#REF!</v>
      </c>
      <c r="I48" s="5"/>
      <c r="J48" s="118" t="e">
        <f>VLOOKUP($C48,#REF!,10,0)</f>
        <v>#REF!</v>
      </c>
      <c r="K48" s="119" t="e">
        <f>VLOOKUP($C48,#REF!,11,0)</f>
        <v>#REF!</v>
      </c>
      <c r="L48" s="34"/>
      <c r="M48" s="118" t="e">
        <f>VLOOKUP($C48,#REF!,12,0)</f>
        <v>#REF!</v>
      </c>
      <c r="N48" s="120" t="e">
        <f>VLOOKUP($C48,#REF!,13,0)</f>
        <v>#REF!</v>
      </c>
      <c r="O48" s="118" t="e">
        <f>VLOOKUP($C48,#REF!,14,0)</f>
        <v>#REF!</v>
      </c>
      <c r="P48" s="120" t="e">
        <f>VLOOKUP($C48,#REF!,15,0)</f>
        <v>#REF!</v>
      </c>
      <c r="Q48" s="118" t="e">
        <f>VLOOKUP($C48,#REF!,16,0)</f>
        <v>#REF!</v>
      </c>
      <c r="R48" s="119" t="e">
        <f>VLOOKUP($C48,#REF!,17,0)</f>
        <v>#REF!</v>
      </c>
      <c r="S48" s="120" t="e">
        <f>VLOOKUP($C48,#REF!,18,0)</f>
        <v>#REF!</v>
      </c>
      <c r="T48" s="119" t="e">
        <f>VLOOKUP($C48,#REF!,19,0)</f>
        <v>#REF!</v>
      </c>
      <c r="U48" s="34"/>
      <c r="V48" s="118" t="e">
        <f>VLOOKUP($C48,#REF!,20,0)</f>
        <v>#REF!</v>
      </c>
      <c r="W48" s="120" t="e">
        <f>VLOOKUP($C48,#REF!,21,0)</f>
        <v>#REF!</v>
      </c>
      <c r="X48" s="118" t="e">
        <f>VLOOKUP($C48,#REF!,22,0)</f>
        <v>#REF!</v>
      </c>
      <c r="Y48" s="120" t="e">
        <f>VLOOKUP($C48,#REF!,23,0)</f>
        <v>#REF!</v>
      </c>
      <c r="Z48" s="118" t="e">
        <f>VLOOKUP($C48,#REF!,24,0)</f>
        <v>#REF!</v>
      </c>
      <c r="AA48" s="119" t="e">
        <f>VLOOKUP($C48,#REF!,25,0)</f>
        <v>#REF!</v>
      </c>
      <c r="AB48" s="120" t="e">
        <f>VLOOKUP($C48,#REF!,26,0)</f>
        <v>#REF!</v>
      </c>
      <c r="AC48" s="119" t="e">
        <f>VLOOKUP($C48,#REF!,27,0)</f>
        <v>#REF!</v>
      </c>
      <c r="AD48" s="4"/>
      <c r="AE48" s="118" t="e">
        <f t="shared" si="0"/>
        <v>#REF!</v>
      </c>
      <c r="AF48" s="121" t="s">
        <v>320</v>
      </c>
      <c r="AG48" s="121" t="s">
        <v>321</v>
      </c>
      <c r="AH48" s="119" t="s">
        <v>322</v>
      </c>
      <c r="AI48" s="4"/>
      <c r="AJ48" s="118" t="s">
        <v>323</v>
      </c>
      <c r="AK48" s="121" t="s">
        <v>324</v>
      </c>
      <c r="AL48" s="121" t="s">
        <v>325</v>
      </c>
      <c r="AM48" s="121" t="s">
        <v>326</v>
      </c>
      <c r="AN48" s="121" t="s">
        <v>326</v>
      </c>
      <c r="AO48" s="119" t="s">
        <v>320</v>
      </c>
      <c r="AP48" s="4"/>
      <c r="AQ48" s="122">
        <v>0</v>
      </c>
      <c r="AR48" s="5"/>
      <c r="AS48" s="118">
        <v>0</v>
      </c>
      <c r="AT48" s="119">
        <v>0</v>
      </c>
      <c r="AU48" s="34"/>
      <c r="AV48" s="118">
        <f t="shared" si="1"/>
        <v>0</v>
      </c>
      <c r="AW48" s="119">
        <f t="shared" si="2"/>
        <v>0</v>
      </c>
      <c r="AX48" s="118">
        <f t="shared" si="3"/>
        <v>0</v>
      </c>
      <c r="AY48" s="119">
        <f t="shared" si="4"/>
        <v>0</v>
      </c>
      <c r="AZ48" s="118">
        <f t="shared" si="5"/>
        <v>0</v>
      </c>
      <c r="BA48" s="119">
        <f t="shared" si="6"/>
        <v>0</v>
      </c>
      <c r="BB48" s="120">
        <f t="shared" si="7"/>
        <v>0</v>
      </c>
      <c r="BC48" s="119">
        <f t="shared" si="8"/>
        <v>0</v>
      </c>
      <c r="BD48" s="34"/>
      <c r="BE48" s="118">
        <f t="shared" si="9"/>
        <v>0</v>
      </c>
      <c r="BF48" s="119">
        <f t="shared" si="10"/>
        <v>0</v>
      </c>
      <c r="BG48" s="118">
        <f t="shared" si="11"/>
        <v>0</v>
      </c>
      <c r="BH48" s="119">
        <f t="shared" si="12"/>
        <v>0</v>
      </c>
      <c r="BI48" s="120">
        <f t="shared" si="13"/>
        <v>0</v>
      </c>
      <c r="BJ48" s="119">
        <f t="shared" si="14"/>
        <v>0</v>
      </c>
      <c r="BK48" s="120">
        <f t="shared" si="15"/>
        <v>0</v>
      </c>
      <c r="BL48" s="119">
        <f t="shared" si="16"/>
        <v>0</v>
      </c>
      <c r="BM48" s="4"/>
      <c r="BN48" s="122">
        <v>0</v>
      </c>
      <c r="BO48" s="117"/>
      <c r="BP48" s="118">
        <v>0</v>
      </c>
      <c r="BQ48" s="119">
        <v>0</v>
      </c>
      <c r="BR48" s="120"/>
      <c r="BS48" s="118">
        <v>0</v>
      </c>
      <c r="BT48" s="119">
        <v>0</v>
      </c>
      <c r="BU48" s="118">
        <v>0</v>
      </c>
      <c r="BV48" s="119">
        <v>0</v>
      </c>
      <c r="BW48" s="118">
        <v>0</v>
      </c>
      <c r="BX48" s="119">
        <v>0</v>
      </c>
      <c r="BY48" s="118">
        <v>0</v>
      </c>
      <c r="BZ48" s="119">
        <v>0</v>
      </c>
      <c r="CA48" s="120"/>
      <c r="CB48" s="118">
        <v>0</v>
      </c>
      <c r="CC48" s="119">
        <v>0</v>
      </c>
      <c r="CD48" s="118">
        <v>0</v>
      </c>
      <c r="CE48" s="119">
        <v>0</v>
      </c>
      <c r="CF48" s="118">
        <v>0</v>
      </c>
      <c r="CG48" s="119">
        <v>0</v>
      </c>
      <c r="CH48" s="118">
        <v>0</v>
      </c>
      <c r="CI48" s="119">
        <v>0</v>
      </c>
      <c r="CJ48" s="4"/>
      <c r="CK48" s="79"/>
      <c r="CL48" s="5"/>
      <c r="CM48" s="39" t="str">
        <f t="shared" si="17"/>
        <v>-</v>
      </c>
      <c r="CN48" s="5"/>
      <c r="CO48" s="39" t="str">
        <f t="shared" si="18"/>
        <v>-</v>
      </c>
      <c r="CP48" s="39" t="str">
        <f t="shared" si="19"/>
        <v>-</v>
      </c>
      <c r="CQ48" s="39" t="str">
        <f t="shared" si="20"/>
        <v>-</v>
      </c>
      <c r="CR48" s="39" t="str">
        <f t="shared" si="20"/>
        <v>-</v>
      </c>
      <c r="CS48" s="5"/>
      <c r="CT48" s="39" t="str">
        <f t="shared" si="21"/>
        <v>-</v>
      </c>
      <c r="CU48" s="39" t="str">
        <f t="shared" si="22"/>
        <v>-</v>
      </c>
      <c r="CV48" s="39" t="str">
        <f t="shared" si="23"/>
        <v>-</v>
      </c>
      <c r="CW48" s="39" t="str">
        <f t="shared" si="24"/>
        <v>-</v>
      </c>
    </row>
    <row r="49" spans="2:101" s="4" customFormat="1" ht="12.75" customHeight="1">
      <c r="B49" s="102" t="s">
        <v>61</v>
      </c>
      <c r="C49" s="103" t="s">
        <v>255</v>
      </c>
      <c r="D49" s="104" t="e">
        <f>VLOOKUP($C49,#REF!,5,0)</f>
        <v>#REF!</v>
      </c>
      <c r="E49" s="109" t="e">
        <f>VLOOKUP($C49,#REF!,6,0)</f>
        <v>#REF!</v>
      </c>
      <c r="F49" s="103" t="e">
        <f>VLOOKUP($C49,#REF!,7,0)</f>
        <v>#REF!</v>
      </c>
      <c r="G49" s="103" t="e">
        <f>VLOOKUP($C49,#REF!,8,0)</f>
        <v>#REF!</v>
      </c>
      <c r="H49" s="110" t="e">
        <f>VLOOKUP($C49,#REF!,9,0)</f>
        <v>#REF!</v>
      </c>
      <c r="I49" s="5"/>
      <c r="J49" s="105" t="e">
        <f>VLOOKUP($C49,#REF!,10,0)</f>
        <v>#REF!</v>
      </c>
      <c r="K49" s="106" t="e">
        <f>VLOOKUP($C49,#REF!,11,0)</f>
        <v>#REF!</v>
      </c>
      <c r="L49" s="34"/>
      <c r="M49" s="105" t="e">
        <f>VLOOKUP($C49,#REF!,12,0)</f>
        <v>#REF!</v>
      </c>
      <c r="N49" s="34" t="e">
        <f>VLOOKUP($C49,#REF!,13,0)</f>
        <v>#REF!</v>
      </c>
      <c r="O49" s="105" t="e">
        <f>VLOOKUP($C49,#REF!,14,0)</f>
        <v>#REF!</v>
      </c>
      <c r="P49" s="34" t="e">
        <f>VLOOKUP($C49,#REF!,15,0)</f>
        <v>#REF!</v>
      </c>
      <c r="Q49" s="105" t="e">
        <f>VLOOKUP($C49,#REF!,16,0)</f>
        <v>#REF!</v>
      </c>
      <c r="R49" s="106" t="e">
        <f>VLOOKUP($C49,#REF!,17,0)</f>
        <v>#REF!</v>
      </c>
      <c r="S49" s="34" t="e">
        <f>VLOOKUP($C49,#REF!,18,0)</f>
        <v>#REF!</v>
      </c>
      <c r="T49" s="106" t="e">
        <f>VLOOKUP($C49,#REF!,19,0)</f>
        <v>#REF!</v>
      </c>
      <c r="U49" s="34"/>
      <c r="V49" s="105" t="e">
        <f>VLOOKUP($C49,#REF!,20,0)</f>
        <v>#REF!</v>
      </c>
      <c r="W49" s="34" t="e">
        <f>VLOOKUP($C49,#REF!,21,0)</f>
        <v>#REF!</v>
      </c>
      <c r="X49" s="105" t="e">
        <f>VLOOKUP($C49,#REF!,22,0)</f>
        <v>#REF!</v>
      </c>
      <c r="Y49" s="34" t="e">
        <f>VLOOKUP($C49,#REF!,23,0)</f>
        <v>#REF!</v>
      </c>
      <c r="Z49" s="105" t="e">
        <f>VLOOKUP($C49,#REF!,24,0)</f>
        <v>#REF!</v>
      </c>
      <c r="AA49" s="106" t="e">
        <f>VLOOKUP($C49,#REF!,25,0)</f>
        <v>#REF!</v>
      </c>
      <c r="AB49" s="34" t="e">
        <f>VLOOKUP($C49,#REF!,26,0)</f>
        <v>#REF!</v>
      </c>
      <c r="AC49" s="106" t="e">
        <f>VLOOKUP($C49,#REF!,27,0)</f>
        <v>#REF!</v>
      </c>
      <c r="AE49" s="105" t="e">
        <f t="shared" si="0"/>
        <v>#REF!</v>
      </c>
      <c r="AF49" s="107" t="s">
        <v>320</v>
      </c>
      <c r="AG49" s="107" t="s">
        <v>321</v>
      </c>
      <c r="AH49" s="106" t="s">
        <v>322</v>
      </c>
      <c r="AJ49" s="105" t="s">
        <v>323</v>
      </c>
      <c r="AK49" s="107" t="s">
        <v>324</v>
      </c>
      <c r="AL49" s="107" t="s">
        <v>325</v>
      </c>
      <c r="AM49" s="107" t="s">
        <v>326</v>
      </c>
      <c r="AN49" s="107" t="s">
        <v>326</v>
      </c>
      <c r="AO49" s="106" t="s">
        <v>320</v>
      </c>
      <c r="AQ49" s="108">
        <v>-33</v>
      </c>
      <c r="AR49" s="5"/>
      <c r="AS49" s="105">
        <v>0</v>
      </c>
      <c r="AT49" s="106">
        <v>0</v>
      </c>
      <c r="AU49" s="34"/>
      <c r="AV49" s="105">
        <f t="shared" si="1"/>
        <v>0</v>
      </c>
      <c r="AW49" s="106">
        <f t="shared" si="2"/>
        <v>0</v>
      </c>
      <c r="AX49" s="105">
        <f t="shared" si="3"/>
        <v>0</v>
      </c>
      <c r="AY49" s="106">
        <f t="shared" si="4"/>
        <v>0</v>
      </c>
      <c r="AZ49" s="105">
        <f t="shared" si="5"/>
        <v>0</v>
      </c>
      <c r="BA49" s="106">
        <f t="shared" si="6"/>
        <v>0</v>
      </c>
      <c r="BB49" s="34">
        <f t="shared" si="7"/>
        <v>0</v>
      </c>
      <c r="BC49" s="106">
        <f t="shared" si="8"/>
        <v>0</v>
      </c>
      <c r="BD49" s="34"/>
      <c r="BE49" s="105">
        <f t="shared" si="9"/>
        <v>0</v>
      </c>
      <c r="BF49" s="106">
        <f t="shared" si="10"/>
        <v>0</v>
      </c>
      <c r="BG49" s="105">
        <f t="shared" si="11"/>
        <v>0</v>
      </c>
      <c r="BH49" s="106">
        <f t="shared" si="12"/>
        <v>0</v>
      </c>
      <c r="BI49" s="34">
        <f t="shared" si="13"/>
        <v>0</v>
      </c>
      <c r="BJ49" s="106">
        <f t="shared" si="14"/>
        <v>0</v>
      </c>
      <c r="BK49" s="34">
        <f t="shared" si="15"/>
        <v>0</v>
      </c>
      <c r="BL49" s="106">
        <f t="shared" si="16"/>
        <v>0</v>
      </c>
      <c r="BN49" s="108">
        <v>33.06</v>
      </c>
      <c r="BO49" s="5"/>
      <c r="BP49" s="105">
        <v>33.06</v>
      </c>
      <c r="BQ49" s="106">
        <v>0</v>
      </c>
      <c r="BR49" s="34"/>
      <c r="BS49" s="105">
        <v>0</v>
      </c>
      <c r="BT49" s="106">
        <v>0</v>
      </c>
      <c r="BU49" s="105">
        <v>0</v>
      </c>
      <c r="BV49" s="106">
        <v>0</v>
      </c>
      <c r="BW49" s="105">
        <v>0</v>
      </c>
      <c r="BX49" s="106">
        <v>0</v>
      </c>
      <c r="BY49" s="105">
        <v>0</v>
      </c>
      <c r="BZ49" s="106">
        <v>0</v>
      </c>
      <c r="CA49" s="34"/>
      <c r="CB49" s="105">
        <v>0</v>
      </c>
      <c r="CC49" s="106">
        <v>0</v>
      </c>
      <c r="CD49" s="105">
        <v>0</v>
      </c>
      <c r="CE49" s="106">
        <v>0</v>
      </c>
      <c r="CF49" s="105">
        <v>0</v>
      </c>
      <c r="CG49" s="106">
        <v>0</v>
      </c>
      <c r="CH49" s="105">
        <v>0</v>
      </c>
      <c r="CI49" s="106">
        <v>0</v>
      </c>
      <c r="CK49" s="78"/>
      <c r="CL49" s="5"/>
      <c r="CM49" s="38" t="str">
        <f t="shared" si="17"/>
        <v>-</v>
      </c>
      <c r="CN49" s="5"/>
      <c r="CO49" s="38" t="str">
        <f t="shared" si="18"/>
        <v>-</v>
      </c>
      <c r="CP49" s="38" t="str">
        <f t="shared" si="19"/>
        <v>-</v>
      </c>
      <c r="CQ49" s="38" t="str">
        <f t="shared" si="20"/>
        <v>-</v>
      </c>
      <c r="CR49" s="38" t="str">
        <f t="shared" si="20"/>
        <v>-</v>
      </c>
      <c r="CS49" s="5"/>
      <c r="CT49" s="38" t="str">
        <f t="shared" si="21"/>
        <v>-</v>
      </c>
      <c r="CU49" s="38" t="str">
        <f t="shared" si="22"/>
        <v>-</v>
      </c>
      <c r="CV49" s="38" t="str">
        <f t="shared" si="23"/>
        <v>-</v>
      </c>
      <c r="CW49" s="38" t="str">
        <f t="shared" si="24"/>
        <v>-</v>
      </c>
    </row>
    <row r="50" spans="2:101" s="113" customFormat="1" ht="12.75" customHeight="1">
      <c r="B50" s="99" t="s">
        <v>106</v>
      </c>
      <c r="C50" s="98" t="s">
        <v>107</v>
      </c>
      <c r="D50" s="114" t="e">
        <f>VLOOKUP($C50,#REF!,5,0)</f>
        <v>#REF!</v>
      </c>
      <c r="E50" s="115" t="e">
        <f>VLOOKUP($C50,#REF!,6,0)</f>
        <v>#REF!</v>
      </c>
      <c r="F50" s="98" t="e">
        <f>VLOOKUP($C50,#REF!,7,0)</f>
        <v>#REF!</v>
      </c>
      <c r="G50" s="98" t="e">
        <f>VLOOKUP($C50,#REF!,8,0)</f>
        <v>#REF!</v>
      </c>
      <c r="H50" s="116" t="e">
        <f>VLOOKUP($C50,#REF!,9,0)</f>
        <v>#REF!</v>
      </c>
      <c r="I50" s="5"/>
      <c r="J50" s="118" t="e">
        <f>VLOOKUP($C50,#REF!,10,0)</f>
        <v>#REF!</v>
      </c>
      <c r="K50" s="119" t="e">
        <f>VLOOKUP($C50,#REF!,11,0)</f>
        <v>#REF!</v>
      </c>
      <c r="L50" s="34"/>
      <c r="M50" s="118" t="e">
        <f>VLOOKUP($C50,#REF!,12,0)</f>
        <v>#REF!</v>
      </c>
      <c r="N50" s="120" t="e">
        <f>VLOOKUP($C50,#REF!,13,0)</f>
        <v>#REF!</v>
      </c>
      <c r="O50" s="118" t="e">
        <f>VLOOKUP($C50,#REF!,14,0)</f>
        <v>#REF!</v>
      </c>
      <c r="P50" s="120" t="e">
        <f>VLOOKUP($C50,#REF!,15,0)</f>
        <v>#REF!</v>
      </c>
      <c r="Q50" s="118" t="e">
        <f>VLOOKUP($C50,#REF!,16,0)</f>
        <v>#REF!</v>
      </c>
      <c r="R50" s="119" t="e">
        <f>VLOOKUP($C50,#REF!,17,0)</f>
        <v>#REF!</v>
      </c>
      <c r="S50" s="120" t="e">
        <f>VLOOKUP($C50,#REF!,18,0)</f>
        <v>#REF!</v>
      </c>
      <c r="T50" s="119" t="e">
        <f>VLOOKUP($C50,#REF!,19,0)</f>
        <v>#REF!</v>
      </c>
      <c r="U50" s="34"/>
      <c r="V50" s="118" t="e">
        <f>VLOOKUP($C50,#REF!,20,0)</f>
        <v>#REF!</v>
      </c>
      <c r="W50" s="120" t="e">
        <f>VLOOKUP($C50,#REF!,21,0)</f>
        <v>#REF!</v>
      </c>
      <c r="X50" s="118" t="e">
        <f>VLOOKUP($C50,#REF!,22,0)</f>
        <v>#REF!</v>
      </c>
      <c r="Y50" s="120" t="e">
        <f>VLOOKUP($C50,#REF!,23,0)</f>
        <v>#REF!</v>
      </c>
      <c r="Z50" s="118" t="e">
        <f>VLOOKUP($C50,#REF!,24,0)</f>
        <v>#REF!</v>
      </c>
      <c r="AA50" s="119" t="e">
        <f>VLOOKUP($C50,#REF!,25,0)</f>
        <v>#REF!</v>
      </c>
      <c r="AB50" s="120" t="e">
        <f>VLOOKUP($C50,#REF!,26,0)</f>
        <v>#REF!</v>
      </c>
      <c r="AC50" s="119" t="e">
        <f>VLOOKUP($C50,#REF!,27,0)</f>
        <v>#REF!</v>
      </c>
      <c r="AD50" s="4"/>
      <c r="AE50" s="118" t="e">
        <f t="shared" si="0"/>
        <v>#REF!</v>
      </c>
      <c r="AF50" s="121" t="s">
        <v>320</v>
      </c>
      <c r="AG50" s="121" t="s">
        <v>321</v>
      </c>
      <c r="AH50" s="119" t="s">
        <v>322</v>
      </c>
      <c r="AI50" s="4"/>
      <c r="AJ50" s="118" t="s">
        <v>323</v>
      </c>
      <c r="AK50" s="121" t="s">
        <v>324</v>
      </c>
      <c r="AL50" s="121" t="s">
        <v>325</v>
      </c>
      <c r="AM50" s="121" t="s">
        <v>326</v>
      </c>
      <c r="AN50" s="121" t="s">
        <v>326</v>
      </c>
      <c r="AO50" s="119" t="s">
        <v>320</v>
      </c>
      <c r="AP50" s="4"/>
      <c r="AQ50" s="122">
        <v>52</v>
      </c>
      <c r="AR50" s="5"/>
      <c r="AS50" s="118">
        <v>0</v>
      </c>
      <c r="AT50" s="119">
        <v>0</v>
      </c>
      <c r="AU50" s="34"/>
      <c r="AV50" s="118">
        <f t="shared" ref="AV50:AV113" si="25">IFERROR(ROUND($D50-M50-AW50,0),0)</f>
        <v>0</v>
      </c>
      <c r="AW50" s="119">
        <f t="shared" ref="AW50:AW113" si="26">IFERROR(N50*$G50,0)</f>
        <v>0</v>
      </c>
      <c r="AX50" s="118">
        <f t="shared" si="3"/>
        <v>0</v>
      </c>
      <c r="AY50" s="119">
        <f t="shared" si="4"/>
        <v>0</v>
      </c>
      <c r="AZ50" s="118">
        <f t="shared" si="5"/>
        <v>0</v>
      </c>
      <c r="BA50" s="119">
        <f t="shared" si="6"/>
        <v>0</v>
      </c>
      <c r="BB50" s="120">
        <f t="shared" si="7"/>
        <v>0</v>
      </c>
      <c r="BC50" s="119">
        <f t="shared" si="8"/>
        <v>0</v>
      </c>
      <c r="BD50" s="34"/>
      <c r="BE50" s="118">
        <f t="shared" si="9"/>
        <v>0</v>
      </c>
      <c r="BF50" s="119">
        <f t="shared" si="10"/>
        <v>0</v>
      </c>
      <c r="BG50" s="118">
        <f t="shared" si="11"/>
        <v>0</v>
      </c>
      <c r="BH50" s="119">
        <f t="shared" si="12"/>
        <v>0</v>
      </c>
      <c r="BI50" s="120">
        <f t="shared" si="13"/>
        <v>0</v>
      </c>
      <c r="BJ50" s="119">
        <f t="shared" si="14"/>
        <v>0</v>
      </c>
      <c r="BK50" s="120">
        <f t="shared" si="15"/>
        <v>0</v>
      </c>
      <c r="BL50" s="119">
        <f t="shared" si="16"/>
        <v>0</v>
      </c>
      <c r="BM50" s="4"/>
      <c r="BN50" s="122">
        <v>0</v>
      </c>
      <c r="BO50" s="117"/>
      <c r="BP50" s="118">
        <v>0</v>
      </c>
      <c r="BQ50" s="119">
        <v>0</v>
      </c>
      <c r="BR50" s="120"/>
      <c r="BS50" s="118">
        <v>0</v>
      </c>
      <c r="BT50" s="119">
        <v>0</v>
      </c>
      <c r="BU50" s="118">
        <v>0</v>
      </c>
      <c r="BV50" s="119">
        <v>0</v>
      </c>
      <c r="BW50" s="118">
        <v>0</v>
      </c>
      <c r="BX50" s="119">
        <v>0</v>
      </c>
      <c r="BY50" s="118">
        <v>0</v>
      </c>
      <c r="BZ50" s="119">
        <v>0</v>
      </c>
      <c r="CA50" s="120"/>
      <c r="CB50" s="118">
        <v>0</v>
      </c>
      <c r="CC50" s="119">
        <v>0</v>
      </c>
      <c r="CD50" s="118">
        <v>0</v>
      </c>
      <c r="CE50" s="119">
        <v>0</v>
      </c>
      <c r="CF50" s="118">
        <v>0</v>
      </c>
      <c r="CG50" s="119">
        <v>0</v>
      </c>
      <c r="CH50" s="118">
        <v>0</v>
      </c>
      <c r="CI50" s="119">
        <v>0</v>
      </c>
      <c r="CJ50" s="4"/>
      <c r="CK50" s="79"/>
      <c r="CL50" s="5"/>
      <c r="CM50" s="39" t="str">
        <f t="shared" si="17"/>
        <v>-</v>
      </c>
      <c r="CN50" s="5"/>
      <c r="CO50" s="39" t="str">
        <f t="shared" si="18"/>
        <v>-</v>
      </c>
      <c r="CP50" s="39" t="str">
        <f t="shared" si="19"/>
        <v>-</v>
      </c>
      <c r="CQ50" s="39" t="str">
        <f t="shared" si="20"/>
        <v>-</v>
      </c>
      <c r="CR50" s="39" t="str">
        <f t="shared" si="20"/>
        <v>-</v>
      </c>
      <c r="CS50" s="5"/>
      <c r="CT50" s="39" t="str">
        <f t="shared" si="21"/>
        <v>-</v>
      </c>
      <c r="CU50" s="39" t="str">
        <f t="shared" si="22"/>
        <v>-</v>
      </c>
      <c r="CV50" s="39" t="str">
        <f t="shared" si="23"/>
        <v>-</v>
      </c>
      <c r="CW50" s="39" t="str">
        <f t="shared" si="24"/>
        <v>-</v>
      </c>
    </row>
    <row r="51" spans="2:101" s="4" customFormat="1" ht="12.75" customHeight="1">
      <c r="B51" s="102" t="s">
        <v>293</v>
      </c>
      <c r="C51" s="103" t="s">
        <v>274</v>
      </c>
      <c r="D51" s="104" t="e">
        <f>VLOOKUP($C51,#REF!,5,0)</f>
        <v>#REF!</v>
      </c>
      <c r="E51" s="109" t="e">
        <f>VLOOKUP($C51,#REF!,6,0)</f>
        <v>#REF!</v>
      </c>
      <c r="F51" s="103" t="e">
        <f>VLOOKUP($C51,#REF!,7,0)</f>
        <v>#REF!</v>
      </c>
      <c r="G51" s="103" t="e">
        <f>VLOOKUP($C51,#REF!,8,0)</f>
        <v>#REF!</v>
      </c>
      <c r="H51" s="110" t="e">
        <f>VLOOKUP($C51,#REF!,9,0)</f>
        <v>#REF!</v>
      </c>
      <c r="I51" s="5"/>
      <c r="J51" s="105" t="e">
        <f>VLOOKUP($C51,#REF!,10,0)</f>
        <v>#REF!</v>
      </c>
      <c r="K51" s="106" t="e">
        <f>VLOOKUP($C51,#REF!,11,0)</f>
        <v>#REF!</v>
      </c>
      <c r="L51" s="34"/>
      <c r="M51" s="105" t="e">
        <f>VLOOKUP($C51,#REF!,12,0)</f>
        <v>#REF!</v>
      </c>
      <c r="N51" s="34" t="e">
        <f>VLOOKUP($C51,#REF!,13,0)</f>
        <v>#REF!</v>
      </c>
      <c r="O51" s="105" t="e">
        <f>VLOOKUP($C51,#REF!,14,0)</f>
        <v>#REF!</v>
      </c>
      <c r="P51" s="34" t="e">
        <f>VLOOKUP($C51,#REF!,15,0)</f>
        <v>#REF!</v>
      </c>
      <c r="Q51" s="105" t="e">
        <f>VLOOKUP($C51,#REF!,16,0)</f>
        <v>#REF!</v>
      </c>
      <c r="R51" s="106" t="e">
        <f>VLOOKUP($C51,#REF!,17,0)</f>
        <v>#REF!</v>
      </c>
      <c r="S51" s="34" t="e">
        <f>VLOOKUP($C51,#REF!,18,0)</f>
        <v>#REF!</v>
      </c>
      <c r="T51" s="106" t="e">
        <f>VLOOKUP($C51,#REF!,19,0)</f>
        <v>#REF!</v>
      </c>
      <c r="U51" s="34"/>
      <c r="V51" s="105" t="e">
        <f>VLOOKUP($C51,#REF!,20,0)</f>
        <v>#REF!</v>
      </c>
      <c r="W51" s="34" t="e">
        <f>VLOOKUP($C51,#REF!,21,0)</f>
        <v>#REF!</v>
      </c>
      <c r="X51" s="105" t="e">
        <f>VLOOKUP($C51,#REF!,22,0)</f>
        <v>#REF!</v>
      </c>
      <c r="Y51" s="34" t="e">
        <f>VLOOKUP($C51,#REF!,23,0)</f>
        <v>#REF!</v>
      </c>
      <c r="Z51" s="105" t="e">
        <f>VLOOKUP($C51,#REF!,24,0)</f>
        <v>#REF!</v>
      </c>
      <c r="AA51" s="106" t="e">
        <f>VLOOKUP($C51,#REF!,25,0)</f>
        <v>#REF!</v>
      </c>
      <c r="AB51" s="34" t="e">
        <f>VLOOKUP($C51,#REF!,26,0)</f>
        <v>#REF!</v>
      </c>
      <c r="AC51" s="106" t="e">
        <f>VLOOKUP($C51,#REF!,27,0)</f>
        <v>#REF!</v>
      </c>
      <c r="AE51" s="105" t="e">
        <f t="shared" si="0"/>
        <v>#REF!</v>
      </c>
      <c r="AF51" s="107" t="s">
        <v>320</v>
      </c>
      <c r="AG51" s="107" t="s">
        <v>321</v>
      </c>
      <c r="AH51" s="106" t="s">
        <v>322</v>
      </c>
      <c r="AJ51" s="105" t="s">
        <v>323</v>
      </c>
      <c r="AK51" s="107" t="s">
        <v>324</v>
      </c>
      <c r="AL51" s="107" t="s">
        <v>325</v>
      </c>
      <c r="AM51" s="107" t="s">
        <v>326</v>
      </c>
      <c r="AN51" s="107" t="s">
        <v>326</v>
      </c>
      <c r="AO51" s="106" t="s">
        <v>320</v>
      </c>
      <c r="AQ51" s="108">
        <v>41</v>
      </c>
      <c r="AR51" s="5"/>
      <c r="AS51" s="105">
        <v>0</v>
      </c>
      <c r="AT51" s="106">
        <v>0</v>
      </c>
      <c r="AU51" s="34"/>
      <c r="AV51" s="105">
        <f t="shared" si="25"/>
        <v>0</v>
      </c>
      <c r="AW51" s="106">
        <f t="shared" si="26"/>
        <v>0</v>
      </c>
      <c r="AX51" s="105">
        <f t="shared" si="3"/>
        <v>0</v>
      </c>
      <c r="AY51" s="106">
        <f t="shared" si="4"/>
        <v>0</v>
      </c>
      <c r="AZ51" s="105">
        <f t="shared" si="5"/>
        <v>0</v>
      </c>
      <c r="BA51" s="106">
        <f t="shared" si="6"/>
        <v>0</v>
      </c>
      <c r="BB51" s="34">
        <f t="shared" si="7"/>
        <v>0</v>
      </c>
      <c r="BC51" s="106">
        <f t="shared" si="8"/>
        <v>0</v>
      </c>
      <c r="BD51" s="34"/>
      <c r="BE51" s="105">
        <f t="shared" si="9"/>
        <v>0</v>
      </c>
      <c r="BF51" s="106">
        <f t="shared" si="10"/>
        <v>0</v>
      </c>
      <c r="BG51" s="105">
        <f t="shared" si="11"/>
        <v>0</v>
      </c>
      <c r="BH51" s="106">
        <f t="shared" si="12"/>
        <v>0</v>
      </c>
      <c r="BI51" s="34">
        <f t="shared" si="13"/>
        <v>0</v>
      </c>
      <c r="BJ51" s="106">
        <f t="shared" si="14"/>
        <v>0</v>
      </c>
      <c r="BK51" s="34">
        <f t="shared" si="15"/>
        <v>0</v>
      </c>
      <c r="BL51" s="106">
        <f t="shared" si="16"/>
        <v>0</v>
      </c>
      <c r="BN51" s="108">
        <v>0</v>
      </c>
      <c r="BO51" s="5"/>
      <c r="BP51" s="105">
        <v>0</v>
      </c>
      <c r="BQ51" s="106">
        <v>0</v>
      </c>
      <c r="BR51" s="34"/>
      <c r="BS51" s="105">
        <v>0</v>
      </c>
      <c r="BT51" s="106">
        <v>0</v>
      </c>
      <c r="BU51" s="105">
        <v>0</v>
      </c>
      <c r="BV51" s="106">
        <v>0</v>
      </c>
      <c r="BW51" s="105">
        <v>0</v>
      </c>
      <c r="BX51" s="106">
        <v>0</v>
      </c>
      <c r="BY51" s="105">
        <v>0</v>
      </c>
      <c r="BZ51" s="106">
        <v>0</v>
      </c>
      <c r="CA51" s="34"/>
      <c r="CB51" s="105">
        <v>0</v>
      </c>
      <c r="CC51" s="106">
        <v>0</v>
      </c>
      <c r="CD51" s="105">
        <v>0</v>
      </c>
      <c r="CE51" s="106">
        <v>0</v>
      </c>
      <c r="CF51" s="105">
        <v>0</v>
      </c>
      <c r="CG51" s="106">
        <v>0</v>
      </c>
      <c r="CH51" s="105">
        <v>0</v>
      </c>
      <c r="CI51" s="106">
        <v>0</v>
      </c>
      <c r="CK51" s="78"/>
      <c r="CL51" s="5"/>
      <c r="CM51" s="38" t="str">
        <f t="shared" si="17"/>
        <v>-</v>
      </c>
      <c r="CN51" s="5"/>
      <c r="CO51" s="38" t="str">
        <f t="shared" si="18"/>
        <v>-</v>
      </c>
      <c r="CP51" s="38" t="str">
        <f t="shared" si="19"/>
        <v>-</v>
      </c>
      <c r="CQ51" s="38" t="str">
        <f t="shared" si="20"/>
        <v>-</v>
      </c>
      <c r="CR51" s="38" t="str">
        <f t="shared" si="20"/>
        <v>-</v>
      </c>
      <c r="CS51" s="5"/>
      <c r="CT51" s="38" t="str">
        <f t="shared" si="21"/>
        <v>-</v>
      </c>
      <c r="CU51" s="38" t="str">
        <f t="shared" si="22"/>
        <v>-</v>
      </c>
      <c r="CV51" s="38" t="str">
        <f t="shared" si="23"/>
        <v>-</v>
      </c>
      <c r="CW51" s="38" t="str">
        <f t="shared" si="24"/>
        <v>-</v>
      </c>
    </row>
    <row r="52" spans="2:101" s="113" customFormat="1" ht="12.75" customHeight="1">
      <c r="B52" s="99" t="s">
        <v>106</v>
      </c>
      <c r="C52" s="98" t="s">
        <v>237</v>
      </c>
      <c r="D52" s="114" t="e">
        <f>VLOOKUP($C52,#REF!,5,0)</f>
        <v>#REF!</v>
      </c>
      <c r="E52" s="115" t="e">
        <f>VLOOKUP($C52,#REF!,6,0)</f>
        <v>#REF!</v>
      </c>
      <c r="F52" s="98" t="e">
        <f>VLOOKUP($C52,#REF!,7,0)</f>
        <v>#REF!</v>
      </c>
      <c r="G52" s="98" t="e">
        <f>VLOOKUP($C52,#REF!,8,0)</f>
        <v>#REF!</v>
      </c>
      <c r="H52" s="116" t="e">
        <f>VLOOKUP($C52,#REF!,9,0)</f>
        <v>#REF!</v>
      </c>
      <c r="I52" s="5"/>
      <c r="J52" s="118" t="e">
        <f>VLOOKUP($C52,#REF!,10,0)</f>
        <v>#REF!</v>
      </c>
      <c r="K52" s="119" t="e">
        <f>VLOOKUP($C52,#REF!,11,0)</f>
        <v>#REF!</v>
      </c>
      <c r="L52" s="34"/>
      <c r="M52" s="118" t="e">
        <f>VLOOKUP($C52,#REF!,12,0)</f>
        <v>#REF!</v>
      </c>
      <c r="N52" s="120" t="e">
        <f>VLOOKUP($C52,#REF!,13,0)</f>
        <v>#REF!</v>
      </c>
      <c r="O52" s="118" t="e">
        <f>VLOOKUP($C52,#REF!,14,0)</f>
        <v>#REF!</v>
      </c>
      <c r="P52" s="120" t="e">
        <f>VLOOKUP($C52,#REF!,15,0)</f>
        <v>#REF!</v>
      </c>
      <c r="Q52" s="118" t="e">
        <f>VLOOKUP($C52,#REF!,16,0)</f>
        <v>#REF!</v>
      </c>
      <c r="R52" s="119" t="e">
        <f>VLOOKUP($C52,#REF!,17,0)</f>
        <v>#REF!</v>
      </c>
      <c r="S52" s="120" t="e">
        <f>VLOOKUP($C52,#REF!,18,0)</f>
        <v>#REF!</v>
      </c>
      <c r="T52" s="119" t="e">
        <f>VLOOKUP($C52,#REF!,19,0)</f>
        <v>#REF!</v>
      </c>
      <c r="U52" s="34"/>
      <c r="V52" s="118" t="e">
        <f>VLOOKUP($C52,#REF!,20,0)</f>
        <v>#REF!</v>
      </c>
      <c r="W52" s="120" t="e">
        <f>VLOOKUP($C52,#REF!,21,0)</f>
        <v>#REF!</v>
      </c>
      <c r="X52" s="118" t="e">
        <f>VLOOKUP($C52,#REF!,22,0)</f>
        <v>#REF!</v>
      </c>
      <c r="Y52" s="120" t="e">
        <f>VLOOKUP($C52,#REF!,23,0)</f>
        <v>#REF!</v>
      </c>
      <c r="Z52" s="118" t="e">
        <f>VLOOKUP($C52,#REF!,24,0)</f>
        <v>#REF!</v>
      </c>
      <c r="AA52" s="119" t="e">
        <f>VLOOKUP($C52,#REF!,25,0)</f>
        <v>#REF!</v>
      </c>
      <c r="AB52" s="120" t="e">
        <f>VLOOKUP($C52,#REF!,26,0)</f>
        <v>#REF!</v>
      </c>
      <c r="AC52" s="119" t="e">
        <f>VLOOKUP($C52,#REF!,27,0)</f>
        <v>#REF!</v>
      </c>
      <c r="AD52" s="4"/>
      <c r="AE52" s="118" t="e">
        <f t="shared" si="0"/>
        <v>#REF!</v>
      </c>
      <c r="AF52" s="121" t="s">
        <v>320</v>
      </c>
      <c r="AG52" s="121" t="s">
        <v>321</v>
      </c>
      <c r="AH52" s="119" t="s">
        <v>322</v>
      </c>
      <c r="AI52" s="4"/>
      <c r="AJ52" s="118" t="s">
        <v>323</v>
      </c>
      <c r="AK52" s="121" t="s">
        <v>324</v>
      </c>
      <c r="AL52" s="121" t="s">
        <v>325</v>
      </c>
      <c r="AM52" s="121" t="s">
        <v>326</v>
      </c>
      <c r="AN52" s="121" t="s">
        <v>326</v>
      </c>
      <c r="AO52" s="119" t="s">
        <v>320</v>
      </c>
      <c r="AP52" s="4"/>
      <c r="AQ52" s="122">
        <v>-33</v>
      </c>
      <c r="AR52" s="5"/>
      <c r="AS52" s="118">
        <v>0</v>
      </c>
      <c r="AT52" s="119">
        <v>0</v>
      </c>
      <c r="AU52" s="34"/>
      <c r="AV52" s="118">
        <f t="shared" si="25"/>
        <v>0</v>
      </c>
      <c r="AW52" s="119">
        <f t="shared" si="26"/>
        <v>0</v>
      </c>
      <c r="AX52" s="118">
        <f t="shared" si="3"/>
        <v>0</v>
      </c>
      <c r="AY52" s="119">
        <f t="shared" si="4"/>
        <v>0</v>
      </c>
      <c r="AZ52" s="118">
        <f t="shared" si="5"/>
        <v>0</v>
      </c>
      <c r="BA52" s="119">
        <f t="shared" si="6"/>
        <v>0</v>
      </c>
      <c r="BB52" s="120">
        <f t="shared" si="7"/>
        <v>0</v>
      </c>
      <c r="BC52" s="119">
        <f t="shared" si="8"/>
        <v>0</v>
      </c>
      <c r="BD52" s="34"/>
      <c r="BE52" s="118">
        <f t="shared" si="9"/>
        <v>0</v>
      </c>
      <c r="BF52" s="119">
        <f t="shared" si="10"/>
        <v>0</v>
      </c>
      <c r="BG52" s="118">
        <f t="shared" si="11"/>
        <v>0</v>
      </c>
      <c r="BH52" s="119">
        <f t="shared" si="12"/>
        <v>0</v>
      </c>
      <c r="BI52" s="120">
        <f t="shared" si="13"/>
        <v>0</v>
      </c>
      <c r="BJ52" s="119">
        <f t="shared" si="14"/>
        <v>0</v>
      </c>
      <c r="BK52" s="120">
        <f t="shared" si="15"/>
        <v>0</v>
      </c>
      <c r="BL52" s="119">
        <f t="shared" si="16"/>
        <v>0</v>
      </c>
      <c r="BM52" s="4"/>
      <c r="BN52" s="122">
        <v>33.06</v>
      </c>
      <c r="BO52" s="117"/>
      <c r="BP52" s="118">
        <v>33.06</v>
      </c>
      <c r="BQ52" s="119">
        <v>0</v>
      </c>
      <c r="BR52" s="120"/>
      <c r="BS52" s="118">
        <v>0</v>
      </c>
      <c r="BT52" s="119">
        <v>0</v>
      </c>
      <c r="BU52" s="118">
        <v>0</v>
      </c>
      <c r="BV52" s="119">
        <v>0</v>
      </c>
      <c r="BW52" s="118">
        <v>0</v>
      </c>
      <c r="BX52" s="119">
        <v>0</v>
      </c>
      <c r="BY52" s="118">
        <v>0</v>
      </c>
      <c r="BZ52" s="119">
        <v>0</v>
      </c>
      <c r="CA52" s="120"/>
      <c r="CB52" s="118">
        <v>0</v>
      </c>
      <c r="CC52" s="119">
        <v>0</v>
      </c>
      <c r="CD52" s="118">
        <v>0</v>
      </c>
      <c r="CE52" s="119">
        <v>0</v>
      </c>
      <c r="CF52" s="118">
        <v>0</v>
      </c>
      <c r="CG52" s="119">
        <v>0</v>
      </c>
      <c r="CH52" s="118">
        <v>0</v>
      </c>
      <c r="CI52" s="119">
        <v>0</v>
      </c>
      <c r="CJ52" s="4"/>
      <c r="CK52" s="79"/>
      <c r="CL52" s="5"/>
      <c r="CM52" s="39" t="str">
        <f t="shared" si="17"/>
        <v>-</v>
      </c>
      <c r="CN52" s="5"/>
      <c r="CO52" s="39" t="str">
        <f t="shared" si="18"/>
        <v>-</v>
      </c>
      <c r="CP52" s="39" t="str">
        <f t="shared" si="19"/>
        <v>-</v>
      </c>
      <c r="CQ52" s="39" t="str">
        <f t="shared" si="20"/>
        <v>-</v>
      </c>
      <c r="CR52" s="39" t="str">
        <f t="shared" si="20"/>
        <v>-</v>
      </c>
      <c r="CS52" s="5"/>
      <c r="CT52" s="39" t="str">
        <f t="shared" si="21"/>
        <v>-</v>
      </c>
      <c r="CU52" s="39" t="str">
        <f t="shared" si="22"/>
        <v>-</v>
      </c>
      <c r="CV52" s="39" t="str">
        <f t="shared" si="23"/>
        <v>-</v>
      </c>
      <c r="CW52" s="39" t="str">
        <f t="shared" si="24"/>
        <v>-</v>
      </c>
    </row>
    <row r="53" spans="2:101" s="4" customFormat="1" ht="12.75" customHeight="1">
      <c r="B53" s="102" t="s">
        <v>106</v>
      </c>
      <c r="C53" s="103" t="s">
        <v>238</v>
      </c>
      <c r="D53" s="104" t="e">
        <f>VLOOKUP($C53,#REF!,5,0)</f>
        <v>#REF!</v>
      </c>
      <c r="E53" s="109" t="e">
        <f>VLOOKUP($C53,#REF!,6,0)</f>
        <v>#REF!</v>
      </c>
      <c r="F53" s="103" t="e">
        <f>VLOOKUP($C53,#REF!,7,0)</f>
        <v>#REF!</v>
      </c>
      <c r="G53" s="103" t="e">
        <f>VLOOKUP($C53,#REF!,8,0)</f>
        <v>#REF!</v>
      </c>
      <c r="H53" s="110" t="e">
        <f>VLOOKUP($C53,#REF!,9,0)</f>
        <v>#REF!</v>
      </c>
      <c r="I53" s="5"/>
      <c r="J53" s="105" t="e">
        <f>VLOOKUP($C53,#REF!,10,0)</f>
        <v>#REF!</v>
      </c>
      <c r="K53" s="106" t="e">
        <f>VLOOKUP($C53,#REF!,11,0)</f>
        <v>#REF!</v>
      </c>
      <c r="L53" s="34"/>
      <c r="M53" s="105" t="e">
        <f>VLOOKUP($C53,#REF!,12,0)</f>
        <v>#REF!</v>
      </c>
      <c r="N53" s="34" t="e">
        <f>VLOOKUP($C53,#REF!,13,0)</f>
        <v>#REF!</v>
      </c>
      <c r="O53" s="105" t="e">
        <f>VLOOKUP($C53,#REF!,14,0)</f>
        <v>#REF!</v>
      </c>
      <c r="P53" s="34" t="e">
        <f>VLOOKUP($C53,#REF!,15,0)</f>
        <v>#REF!</v>
      </c>
      <c r="Q53" s="105" t="e">
        <f>VLOOKUP($C53,#REF!,16,0)</f>
        <v>#REF!</v>
      </c>
      <c r="R53" s="106" t="e">
        <f>VLOOKUP($C53,#REF!,17,0)</f>
        <v>#REF!</v>
      </c>
      <c r="S53" s="34" t="e">
        <f>VLOOKUP($C53,#REF!,18,0)</f>
        <v>#REF!</v>
      </c>
      <c r="T53" s="106" t="e">
        <f>VLOOKUP($C53,#REF!,19,0)</f>
        <v>#REF!</v>
      </c>
      <c r="U53" s="34"/>
      <c r="V53" s="105" t="e">
        <f>VLOOKUP($C53,#REF!,20,0)</f>
        <v>#REF!</v>
      </c>
      <c r="W53" s="34" t="e">
        <f>VLOOKUP($C53,#REF!,21,0)</f>
        <v>#REF!</v>
      </c>
      <c r="X53" s="105" t="e">
        <f>VLOOKUP($C53,#REF!,22,0)</f>
        <v>#REF!</v>
      </c>
      <c r="Y53" s="34" t="e">
        <f>VLOOKUP($C53,#REF!,23,0)</f>
        <v>#REF!</v>
      </c>
      <c r="Z53" s="105" t="e">
        <f>VLOOKUP($C53,#REF!,24,0)</f>
        <v>#REF!</v>
      </c>
      <c r="AA53" s="106" t="e">
        <f>VLOOKUP($C53,#REF!,25,0)</f>
        <v>#REF!</v>
      </c>
      <c r="AB53" s="34" t="e">
        <f>VLOOKUP($C53,#REF!,26,0)</f>
        <v>#REF!</v>
      </c>
      <c r="AC53" s="106" t="e">
        <f>VLOOKUP($C53,#REF!,27,0)</f>
        <v>#REF!</v>
      </c>
      <c r="AE53" s="105" t="e">
        <f t="shared" si="0"/>
        <v>#REF!</v>
      </c>
      <c r="AF53" s="107" t="s">
        <v>320</v>
      </c>
      <c r="AG53" s="107" t="s">
        <v>321</v>
      </c>
      <c r="AH53" s="106" t="s">
        <v>322</v>
      </c>
      <c r="AJ53" s="105" t="s">
        <v>323</v>
      </c>
      <c r="AK53" s="107" t="s">
        <v>324</v>
      </c>
      <c r="AL53" s="107" t="s">
        <v>325</v>
      </c>
      <c r="AM53" s="107" t="s">
        <v>326</v>
      </c>
      <c r="AN53" s="107" t="s">
        <v>326</v>
      </c>
      <c r="AO53" s="106" t="s">
        <v>320</v>
      </c>
      <c r="AQ53" s="108">
        <v>-33</v>
      </c>
      <c r="AR53" s="5"/>
      <c r="AS53" s="105">
        <v>0</v>
      </c>
      <c r="AT53" s="106">
        <v>0</v>
      </c>
      <c r="AU53" s="34"/>
      <c r="AV53" s="105">
        <f t="shared" si="25"/>
        <v>0</v>
      </c>
      <c r="AW53" s="106">
        <f t="shared" si="26"/>
        <v>0</v>
      </c>
      <c r="AX53" s="105">
        <f t="shared" si="3"/>
        <v>0</v>
      </c>
      <c r="AY53" s="106">
        <f t="shared" si="4"/>
        <v>0</v>
      </c>
      <c r="AZ53" s="105">
        <f t="shared" si="5"/>
        <v>0</v>
      </c>
      <c r="BA53" s="106">
        <f t="shared" si="6"/>
        <v>0</v>
      </c>
      <c r="BB53" s="34">
        <f t="shared" si="7"/>
        <v>0</v>
      </c>
      <c r="BC53" s="106">
        <f t="shared" si="8"/>
        <v>0</v>
      </c>
      <c r="BD53" s="34"/>
      <c r="BE53" s="105">
        <f t="shared" si="9"/>
        <v>0</v>
      </c>
      <c r="BF53" s="106">
        <f t="shared" si="10"/>
        <v>0</v>
      </c>
      <c r="BG53" s="105">
        <f t="shared" si="11"/>
        <v>0</v>
      </c>
      <c r="BH53" s="106">
        <f t="shared" si="12"/>
        <v>0</v>
      </c>
      <c r="BI53" s="34">
        <f t="shared" si="13"/>
        <v>0</v>
      </c>
      <c r="BJ53" s="106">
        <f t="shared" si="14"/>
        <v>0</v>
      </c>
      <c r="BK53" s="34">
        <f t="shared" si="15"/>
        <v>0</v>
      </c>
      <c r="BL53" s="106">
        <f t="shared" si="16"/>
        <v>0</v>
      </c>
      <c r="BN53" s="108">
        <v>33.050000000000011</v>
      </c>
      <c r="BO53" s="5"/>
      <c r="BP53" s="105">
        <v>33.050000000000011</v>
      </c>
      <c r="BQ53" s="106">
        <v>0</v>
      </c>
      <c r="BR53" s="34"/>
      <c r="BS53" s="105">
        <v>0</v>
      </c>
      <c r="BT53" s="106">
        <v>0</v>
      </c>
      <c r="BU53" s="105">
        <v>0</v>
      </c>
      <c r="BV53" s="106">
        <v>0</v>
      </c>
      <c r="BW53" s="105">
        <v>0</v>
      </c>
      <c r="BX53" s="106">
        <v>0</v>
      </c>
      <c r="BY53" s="105">
        <v>0</v>
      </c>
      <c r="BZ53" s="106">
        <v>0</v>
      </c>
      <c r="CA53" s="34"/>
      <c r="CB53" s="105">
        <v>0</v>
      </c>
      <c r="CC53" s="106">
        <v>0</v>
      </c>
      <c r="CD53" s="105">
        <v>0</v>
      </c>
      <c r="CE53" s="106">
        <v>0</v>
      </c>
      <c r="CF53" s="105">
        <v>0</v>
      </c>
      <c r="CG53" s="106">
        <v>0</v>
      </c>
      <c r="CH53" s="105">
        <v>0</v>
      </c>
      <c r="CI53" s="106">
        <v>0</v>
      </c>
      <c r="CK53" s="78"/>
      <c r="CL53" s="5"/>
      <c r="CM53" s="38" t="str">
        <f t="shared" si="17"/>
        <v>-</v>
      </c>
      <c r="CN53" s="5"/>
      <c r="CO53" s="38" t="str">
        <f t="shared" si="18"/>
        <v>-</v>
      </c>
      <c r="CP53" s="38" t="str">
        <f t="shared" si="19"/>
        <v>-</v>
      </c>
      <c r="CQ53" s="38" t="str">
        <f t="shared" si="20"/>
        <v>-</v>
      </c>
      <c r="CR53" s="38" t="str">
        <f t="shared" si="20"/>
        <v>-</v>
      </c>
      <c r="CS53" s="5"/>
      <c r="CT53" s="38" t="str">
        <f t="shared" si="21"/>
        <v>-</v>
      </c>
      <c r="CU53" s="38" t="str">
        <f t="shared" si="22"/>
        <v>-</v>
      </c>
      <c r="CV53" s="38" t="str">
        <f t="shared" si="23"/>
        <v>-</v>
      </c>
      <c r="CW53" s="38" t="str">
        <f t="shared" si="24"/>
        <v>-</v>
      </c>
    </row>
    <row r="54" spans="2:101" s="113" customFormat="1" ht="12.75" customHeight="1">
      <c r="B54" s="99" t="s">
        <v>106</v>
      </c>
      <c r="C54" s="98" t="s">
        <v>239</v>
      </c>
      <c r="D54" s="114" t="e">
        <f>VLOOKUP($C54,#REF!,5,0)</f>
        <v>#REF!</v>
      </c>
      <c r="E54" s="115" t="e">
        <f>VLOOKUP($C54,#REF!,6,0)</f>
        <v>#REF!</v>
      </c>
      <c r="F54" s="98" t="e">
        <f>VLOOKUP($C54,#REF!,7,0)</f>
        <v>#REF!</v>
      </c>
      <c r="G54" s="98" t="e">
        <f>VLOOKUP($C54,#REF!,8,0)</f>
        <v>#REF!</v>
      </c>
      <c r="H54" s="116" t="e">
        <f>VLOOKUP($C54,#REF!,9,0)</f>
        <v>#REF!</v>
      </c>
      <c r="I54" s="5"/>
      <c r="J54" s="118" t="e">
        <f>VLOOKUP($C54,#REF!,10,0)</f>
        <v>#REF!</v>
      </c>
      <c r="K54" s="119" t="e">
        <f>VLOOKUP($C54,#REF!,11,0)</f>
        <v>#REF!</v>
      </c>
      <c r="L54" s="34"/>
      <c r="M54" s="118" t="e">
        <f>VLOOKUP($C54,#REF!,12,0)</f>
        <v>#REF!</v>
      </c>
      <c r="N54" s="120" t="e">
        <f>VLOOKUP($C54,#REF!,13,0)</f>
        <v>#REF!</v>
      </c>
      <c r="O54" s="118" t="e">
        <f>VLOOKUP($C54,#REF!,14,0)</f>
        <v>#REF!</v>
      </c>
      <c r="P54" s="120" t="e">
        <f>VLOOKUP($C54,#REF!,15,0)</f>
        <v>#REF!</v>
      </c>
      <c r="Q54" s="118" t="e">
        <f>VLOOKUP($C54,#REF!,16,0)</f>
        <v>#REF!</v>
      </c>
      <c r="R54" s="119" t="e">
        <f>VLOOKUP($C54,#REF!,17,0)</f>
        <v>#REF!</v>
      </c>
      <c r="S54" s="120" t="e">
        <f>VLOOKUP($C54,#REF!,18,0)</f>
        <v>#REF!</v>
      </c>
      <c r="T54" s="119" t="e">
        <f>VLOOKUP($C54,#REF!,19,0)</f>
        <v>#REF!</v>
      </c>
      <c r="U54" s="34"/>
      <c r="V54" s="118" t="e">
        <f>VLOOKUP($C54,#REF!,20,0)</f>
        <v>#REF!</v>
      </c>
      <c r="W54" s="120" t="e">
        <f>VLOOKUP($C54,#REF!,21,0)</f>
        <v>#REF!</v>
      </c>
      <c r="X54" s="118" t="e">
        <f>VLOOKUP($C54,#REF!,22,0)</f>
        <v>#REF!</v>
      </c>
      <c r="Y54" s="120" t="e">
        <f>VLOOKUP($C54,#REF!,23,0)</f>
        <v>#REF!</v>
      </c>
      <c r="Z54" s="118" t="e">
        <f>VLOOKUP($C54,#REF!,24,0)</f>
        <v>#REF!</v>
      </c>
      <c r="AA54" s="119" t="e">
        <f>VLOOKUP($C54,#REF!,25,0)</f>
        <v>#REF!</v>
      </c>
      <c r="AB54" s="120" t="e">
        <f>VLOOKUP($C54,#REF!,26,0)</f>
        <v>#REF!</v>
      </c>
      <c r="AC54" s="119" t="e">
        <f>VLOOKUP($C54,#REF!,27,0)</f>
        <v>#REF!</v>
      </c>
      <c r="AD54" s="4"/>
      <c r="AE54" s="118" t="e">
        <f t="shared" si="0"/>
        <v>#REF!</v>
      </c>
      <c r="AF54" s="121" t="s">
        <v>320</v>
      </c>
      <c r="AG54" s="121" t="s">
        <v>321</v>
      </c>
      <c r="AH54" s="119" t="s">
        <v>322</v>
      </c>
      <c r="AI54" s="4"/>
      <c r="AJ54" s="118" t="s">
        <v>323</v>
      </c>
      <c r="AK54" s="121" t="s">
        <v>324</v>
      </c>
      <c r="AL54" s="121" t="s">
        <v>325</v>
      </c>
      <c r="AM54" s="121" t="s">
        <v>326</v>
      </c>
      <c r="AN54" s="121" t="s">
        <v>326</v>
      </c>
      <c r="AO54" s="119" t="s">
        <v>320</v>
      </c>
      <c r="AP54" s="4"/>
      <c r="AQ54" s="122">
        <v>-24</v>
      </c>
      <c r="AR54" s="5"/>
      <c r="AS54" s="118">
        <v>0</v>
      </c>
      <c r="AT54" s="119">
        <v>0</v>
      </c>
      <c r="AU54" s="34"/>
      <c r="AV54" s="118">
        <f t="shared" si="25"/>
        <v>0</v>
      </c>
      <c r="AW54" s="119">
        <f t="shared" si="26"/>
        <v>0</v>
      </c>
      <c r="AX54" s="118">
        <f t="shared" si="3"/>
        <v>0</v>
      </c>
      <c r="AY54" s="119">
        <f t="shared" si="4"/>
        <v>0</v>
      </c>
      <c r="AZ54" s="118">
        <f t="shared" si="5"/>
        <v>0</v>
      </c>
      <c r="BA54" s="119">
        <f t="shared" si="6"/>
        <v>0</v>
      </c>
      <c r="BB54" s="120">
        <f t="shared" si="7"/>
        <v>0</v>
      </c>
      <c r="BC54" s="119">
        <f t="shared" si="8"/>
        <v>0</v>
      </c>
      <c r="BD54" s="34"/>
      <c r="BE54" s="118">
        <f t="shared" si="9"/>
        <v>0</v>
      </c>
      <c r="BF54" s="119">
        <f t="shared" si="10"/>
        <v>0</v>
      </c>
      <c r="BG54" s="118">
        <f t="shared" si="11"/>
        <v>0</v>
      </c>
      <c r="BH54" s="119">
        <f t="shared" si="12"/>
        <v>0</v>
      </c>
      <c r="BI54" s="120">
        <f t="shared" si="13"/>
        <v>0</v>
      </c>
      <c r="BJ54" s="119">
        <f t="shared" si="14"/>
        <v>0</v>
      </c>
      <c r="BK54" s="120">
        <f t="shared" si="15"/>
        <v>0</v>
      </c>
      <c r="BL54" s="119">
        <f t="shared" si="16"/>
        <v>0</v>
      </c>
      <c r="BM54" s="4"/>
      <c r="BN54" s="122">
        <v>24.79000000000002</v>
      </c>
      <c r="BO54" s="117"/>
      <c r="BP54" s="118">
        <v>24.79000000000002</v>
      </c>
      <c r="BQ54" s="119">
        <v>0</v>
      </c>
      <c r="BR54" s="120"/>
      <c r="BS54" s="118">
        <v>0</v>
      </c>
      <c r="BT54" s="119">
        <v>0</v>
      </c>
      <c r="BU54" s="118">
        <v>0</v>
      </c>
      <c r="BV54" s="119">
        <v>0</v>
      </c>
      <c r="BW54" s="118">
        <v>0</v>
      </c>
      <c r="BX54" s="119">
        <v>0</v>
      </c>
      <c r="BY54" s="118">
        <v>0</v>
      </c>
      <c r="BZ54" s="119">
        <v>0</v>
      </c>
      <c r="CA54" s="120"/>
      <c r="CB54" s="118">
        <v>0</v>
      </c>
      <c r="CC54" s="119">
        <v>0</v>
      </c>
      <c r="CD54" s="118">
        <v>0</v>
      </c>
      <c r="CE54" s="119">
        <v>0</v>
      </c>
      <c r="CF54" s="118">
        <v>0</v>
      </c>
      <c r="CG54" s="119">
        <v>0</v>
      </c>
      <c r="CH54" s="118">
        <v>0</v>
      </c>
      <c r="CI54" s="119">
        <v>0</v>
      </c>
      <c r="CJ54" s="4"/>
      <c r="CK54" s="79"/>
      <c r="CL54" s="5"/>
      <c r="CM54" s="39" t="str">
        <f t="shared" si="17"/>
        <v>-</v>
      </c>
      <c r="CN54" s="5"/>
      <c r="CO54" s="39" t="str">
        <f t="shared" si="18"/>
        <v>-</v>
      </c>
      <c r="CP54" s="39" t="str">
        <f t="shared" si="19"/>
        <v>-</v>
      </c>
      <c r="CQ54" s="39" t="str">
        <f t="shared" si="20"/>
        <v>-</v>
      </c>
      <c r="CR54" s="39" t="str">
        <f t="shared" si="20"/>
        <v>-</v>
      </c>
      <c r="CS54" s="5"/>
      <c r="CT54" s="39" t="str">
        <f t="shared" si="21"/>
        <v>-</v>
      </c>
      <c r="CU54" s="39" t="str">
        <f t="shared" si="22"/>
        <v>-</v>
      </c>
      <c r="CV54" s="39" t="str">
        <f t="shared" si="23"/>
        <v>-</v>
      </c>
      <c r="CW54" s="39" t="str">
        <f t="shared" si="24"/>
        <v>-</v>
      </c>
    </row>
    <row r="55" spans="2:101" s="4" customFormat="1" ht="12.75" customHeight="1">
      <c r="B55" s="102" t="s">
        <v>57</v>
      </c>
      <c r="C55" s="103" t="s">
        <v>137</v>
      </c>
      <c r="D55" s="104" t="e">
        <f>VLOOKUP($C55,#REF!,5,0)</f>
        <v>#REF!</v>
      </c>
      <c r="E55" s="109" t="e">
        <f>VLOOKUP($C55,#REF!,6,0)</f>
        <v>#REF!</v>
      </c>
      <c r="F55" s="103" t="e">
        <f>VLOOKUP($C55,#REF!,7,0)</f>
        <v>#REF!</v>
      </c>
      <c r="G55" s="103" t="e">
        <f>VLOOKUP($C55,#REF!,8,0)</f>
        <v>#REF!</v>
      </c>
      <c r="H55" s="110" t="e">
        <f>VLOOKUP($C55,#REF!,9,0)</f>
        <v>#REF!</v>
      </c>
      <c r="I55" s="5"/>
      <c r="J55" s="105" t="e">
        <f>VLOOKUP($C55,#REF!,10,0)</f>
        <v>#REF!</v>
      </c>
      <c r="K55" s="106" t="e">
        <f>VLOOKUP($C55,#REF!,11,0)</f>
        <v>#REF!</v>
      </c>
      <c r="L55" s="34"/>
      <c r="M55" s="105" t="e">
        <f>VLOOKUP($C55,#REF!,12,0)</f>
        <v>#REF!</v>
      </c>
      <c r="N55" s="34" t="e">
        <f>VLOOKUP($C55,#REF!,13,0)</f>
        <v>#REF!</v>
      </c>
      <c r="O55" s="105" t="e">
        <f>VLOOKUP($C55,#REF!,14,0)</f>
        <v>#REF!</v>
      </c>
      <c r="P55" s="34" t="e">
        <f>VLOOKUP($C55,#REF!,15,0)</f>
        <v>#REF!</v>
      </c>
      <c r="Q55" s="105" t="e">
        <f>VLOOKUP($C55,#REF!,16,0)</f>
        <v>#REF!</v>
      </c>
      <c r="R55" s="106" t="e">
        <f>VLOOKUP($C55,#REF!,17,0)</f>
        <v>#REF!</v>
      </c>
      <c r="S55" s="34" t="e">
        <f>VLOOKUP($C55,#REF!,18,0)</f>
        <v>#REF!</v>
      </c>
      <c r="T55" s="106" t="e">
        <f>VLOOKUP($C55,#REF!,19,0)</f>
        <v>#REF!</v>
      </c>
      <c r="U55" s="34"/>
      <c r="V55" s="105" t="e">
        <f>VLOOKUP($C55,#REF!,20,0)</f>
        <v>#REF!</v>
      </c>
      <c r="W55" s="34" t="e">
        <f>VLOOKUP($C55,#REF!,21,0)</f>
        <v>#REF!</v>
      </c>
      <c r="X55" s="105" t="e">
        <f>VLOOKUP($C55,#REF!,22,0)</f>
        <v>#REF!</v>
      </c>
      <c r="Y55" s="34" t="e">
        <f>VLOOKUP($C55,#REF!,23,0)</f>
        <v>#REF!</v>
      </c>
      <c r="Z55" s="105" t="e">
        <f>VLOOKUP($C55,#REF!,24,0)</f>
        <v>#REF!</v>
      </c>
      <c r="AA55" s="106" t="e">
        <f>VLOOKUP($C55,#REF!,25,0)</f>
        <v>#REF!</v>
      </c>
      <c r="AB55" s="34" t="e">
        <f>VLOOKUP($C55,#REF!,26,0)</f>
        <v>#REF!</v>
      </c>
      <c r="AC55" s="106" t="e">
        <f>VLOOKUP($C55,#REF!,27,0)</f>
        <v>#REF!</v>
      </c>
      <c r="AE55" s="105" t="e">
        <f t="shared" si="0"/>
        <v>#REF!</v>
      </c>
      <c r="AF55" s="107" t="s">
        <v>320</v>
      </c>
      <c r="AG55" s="107" t="s">
        <v>321</v>
      </c>
      <c r="AH55" s="106" t="s">
        <v>322</v>
      </c>
      <c r="AJ55" s="105" t="s">
        <v>323</v>
      </c>
      <c r="AK55" s="107" t="s">
        <v>324</v>
      </c>
      <c r="AL55" s="107" t="s">
        <v>325</v>
      </c>
      <c r="AM55" s="107" t="s">
        <v>326</v>
      </c>
      <c r="AN55" s="107" t="s">
        <v>326</v>
      </c>
      <c r="AO55" s="106" t="s">
        <v>320</v>
      </c>
      <c r="AQ55" s="108">
        <v>-17</v>
      </c>
      <c r="AR55" s="5"/>
      <c r="AS55" s="105">
        <v>0</v>
      </c>
      <c r="AT55" s="106">
        <v>0</v>
      </c>
      <c r="AU55" s="34"/>
      <c r="AV55" s="105">
        <f t="shared" si="25"/>
        <v>0</v>
      </c>
      <c r="AW55" s="106">
        <f t="shared" si="26"/>
        <v>0</v>
      </c>
      <c r="AX55" s="105">
        <f t="shared" si="3"/>
        <v>0</v>
      </c>
      <c r="AY55" s="106">
        <f t="shared" si="4"/>
        <v>0</v>
      </c>
      <c r="AZ55" s="105">
        <f t="shared" si="5"/>
        <v>0</v>
      </c>
      <c r="BA55" s="106">
        <f t="shared" si="6"/>
        <v>0</v>
      </c>
      <c r="BB55" s="34">
        <f t="shared" si="7"/>
        <v>0</v>
      </c>
      <c r="BC55" s="106">
        <f t="shared" si="8"/>
        <v>0</v>
      </c>
      <c r="BD55" s="34"/>
      <c r="BE55" s="105">
        <f t="shared" si="9"/>
        <v>0</v>
      </c>
      <c r="BF55" s="106">
        <f t="shared" si="10"/>
        <v>0</v>
      </c>
      <c r="BG55" s="105">
        <f t="shared" si="11"/>
        <v>0</v>
      </c>
      <c r="BH55" s="106">
        <f t="shared" si="12"/>
        <v>0</v>
      </c>
      <c r="BI55" s="34">
        <f t="shared" si="13"/>
        <v>0</v>
      </c>
      <c r="BJ55" s="106">
        <f t="shared" si="14"/>
        <v>0</v>
      </c>
      <c r="BK55" s="34">
        <f t="shared" si="15"/>
        <v>0</v>
      </c>
      <c r="BL55" s="106">
        <f t="shared" si="16"/>
        <v>0</v>
      </c>
      <c r="BN55" s="108">
        <v>16.529999999999973</v>
      </c>
      <c r="BO55" s="5"/>
      <c r="BP55" s="105">
        <v>16.529999999999973</v>
      </c>
      <c r="BQ55" s="106">
        <v>0</v>
      </c>
      <c r="BR55" s="34"/>
      <c r="BS55" s="105">
        <v>0</v>
      </c>
      <c r="BT55" s="106">
        <v>0</v>
      </c>
      <c r="BU55" s="105">
        <v>0</v>
      </c>
      <c r="BV55" s="106">
        <v>0</v>
      </c>
      <c r="BW55" s="105">
        <v>0</v>
      </c>
      <c r="BX55" s="106">
        <v>0</v>
      </c>
      <c r="BY55" s="105">
        <v>0</v>
      </c>
      <c r="BZ55" s="106">
        <v>0</v>
      </c>
      <c r="CA55" s="34"/>
      <c r="CB55" s="105">
        <v>0</v>
      </c>
      <c r="CC55" s="106">
        <v>0</v>
      </c>
      <c r="CD55" s="105">
        <v>0</v>
      </c>
      <c r="CE55" s="106">
        <v>0</v>
      </c>
      <c r="CF55" s="105">
        <v>0</v>
      </c>
      <c r="CG55" s="106">
        <v>0</v>
      </c>
      <c r="CH55" s="105">
        <v>0</v>
      </c>
      <c r="CI55" s="106">
        <v>0</v>
      </c>
      <c r="CK55" s="78"/>
      <c r="CL55" s="5"/>
      <c r="CM55" s="38" t="str">
        <f t="shared" si="17"/>
        <v>-</v>
      </c>
      <c r="CN55" s="5"/>
      <c r="CO55" s="38" t="str">
        <f t="shared" si="18"/>
        <v>-</v>
      </c>
      <c r="CP55" s="38" t="str">
        <f t="shared" si="19"/>
        <v>-</v>
      </c>
      <c r="CQ55" s="38" t="str">
        <f t="shared" si="20"/>
        <v>-</v>
      </c>
      <c r="CR55" s="38" t="str">
        <f t="shared" si="20"/>
        <v>-</v>
      </c>
      <c r="CS55" s="5"/>
      <c r="CT55" s="38" t="str">
        <f t="shared" si="21"/>
        <v>-</v>
      </c>
      <c r="CU55" s="38" t="str">
        <f t="shared" si="22"/>
        <v>-</v>
      </c>
      <c r="CV55" s="38" t="str">
        <f t="shared" si="23"/>
        <v>-</v>
      </c>
      <c r="CW55" s="38" t="str">
        <f t="shared" si="24"/>
        <v>-</v>
      </c>
    </row>
    <row r="56" spans="2:101" s="113" customFormat="1" ht="12.75" customHeight="1">
      <c r="B56" s="99" t="s">
        <v>57</v>
      </c>
      <c r="C56" s="98" t="s">
        <v>138</v>
      </c>
      <c r="D56" s="114" t="e">
        <f>VLOOKUP($C56,#REF!,5,0)</f>
        <v>#REF!</v>
      </c>
      <c r="E56" s="115" t="e">
        <f>VLOOKUP($C56,#REF!,6,0)</f>
        <v>#REF!</v>
      </c>
      <c r="F56" s="98" t="e">
        <f>VLOOKUP($C56,#REF!,7,0)</f>
        <v>#REF!</v>
      </c>
      <c r="G56" s="98" t="e">
        <f>VLOOKUP($C56,#REF!,8,0)</f>
        <v>#REF!</v>
      </c>
      <c r="H56" s="116" t="e">
        <f>VLOOKUP($C56,#REF!,9,0)</f>
        <v>#REF!</v>
      </c>
      <c r="I56" s="5"/>
      <c r="J56" s="118" t="e">
        <f>VLOOKUP($C56,#REF!,10,0)</f>
        <v>#REF!</v>
      </c>
      <c r="K56" s="119" t="e">
        <f>VLOOKUP($C56,#REF!,11,0)</f>
        <v>#REF!</v>
      </c>
      <c r="L56" s="34"/>
      <c r="M56" s="118" t="e">
        <f>VLOOKUP($C56,#REF!,12,0)</f>
        <v>#REF!</v>
      </c>
      <c r="N56" s="120" t="e">
        <f>VLOOKUP($C56,#REF!,13,0)</f>
        <v>#REF!</v>
      </c>
      <c r="O56" s="118" t="e">
        <f>VLOOKUP($C56,#REF!,14,0)</f>
        <v>#REF!</v>
      </c>
      <c r="P56" s="120" t="e">
        <f>VLOOKUP($C56,#REF!,15,0)</f>
        <v>#REF!</v>
      </c>
      <c r="Q56" s="118" t="e">
        <f>VLOOKUP($C56,#REF!,16,0)</f>
        <v>#REF!</v>
      </c>
      <c r="R56" s="119" t="e">
        <f>VLOOKUP($C56,#REF!,17,0)</f>
        <v>#REF!</v>
      </c>
      <c r="S56" s="120" t="e">
        <f>VLOOKUP($C56,#REF!,18,0)</f>
        <v>#REF!</v>
      </c>
      <c r="T56" s="119" t="e">
        <f>VLOOKUP($C56,#REF!,19,0)</f>
        <v>#REF!</v>
      </c>
      <c r="U56" s="34"/>
      <c r="V56" s="118" t="e">
        <f>VLOOKUP($C56,#REF!,20,0)</f>
        <v>#REF!</v>
      </c>
      <c r="W56" s="120" t="e">
        <f>VLOOKUP($C56,#REF!,21,0)</f>
        <v>#REF!</v>
      </c>
      <c r="X56" s="118" t="e">
        <f>VLOOKUP($C56,#REF!,22,0)</f>
        <v>#REF!</v>
      </c>
      <c r="Y56" s="120" t="e">
        <f>VLOOKUP($C56,#REF!,23,0)</f>
        <v>#REF!</v>
      </c>
      <c r="Z56" s="118" t="e">
        <f>VLOOKUP($C56,#REF!,24,0)</f>
        <v>#REF!</v>
      </c>
      <c r="AA56" s="119" t="e">
        <f>VLOOKUP($C56,#REF!,25,0)</f>
        <v>#REF!</v>
      </c>
      <c r="AB56" s="120" t="e">
        <f>VLOOKUP($C56,#REF!,26,0)</f>
        <v>#REF!</v>
      </c>
      <c r="AC56" s="119" t="e">
        <f>VLOOKUP($C56,#REF!,27,0)</f>
        <v>#REF!</v>
      </c>
      <c r="AD56" s="4"/>
      <c r="AE56" s="118" t="e">
        <f t="shared" si="0"/>
        <v>#REF!</v>
      </c>
      <c r="AF56" s="121" t="s">
        <v>320</v>
      </c>
      <c r="AG56" s="121" t="s">
        <v>321</v>
      </c>
      <c r="AH56" s="119" t="s">
        <v>322</v>
      </c>
      <c r="AI56" s="4"/>
      <c r="AJ56" s="118" t="s">
        <v>323</v>
      </c>
      <c r="AK56" s="121" t="s">
        <v>324</v>
      </c>
      <c r="AL56" s="121" t="s">
        <v>325</v>
      </c>
      <c r="AM56" s="121" t="s">
        <v>326</v>
      </c>
      <c r="AN56" s="121" t="s">
        <v>326</v>
      </c>
      <c r="AO56" s="119" t="s">
        <v>320</v>
      </c>
      <c r="AP56" s="4"/>
      <c r="AQ56" s="122">
        <v>27</v>
      </c>
      <c r="AR56" s="5"/>
      <c r="AS56" s="118">
        <v>0</v>
      </c>
      <c r="AT56" s="119">
        <v>0</v>
      </c>
      <c r="AU56" s="34"/>
      <c r="AV56" s="118">
        <f t="shared" si="25"/>
        <v>0</v>
      </c>
      <c r="AW56" s="119">
        <f t="shared" si="26"/>
        <v>0</v>
      </c>
      <c r="AX56" s="118">
        <f t="shared" si="3"/>
        <v>0</v>
      </c>
      <c r="AY56" s="119">
        <f t="shared" si="4"/>
        <v>0</v>
      </c>
      <c r="AZ56" s="118">
        <f t="shared" si="5"/>
        <v>0</v>
      </c>
      <c r="BA56" s="119">
        <f t="shared" si="6"/>
        <v>0</v>
      </c>
      <c r="BB56" s="120">
        <f t="shared" si="7"/>
        <v>0</v>
      </c>
      <c r="BC56" s="119">
        <f t="shared" si="8"/>
        <v>0</v>
      </c>
      <c r="BD56" s="34"/>
      <c r="BE56" s="118">
        <f t="shared" si="9"/>
        <v>0</v>
      </c>
      <c r="BF56" s="119">
        <f t="shared" si="10"/>
        <v>0</v>
      </c>
      <c r="BG56" s="118">
        <f t="shared" si="11"/>
        <v>0</v>
      </c>
      <c r="BH56" s="119">
        <f t="shared" si="12"/>
        <v>0</v>
      </c>
      <c r="BI56" s="120">
        <f t="shared" si="13"/>
        <v>0</v>
      </c>
      <c r="BJ56" s="119">
        <f t="shared" si="14"/>
        <v>0</v>
      </c>
      <c r="BK56" s="120">
        <f t="shared" si="15"/>
        <v>0</v>
      </c>
      <c r="BL56" s="119">
        <f t="shared" si="16"/>
        <v>0</v>
      </c>
      <c r="BM56" s="4"/>
      <c r="BN56" s="122">
        <v>0</v>
      </c>
      <c r="BO56" s="117"/>
      <c r="BP56" s="118">
        <v>0</v>
      </c>
      <c r="BQ56" s="119">
        <v>0</v>
      </c>
      <c r="BR56" s="120"/>
      <c r="BS56" s="118">
        <v>0</v>
      </c>
      <c r="BT56" s="119">
        <v>0</v>
      </c>
      <c r="BU56" s="118">
        <v>0</v>
      </c>
      <c r="BV56" s="119">
        <v>0</v>
      </c>
      <c r="BW56" s="118">
        <v>0</v>
      </c>
      <c r="BX56" s="119">
        <v>0</v>
      </c>
      <c r="BY56" s="118">
        <v>0</v>
      </c>
      <c r="BZ56" s="119">
        <v>0</v>
      </c>
      <c r="CA56" s="120"/>
      <c r="CB56" s="118">
        <v>0</v>
      </c>
      <c r="CC56" s="119">
        <v>0</v>
      </c>
      <c r="CD56" s="118">
        <v>0</v>
      </c>
      <c r="CE56" s="119">
        <v>0</v>
      </c>
      <c r="CF56" s="118">
        <v>0</v>
      </c>
      <c r="CG56" s="119">
        <v>0</v>
      </c>
      <c r="CH56" s="118">
        <v>0</v>
      </c>
      <c r="CI56" s="119">
        <v>0</v>
      </c>
      <c r="CJ56" s="4"/>
      <c r="CK56" s="79"/>
      <c r="CL56" s="5"/>
      <c r="CM56" s="39" t="str">
        <f t="shared" si="17"/>
        <v>-</v>
      </c>
      <c r="CN56" s="5"/>
      <c r="CO56" s="39" t="str">
        <f t="shared" si="18"/>
        <v>-</v>
      </c>
      <c r="CP56" s="39" t="str">
        <f t="shared" si="19"/>
        <v>-</v>
      </c>
      <c r="CQ56" s="39" t="str">
        <f t="shared" si="20"/>
        <v>-</v>
      </c>
      <c r="CR56" s="39" t="str">
        <f t="shared" si="20"/>
        <v>-</v>
      </c>
      <c r="CS56" s="5"/>
      <c r="CT56" s="39" t="str">
        <f t="shared" si="21"/>
        <v>-</v>
      </c>
      <c r="CU56" s="39" t="str">
        <f t="shared" si="22"/>
        <v>-</v>
      </c>
      <c r="CV56" s="39" t="str">
        <f t="shared" si="23"/>
        <v>-</v>
      </c>
      <c r="CW56" s="39" t="str">
        <f t="shared" si="24"/>
        <v>-</v>
      </c>
    </row>
    <row r="57" spans="2:101" s="4" customFormat="1" ht="12.75" customHeight="1">
      <c r="B57" s="102" t="s">
        <v>57</v>
      </c>
      <c r="C57" s="103" t="s">
        <v>275</v>
      </c>
      <c r="D57" s="104" t="e">
        <f>VLOOKUP($C57,#REF!,5,0)</f>
        <v>#REF!</v>
      </c>
      <c r="E57" s="109" t="e">
        <f>VLOOKUP($C57,#REF!,6,0)</f>
        <v>#REF!</v>
      </c>
      <c r="F57" s="103" t="e">
        <f>VLOOKUP($C57,#REF!,7,0)</f>
        <v>#REF!</v>
      </c>
      <c r="G57" s="103" t="e">
        <f>VLOOKUP($C57,#REF!,8,0)</f>
        <v>#REF!</v>
      </c>
      <c r="H57" s="110" t="e">
        <f>VLOOKUP($C57,#REF!,9,0)</f>
        <v>#REF!</v>
      </c>
      <c r="I57" s="5"/>
      <c r="J57" s="105" t="e">
        <f>VLOOKUP($C57,#REF!,10,0)</f>
        <v>#REF!</v>
      </c>
      <c r="K57" s="106" t="e">
        <f>VLOOKUP($C57,#REF!,11,0)</f>
        <v>#REF!</v>
      </c>
      <c r="L57" s="34"/>
      <c r="M57" s="105" t="e">
        <f>VLOOKUP($C57,#REF!,12,0)</f>
        <v>#REF!</v>
      </c>
      <c r="N57" s="34" t="e">
        <f>VLOOKUP($C57,#REF!,13,0)</f>
        <v>#REF!</v>
      </c>
      <c r="O57" s="105" t="e">
        <f>VLOOKUP($C57,#REF!,14,0)</f>
        <v>#REF!</v>
      </c>
      <c r="P57" s="34" t="e">
        <f>VLOOKUP($C57,#REF!,15,0)</f>
        <v>#REF!</v>
      </c>
      <c r="Q57" s="105" t="e">
        <f>VLOOKUP($C57,#REF!,16,0)</f>
        <v>#REF!</v>
      </c>
      <c r="R57" s="106" t="e">
        <f>VLOOKUP($C57,#REF!,17,0)</f>
        <v>#REF!</v>
      </c>
      <c r="S57" s="34" t="e">
        <f>VLOOKUP($C57,#REF!,18,0)</f>
        <v>#REF!</v>
      </c>
      <c r="T57" s="106" t="e">
        <f>VLOOKUP($C57,#REF!,19,0)</f>
        <v>#REF!</v>
      </c>
      <c r="U57" s="34"/>
      <c r="V57" s="105" t="e">
        <f>VLOOKUP($C57,#REF!,20,0)</f>
        <v>#REF!</v>
      </c>
      <c r="W57" s="34" t="e">
        <f>VLOOKUP($C57,#REF!,21,0)</f>
        <v>#REF!</v>
      </c>
      <c r="X57" s="105" t="e">
        <f>VLOOKUP($C57,#REF!,22,0)</f>
        <v>#REF!</v>
      </c>
      <c r="Y57" s="34" t="e">
        <f>VLOOKUP($C57,#REF!,23,0)</f>
        <v>#REF!</v>
      </c>
      <c r="Z57" s="105" t="e">
        <f>VLOOKUP($C57,#REF!,24,0)</f>
        <v>#REF!</v>
      </c>
      <c r="AA57" s="106" t="e">
        <f>VLOOKUP($C57,#REF!,25,0)</f>
        <v>#REF!</v>
      </c>
      <c r="AB57" s="34" t="e">
        <f>VLOOKUP($C57,#REF!,26,0)</f>
        <v>#REF!</v>
      </c>
      <c r="AC57" s="106" t="e">
        <f>VLOOKUP($C57,#REF!,27,0)</f>
        <v>#REF!</v>
      </c>
      <c r="AE57" s="105" t="e">
        <f t="shared" si="0"/>
        <v>#REF!</v>
      </c>
      <c r="AF57" s="107" t="s">
        <v>320</v>
      </c>
      <c r="AG57" s="107" t="s">
        <v>321</v>
      </c>
      <c r="AH57" s="106" t="s">
        <v>322</v>
      </c>
      <c r="AJ57" s="105" t="s">
        <v>323</v>
      </c>
      <c r="AK57" s="107" t="s">
        <v>324</v>
      </c>
      <c r="AL57" s="107" t="s">
        <v>325</v>
      </c>
      <c r="AM57" s="107" t="s">
        <v>326</v>
      </c>
      <c r="AN57" s="107" t="s">
        <v>326</v>
      </c>
      <c r="AO57" s="106" t="s">
        <v>320</v>
      </c>
      <c r="AQ57" s="108">
        <v>0</v>
      </c>
      <c r="AR57" s="5"/>
      <c r="AS57" s="105">
        <v>0</v>
      </c>
      <c r="AT57" s="106">
        <v>0</v>
      </c>
      <c r="AU57" s="34"/>
      <c r="AV57" s="105">
        <f t="shared" si="25"/>
        <v>0</v>
      </c>
      <c r="AW57" s="106">
        <f t="shared" si="26"/>
        <v>0</v>
      </c>
      <c r="AX57" s="105">
        <f t="shared" si="3"/>
        <v>0</v>
      </c>
      <c r="AY57" s="106">
        <f t="shared" si="4"/>
        <v>0</v>
      </c>
      <c r="AZ57" s="105">
        <f t="shared" si="5"/>
        <v>0</v>
      </c>
      <c r="BA57" s="106">
        <f t="shared" si="6"/>
        <v>0</v>
      </c>
      <c r="BB57" s="34">
        <f t="shared" si="7"/>
        <v>0</v>
      </c>
      <c r="BC57" s="106">
        <f t="shared" si="8"/>
        <v>0</v>
      </c>
      <c r="BD57" s="34"/>
      <c r="BE57" s="105">
        <f t="shared" si="9"/>
        <v>0</v>
      </c>
      <c r="BF57" s="106">
        <f t="shared" si="10"/>
        <v>0</v>
      </c>
      <c r="BG57" s="105">
        <f t="shared" si="11"/>
        <v>0</v>
      </c>
      <c r="BH57" s="106">
        <f t="shared" si="12"/>
        <v>0</v>
      </c>
      <c r="BI57" s="34">
        <f t="shared" si="13"/>
        <v>0</v>
      </c>
      <c r="BJ57" s="106">
        <f t="shared" si="14"/>
        <v>0</v>
      </c>
      <c r="BK57" s="34">
        <f t="shared" si="15"/>
        <v>0</v>
      </c>
      <c r="BL57" s="106">
        <f t="shared" si="16"/>
        <v>0</v>
      </c>
      <c r="BN57" s="108">
        <v>0</v>
      </c>
      <c r="BO57" s="5"/>
      <c r="BP57" s="105">
        <v>0</v>
      </c>
      <c r="BQ57" s="106">
        <v>0</v>
      </c>
      <c r="BR57" s="34"/>
      <c r="BS57" s="105">
        <v>0</v>
      </c>
      <c r="BT57" s="106">
        <v>0</v>
      </c>
      <c r="BU57" s="105">
        <v>0</v>
      </c>
      <c r="BV57" s="106">
        <v>0</v>
      </c>
      <c r="BW57" s="105">
        <v>0</v>
      </c>
      <c r="BX57" s="106">
        <v>0</v>
      </c>
      <c r="BY57" s="105">
        <v>0</v>
      </c>
      <c r="BZ57" s="106">
        <v>0</v>
      </c>
      <c r="CA57" s="34"/>
      <c r="CB57" s="105">
        <v>0</v>
      </c>
      <c r="CC57" s="106">
        <v>0</v>
      </c>
      <c r="CD57" s="105">
        <v>0</v>
      </c>
      <c r="CE57" s="106">
        <v>0</v>
      </c>
      <c r="CF57" s="105">
        <v>0</v>
      </c>
      <c r="CG57" s="106">
        <v>0</v>
      </c>
      <c r="CH57" s="105">
        <v>0</v>
      </c>
      <c r="CI57" s="106">
        <v>0</v>
      </c>
      <c r="CK57" s="78"/>
      <c r="CL57" s="5"/>
      <c r="CM57" s="38" t="str">
        <f t="shared" si="17"/>
        <v>-</v>
      </c>
      <c r="CN57" s="5"/>
      <c r="CO57" s="38" t="str">
        <f t="shared" si="18"/>
        <v>-</v>
      </c>
      <c r="CP57" s="38" t="str">
        <f t="shared" si="19"/>
        <v>-</v>
      </c>
      <c r="CQ57" s="38" t="str">
        <f t="shared" si="20"/>
        <v>-</v>
      </c>
      <c r="CR57" s="38" t="str">
        <f t="shared" si="20"/>
        <v>-</v>
      </c>
      <c r="CS57" s="5"/>
      <c r="CT57" s="38" t="str">
        <f t="shared" si="21"/>
        <v>-</v>
      </c>
      <c r="CU57" s="38" t="str">
        <f t="shared" si="22"/>
        <v>-</v>
      </c>
      <c r="CV57" s="38" t="str">
        <f t="shared" si="23"/>
        <v>-</v>
      </c>
      <c r="CW57" s="38" t="str">
        <f t="shared" si="24"/>
        <v>-</v>
      </c>
    </row>
    <row r="58" spans="2:101" s="113" customFormat="1" ht="12.75" customHeight="1">
      <c r="B58" s="99" t="s">
        <v>57</v>
      </c>
      <c r="C58" s="98" t="s">
        <v>299</v>
      </c>
      <c r="D58" s="114" t="e">
        <f>VLOOKUP($C58,#REF!,5,0)</f>
        <v>#REF!</v>
      </c>
      <c r="E58" s="115" t="e">
        <f>VLOOKUP($C58,#REF!,6,0)</f>
        <v>#REF!</v>
      </c>
      <c r="F58" s="98" t="e">
        <f>VLOOKUP($C58,#REF!,7,0)</f>
        <v>#REF!</v>
      </c>
      <c r="G58" s="98" t="e">
        <f>VLOOKUP($C58,#REF!,8,0)</f>
        <v>#REF!</v>
      </c>
      <c r="H58" s="116" t="e">
        <f>VLOOKUP($C58,#REF!,9,0)</f>
        <v>#REF!</v>
      </c>
      <c r="I58" s="5"/>
      <c r="J58" s="118" t="e">
        <f>VLOOKUP($C58,#REF!,10,0)</f>
        <v>#REF!</v>
      </c>
      <c r="K58" s="119" t="e">
        <f>VLOOKUP($C58,#REF!,11,0)</f>
        <v>#REF!</v>
      </c>
      <c r="L58" s="34"/>
      <c r="M58" s="118" t="e">
        <f>VLOOKUP($C58,#REF!,12,0)</f>
        <v>#REF!</v>
      </c>
      <c r="N58" s="120" t="e">
        <f>VLOOKUP($C58,#REF!,13,0)</f>
        <v>#REF!</v>
      </c>
      <c r="O58" s="118" t="e">
        <f>VLOOKUP($C58,#REF!,14,0)</f>
        <v>#REF!</v>
      </c>
      <c r="P58" s="120" t="e">
        <f>VLOOKUP($C58,#REF!,15,0)</f>
        <v>#REF!</v>
      </c>
      <c r="Q58" s="118" t="e">
        <f>VLOOKUP($C58,#REF!,16,0)</f>
        <v>#REF!</v>
      </c>
      <c r="R58" s="119" t="e">
        <f>VLOOKUP($C58,#REF!,17,0)</f>
        <v>#REF!</v>
      </c>
      <c r="S58" s="120" t="e">
        <f>VLOOKUP($C58,#REF!,18,0)</f>
        <v>#REF!</v>
      </c>
      <c r="T58" s="119" t="e">
        <f>VLOOKUP($C58,#REF!,19,0)</f>
        <v>#REF!</v>
      </c>
      <c r="U58" s="34"/>
      <c r="V58" s="118" t="e">
        <f>VLOOKUP($C58,#REF!,20,0)</f>
        <v>#REF!</v>
      </c>
      <c r="W58" s="120" t="e">
        <f>VLOOKUP($C58,#REF!,21,0)</f>
        <v>#REF!</v>
      </c>
      <c r="X58" s="118" t="e">
        <f>VLOOKUP($C58,#REF!,22,0)</f>
        <v>#REF!</v>
      </c>
      <c r="Y58" s="120" t="e">
        <f>VLOOKUP($C58,#REF!,23,0)</f>
        <v>#REF!</v>
      </c>
      <c r="Z58" s="118" t="e">
        <f>VLOOKUP($C58,#REF!,24,0)</f>
        <v>#REF!</v>
      </c>
      <c r="AA58" s="119" t="e">
        <f>VLOOKUP($C58,#REF!,25,0)</f>
        <v>#REF!</v>
      </c>
      <c r="AB58" s="120" t="e">
        <f>VLOOKUP($C58,#REF!,26,0)</f>
        <v>#REF!</v>
      </c>
      <c r="AC58" s="119" t="e">
        <f>VLOOKUP($C58,#REF!,27,0)</f>
        <v>#REF!</v>
      </c>
      <c r="AD58" s="4"/>
      <c r="AE58" s="118" t="e">
        <f t="shared" si="0"/>
        <v>#REF!</v>
      </c>
      <c r="AF58" s="121" t="s">
        <v>320</v>
      </c>
      <c r="AG58" s="121" t="s">
        <v>321</v>
      </c>
      <c r="AH58" s="119" t="s">
        <v>322</v>
      </c>
      <c r="AI58" s="4"/>
      <c r="AJ58" s="118" t="s">
        <v>323</v>
      </c>
      <c r="AK58" s="121" t="s">
        <v>324</v>
      </c>
      <c r="AL58" s="121" t="s">
        <v>325</v>
      </c>
      <c r="AM58" s="121" t="s">
        <v>326</v>
      </c>
      <c r="AN58" s="121" t="s">
        <v>326</v>
      </c>
      <c r="AO58" s="119" t="s">
        <v>320</v>
      </c>
      <c r="AP58" s="4"/>
      <c r="AQ58" s="122">
        <v>-1</v>
      </c>
      <c r="AR58" s="5"/>
      <c r="AS58" s="118">
        <v>0</v>
      </c>
      <c r="AT58" s="119">
        <v>0</v>
      </c>
      <c r="AU58" s="34"/>
      <c r="AV58" s="118">
        <f t="shared" si="25"/>
        <v>0</v>
      </c>
      <c r="AW58" s="119">
        <f t="shared" si="26"/>
        <v>0</v>
      </c>
      <c r="AX58" s="118">
        <f t="shared" si="3"/>
        <v>0</v>
      </c>
      <c r="AY58" s="119">
        <f t="shared" si="4"/>
        <v>0</v>
      </c>
      <c r="AZ58" s="118">
        <f t="shared" si="5"/>
        <v>0</v>
      </c>
      <c r="BA58" s="119">
        <f t="shared" si="6"/>
        <v>0</v>
      </c>
      <c r="BB58" s="120">
        <f t="shared" si="7"/>
        <v>0</v>
      </c>
      <c r="BC58" s="119">
        <f t="shared" si="8"/>
        <v>0</v>
      </c>
      <c r="BD58" s="34"/>
      <c r="BE58" s="118">
        <f t="shared" si="9"/>
        <v>0</v>
      </c>
      <c r="BF58" s="119">
        <f t="shared" si="10"/>
        <v>0</v>
      </c>
      <c r="BG58" s="118">
        <f t="shared" si="11"/>
        <v>0</v>
      </c>
      <c r="BH58" s="119">
        <f t="shared" si="12"/>
        <v>0</v>
      </c>
      <c r="BI58" s="120">
        <f t="shared" si="13"/>
        <v>0</v>
      </c>
      <c r="BJ58" s="119">
        <f t="shared" si="14"/>
        <v>0</v>
      </c>
      <c r="BK58" s="120">
        <f t="shared" si="15"/>
        <v>0</v>
      </c>
      <c r="BL58" s="119">
        <f t="shared" si="16"/>
        <v>0</v>
      </c>
      <c r="BM58" s="4"/>
      <c r="BN58" s="122">
        <v>0</v>
      </c>
      <c r="BO58" s="117"/>
      <c r="BP58" s="118">
        <v>0</v>
      </c>
      <c r="BQ58" s="119">
        <v>0</v>
      </c>
      <c r="BR58" s="120"/>
      <c r="BS58" s="118">
        <v>0</v>
      </c>
      <c r="BT58" s="119">
        <v>0</v>
      </c>
      <c r="BU58" s="118">
        <v>0</v>
      </c>
      <c r="BV58" s="119">
        <v>0</v>
      </c>
      <c r="BW58" s="118">
        <v>0</v>
      </c>
      <c r="BX58" s="119">
        <v>0</v>
      </c>
      <c r="BY58" s="118">
        <v>0</v>
      </c>
      <c r="BZ58" s="119">
        <v>0</v>
      </c>
      <c r="CA58" s="120"/>
      <c r="CB58" s="118">
        <v>0</v>
      </c>
      <c r="CC58" s="119">
        <v>0</v>
      </c>
      <c r="CD58" s="118">
        <v>0</v>
      </c>
      <c r="CE58" s="119">
        <v>0</v>
      </c>
      <c r="CF58" s="118">
        <v>0</v>
      </c>
      <c r="CG58" s="119">
        <v>0</v>
      </c>
      <c r="CH58" s="118">
        <v>0</v>
      </c>
      <c r="CI58" s="119">
        <v>0</v>
      </c>
      <c r="CJ58" s="4"/>
      <c r="CK58" s="79"/>
      <c r="CL58" s="5"/>
      <c r="CM58" s="39" t="str">
        <f t="shared" si="17"/>
        <v>-</v>
      </c>
      <c r="CN58" s="5"/>
      <c r="CO58" s="39" t="str">
        <f t="shared" si="18"/>
        <v>-</v>
      </c>
      <c r="CP58" s="39" t="str">
        <f t="shared" si="19"/>
        <v>-</v>
      </c>
      <c r="CQ58" s="39" t="str">
        <f t="shared" si="20"/>
        <v>-</v>
      </c>
      <c r="CR58" s="39" t="str">
        <f t="shared" si="20"/>
        <v>-</v>
      </c>
      <c r="CS58" s="5"/>
      <c r="CT58" s="39" t="str">
        <f t="shared" si="21"/>
        <v>-</v>
      </c>
      <c r="CU58" s="39" t="str">
        <f t="shared" si="22"/>
        <v>-</v>
      </c>
      <c r="CV58" s="39" t="str">
        <f t="shared" si="23"/>
        <v>-</v>
      </c>
      <c r="CW58" s="39" t="str">
        <f t="shared" si="24"/>
        <v>-</v>
      </c>
    </row>
    <row r="59" spans="2:101" s="4" customFormat="1" ht="12.75" customHeight="1">
      <c r="B59" s="102" t="s">
        <v>57</v>
      </c>
      <c r="C59" s="103" t="s">
        <v>308</v>
      </c>
      <c r="D59" s="104" t="e">
        <f>VLOOKUP($C59,#REF!,5,0)</f>
        <v>#REF!</v>
      </c>
      <c r="E59" s="109" t="e">
        <f>VLOOKUP($C59,#REF!,6,0)</f>
        <v>#REF!</v>
      </c>
      <c r="F59" s="103" t="e">
        <f>VLOOKUP($C59,#REF!,7,0)</f>
        <v>#REF!</v>
      </c>
      <c r="G59" s="103" t="e">
        <f>VLOOKUP($C59,#REF!,8,0)</f>
        <v>#REF!</v>
      </c>
      <c r="H59" s="110" t="e">
        <f>VLOOKUP($C59,#REF!,9,0)</f>
        <v>#REF!</v>
      </c>
      <c r="I59" s="5"/>
      <c r="J59" s="105" t="e">
        <f>VLOOKUP($C59,#REF!,10,0)</f>
        <v>#REF!</v>
      </c>
      <c r="K59" s="106" t="e">
        <f>VLOOKUP($C59,#REF!,11,0)</f>
        <v>#REF!</v>
      </c>
      <c r="L59" s="34"/>
      <c r="M59" s="105" t="e">
        <f>VLOOKUP($C59,#REF!,12,0)</f>
        <v>#REF!</v>
      </c>
      <c r="N59" s="34" t="e">
        <f>VLOOKUP($C59,#REF!,13,0)</f>
        <v>#REF!</v>
      </c>
      <c r="O59" s="105" t="e">
        <f>VLOOKUP($C59,#REF!,14,0)</f>
        <v>#REF!</v>
      </c>
      <c r="P59" s="34" t="e">
        <f>VLOOKUP($C59,#REF!,15,0)</f>
        <v>#REF!</v>
      </c>
      <c r="Q59" s="105" t="e">
        <f>VLOOKUP($C59,#REF!,16,0)</f>
        <v>#REF!</v>
      </c>
      <c r="R59" s="106" t="e">
        <f>VLOOKUP($C59,#REF!,17,0)</f>
        <v>#REF!</v>
      </c>
      <c r="S59" s="34" t="e">
        <f>VLOOKUP($C59,#REF!,18,0)</f>
        <v>#REF!</v>
      </c>
      <c r="T59" s="106" t="e">
        <f>VLOOKUP($C59,#REF!,19,0)</f>
        <v>#REF!</v>
      </c>
      <c r="U59" s="34"/>
      <c r="V59" s="105" t="e">
        <f>VLOOKUP($C59,#REF!,20,0)</f>
        <v>#REF!</v>
      </c>
      <c r="W59" s="34" t="e">
        <f>VLOOKUP($C59,#REF!,21,0)</f>
        <v>#REF!</v>
      </c>
      <c r="X59" s="105" t="e">
        <f>VLOOKUP($C59,#REF!,22,0)</f>
        <v>#REF!</v>
      </c>
      <c r="Y59" s="34" t="e">
        <f>VLOOKUP($C59,#REF!,23,0)</f>
        <v>#REF!</v>
      </c>
      <c r="Z59" s="105" t="e">
        <f>VLOOKUP($C59,#REF!,24,0)</f>
        <v>#REF!</v>
      </c>
      <c r="AA59" s="106" t="e">
        <f>VLOOKUP($C59,#REF!,25,0)</f>
        <v>#REF!</v>
      </c>
      <c r="AB59" s="34" t="e">
        <f>VLOOKUP($C59,#REF!,26,0)</f>
        <v>#REF!</v>
      </c>
      <c r="AC59" s="106" t="e">
        <f>VLOOKUP($C59,#REF!,27,0)</f>
        <v>#REF!</v>
      </c>
      <c r="AE59" s="105" t="e">
        <f t="shared" si="0"/>
        <v>#REF!</v>
      </c>
      <c r="AF59" s="107" t="s">
        <v>320</v>
      </c>
      <c r="AG59" s="107" t="s">
        <v>321</v>
      </c>
      <c r="AH59" s="106" t="s">
        <v>322</v>
      </c>
      <c r="AJ59" s="105" t="s">
        <v>323</v>
      </c>
      <c r="AK59" s="107" t="s">
        <v>324</v>
      </c>
      <c r="AL59" s="107" t="s">
        <v>325</v>
      </c>
      <c r="AM59" s="107" t="s">
        <v>326</v>
      </c>
      <c r="AN59" s="107" t="s">
        <v>326</v>
      </c>
      <c r="AO59" s="106" t="s">
        <v>320</v>
      </c>
      <c r="AQ59" s="108">
        <v>6</v>
      </c>
      <c r="AR59" s="5"/>
      <c r="AS59" s="105">
        <v>0</v>
      </c>
      <c r="AT59" s="106">
        <v>0</v>
      </c>
      <c r="AU59" s="34"/>
      <c r="AV59" s="105">
        <f t="shared" si="25"/>
        <v>0</v>
      </c>
      <c r="AW59" s="106">
        <f t="shared" si="26"/>
        <v>0</v>
      </c>
      <c r="AX59" s="105">
        <f t="shared" si="3"/>
        <v>0</v>
      </c>
      <c r="AY59" s="106">
        <f t="shared" si="4"/>
        <v>0</v>
      </c>
      <c r="AZ59" s="105">
        <f t="shared" si="5"/>
        <v>0</v>
      </c>
      <c r="BA59" s="106">
        <f t="shared" si="6"/>
        <v>0</v>
      </c>
      <c r="BB59" s="34">
        <f t="shared" si="7"/>
        <v>0</v>
      </c>
      <c r="BC59" s="106">
        <f t="shared" si="8"/>
        <v>0</v>
      </c>
      <c r="BD59" s="34"/>
      <c r="BE59" s="105">
        <f t="shared" si="9"/>
        <v>0</v>
      </c>
      <c r="BF59" s="106">
        <f t="shared" si="10"/>
        <v>0</v>
      </c>
      <c r="BG59" s="105">
        <f t="shared" si="11"/>
        <v>0</v>
      </c>
      <c r="BH59" s="106">
        <f t="shared" si="12"/>
        <v>0</v>
      </c>
      <c r="BI59" s="34">
        <f t="shared" si="13"/>
        <v>0</v>
      </c>
      <c r="BJ59" s="106">
        <f t="shared" si="14"/>
        <v>0</v>
      </c>
      <c r="BK59" s="34">
        <f t="shared" si="15"/>
        <v>0</v>
      </c>
      <c r="BL59" s="106">
        <f t="shared" si="16"/>
        <v>0</v>
      </c>
      <c r="BN59" s="108">
        <v>0</v>
      </c>
      <c r="BO59" s="5"/>
      <c r="BP59" s="105">
        <v>0</v>
      </c>
      <c r="BQ59" s="106">
        <v>0</v>
      </c>
      <c r="BR59" s="34"/>
      <c r="BS59" s="105">
        <v>0</v>
      </c>
      <c r="BT59" s="106">
        <v>0</v>
      </c>
      <c r="BU59" s="105">
        <v>0</v>
      </c>
      <c r="BV59" s="106">
        <v>0</v>
      </c>
      <c r="BW59" s="105">
        <v>0</v>
      </c>
      <c r="BX59" s="106">
        <v>0</v>
      </c>
      <c r="BY59" s="105">
        <v>0</v>
      </c>
      <c r="BZ59" s="106">
        <v>0</v>
      </c>
      <c r="CA59" s="34"/>
      <c r="CB59" s="105">
        <v>0</v>
      </c>
      <c r="CC59" s="106">
        <v>0</v>
      </c>
      <c r="CD59" s="105">
        <v>0</v>
      </c>
      <c r="CE59" s="106">
        <v>0</v>
      </c>
      <c r="CF59" s="105">
        <v>0</v>
      </c>
      <c r="CG59" s="106">
        <v>0</v>
      </c>
      <c r="CH59" s="105">
        <v>0</v>
      </c>
      <c r="CI59" s="106">
        <v>0</v>
      </c>
      <c r="CK59" s="78"/>
      <c r="CL59" s="5"/>
      <c r="CM59" s="38" t="str">
        <f t="shared" si="17"/>
        <v>-</v>
      </c>
      <c r="CN59" s="5"/>
      <c r="CO59" s="38" t="str">
        <f t="shared" si="18"/>
        <v>-</v>
      </c>
      <c r="CP59" s="38" t="str">
        <f t="shared" si="19"/>
        <v>-</v>
      </c>
      <c r="CQ59" s="38" t="str">
        <f t="shared" si="20"/>
        <v>-</v>
      </c>
      <c r="CR59" s="38" t="str">
        <f t="shared" si="20"/>
        <v>-</v>
      </c>
      <c r="CS59" s="5"/>
      <c r="CT59" s="38" t="str">
        <f t="shared" si="21"/>
        <v>-</v>
      </c>
      <c r="CU59" s="38" t="str">
        <f t="shared" si="22"/>
        <v>-</v>
      </c>
      <c r="CV59" s="38" t="str">
        <f t="shared" si="23"/>
        <v>-</v>
      </c>
      <c r="CW59" s="38" t="str">
        <f t="shared" si="24"/>
        <v>-</v>
      </c>
    </row>
    <row r="60" spans="2:101" s="113" customFormat="1" ht="12.75" customHeight="1">
      <c r="B60" s="99" t="s">
        <v>57</v>
      </c>
      <c r="C60" s="98" t="s">
        <v>276</v>
      </c>
      <c r="D60" s="114" t="e">
        <f>VLOOKUP($C60,#REF!,5,0)</f>
        <v>#REF!</v>
      </c>
      <c r="E60" s="115" t="e">
        <f>VLOOKUP($C60,#REF!,6,0)</f>
        <v>#REF!</v>
      </c>
      <c r="F60" s="98" t="e">
        <f>VLOOKUP($C60,#REF!,7,0)</f>
        <v>#REF!</v>
      </c>
      <c r="G60" s="98" t="e">
        <f>VLOOKUP($C60,#REF!,8,0)</f>
        <v>#REF!</v>
      </c>
      <c r="H60" s="116" t="e">
        <f>VLOOKUP($C60,#REF!,9,0)</f>
        <v>#REF!</v>
      </c>
      <c r="I60" s="5"/>
      <c r="J60" s="118" t="e">
        <f>VLOOKUP($C60,#REF!,10,0)</f>
        <v>#REF!</v>
      </c>
      <c r="K60" s="119" t="e">
        <f>VLOOKUP($C60,#REF!,11,0)</f>
        <v>#REF!</v>
      </c>
      <c r="L60" s="34"/>
      <c r="M60" s="118" t="e">
        <f>VLOOKUP($C60,#REF!,12,0)</f>
        <v>#REF!</v>
      </c>
      <c r="N60" s="120" t="e">
        <f>VLOOKUP($C60,#REF!,13,0)</f>
        <v>#REF!</v>
      </c>
      <c r="O60" s="118" t="e">
        <f>VLOOKUP($C60,#REF!,14,0)</f>
        <v>#REF!</v>
      </c>
      <c r="P60" s="120" t="e">
        <f>VLOOKUP($C60,#REF!,15,0)</f>
        <v>#REF!</v>
      </c>
      <c r="Q60" s="118" t="e">
        <f>VLOOKUP($C60,#REF!,16,0)</f>
        <v>#REF!</v>
      </c>
      <c r="R60" s="119" t="e">
        <f>VLOOKUP($C60,#REF!,17,0)</f>
        <v>#REF!</v>
      </c>
      <c r="S60" s="120" t="e">
        <f>VLOOKUP($C60,#REF!,18,0)</f>
        <v>#REF!</v>
      </c>
      <c r="T60" s="119" t="e">
        <f>VLOOKUP($C60,#REF!,19,0)</f>
        <v>#REF!</v>
      </c>
      <c r="U60" s="34"/>
      <c r="V60" s="118" t="e">
        <f>VLOOKUP($C60,#REF!,20,0)</f>
        <v>#REF!</v>
      </c>
      <c r="W60" s="120" t="e">
        <f>VLOOKUP($C60,#REF!,21,0)</f>
        <v>#REF!</v>
      </c>
      <c r="X60" s="118" t="e">
        <f>VLOOKUP($C60,#REF!,22,0)</f>
        <v>#REF!</v>
      </c>
      <c r="Y60" s="120" t="e">
        <f>VLOOKUP($C60,#REF!,23,0)</f>
        <v>#REF!</v>
      </c>
      <c r="Z60" s="118" t="e">
        <f>VLOOKUP($C60,#REF!,24,0)</f>
        <v>#REF!</v>
      </c>
      <c r="AA60" s="119" t="e">
        <f>VLOOKUP($C60,#REF!,25,0)</f>
        <v>#REF!</v>
      </c>
      <c r="AB60" s="120" t="e">
        <f>VLOOKUP($C60,#REF!,26,0)</f>
        <v>#REF!</v>
      </c>
      <c r="AC60" s="119" t="e">
        <f>VLOOKUP($C60,#REF!,27,0)</f>
        <v>#REF!</v>
      </c>
      <c r="AD60" s="4"/>
      <c r="AE60" s="118" t="e">
        <f t="shared" si="0"/>
        <v>#REF!</v>
      </c>
      <c r="AF60" s="121" t="s">
        <v>320</v>
      </c>
      <c r="AG60" s="121" t="s">
        <v>321</v>
      </c>
      <c r="AH60" s="119" t="s">
        <v>322</v>
      </c>
      <c r="AI60" s="4"/>
      <c r="AJ60" s="118" t="s">
        <v>323</v>
      </c>
      <c r="AK60" s="121" t="s">
        <v>324</v>
      </c>
      <c r="AL60" s="121" t="s">
        <v>325</v>
      </c>
      <c r="AM60" s="121" t="s">
        <v>326</v>
      </c>
      <c r="AN60" s="121" t="s">
        <v>326</v>
      </c>
      <c r="AO60" s="119" t="s">
        <v>320</v>
      </c>
      <c r="AP60" s="4"/>
      <c r="AQ60" s="122"/>
      <c r="AR60" s="5"/>
      <c r="AS60" s="118">
        <v>0</v>
      </c>
      <c r="AT60" s="119">
        <v>0</v>
      </c>
      <c r="AU60" s="34"/>
      <c r="AV60" s="118">
        <f t="shared" si="25"/>
        <v>0</v>
      </c>
      <c r="AW60" s="119">
        <f t="shared" si="26"/>
        <v>0</v>
      </c>
      <c r="AX60" s="118">
        <f t="shared" si="3"/>
        <v>0</v>
      </c>
      <c r="AY60" s="119">
        <f t="shared" si="4"/>
        <v>0</v>
      </c>
      <c r="AZ60" s="118">
        <f t="shared" si="5"/>
        <v>0</v>
      </c>
      <c r="BA60" s="119">
        <f t="shared" si="6"/>
        <v>0</v>
      </c>
      <c r="BB60" s="120">
        <f t="shared" si="7"/>
        <v>0</v>
      </c>
      <c r="BC60" s="119">
        <f t="shared" si="8"/>
        <v>0</v>
      </c>
      <c r="BD60" s="34"/>
      <c r="BE60" s="118">
        <f t="shared" si="9"/>
        <v>0</v>
      </c>
      <c r="BF60" s="119">
        <f t="shared" si="10"/>
        <v>0</v>
      </c>
      <c r="BG60" s="118">
        <f t="shared" si="11"/>
        <v>0</v>
      </c>
      <c r="BH60" s="119">
        <f t="shared" si="12"/>
        <v>0</v>
      </c>
      <c r="BI60" s="120">
        <f t="shared" si="13"/>
        <v>0</v>
      </c>
      <c r="BJ60" s="119">
        <f t="shared" si="14"/>
        <v>0</v>
      </c>
      <c r="BK60" s="120">
        <f t="shared" si="15"/>
        <v>0</v>
      </c>
      <c r="BL60" s="119">
        <f t="shared" si="16"/>
        <v>0</v>
      </c>
      <c r="BM60" s="4"/>
      <c r="BN60" s="122"/>
      <c r="BO60" s="117"/>
      <c r="BP60" s="118"/>
      <c r="BQ60" s="119"/>
      <c r="BR60" s="120"/>
      <c r="BS60" s="118"/>
      <c r="BT60" s="119"/>
      <c r="BU60" s="118"/>
      <c r="BV60" s="119"/>
      <c r="BW60" s="118"/>
      <c r="BX60" s="119"/>
      <c r="BY60" s="118"/>
      <c r="BZ60" s="119"/>
      <c r="CA60" s="120"/>
      <c r="CB60" s="118"/>
      <c r="CC60" s="119"/>
      <c r="CD60" s="118"/>
      <c r="CE60" s="119"/>
      <c r="CF60" s="118"/>
      <c r="CG60" s="119"/>
      <c r="CH60" s="118"/>
      <c r="CI60" s="119"/>
      <c r="CJ60" s="4"/>
      <c r="CK60" s="79"/>
      <c r="CL60" s="5"/>
      <c r="CM60" s="39" t="str">
        <f t="shared" si="17"/>
        <v>-</v>
      </c>
      <c r="CN60" s="5"/>
      <c r="CO60" s="39" t="str">
        <f t="shared" si="18"/>
        <v>-</v>
      </c>
      <c r="CP60" s="39" t="str">
        <f t="shared" si="19"/>
        <v>-</v>
      </c>
      <c r="CQ60" s="39" t="str">
        <f t="shared" si="20"/>
        <v>-</v>
      </c>
      <c r="CR60" s="39" t="str">
        <f t="shared" si="20"/>
        <v>-</v>
      </c>
      <c r="CS60" s="5"/>
      <c r="CT60" s="39" t="str">
        <f t="shared" si="21"/>
        <v>-</v>
      </c>
      <c r="CU60" s="39" t="str">
        <f t="shared" si="22"/>
        <v>-</v>
      </c>
      <c r="CV60" s="39" t="str">
        <f t="shared" si="23"/>
        <v>-</v>
      </c>
      <c r="CW60" s="39" t="str">
        <f t="shared" si="24"/>
        <v>-</v>
      </c>
    </row>
    <row r="61" spans="2:101" s="4" customFormat="1" ht="12.75" customHeight="1">
      <c r="B61" s="102" t="s">
        <v>57</v>
      </c>
      <c r="C61" s="103" t="s">
        <v>108</v>
      </c>
      <c r="D61" s="104" t="e">
        <f>VLOOKUP($C61,#REF!,5,0)</f>
        <v>#REF!</v>
      </c>
      <c r="E61" s="109" t="e">
        <f>VLOOKUP($C61,#REF!,6,0)</f>
        <v>#REF!</v>
      </c>
      <c r="F61" s="103" t="e">
        <f>VLOOKUP($C61,#REF!,7,0)</f>
        <v>#REF!</v>
      </c>
      <c r="G61" s="103" t="e">
        <f>VLOOKUP($C61,#REF!,8,0)</f>
        <v>#REF!</v>
      </c>
      <c r="H61" s="110" t="e">
        <f>VLOOKUP($C61,#REF!,9,0)</f>
        <v>#REF!</v>
      </c>
      <c r="I61" s="5"/>
      <c r="J61" s="105" t="e">
        <f>VLOOKUP($C61,#REF!,10,0)</f>
        <v>#REF!</v>
      </c>
      <c r="K61" s="106" t="e">
        <f>VLOOKUP($C61,#REF!,11,0)</f>
        <v>#REF!</v>
      </c>
      <c r="L61" s="34"/>
      <c r="M61" s="105" t="e">
        <f>VLOOKUP($C61,#REF!,12,0)</f>
        <v>#REF!</v>
      </c>
      <c r="N61" s="34" t="e">
        <f>VLOOKUP($C61,#REF!,13,0)</f>
        <v>#REF!</v>
      </c>
      <c r="O61" s="105" t="e">
        <f>VLOOKUP($C61,#REF!,14,0)</f>
        <v>#REF!</v>
      </c>
      <c r="P61" s="34" t="e">
        <f>VLOOKUP($C61,#REF!,15,0)</f>
        <v>#REF!</v>
      </c>
      <c r="Q61" s="105" t="e">
        <f>VLOOKUP($C61,#REF!,16,0)</f>
        <v>#REF!</v>
      </c>
      <c r="R61" s="106" t="e">
        <f>VLOOKUP($C61,#REF!,17,0)</f>
        <v>#REF!</v>
      </c>
      <c r="S61" s="34" t="e">
        <f>VLOOKUP($C61,#REF!,18,0)</f>
        <v>#REF!</v>
      </c>
      <c r="T61" s="106" t="e">
        <f>VLOOKUP($C61,#REF!,19,0)</f>
        <v>#REF!</v>
      </c>
      <c r="U61" s="34"/>
      <c r="V61" s="105" t="e">
        <f>VLOOKUP($C61,#REF!,20,0)</f>
        <v>#REF!</v>
      </c>
      <c r="W61" s="34" t="e">
        <f>VLOOKUP($C61,#REF!,21,0)</f>
        <v>#REF!</v>
      </c>
      <c r="X61" s="105" t="e">
        <f>VLOOKUP($C61,#REF!,22,0)</f>
        <v>#REF!</v>
      </c>
      <c r="Y61" s="34" t="e">
        <f>VLOOKUP($C61,#REF!,23,0)</f>
        <v>#REF!</v>
      </c>
      <c r="Z61" s="105" t="e">
        <f>VLOOKUP($C61,#REF!,24,0)</f>
        <v>#REF!</v>
      </c>
      <c r="AA61" s="106" t="e">
        <f>VLOOKUP($C61,#REF!,25,0)</f>
        <v>#REF!</v>
      </c>
      <c r="AB61" s="34" t="e">
        <f>VLOOKUP($C61,#REF!,26,0)</f>
        <v>#REF!</v>
      </c>
      <c r="AC61" s="106" t="e">
        <f>VLOOKUP($C61,#REF!,27,0)</f>
        <v>#REF!</v>
      </c>
      <c r="AE61" s="105" t="e">
        <f t="shared" si="0"/>
        <v>#REF!</v>
      </c>
      <c r="AF61" s="107" t="s">
        <v>320</v>
      </c>
      <c r="AG61" s="107" t="s">
        <v>321</v>
      </c>
      <c r="AH61" s="106" t="s">
        <v>322</v>
      </c>
      <c r="AJ61" s="105" t="s">
        <v>323</v>
      </c>
      <c r="AK61" s="107" t="s">
        <v>324</v>
      </c>
      <c r="AL61" s="107" t="s">
        <v>325</v>
      </c>
      <c r="AM61" s="107" t="s">
        <v>326</v>
      </c>
      <c r="AN61" s="107" t="s">
        <v>326</v>
      </c>
      <c r="AO61" s="106" t="s">
        <v>320</v>
      </c>
      <c r="AQ61" s="108">
        <v>0</v>
      </c>
      <c r="AR61" s="5"/>
      <c r="AS61" s="105">
        <v>0</v>
      </c>
      <c r="AT61" s="106">
        <v>0</v>
      </c>
      <c r="AU61" s="34"/>
      <c r="AV61" s="105">
        <f t="shared" si="25"/>
        <v>0</v>
      </c>
      <c r="AW61" s="106">
        <f t="shared" si="26"/>
        <v>0</v>
      </c>
      <c r="AX61" s="105">
        <f t="shared" si="3"/>
        <v>0</v>
      </c>
      <c r="AY61" s="106">
        <f t="shared" si="4"/>
        <v>0</v>
      </c>
      <c r="AZ61" s="105">
        <f t="shared" si="5"/>
        <v>0</v>
      </c>
      <c r="BA61" s="106">
        <f t="shared" si="6"/>
        <v>0</v>
      </c>
      <c r="BB61" s="34">
        <f t="shared" si="7"/>
        <v>0</v>
      </c>
      <c r="BC61" s="106">
        <f t="shared" si="8"/>
        <v>0</v>
      </c>
      <c r="BD61" s="34"/>
      <c r="BE61" s="105">
        <f t="shared" si="9"/>
        <v>0</v>
      </c>
      <c r="BF61" s="106">
        <f t="shared" si="10"/>
        <v>0</v>
      </c>
      <c r="BG61" s="105">
        <f t="shared" si="11"/>
        <v>0</v>
      </c>
      <c r="BH61" s="106">
        <f t="shared" si="12"/>
        <v>0</v>
      </c>
      <c r="BI61" s="34">
        <f t="shared" si="13"/>
        <v>0</v>
      </c>
      <c r="BJ61" s="106">
        <f t="shared" si="14"/>
        <v>0</v>
      </c>
      <c r="BK61" s="34">
        <f t="shared" si="15"/>
        <v>0</v>
      </c>
      <c r="BL61" s="106">
        <f t="shared" si="16"/>
        <v>0</v>
      </c>
      <c r="BN61" s="108">
        <v>0</v>
      </c>
      <c r="BO61" s="5"/>
      <c r="BP61" s="105">
        <v>0</v>
      </c>
      <c r="BQ61" s="106">
        <v>0</v>
      </c>
      <c r="BR61" s="34"/>
      <c r="BS61" s="105">
        <v>0</v>
      </c>
      <c r="BT61" s="106">
        <v>0</v>
      </c>
      <c r="BU61" s="105">
        <v>0</v>
      </c>
      <c r="BV61" s="106">
        <v>0</v>
      </c>
      <c r="BW61" s="105">
        <v>0</v>
      </c>
      <c r="BX61" s="106">
        <v>0</v>
      </c>
      <c r="BY61" s="105">
        <v>0</v>
      </c>
      <c r="BZ61" s="106">
        <v>0</v>
      </c>
      <c r="CA61" s="34"/>
      <c r="CB61" s="105">
        <v>0</v>
      </c>
      <c r="CC61" s="106">
        <v>0</v>
      </c>
      <c r="CD61" s="105">
        <v>0</v>
      </c>
      <c r="CE61" s="106">
        <v>0</v>
      </c>
      <c r="CF61" s="105">
        <v>0</v>
      </c>
      <c r="CG61" s="106">
        <v>0</v>
      </c>
      <c r="CH61" s="105">
        <v>0</v>
      </c>
      <c r="CI61" s="106">
        <v>0</v>
      </c>
      <c r="CK61" s="78"/>
      <c r="CL61" s="5"/>
      <c r="CM61" s="38" t="str">
        <f t="shared" si="17"/>
        <v>-</v>
      </c>
      <c r="CN61" s="5"/>
      <c r="CO61" s="38" t="str">
        <f t="shared" si="18"/>
        <v>-</v>
      </c>
      <c r="CP61" s="38" t="str">
        <f t="shared" si="19"/>
        <v>-</v>
      </c>
      <c r="CQ61" s="38" t="str">
        <f t="shared" si="20"/>
        <v>-</v>
      </c>
      <c r="CR61" s="38" t="str">
        <f t="shared" si="20"/>
        <v>-</v>
      </c>
      <c r="CS61" s="5"/>
      <c r="CT61" s="38" t="str">
        <f t="shared" si="21"/>
        <v>-</v>
      </c>
      <c r="CU61" s="38" t="str">
        <f t="shared" si="22"/>
        <v>-</v>
      </c>
      <c r="CV61" s="38" t="str">
        <f t="shared" si="23"/>
        <v>-</v>
      </c>
      <c r="CW61" s="38" t="str">
        <f t="shared" si="24"/>
        <v>-</v>
      </c>
    </row>
    <row r="62" spans="2:101" s="113" customFormat="1" ht="12.75" customHeight="1">
      <c r="B62" s="99" t="s">
        <v>57</v>
      </c>
      <c r="C62" s="98" t="s">
        <v>109</v>
      </c>
      <c r="D62" s="114" t="e">
        <f>VLOOKUP($C62,#REF!,5,0)</f>
        <v>#REF!</v>
      </c>
      <c r="E62" s="115" t="e">
        <f>VLOOKUP($C62,#REF!,6,0)</f>
        <v>#REF!</v>
      </c>
      <c r="F62" s="98" t="e">
        <f>VLOOKUP($C62,#REF!,7,0)</f>
        <v>#REF!</v>
      </c>
      <c r="G62" s="98" t="e">
        <f>VLOOKUP($C62,#REF!,8,0)</f>
        <v>#REF!</v>
      </c>
      <c r="H62" s="116" t="e">
        <f>VLOOKUP($C62,#REF!,9,0)</f>
        <v>#REF!</v>
      </c>
      <c r="I62" s="5"/>
      <c r="J62" s="118" t="e">
        <f>VLOOKUP($C62,#REF!,10,0)</f>
        <v>#REF!</v>
      </c>
      <c r="K62" s="119" t="e">
        <f>VLOOKUP($C62,#REF!,11,0)</f>
        <v>#REF!</v>
      </c>
      <c r="L62" s="34"/>
      <c r="M62" s="118" t="e">
        <f>VLOOKUP($C62,#REF!,12,0)</f>
        <v>#REF!</v>
      </c>
      <c r="N62" s="120" t="e">
        <f>VLOOKUP($C62,#REF!,13,0)</f>
        <v>#REF!</v>
      </c>
      <c r="O62" s="118" t="e">
        <f>VLOOKUP($C62,#REF!,14,0)</f>
        <v>#REF!</v>
      </c>
      <c r="P62" s="120" t="e">
        <f>VLOOKUP($C62,#REF!,15,0)</f>
        <v>#REF!</v>
      </c>
      <c r="Q62" s="118" t="e">
        <f>VLOOKUP($C62,#REF!,16,0)</f>
        <v>#REF!</v>
      </c>
      <c r="R62" s="119" t="e">
        <f>VLOOKUP($C62,#REF!,17,0)</f>
        <v>#REF!</v>
      </c>
      <c r="S62" s="120" t="e">
        <f>VLOOKUP($C62,#REF!,18,0)</f>
        <v>#REF!</v>
      </c>
      <c r="T62" s="119" t="e">
        <f>VLOOKUP($C62,#REF!,19,0)</f>
        <v>#REF!</v>
      </c>
      <c r="U62" s="34"/>
      <c r="V62" s="118" t="e">
        <f>VLOOKUP($C62,#REF!,20,0)</f>
        <v>#REF!</v>
      </c>
      <c r="W62" s="120" t="e">
        <f>VLOOKUP($C62,#REF!,21,0)</f>
        <v>#REF!</v>
      </c>
      <c r="X62" s="118" t="e">
        <f>VLOOKUP($C62,#REF!,22,0)</f>
        <v>#REF!</v>
      </c>
      <c r="Y62" s="120" t="e">
        <f>VLOOKUP($C62,#REF!,23,0)</f>
        <v>#REF!</v>
      </c>
      <c r="Z62" s="118" t="e">
        <f>VLOOKUP($C62,#REF!,24,0)</f>
        <v>#REF!</v>
      </c>
      <c r="AA62" s="119" t="e">
        <f>VLOOKUP($C62,#REF!,25,0)</f>
        <v>#REF!</v>
      </c>
      <c r="AB62" s="120" t="e">
        <f>VLOOKUP($C62,#REF!,26,0)</f>
        <v>#REF!</v>
      </c>
      <c r="AC62" s="119" t="e">
        <f>VLOOKUP($C62,#REF!,27,0)</f>
        <v>#REF!</v>
      </c>
      <c r="AD62" s="4"/>
      <c r="AE62" s="118" t="e">
        <f t="shared" si="0"/>
        <v>#REF!</v>
      </c>
      <c r="AF62" s="121" t="s">
        <v>320</v>
      </c>
      <c r="AG62" s="121" t="s">
        <v>321</v>
      </c>
      <c r="AH62" s="119" t="s">
        <v>322</v>
      </c>
      <c r="AI62" s="4"/>
      <c r="AJ62" s="118" t="s">
        <v>323</v>
      </c>
      <c r="AK62" s="121" t="s">
        <v>324</v>
      </c>
      <c r="AL62" s="121" t="s">
        <v>325</v>
      </c>
      <c r="AM62" s="121" t="s">
        <v>326</v>
      </c>
      <c r="AN62" s="121" t="s">
        <v>326</v>
      </c>
      <c r="AO62" s="119" t="s">
        <v>320</v>
      </c>
      <c r="AP62" s="4"/>
      <c r="AQ62" s="122">
        <v>0</v>
      </c>
      <c r="AR62" s="5"/>
      <c r="AS62" s="118">
        <v>0</v>
      </c>
      <c r="AT62" s="119">
        <v>0</v>
      </c>
      <c r="AU62" s="34"/>
      <c r="AV62" s="118">
        <f t="shared" si="25"/>
        <v>0</v>
      </c>
      <c r="AW62" s="119">
        <f t="shared" si="26"/>
        <v>0</v>
      </c>
      <c r="AX62" s="118">
        <f t="shared" si="3"/>
        <v>0</v>
      </c>
      <c r="AY62" s="119">
        <f t="shared" si="4"/>
        <v>0</v>
      </c>
      <c r="AZ62" s="118">
        <f t="shared" si="5"/>
        <v>0</v>
      </c>
      <c r="BA62" s="119">
        <f t="shared" si="6"/>
        <v>0</v>
      </c>
      <c r="BB62" s="120">
        <f t="shared" si="7"/>
        <v>0</v>
      </c>
      <c r="BC62" s="119">
        <f t="shared" si="8"/>
        <v>0</v>
      </c>
      <c r="BD62" s="34"/>
      <c r="BE62" s="118">
        <f t="shared" si="9"/>
        <v>0</v>
      </c>
      <c r="BF62" s="119">
        <f t="shared" si="10"/>
        <v>0</v>
      </c>
      <c r="BG62" s="118">
        <f t="shared" si="11"/>
        <v>0</v>
      </c>
      <c r="BH62" s="119">
        <f t="shared" si="12"/>
        <v>0</v>
      </c>
      <c r="BI62" s="120">
        <f t="shared" si="13"/>
        <v>0</v>
      </c>
      <c r="BJ62" s="119">
        <f t="shared" si="14"/>
        <v>0</v>
      </c>
      <c r="BK62" s="120">
        <f t="shared" si="15"/>
        <v>0</v>
      </c>
      <c r="BL62" s="119">
        <f t="shared" si="16"/>
        <v>0</v>
      </c>
      <c r="BM62" s="4"/>
      <c r="BN62" s="122">
        <v>0</v>
      </c>
      <c r="BO62" s="117"/>
      <c r="BP62" s="118">
        <v>0</v>
      </c>
      <c r="BQ62" s="119">
        <v>0</v>
      </c>
      <c r="BR62" s="120"/>
      <c r="BS62" s="118">
        <v>0</v>
      </c>
      <c r="BT62" s="119">
        <v>0</v>
      </c>
      <c r="BU62" s="118">
        <v>0</v>
      </c>
      <c r="BV62" s="119">
        <v>0</v>
      </c>
      <c r="BW62" s="118">
        <v>0</v>
      </c>
      <c r="BX62" s="119">
        <v>0</v>
      </c>
      <c r="BY62" s="118">
        <v>0</v>
      </c>
      <c r="BZ62" s="119">
        <v>0</v>
      </c>
      <c r="CA62" s="120"/>
      <c r="CB62" s="118">
        <v>0</v>
      </c>
      <c r="CC62" s="119">
        <v>0</v>
      </c>
      <c r="CD62" s="118">
        <v>0</v>
      </c>
      <c r="CE62" s="119">
        <v>0</v>
      </c>
      <c r="CF62" s="118">
        <v>0</v>
      </c>
      <c r="CG62" s="119">
        <v>0</v>
      </c>
      <c r="CH62" s="118">
        <v>0</v>
      </c>
      <c r="CI62" s="119">
        <v>0</v>
      </c>
      <c r="CJ62" s="4"/>
      <c r="CK62" s="79"/>
      <c r="CL62" s="5"/>
      <c r="CM62" s="39" t="str">
        <f t="shared" si="17"/>
        <v>-</v>
      </c>
      <c r="CN62" s="5"/>
      <c r="CO62" s="39" t="str">
        <f t="shared" si="18"/>
        <v>-</v>
      </c>
      <c r="CP62" s="39" t="str">
        <f t="shared" si="19"/>
        <v>-</v>
      </c>
      <c r="CQ62" s="39" t="str">
        <f t="shared" si="20"/>
        <v>-</v>
      </c>
      <c r="CR62" s="39" t="str">
        <f t="shared" si="20"/>
        <v>-</v>
      </c>
      <c r="CS62" s="5"/>
      <c r="CT62" s="39" t="str">
        <f t="shared" si="21"/>
        <v>-</v>
      </c>
      <c r="CU62" s="39" t="str">
        <f t="shared" si="22"/>
        <v>-</v>
      </c>
      <c r="CV62" s="39" t="str">
        <f t="shared" si="23"/>
        <v>-</v>
      </c>
      <c r="CW62" s="39" t="str">
        <f t="shared" si="24"/>
        <v>-</v>
      </c>
    </row>
    <row r="63" spans="2:101" s="4" customFormat="1" ht="12.75" customHeight="1">
      <c r="B63" s="111" t="s">
        <v>57</v>
      </c>
      <c r="C63" s="112" t="s">
        <v>359</v>
      </c>
      <c r="D63" s="104" t="e">
        <f>VLOOKUP($C63,#REF!,5,0)</f>
        <v>#REF!</v>
      </c>
      <c r="E63" s="109" t="e">
        <f>VLOOKUP($C63,#REF!,6,0)</f>
        <v>#REF!</v>
      </c>
      <c r="F63" s="103" t="e">
        <f>VLOOKUP($C63,#REF!,7,0)</f>
        <v>#REF!</v>
      </c>
      <c r="G63" s="103" t="e">
        <f>VLOOKUP($C63,#REF!,8,0)</f>
        <v>#REF!</v>
      </c>
      <c r="H63" s="110" t="e">
        <f>VLOOKUP($C63,#REF!,9,0)</f>
        <v>#REF!</v>
      </c>
      <c r="I63" s="5"/>
      <c r="J63" s="105" t="e">
        <f>VLOOKUP($C63,#REF!,10,0)</f>
        <v>#REF!</v>
      </c>
      <c r="K63" s="106" t="e">
        <f>VLOOKUP($C63,#REF!,11,0)</f>
        <v>#REF!</v>
      </c>
      <c r="L63" s="34"/>
      <c r="M63" s="105" t="e">
        <f>VLOOKUP($C63,#REF!,12,0)</f>
        <v>#REF!</v>
      </c>
      <c r="N63" s="34" t="e">
        <f>VLOOKUP($C63,#REF!,13,0)</f>
        <v>#REF!</v>
      </c>
      <c r="O63" s="105" t="e">
        <f>VLOOKUP($C63,#REF!,14,0)</f>
        <v>#REF!</v>
      </c>
      <c r="P63" s="34" t="e">
        <f>VLOOKUP($C63,#REF!,15,0)</f>
        <v>#REF!</v>
      </c>
      <c r="Q63" s="105" t="e">
        <f>VLOOKUP($C63,#REF!,16,0)</f>
        <v>#REF!</v>
      </c>
      <c r="R63" s="106" t="e">
        <f>VLOOKUP($C63,#REF!,17,0)</f>
        <v>#REF!</v>
      </c>
      <c r="S63" s="34" t="e">
        <f>VLOOKUP($C63,#REF!,18,0)</f>
        <v>#REF!</v>
      </c>
      <c r="T63" s="106" t="e">
        <f>VLOOKUP($C63,#REF!,19,0)</f>
        <v>#REF!</v>
      </c>
      <c r="U63" s="34"/>
      <c r="V63" s="105" t="e">
        <f>VLOOKUP($C63,#REF!,20,0)</f>
        <v>#REF!</v>
      </c>
      <c r="W63" s="34" t="e">
        <f>VLOOKUP($C63,#REF!,21,0)</f>
        <v>#REF!</v>
      </c>
      <c r="X63" s="105" t="e">
        <f>VLOOKUP($C63,#REF!,22,0)</f>
        <v>#REF!</v>
      </c>
      <c r="Y63" s="34" t="e">
        <f>VLOOKUP($C63,#REF!,23,0)</f>
        <v>#REF!</v>
      </c>
      <c r="Z63" s="105" t="e">
        <f>VLOOKUP($C63,#REF!,24,0)</f>
        <v>#REF!</v>
      </c>
      <c r="AA63" s="106" t="e">
        <f>VLOOKUP($C63,#REF!,25,0)</f>
        <v>#REF!</v>
      </c>
      <c r="AB63" s="34" t="e">
        <f>VLOOKUP($C63,#REF!,26,0)</f>
        <v>#REF!</v>
      </c>
      <c r="AC63" s="106" t="e">
        <f>VLOOKUP($C63,#REF!,27,0)</f>
        <v>#REF!</v>
      </c>
      <c r="AE63" s="105" t="e">
        <f t="shared" si="0"/>
        <v>#REF!</v>
      </c>
      <c r="AF63" s="107" t="s">
        <v>320</v>
      </c>
      <c r="AG63" s="107" t="s">
        <v>321</v>
      </c>
      <c r="AH63" s="106" t="s">
        <v>322</v>
      </c>
      <c r="AJ63" s="105" t="s">
        <v>323</v>
      </c>
      <c r="AK63" s="107" t="s">
        <v>324</v>
      </c>
      <c r="AL63" s="107" t="s">
        <v>325</v>
      </c>
      <c r="AM63" s="107" t="s">
        <v>326</v>
      </c>
      <c r="AN63" s="107" t="s">
        <v>326</v>
      </c>
      <c r="AO63" s="106" t="s">
        <v>320</v>
      </c>
      <c r="AQ63" s="108">
        <v>1</v>
      </c>
      <c r="AR63" s="5"/>
      <c r="AS63" s="105">
        <v>0</v>
      </c>
      <c r="AT63" s="106">
        <v>0</v>
      </c>
      <c r="AU63" s="34"/>
      <c r="AV63" s="105">
        <f t="shared" si="25"/>
        <v>0</v>
      </c>
      <c r="AW63" s="106">
        <f t="shared" si="26"/>
        <v>0</v>
      </c>
      <c r="AX63" s="105">
        <f t="shared" si="3"/>
        <v>0</v>
      </c>
      <c r="AY63" s="106">
        <f t="shared" si="4"/>
        <v>0</v>
      </c>
      <c r="AZ63" s="105">
        <f t="shared" si="5"/>
        <v>0</v>
      </c>
      <c r="BA63" s="106">
        <f t="shared" si="6"/>
        <v>0</v>
      </c>
      <c r="BB63" s="34">
        <f t="shared" si="7"/>
        <v>0</v>
      </c>
      <c r="BC63" s="106">
        <f t="shared" si="8"/>
        <v>0</v>
      </c>
      <c r="BD63" s="34"/>
      <c r="BE63" s="105">
        <f t="shared" si="9"/>
        <v>0</v>
      </c>
      <c r="BF63" s="106">
        <f t="shared" si="10"/>
        <v>0</v>
      </c>
      <c r="BG63" s="105">
        <f t="shared" si="11"/>
        <v>0</v>
      </c>
      <c r="BH63" s="106">
        <f t="shared" si="12"/>
        <v>0</v>
      </c>
      <c r="BI63" s="34">
        <f t="shared" si="13"/>
        <v>0</v>
      </c>
      <c r="BJ63" s="106">
        <f t="shared" si="14"/>
        <v>0</v>
      </c>
      <c r="BK63" s="34">
        <f t="shared" si="15"/>
        <v>0</v>
      </c>
      <c r="BL63" s="106">
        <f t="shared" si="16"/>
        <v>0</v>
      </c>
      <c r="BN63" s="108">
        <v>0</v>
      </c>
      <c r="BO63" s="5"/>
      <c r="BP63" s="105">
        <v>0</v>
      </c>
      <c r="BQ63" s="106">
        <v>0</v>
      </c>
      <c r="BR63" s="34"/>
      <c r="BS63" s="105">
        <v>0</v>
      </c>
      <c r="BT63" s="106">
        <v>0</v>
      </c>
      <c r="BU63" s="105">
        <v>0</v>
      </c>
      <c r="BV63" s="106">
        <v>0</v>
      </c>
      <c r="BW63" s="105">
        <v>0</v>
      </c>
      <c r="BX63" s="106">
        <v>0</v>
      </c>
      <c r="BY63" s="105">
        <v>0</v>
      </c>
      <c r="BZ63" s="106">
        <v>0</v>
      </c>
      <c r="CA63" s="34"/>
      <c r="CB63" s="105">
        <v>0</v>
      </c>
      <c r="CC63" s="106">
        <v>0</v>
      </c>
      <c r="CD63" s="105">
        <v>0</v>
      </c>
      <c r="CE63" s="106">
        <v>0</v>
      </c>
      <c r="CF63" s="105">
        <v>0</v>
      </c>
      <c r="CG63" s="106">
        <v>0</v>
      </c>
      <c r="CH63" s="105">
        <v>0</v>
      </c>
      <c r="CI63" s="106">
        <v>0</v>
      </c>
      <c r="CK63" s="78"/>
      <c r="CL63" s="5"/>
      <c r="CM63" s="38" t="str">
        <f t="shared" si="17"/>
        <v>-</v>
      </c>
      <c r="CN63" s="5"/>
      <c r="CO63" s="38" t="str">
        <f t="shared" si="18"/>
        <v>-</v>
      </c>
      <c r="CP63" s="38" t="str">
        <f t="shared" si="19"/>
        <v>-</v>
      </c>
      <c r="CQ63" s="38" t="str">
        <f t="shared" si="20"/>
        <v>-</v>
      </c>
      <c r="CR63" s="38" t="str">
        <f t="shared" si="20"/>
        <v>-</v>
      </c>
      <c r="CS63" s="5"/>
      <c r="CT63" s="38" t="str">
        <f t="shared" si="21"/>
        <v>-</v>
      </c>
      <c r="CU63" s="38" t="str">
        <f t="shared" si="22"/>
        <v>-</v>
      </c>
      <c r="CV63" s="38" t="str">
        <f t="shared" si="23"/>
        <v>-</v>
      </c>
      <c r="CW63" s="38" t="str">
        <f t="shared" si="24"/>
        <v>-</v>
      </c>
    </row>
    <row r="64" spans="2:101" s="113" customFormat="1" ht="12.75" customHeight="1">
      <c r="B64" s="99" t="s">
        <v>57</v>
      </c>
      <c r="C64" s="98" t="s">
        <v>193</v>
      </c>
      <c r="D64" s="114" t="e">
        <f>VLOOKUP($C64,#REF!,5,0)</f>
        <v>#REF!</v>
      </c>
      <c r="E64" s="115" t="e">
        <f>VLOOKUP($C64,#REF!,6,0)</f>
        <v>#REF!</v>
      </c>
      <c r="F64" s="98" t="e">
        <f>VLOOKUP($C64,#REF!,7,0)</f>
        <v>#REF!</v>
      </c>
      <c r="G64" s="98" t="e">
        <f>VLOOKUP($C64,#REF!,8,0)</f>
        <v>#REF!</v>
      </c>
      <c r="H64" s="116" t="e">
        <f>VLOOKUP($C64,#REF!,9,0)</f>
        <v>#REF!</v>
      </c>
      <c r="I64" s="5"/>
      <c r="J64" s="118" t="e">
        <f>VLOOKUP($C64,#REF!,10,0)</f>
        <v>#REF!</v>
      </c>
      <c r="K64" s="119" t="e">
        <f>VLOOKUP($C64,#REF!,11,0)</f>
        <v>#REF!</v>
      </c>
      <c r="L64" s="34"/>
      <c r="M64" s="118" t="e">
        <f>VLOOKUP($C64,#REF!,12,0)</f>
        <v>#REF!</v>
      </c>
      <c r="N64" s="120" t="e">
        <f>VLOOKUP($C64,#REF!,13,0)</f>
        <v>#REF!</v>
      </c>
      <c r="O64" s="118" t="e">
        <f>VLOOKUP($C64,#REF!,14,0)</f>
        <v>#REF!</v>
      </c>
      <c r="P64" s="120" t="e">
        <f>VLOOKUP($C64,#REF!,15,0)</f>
        <v>#REF!</v>
      </c>
      <c r="Q64" s="118" t="e">
        <f>VLOOKUP($C64,#REF!,16,0)</f>
        <v>#REF!</v>
      </c>
      <c r="R64" s="119" t="e">
        <f>VLOOKUP($C64,#REF!,17,0)</f>
        <v>#REF!</v>
      </c>
      <c r="S64" s="120" t="e">
        <f>VLOOKUP($C64,#REF!,18,0)</f>
        <v>#REF!</v>
      </c>
      <c r="T64" s="119" t="e">
        <f>VLOOKUP($C64,#REF!,19,0)</f>
        <v>#REF!</v>
      </c>
      <c r="U64" s="34"/>
      <c r="V64" s="118" t="e">
        <f>VLOOKUP($C64,#REF!,20,0)</f>
        <v>#REF!</v>
      </c>
      <c r="W64" s="120" t="e">
        <f>VLOOKUP($C64,#REF!,21,0)</f>
        <v>#REF!</v>
      </c>
      <c r="X64" s="118" t="e">
        <f>VLOOKUP($C64,#REF!,22,0)</f>
        <v>#REF!</v>
      </c>
      <c r="Y64" s="120" t="e">
        <f>VLOOKUP($C64,#REF!,23,0)</f>
        <v>#REF!</v>
      </c>
      <c r="Z64" s="118" t="e">
        <f>VLOOKUP($C64,#REF!,24,0)</f>
        <v>#REF!</v>
      </c>
      <c r="AA64" s="119" t="e">
        <f>VLOOKUP($C64,#REF!,25,0)</f>
        <v>#REF!</v>
      </c>
      <c r="AB64" s="120" t="e">
        <f>VLOOKUP($C64,#REF!,26,0)</f>
        <v>#REF!</v>
      </c>
      <c r="AC64" s="119" t="e">
        <f>VLOOKUP($C64,#REF!,27,0)</f>
        <v>#REF!</v>
      </c>
      <c r="AD64" s="4"/>
      <c r="AE64" s="118" t="e">
        <f t="shared" si="0"/>
        <v>#REF!</v>
      </c>
      <c r="AF64" s="121" t="s">
        <v>320</v>
      </c>
      <c r="AG64" s="121" t="s">
        <v>321</v>
      </c>
      <c r="AH64" s="119" t="s">
        <v>322</v>
      </c>
      <c r="AI64" s="4"/>
      <c r="AJ64" s="118" t="s">
        <v>323</v>
      </c>
      <c r="AK64" s="121" t="s">
        <v>324</v>
      </c>
      <c r="AL64" s="121" t="s">
        <v>325</v>
      </c>
      <c r="AM64" s="121" t="s">
        <v>326</v>
      </c>
      <c r="AN64" s="121" t="s">
        <v>326</v>
      </c>
      <c r="AO64" s="119" t="s">
        <v>320</v>
      </c>
      <c r="AP64" s="4"/>
      <c r="AQ64" s="122">
        <v>0</v>
      </c>
      <c r="AR64" s="5"/>
      <c r="AS64" s="118">
        <v>0</v>
      </c>
      <c r="AT64" s="119">
        <v>0</v>
      </c>
      <c r="AU64" s="34"/>
      <c r="AV64" s="118">
        <f t="shared" si="25"/>
        <v>0</v>
      </c>
      <c r="AW64" s="119">
        <f t="shared" si="26"/>
        <v>0</v>
      </c>
      <c r="AX64" s="118">
        <f t="shared" si="3"/>
        <v>0</v>
      </c>
      <c r="AY64" s="119">
        <f t="shared" si="4"/>
        <v>0</v>
      </c>
      <c r="AZ64" s="118">
        <f t="shared" si="5"/>
        <v>0</v>
      </c>
      <c r="BA64" s="119">
        <f t="shared" si="6"/>
        <v>0</v>
      </c>
      <c r="BB64" s="120">
        <f t="shared" si="7"/>
        <v>0</v>
      </c>
      <c r="BC64" s="119">
        <f t="shared" si="8"/>
        <v>0</v>
      </c>
      <c r="BD64" s="34"/>
      <c r="BE64" s="118">
        <f t="shared" si="9"/>
        <v>0</v>
      </c>
      <c r="BF64" s="119">
        <f t="shared" si="10"/>
        <v>0</v>
      </c>
      <c r="BG64" s="118">
        <f t="shared" si="11"/>
        <v>0</v>
      </c>
      <c r="BH64" s="119">
        <f t="shared" si="12"/>
        <v>0</v>
      </c>
      <c r="BI64" s="120">
        <f t="shared" si="13"/>
        <v>0</v>
      </c>
      <c r="BJ64" s="119">
        <f t="shared" si="14"/>
        <v>0</v>
      </c>
      <c r="BK64" s="120">
        <f t="shared" si="15"/>
        <v>0</v>
      </c>
      <c r="BL64" s="119">
        <f t="shared" si="16"/>
        <v>0</v>
      </c>
      <c r="BM64" s="4"/>
      <c r="BN64" s="122">
        <v>0</v>
      </c>
      <c r="BO64" s="117"/>
      <c r="BP64" s="118">
        <v>0</v>
      </c>
      <c r="BQ64" s="119">
        <v>0</v>
      </c>
      <c r="BR64" s="120"/>
      <c r="BS64" s="118">
        <v>0</v>
      </c>
      <c r="BT64" s="119">
        <v>0</v>
      </c>
      <c r="BU64" s="118">
        <v>0</v>
      </c>
      <c r="BV64" s="119">
        <v>0</v>
      </c>
      <c r="BW64" s="118">
        <v>0</v>
      </c>
      <c r="BX64" s="119">
        <v>0</v>
      </c>
      <c r="BY64" s="118">
        <v>0</v>
      </c>
      <c r="BZ64" s="119">
        <v>0</v>
      </c>
      <c r="CA64" s="120"/>
      <c r="CB64" s="118">
        <v>0</v>
      </c>
      <c r="CC64" s="119">
        <v>0</v>
      </c>
      <c r="CD64" s="118">
        <v>0</v>
      </c>
      <c r="CE64" s="119">
        <v>0</v>
      </c>
      <c r="CF64" s="118">
        <v>0</v>
      </c>
      <c r="CG64" s="119">
        <v>0</v>
      </c>
      <c r="CH64" s="118">
        <v>0</v>
      </c>
      <c r="CI64" s="119">
        <v>0</v>
      </c>
      <c r="CJ64" s="4"/>
      <c r="CK64" s="79"/>
      <c r="CL64" s="5"/>
      <c r="CM64" s="39" t="str">
        <f t="shared" si="17"/>
        <v>-</v>
      </c>
      <c r="CN64" s="5"/>
      <c r="CO64" s="39" t="str">
        <f t="shared" si="18"/>
        <v>-</v>
      </c>
      <c r="CP64" s="39" t="str">
        <f t="shared" si="19"/>
        <v>-</v>
      </c>
      <c r="CQ64" s="39" t="str">
        <f t="shared" si="20"/>
        <v>-</v>
      </c>
      <c r="CR64" s="39" t="str">
        <f t="shared" si="20"/>
        <v>-</v>
      </c>
      <c r="CS64" s="5"/>
      <c r="CT64" s="39" t="str">
        <f t="shared" si="21"/>
        <v>-</v>
      </c>
      <c r="CU64" s="39" t="str">
        <f t="shared" si="22"/>
        <v>-</v>
      </c>
      <c r="CV64" s="39" t="str">
        <f t="shared" si="23"/>
        <v>-</v>
      </c>
      <c r="CW64" s="39" t="str">
        <f t="shared" si="24"/>
        <v>-</v>
      </c>
    </row>
    <row r="65" spans="2:101" s="4" customFormat="1" ht="12.75" customHeight="1">
      <c r="B65" s="102" t="s">
        <v>57</v>
      </c>
      <c r="C65" s="103" t="s">
        <v>309</v>
      </c>
      <c r="D65" s="104" t="e">
        <f>VLOOKUP($C65,#REF!,5,0)</f>
        <v>#REF!</v>
      </c>
      <c r="E65" s="109" t="e">
        <f>VLOOKUP($C65,#REF!,6,0)</f>
        <v>#REF!</v>
      </c>
      <c r="F65" s="103" t="e">
        <f>VLOOKUP($C65,#REF!,7,0)</f>
        <v>#REF!</v>
      </c>
      <c r="G65" s="103" t="e">
        <f>VLOOKUP($C65,#REF!,8,0)</f>
        <v>#REF!</v>
      </c>
      <c r="H65" s="110" t="e">
        <f>VLOOKUP($C65,#REF!,9,0)</f>
        <v>#REF!</v>
      </c>
      <c r="I65" s="5"/>
      <c r="J65" s="105" t="e">
        <f>VLOOKUP($C65,#REF!,10,0)</f>
        <v>#REF!</v>
      </c>
      <c r="K65" s="106" t="e">
        <f>VLOOKUP($C65,#REF!,11,0)</f>
        <v>#REF!</v>
      </c>
      <c r="L65" s="34"/>
      <c r="M65" s="105" t="e">
        <f>VLOOKUP($C65,#REF!,12,0)</f>
        <v>#REF!</v>
      </c>
      <c r="N65" s="34" t="e">
        <f>VLOOKUP($C65,#REF!,13,0)</f>
        <v>#REF!</v>
      </c>
      <c r="O65" s="105" t="e">
        <f>VLOOKUP($C65,#REF!,14,0)</f>
        <v>#REF!</v>
      </c>
      <c r="P65" s="34" t="e">
        <f>VLOOKUP($C65,#REF!,15,0)</f>
        <v>#REF!</v>
      </c>
      <c r="Q65" s="105" t="e">
        <f>VLOOKUP($C65,#REF!,16,0)</f>
        <v>#REF!</v>
      </c>
      <c r="R65" s="106" t="e">
        <f>VLOOKUP($C65,#REF!,17,0)</f>
        <v>#REF!</v>
      </c>
      <c r="S65" s="34" t="e">
        <f>VLOOKUP($C65,#REF!,18,0)</f>
        <v>#REF!</v>
      </c>
      <c r="T65" s="106" t="e">
        <f>VLOOKUP($C65,#REF!,19,0)</f>
        <v>#REF!</v>
      </c>
      <c r="U65" s="34"/>
      <c r="V65" s="105" t="e">
        <f>VLOOKUP($C65,#REF!,20,0)</f>
        <v>#REF!</v>
      </c>
      <c r="W65" s="34" t="e">
        <f>VLOOKUP($C65,#REF!,21,0)</f>
        <v>#REF!</v>
      </c>
      <c r="X65" s="105" t="e">
        <f>VLOOKUP($C65,#REF!,22,0)</f>
        <v>#REF!</v>
      </c>
      <c r="Y65" s="34" t="e">
        <f>VLOOKUP($C65,#REF!,23,0)</f>
        <v>#REF!</v>
      </c>
      <c r="Z65" s="105" t="e">
        <f>VLOOKUP($C65,#REF!,24,0)</f>
        <v>#REF!</v>
      </c>
      <c r="AA65" s="106" t="e">
        <f>VLOOKUP($C65,#REF!,25,0)</f>
        <v>#REF!</v>
      </c>
      <c r="AB65" s="34" t="e">
        <f>VLOOKUP($C65,#REF!,26,0)</f>
        <v>#REF!</v>
      </c>
      <c r="AC65" s="106" t="e">
        <f>VLOOKUP($C65,#REF!,27,0)</f>
        <v>#REF!</v>
      </c>
      <c r="AE65" s="105" t="e">
        <f t="shared" si="0"/>
        <v>#REF!</v>
      </c>
      <c r="AF65" s="107" t="s">
        <v>320</v>
      </c>
      <c r="AG65" s="107" t="s">
        <v>321</v>
      </c>
      <c r="AH65" s="106" t="s">
        <v>322</v>
      </c>
      <c r="AJ65" s="105" t="s">
        <v>323</v>
      </c>
      <c r="AK65" s="107" t="s">
        <v>324</v>
      </c>
      <c r="AL65" s="107" t="s">
        <v>325</v>
      </c>
      <c r="AM65" s="107" t="s">
        <v>326</v>
      </c>
      <c r="AN65" s="107" t="s">
        <v>326</v>
      </c>
      <c r="AO65" s="106" t="s">
        <v>320</v>
      </c>
      <c r="AQ65" s="108">
        <v>1</v>
      </c>
      <c r="AR65" s="5"/>
      <c r="AS65" s="105">
        <v>0</v>
      </c>
      <c r="AT65" s="106">
        <v>0</v>
      </c>
      <c r="AU65" s="34"/>
      <c r="AV65" s="105">
        <f t="shared" si="25"/>
        <v>0</v>
      </c>
      <c r="AW65" s="106">
        <f t="shared" si="26"/>
        <v>0</v>
      </c>
      <c r="AX65" s="105">
        <f t="shared" si="3"/>
        <v>0</v>
      </c>
      <c r="AY65" s="106">
        <f t="shared" si="4"/>
        <v>0</v>
      </c>
      <c r="AZ65" s="105">
        <f t="shared" si="5"/>
        <v>0</v>
      </c>
      <c r="BA65" s="106">
        <f t="shared" si="6"/>
        <v>0</v>
      </c>
      <c r="BB65" s="34">
        <f t="shared" si="7"/>
        <v>0</v>
      </c>
      <c r="BC65" s="106">
        <f t="shared" si="8"/>
        <v>0</v>
      </c>
      <c r="BD65" s="34"/>
      <c r="BE65" s="105">
        <f t="shared" si="9"/>
        <v>0</v>
      </c>
      <c r="BF65" s="106">
        <f t="shared" si="10"/>
        <v>0</v>
      </c>
      <c r="BG65" s="105">
        <f t="shared" si="11"/>
        <v>0</v>
      </c>
      <c r="BH65" s="106">
        <f t="shared" si="12"/>
        <v>0</v>
      </c>
      <c r="BI65" s="34">
        <f t="shared" si="13"/>
        <v>0</v>
      </c>
      <c r="BJ65" s="106">
        <f t="shared" si="14"/>
        <v>0</v>
      </c>
      <c r="BK65" s="34">
        <f t="shared" si="15"/>
        <v>0</v>
      </c>
      <c r="BL65" s="106">
        <f t="shared" si="16"/>
        <v>0</v>
      </c>
      <c r="BN65" s="108" t="e">
        <v>#N/A</v>
      </c>
      <c r="BO65" s="5"/>
      <c r="BP65" s="105" t="e">
        <v>#N/A</v>
      </c>
      <c r="BQ65" s="106" t="e">
        <v>#N/A</v>
      </c>
      <c r="BR65" s="34"/>
      <c r="BS65" s="105" t="e">
        <v>#N/A</v>
      </c>
      <c r="BT65" s="106" t="e">
        <v>#N/A</v>
      </c>
      <c r="BU65" s="105" t="e">
        <v>#N/A</v>
      </c>
      <c r="BV65" s="106" t="e">
        <v>#N/A</v>
      </c>
      <c r="BW65" s="105" t="e">
        <v>#N/A</v>
      </c>
      <c r="BX65" s="106" t="e">
        <v>#N/A</v>
      </c>
      <c r="BY65" s="105" t="e">
        <v>#N/A</v>
      </c>
      <c r="BZ65" s="106" t="e">
        <v>#N/A</v>
      </c>
      <c r="CA65" s="34"/>
      <c r="CB65" s="105" t="e">
        <v>#N/A</v>
      </c>
      <c r="CC65" s="106" t="e">
        <v>#N/A</v>
      </c>
      <c r="CD65" s="105" t="e">
        <v>#N/A</v>
      </c>
      <c r="CE65" s="106" t="e">
        <v>#N/A</v>
      </c>
      <c r="CF65" s="105" t="e">
        <v>#N/A</v>
      </c>
      <c r="CG65" s="106" t="e">
        <v>#N/A</v>
      </c>
      <c r="CH65" s="105" t="e">
        <v>#N/A</v>
      </c>
      <c r="CI65" s="106" t="e">
        <v>#N/A</v>
      </c>
      <c r="CK65" s="78"/>
      <c r="CL65" s="5"/>
      <c r="CM65" s="38" t="str">
        <f t="shared" si="17"/>
        <v>-</v>
      </c>
      <c r="CN65" s="5"/>
      <c r="CO65" s="38" t="str">
        <f t="shared" si="18"/>
        <v>-</v>
      </c>
      <c r="CP65" s="38" t="str">
        <f t="shared" si="19"/>
        <v>-</v>
      </c>
      <c r="CQ65" s="38" t="str">
        <f t="shared" si="20"/>
        <v>-</v>
      </c>
      <c r="CR65" s="38" t="str">
        <f t="shared" si="20"/>
        <v>-</v>
      </c>
      <c r="CS65" s="5"/>
      <c r="CT65" s="38" t="str">
        <f t="shared" si="21"/>
        <v>-</v>
      </c>
      <c r="CU65" s="38" t="str">
        <f t="shared" si="22"/>
        <v>-</v>
      </c>
      <c r="CV65" s="38" t="str">
        <f t="shared" si="23"/>
        <v>-</v>
      </c>
      <c r="CW65" s="38" t="str">
        <f t="shared" si="24"/>
        <v>-</v>
      </c>
    </row>
    <row r="66" spans="2:101" s="113" customFormat="1" ht="12.75" customHeight="1">
      <c r="B66" s="99" t="s">
        <v>57</v>
      </c>
      <c r="C66" s="98" t="s">
        <v>310</v>
      </c>
      <c r="D66" s="114" t="e">
        <f>VLOOKUP($C66,#REF!,5,0)</f>
        <v>#REF!</v>
      </c>
      <c r="E66" s="115" t="e">
        <f>VLOOKUP($C66,#REF!,6,0)</f>
        <v>#REF!</v>
      </c>
      <c r="F66" s="98" t="e">
        <f>VLOOKUP($C66,#REF!,7,0)</f>
        <v>#REF!</v>
      </c>
      <c r="G66" s="98" t="e">
        <f>VLOOKUP($C66,#REF!,8,0)</f>
        <v>#REF!</v>
      </c>
      <c r="H66" s="116" t="e">
        <f>VLOOKUP($C66,#REF!,9,0)</f>
        <v>#REF!</v>
      </c>
      <c r="I66" s="5"/>
      <c r="J66" s="118" t="e">
        <f>VLOOKUP($C66,#REF!,10,0)</f>
        <v>#REF!</v>
      </c>
      <c r="K66" s="119" t="e">
        <f>VLOOKUP($C66,#REF!,11,0)</f>
        <v>#REF!</v>
      </c>
      <c r="L66" s="34"/>
      <c r="M66" s="118" t="e">
        <f>VLOOKUP($C66,#REF!,12,0)</f>
        <v>#REF!</v>
      </c>
      <c r="N66" s="120" t="e">
        <f>VLOOKUP($C66,#REF!,13,0)</f>
        <v>#REF!</v>
      </c>
      <c r="O66" s="118" t="e">
        <f>VLOOKUP($C66,#REF!,14,0)</f>
        <v>#REF!</v>
      </c>
      <c r="P66" s="120" t="e">
        <f>VLOOKUP($C66,#REF!,15,0)</f>
        <v>#REF!</v>
      </c>
      <c r="Q66" s="118" t="e">
        <f>VLOOKUP($C66,#REF!,16,0)</f>
        <v>#REF!</v>
      </c>
      <c r="R66" s="119" t="e">
        <f>VLOOKUP($C66,#REF!,17,0)</f>
        <v>#REF!</v>
      </c>
      <c r="S66" s="120" t="e">
        <f>VLOOKUP($C66,#REF!,18,0)</f>
        <v>#REF!</v>
      </c>
      <c r="T66" s="119" t="e">
        <f>VLOOKUP($C66,#REF!,19,0)</f>
        <v>#REF!</v>
      </c>
      <c r="U66" s="34"/>
      <c r="V66" s="118" t="e">
        <f>VLOOKUP($C66,#REF!,20,0)</f>
        <v>#REF!</v>
      </c>
      <c r="W66" s="120" t="e">
        <f>VLOOKUP($C66,#REF!,21,0)</f>
        <v>#REF!</v>
      </c>
      <c r="X66" s="118" t="e">
        <f>VLOOKUP($C66,#REF!,22,0)</f>
        <v>#REF!</v>
      </c>
      <c r="Y66" s="120" t="e">
        <f>VLOOKUP($C66,#REF!,23,0)</f>
        <v>#REF!</v>
      </c>
      <c r="Z66" s="118" t="e">
        <f>VLOOKUP($C66,#REF!,24,0)</f>
        <v>#REF!</v>
      </c>
      <c r="AA66" s="119" t="e">
        <f>VLOOKUP($C66,#REF!,25,0)</f>
        <v>#REF!</v>
      </c>
      <c r="AB66" s="120" t="e">
        <f>VLOOKUP($C66,#REF!,26,0)</f>
        <v>#REF!</v>
      </c>
      <c r="AC66" s="119" t="e">
        <f>VLOOKUP($C66,#REF!,27,0)</f>
        <v>#REF!</v>
      </c>
      <c r="AD66" s="4"/>
      <c r="AE66" s="118" t="e">
        <f t="shared" si="0"/>
        <v>#REF!</v>
      </c>
      <c r="AF66" s="121" t="s">
        <v>320</v>
      </c>
      <c r="AG66" s="121" t="s">
        <v>321</v>
      </c>
      <c r="AH66" s="119" t="s">
        <v>322</v>
      </c>
      <c r="AI66" s="4"/>
      <c r="AJ66" s="118" t="s">
        <v>323</v>
      </c>
      <c r="AK66" s="121" t="s">
        <v>324</v>
      </c>
      <c r="AL66" s="121" t="s">
        <v>325</v>
      </c>
      <c r="AM66" s="121" t="s">
        <v>326</v>
      </c>
      <c r="AN66" s="121" t="s">
        <v>326</v>
      </c>
      <c r="AO66" s="119" t="s">
        <v>320</v>
      </c>
      <c r="AP66" s="4"/>
      <c r="AQ66" s="122">
        <v>2</v>
      </c>
      <c r="AR66" s="5"/>
      <c r="AS66" s="118">
        <v>0</v>
      </c>
      <c r="AT66" s="119">
        <v>0</v>
      </c>
      <c r="AU66" s="34"/>
      <c r="AV66" s="118">
        <f t="shared" si="25"/>
        <v>0</v>
      </c>
      <c r="AW66" s="119">
        <f t="shared" si="26"/>
        <v>0</v>
      </c>
      <c r="AX66" s="118">
        <f t="shared" si="3"/>
        <v>0</v>
      </c>
      <c r="AY66" s="119">
        <f t="shared" si="4"/>
        <v>0</v>
      </c>
      <c r="AZ66" s="118">
        <f t="shared" si="5"/>
        <v>0</v>
      </c>
      <c r="BA66" s="119">
        <f t="shared" si="6"/>
        <v>0</v>
      </c>
      <c r="BB66" s="120">
        <f t="shared" si="7"/>
        <v>0</v>
      </c>
      <c r="BC66" s="119">
        <f t="shared" si="8"/>
        <v>0</v>
      </c>
      <c r="BD66" s="34"/>
      <c r="BE66" s="118">
        <f t="shared" si="9"/>
        <v>0</v>
      </c>
      <c r="BF66" s="119">
        <f t="shared" si="10"/>
        <v>0</v>
      </c>
      <c r="BG66" s="118">
        <f t="shared" si="11"/>
        <v>0</v>
      </c>
      <c r="BH66" s="119">
        <f t="shared" si="12"/>
        <v>0</v>
      </c>
      <c r="BI66" s="120">
        <f t="shared" si="13"/>
        <v>0</v>
      </c>
      <c r="BJ66" s="119">
        <f t="shared" si="14"/>
        <v>0</v>
      </c>
      <c r="BK66" s="120">
        <f t="shared" si="15"/>
        <v>0</v>
      </c>
      <c r="BL66" s="119">
        <f t="shared" si="16"/>
        <v>0</v>
      </c>
      <c r="BM66" s="4"/>
      <c r="BN66" s="122">
        <v>0</v>
      </c>
      <c r="BO66" s="117"/>
      <c r="BP66" s="118">
        <v>0</v>
      </c>
      <c r="BQ66" s="119">
        <v>0</v>
      </c>
      <c r="BR66" s="120"/>
      <c r="BS66" s="118">
        <v>0</v>
      </c>
      <c r="BT66" s="119">
        <v>0</v>
      </c>
      <c r="BU66" s="118">
        <v>0</v>
      </c>
      <c r="BV66" s="119">
        <v>0</v>
      </c>
      <c r="BW66" s="118">
        <v>0</v>
      </c>
      <c r="BX66" s="119">
        <v>0</v>
      </c>
      <c r="BY66" s="118">
        <v>0</v>
      </c>
      <c r="BZ66" s="119">
        <v>0</v>
      </c>
      <c r="CA66" s="120"/>
      <c r="CB66" s="118">
        <v>0</v>
      </c>
      <c r="CC66" s="119">
        <v>0</v>
      </c>
      <c r="CD66" s="118">
        <v>0</v>
      </c>
      <c r="CE66" s="119">
        <v>0</v>
      </c>
      <c r="CF66" s="118">
        <v>0</v>
      </c>
      <c r="CG66" s="119">
        <v>0</v>
      </c>
      <c r="CH66" s="118">
        <v>0</v>
      </c>
      <c r="CI66" s="119">
        <v>0</v>
      </c>
      <c r="CJ66" s="4"/>
      <c r="CK66" s="79"/>
      <c r="CL66" s="5"/>
      <c r="CM66" s="39" t="str">
        <f t="shared" si="17"/>
        <v>-</v>
      </c>
      <c r="CN66" s="5"/>
      <c r="CO66" s="39" t="str">
        <f t="shared" si="18"/>
        <v>-</v>
      </c>
      <c r="CP66" s="39" t="str">
        <f t="shared" si="19"/>
        <v>-</v>
      </c>
      <c r="CQ66" s="39" t="str">
        <f t="shared" si="20"/>
        <v>-</v>
      </c>
      <c r="CR66" s="39" t="str">
        <f t="shared" si="20"/>
        <v>-</v>
      </c>
      <c r="CS66" s="5"/>
      <c r="CT66" s="39" t="str">
        <f t="shared" si="21"/>
        <v>-</v>
      </c>
      <c r="CU66" s="39" t="str">
        <f t="shared" si="22"/>
        <v>-</v>
      </c>
      <c r="CV66" s="39" t="str">
        <f t="shared" si="23"/>
        <v>-</v>
      </c>
      <c r="CW66" s="39" t="str">
        <f t="shared" si="24"/>
        <v>-</v>
      </c>
    </row>
    <row r="67" spans="2:101" s="4" customFormat="1" ht="12.75" customHeight="1">
      <c r="B67" s="102" t="s">
        <v>57</v>
      </c>
      <c r="C67" s="103" t="s">
        <v>206</v>
      </c>
      <c r="D67" s="104" t="e">
        <f>VLOOKUP($C67,#REF!,5,0)</f>
        <v>#REF!</v>
      </c>
      <c r="E67" s="109" t="e">
        <f>VLOOKUP($C67,#REF!,6,0)</f>
        <v>#REF!</v>
      </c>
      <c r="F67" s="103" t="e">
        <f>VLOOKUP($C67,#REF!,7,0)</f>
        <v>#REF!</v>
      </c>
      <c r="G67" s="103" t="e">
        <f>VLOOKUP($C67,#REF!,8,0)</f>
        <v>#REF!</v>
      </c>
      <c r="H67" s="110" t="e">
        <f>VLOOKUP($C67,#REF!,9,0)</f>
        <v>#REF!</v>
      </c>
      <c r="I67" s="5"/>
      <c r="J67" s="105" t="e">
        <f>VLOOKUP($C67,#REF!,10,0)</f>
        <v>#REF!</v>
      </c>
      <c r="K67" s="106" t="e">
        <f>VLOOKUP($C67,#REF!,11,0)</f>
        <v>#REF!</v>
      </c>
      <c r="L67" s="34"/>
      <c r="M67" s="105" t="e">
        <f>VLOOKUP($C67,#REF!,12,0)</f>
        <v>#REF!</v>
      </c>
      <c r="N67" s="34" t="e">
        <f>VLOOKUP($C67,#REF!,13,0)</f>
        <v>#REF!</v>
      </c>
      <c r="O67" s="105" t="e">
        <f>VLOOKUP($C67,#REF!,14,0)</f>
        <v>#REF!</v>
      </c>
      <c r="P67" s="34" t="e">
        <f>VLOOKUP($C67,#REF!,15,0)</f>
        <v>#REF!</v>
      </c>
      <c r="Q67" s="105" t="e">
        <f>VLOOKUP($C67,#REF!,16,0)</f>
        <v>#REF!</v>
      </c>
      <c r="R67" s="106" t="e">
        <f>VLOOKUP($C67,#REF!,17,0)</f>
        <v>#REF!</v>
      </c>
      <c r="S67" s="34" t="e">
        <f>VLOOKUP($C67,#REF!,18,0)</f>
        <v>#REF!</v>
      </c>
      <c r="T67" s="106" t="e">
        <f>VLOOKUP($C67,#REF!,19,0)</f>
        <v>#REF!</v>
      </c>
      <c r="U67" s="34"/>
      <c r="V67" s="105" t="e">
        <f>VLOOKUP($C67,#REF!,20,0)</f>
        <v>#REF!</v>
      </c>
      <c r="W67" s="34" t="e">
        <f>VLOOKUP($C67,#REF!,21,0)</f>
        <v>#REF!</v>
      </c>
      <c r="X67" s="105" t="e">
        <f>VLOOKUP($C67,#REF!,22,0)</f>
        <v>#REF!</v>
      </c>
      <c r="Y67" s="34" t="e">
        <f>VLOOKUP($C67,#REF!,23,0)</f>
        <v>#REF!</v>
      </c>
      <c r="Z67" s="105" t="e">
        <f>VLOOKUP($C67,#REF!,24,0)</f>
        <v>#REF!</v>
      </c>
      <c r="AA67" s="106" t="e">
        <f>VLOOKUP($C67,#REF!,25,0)</f>
        <v>#REF!</v>
      </c>
      <c r="AB67" s="34" t="e">
        <f>VLOOKUP($C67,#REF!,26,0)</f>
        <v>#REF!</v>
      </c>
      <c r="AC67" s="106" t="e">
        <f>VLOOKUP($C67,#REF!,27,0)</f>
        <v>#REF!</v>
      </c>
      <c r="AE67" s="105" t="e">
        <f t="shared" si="0"/>
        <v>#REF!</v>
      </c>
      <c r="AF67" s="107" t="s">
        <v>320</v>
      </c>
      <c r="AG67" s="107" t="s">
        <v>321</v>
      </c>
      <c r="AH67" s="106" t="s">
        <v>322</v>
      </c>
      <c r="AJ67" s="105" t="s">
        <v>323</v>
      </c>
      <c r="AK67" s="107" t="s">
        <v>324</v>
      </c>
      <c r="AL67" s="107" t="s">
        <v>325</v>
      </c>
      <c r="AM67" s="107" t="s">
        <v>326</v>
      </c>
      <c r="AN67" s="107" t="s">
        <v>326</v>
      </c>
      <c r="AO67" s="106" t="s">
        <v>320</v>
      </c>
      <c r="AQ67" s="108">
        <v>0</v>
      </c>
      <c r="AR67" s="5"/>
      <c r="AS67" s="105">
        <v>0</v>
      </c>
      <c r="AT67" s="106">
        <v>0</v>
      </c>
      <c r="AU67" s="34"/>
      <c r="AV67" s="105">
        <f t="shared" si="25"/>
        <v>0</v>
      </c>
      <c r="AW67" s="106">
        <f t="shared" si="26"/>
        <v>0</v>
      </c>
      <c r="AX67" s="105">
        <f t="shared" si="3"/>
        <v>0</v>
      </c>
      <c r="AY67" s="106">
        <f t="shared" si="4"/>
        <v>0</v>
      </c>
      <c r="AZ67" s="105">
        <f t="shared" si="5"/>
        <v>0</v>
      </c>
      <c r="BA67" s="106">
        <f t="shared" si="6"/>
        <v>0</v>
      </c>
      <c r="BB67" s="34">
        <f t="shared" si="7"/>
        <v>0</v>
      </c>
      <c r="BC67" s="106">
        <f t="shared" si="8"/>
        <v>0</v>
      </c>
      <c r="BD67" s="34"/>
      <c r="BE67" s="105">
        <f t="shared" si="9"/>
        <v>0</v>
      </c>
      <c r="BF67" s="106">
        <f t="shared" si="10"/>
        <v>0</v>
      </c>
      <c r="BG67" s="105">
        <f t="shared" si="11"/>
        <v>0</v>
      </c>
      <c r="BH67" s="106">
        <f t="shared" si="12"/>
        <v>0</v>
      </c>
      <c r="BI67" s="34">
        <f t="shared" si="13"/>
        <v>0</v>
      </c>
      <c r="BJ67" s="106">
        <f t="shared" si="14"/>
        <v>0</v>
      </c>
      <c r="BK67" s="34">
        <f t="shared" si="15"/>
        <v>0</v>
      </c>
      <c r="BL67" s="106">
        <f t="shared" si="16"/>
        <v>0</v>
      </c>
      <c r="BN67" s="108">
        <v>0</v>
      </c>
      <c r="BO67" s="5"/>
      <c r="BP67" s="105">
        <v>0</v>
      </c>
      <c r="BQ67" s="106">
        <v>0</v>
      </c>
      <c r="BR67" s="34"/>
      <c r="BS67" s="105">
        <v>0</v>
      </c>
      <c r="BT67" s="106">
        <v>0</v>
      </c>
      <c r="BU67" s="105">
        <v>0</v>
      </c>
      <c r="BV67" s="106">
        <v>0</v>
      </c>
      <c r="BW67" s="105">
        <v>0</v>
      </c>
      <c r="BX67" s="106">
        <v>0</v>
      </c>
      <c r="BY67" s="105">
        <v>0</v>
      </c>
      <c r="BZ67" s="106">
        <v>0</v>
      </c>
      <c r="CA67" s="34"/>
      <c r="CB67" s="105">
        <v>0</v>
      </c>
      <c r="CC67" s="106">
        <v>0</v>
      </c>
      <c r="CD67" s="105">
        <v>0</v>
      </c>
      <c r="CE67" s="106">
        <v>0</v>
      </c>
      <c r="CF67" s="105">
        <v>0</v>
      </c>
      <c r="CG67" s="106">
        <v>0</v>
      </c>
      <c r="CH67" s="105">
        <v>0</v>
      </c>
      <c r="CI67" s="106">
        <v>0</v>
      </c>
      <c r="CK67" s="78"/>
      <c r="CL67" s="5"/>
      <c r="CM67" s="38" t="str">
        <f t="shared" si="17"/>
        <v>-</v>
      </c>
      <c r="CN67" s="5"/>
      <c r="CO67" s="38" t="str">
        <f t="shared" si="18"/>
        <v>-</v>
      </c>
      <c r="CP67" s="38" t="str">
        <f t="shared" si="19"/>
        <v>-</v>
      </c>
      <c r="CQ67" s="38" t="str">
        <f t="shared" si="20"/>
        <v>-</v>
      </c>
      <c r="CR67" s="38" t="str">
        <f t="shared" si="20"/>
        <v>-</v>
      </c>
      <c r="CS67" s="5"/>
      <c r="CT67" s="38" t="str">
        <f t="shared" si="21"/>
        <v>-</v>
      </c>
      <c r="CU67" s="38" t="str">
        <f t="shared" si="22"/>
        <v>-</v>
      </c>
      <c r="CV67" s="38" t="str">
        <f t="shared" si="23"/>
        <v>-</v>
      </c>
      <c r="CW67" s="38" t="str">
        <f t="shared" si="24"/>
        <v>-</v>
      </c>
    </row>
    <row r="68" spans="2:101" s="113" customFormat="1" ht="12.75" customHeight="1">
      <c r="B68" s="99" t="s">
        <v>57</v>
      </c>
      <c r="C68" s="98" t="s">
        <v>207</v>
      </c>
      <c r="D68" s="114" t="e">
        <f>VLOOKUP($C68,#REF!,5,0)</f>
        <v>#REF!</v>
      </c>
      <c r="E68" s="115" t="e">
        <f>VLOOKUP($C68,#REF!,6,0)</f>
        <v>#REF!</v>
      </c>
      <c r="F68" s="98" t="e">
        <f>VLOOKUP($C68,#REF!,7,0)</f>
        <v>#REF!</v>
      </c>
      <c r="G68" s="98" t="e">
        <f>VLOOKUP($C68,#REF!,8,0)</f>
        <v>#REF!</v>
      </c>
      <c r="H68" s="116" t="e">
        <f>VLOOKUP($C68,#REF!,9,0)</f>
        <v>#REF!</v>
      </c>
      <c r="I68" s="5"/>
      <c r="J68" s="118" t="e">
        <f>VLOOKUP($C68,#REF!,10,0)</f>
        <v>#REF!</v>
      </c>
      <c r="K68" s="119" t="e">
        <f>VLOOKUP($C68,#REF!,11,0)</f>
        <v>#REF!</v>
      </c>
      <c r="L68" s="34"/>
      <c r="M68" s="118" t="e">
        <f>VLOOKUP($C68,#REF!,12,0)</f>
        <v>#REF!</v>
      </c>
      <c r="N68" s="120" t="e">
        <f>VLOOKUP($C68,#REF!,13,0)</f>
        <v>#REF!</v>
      </c>
      <c r="O68" s="118" t="e">
        <f>VLOOKUP($C68,#REF!,14,0)</f>
        <v>#REF!</v>
      </c>
      <c r="P68" s="120" t="e">
        <f>VLOOKUP($C68,#REF!,15,0)</f>
        <v>#REF!</v>
      </c>
      <c r="Q68" s="118" t="e">
        <f>VLOOKUP($C68,#REF!,16,0)</f>
        <v>#REF!</v>
      </c>
      <c r="R68" s="119" t="e">
        <f>VLOOKUP($C68,#REF!,17,0)</f>
        <v>#REF!</v>
      </c>
      <c r="S68" s="120" t="e">
        <f>VLOOKUP($C68,#REF!,18,0)</f>
        <v>#REF!</v>
      </c>
      <c r="T68" s="119" t="e">
        <f>VLOOKUP($C68,#REF!,19,0)</f>
        <v>#REF!</v>
      </c>
      <c r="U68" s="34"/>
      <c r="V68" s="118" t="e">
        <f>VLOOKUP($C68,#REF!,20,0)</f>
        <v>#REF!</v>
      </c>
      <c r="W68" s="120" t="e">
        <f>VLOOKUP($C68,#REF!,21,0)</f>
        <v>#REF!</v>
      </c>
      <c r="X68" s="118" t="e">
        <f>VLOOKUP($C68,#REF!,22,0)</f>
        <v>#REF!</v>
      </c>
      <c r="Y68" s="120" t="e">
        <f>VLOOKUP($C68,#REF!,23,0)</f>
        <v>#REF!</v>
      </c>
      <c r="Z68" s="118" t="e">
        <f>VLOOKUP($C68,#REF!,24,0)</f>
        <v>#REF!</v>
      </c>
      <c r="AA68" s="119" t="e">
        <f>VLOOKUP($C68,#REF!,25,0)</f>
        <v>#REF!</v>
      </c>
      <c r="AB68" s="120" t="e">
        <f>VLOOKUP($C68,#REF!,26,0)</f>
        <v>#REF!</v>
      </c>
      <c r="AC68" s="119" t="e">
        <f>VLOOKUP($C68,#REF!,27,0)</f>
        <v>#REF!</v>
      </c>
      <c r="AD68" s="4"/>
      <c r="AE68" s="118" t="e">
        <f t="shared" si="0"/>
        <v>#REF!</v>
      </c>
      <c r="AF68" s="121" t="s">
        <v>320</v>
      </c>
      <c r="AG68" s="121" t="s">
        <v>321</v>
      </c>
      <c r="AH68" s="119" t="s">
        <v>322</v>
      </c>
      <c r="AI68" s="4"/>
      <c r="AJ68" s="118" t="s">
        <v>323</v>
      </c>
      <c r="AK68" s="121" t="s">
        <v>324</v>
      </c>
      <c r="AL68" s="121" t="s">
        <v>325</v>
      </c>
      <c r="AM68" s="121" t="s">
        <v>326</v>
      </c>
      <c r="AN68" s="121" t="s">
        <v>326</v>
      </c>
      <c r="AO68" s="119" t="s">
        <v>320</v>
      </c>
      <c r="AP68" s="4"/>
      <c r="AQ68" s="122">
        <v>1</v>
      </c>
      <c r="AR68" s="5"/>
      <c r="AS68" s="118">
        <v>0</v>
      </c>
      <c r="AT68" s="119">
        <v>0</v>
      </c>
      <c r="AU68" s="34"/>
      <c r="AV68" s="118">
        <f t="shared" si="25"/>
        <v>0</v>
      </c>
      <c r="AW68" s="119">
        <f t="shared" si="26"/>
        <v>0</v>
      </c>
      <c r="AX68" s="118">
        <f t="shared" si="3"/>
        <v>0</v>
      </c>
      <c r="AY68" s="119">
        <f t="shared" si="4"/>
        <v>0</v>
      </c>
      <c r="AZ68" s="118">
        <f t="shared" si="5"/>
        <v>0</v>
      </c>
      <c r="BA68" s="119">
        <f t="shared" si="6"/>
        <v>0</v>
      </c>
      <c r="BB68" s="120">
        <f t="shared" si="7"/>
        <v>0</v>
      </c>
      <c r="BC68" s="119">
        <f t="shared" si="8"/>
        <v>0</v>
      </c>
      <c r="BD68" s="34"/>
      <c r="BE68" s="118">
        <f t="shared" si="9"/>
        <v>0</v>
      </c>
      <c r="BF68" s="119">
        <f t="shared" si="10"/>
        <v>0</v>
      </c>
      <c r="BG68" s="118">
        <f t="shared" si="11"/>
        <v>0</v>
      </c>
      <c r="BH68" s="119">
        <f t="shared" si="12"/>
        <v>0</v>
      </c>
      <c r="BI68" s="120">
        <f t="shared" si="13"/>
        <v>0</v>
      </c>
      <c r="BJ68" s="119">
        <f t="shared" si="14"/>
        <v>0</v>
      </c>
      <c r="BK68" s="120">
        <f t="shared" si="15"/>
        <v>0</v>
      </c>
      <c r="BL68" s="119">
        <f t="shared" si="16"/>
        <v>0</v>
      </c>
      <c r="BM68" s="4"/>
      <c r="BN68" s="122">
        <v>0</v>
      </c>
      <c r="BO68" s="117"/>
      <c r="BP68" s="118">
        <v>0</v>
      </c>
      <c r="BQ68" s="119">
        <v>0</v>
      </c>
      <c r="BR68" s="120"/>
      <c r="BS68" s="118">
        <v>0</v>
      </c>
      <c r="BT68" s="119">
        <v>0</v>
      </c>
      <c r="BU68" s="118">
        <v>0</v>
      </c>
      <c r="BV68" s="119">
        <v>0</v>
      </c>
      <c r="BW68" s="118">
        <v>0</v>
      </c>
      <c r="BX68" s="119">
        <v>0</v>
      </c>
      <c r="BY68" s="118">
        <v>0</v>
      </c>
      <c r="BZ68" s="119">
        <v>0</v>
      </c>
      <c r="CA68" s="120"/>
      <c r="CB68" s="118">
        <v>0</v>
      </c>
      <c r="CC68" s="119">
        <v>0</v>
      </c>
      <c r="CD68" s="118">
        <v>0</v>
      </c>
      <c r="CE68" s="119">
        <v>0</v>
      </c>
      <c r="CF68" s="118">
        <v>0</v>
      </c>
      <c r="CG68" s="119">
        <v>0</v>
      </c>
      <c r="CH68" s="118">
        <v>0</v>
      </c>
      <c r="CI68" s="119">
        <v>0</v>
      </c>
      <c r="CJ68" s="4"/>
      <c r="CK68" s="79"/>
      <c r="CL68" s="5"/>
      <c r="CM68" s="39" t="str">
        <f t="shared" si="17"/>
        <v>-</v>
      </c>
      <c r="CN68" s="5"/>
      <c r="CO68" s="39" t="str">
        <f t="shared" si="18"/>
        <v>-</v>
      </c>
      <c r="CP68" s="39" t="str">
        <f t="shared" si="19"/>
        <v>-</v>
      </c>
      <c r="CQ68" s="39" t="str">
        <f t="shared" si="20"/>
        <v>-</v>
      </c>
      <c r="CR68" s="39" t="str">
        <f t="shared" si="20"/>
        <v>-</v>
      </c>
      <c r="CS68" s="5"/>
      <c r="CT68" s="39" t="str">
        <f t="shared" si="21"/>
        <v>-</v>
      </c>
      <c r="CU68" s="39" t="str">
        <f t="shared" si="22"/>
        <v>-</v>
      </c>
      <c r="CV68" s="39" t="str">
        <f t="shared" si="23"/>
        <v>-</v>
      </c>
      <c r="CW68" s="39" t="str">
        <f t="shared" si="24"/>
        <v>-</v>
      </c>
    </row>
    <row r="69" spans="2:101" s="4" customFormat="1" ht="12.75" customHeight="1">
      <c r="B69" s="102" t="s">
        <v>57</v>
      </c>
      <c r="C69" s="103" t="s">
        <v>208</v>
      </c>
      <c r="D69" s="104" t="e">
        <f>VLOOKUP($C69,#REF!,5,0)</f>
        <v>#REF!</v>
      </c>
      <c r="E69" s="109" t="e">
        <f>VLOOKUP($C69,#REF!,6,0)</f>
        <v>#REF!</v>
      </c>
      <c r="F69" s="103" t="e">
        <f>VLOOKUP($C69,#REF!,7,0)</f>
        <v>#REF!</v>
      </c>
      <c r="G69" s="103" t="e">
        <f>VLOOKUP($C69,#REF!,8,0)</f>
        <v>#REF!</v>
      </c>
      <c r="H69" s="110" t="e">
        <f>VLOOKUP($C69,#REF!,9,0)</f>
        <v>#REF!</v>
      </c>
      <c r="I69" s="5"/>
      <c r="J69" s="105" t="e">
        <f>VLOOKUP($C69,#REF!,10,0)</f>
        <v>#REF!</v>
      </c>
      <c r="K69" s="106" t="e">
        <f>VLOOKUP($C69,#REF!,11,0)</f>
        <v>#REF!</v>
      </c>
      <c r="L69" s="34"/>
      <c r="M69" s="105" t="e">
        <f>VLOOKUP($C69,#REF!,12,0)</f>
        <v>#REF!</v>
      </c>
      <c r="N69" s="34" t="e">
        <f>VLOOKUP($C69,#REF!,13,0)</f>
        <v>#REF!</v>
      </c>
      <c r="O69" s="105" t="e">
        <f>VLOOKUP($C69,#REF!,14,0)</f>
        <v>#REF!</v>
      </c>
      <c r="P69" s="34" t="e">
        <f>VLOOKUP($C69,#REF!,15,0)</f>
        <v>#REF!</v>
      </c>
      <c r="Q69" s="105" t="e">
        <f>VLOOKUP($C69,#REF!,16,0)</f>
        <v>#REF!</v>
      </c>
      <c r="R69" s="106" t="e">
        <f>VLOOKUP($C69,#REF!,17,0)</f>
        <v>#REF!</v>
      </c>
      <c r="S69" s="34" t="e">
        <f>VLOOKUP($C69,#REF!,18,0)</f>
        <v>#REF!</v>
      </c>
      <c r="T69" s="106" t="e">
        <f>VLOOKUP($C69,#REF!,19,0)</f>
        <v>#REF!</v>
      </c>
      <c r="U69" s="34"/>
      <c r="V69" s="105" t="e">
        <f>VLOOKUP($C69,#REF!,20,0)</f>
        <v>#REF!</v>
      </c>
      <c r="W69" s="34" t="e">
        <f>VLOOKUP($C69,#REF!,21,0)</f>
        <v>#REF!</v>
      </c>
      <c r="X69" s="105" t="e">
        <f>VLOOKUP($C69,#REF!,22,0)</f>
        <v>#REF!</v>
      </c>
      <c r="Y69" s="34" t="e">
        <f>VLOOKUP($C69,#REF!,23,0)</f>
        <v>#REF!</v>
      </c>
      <c r="Z69" s="105" t="e">
        <f>VLOOKUP($C69,#REF!,24,0)</f>
        <v>#REF!</v>
      </c>
      <c r="AA69" s="106" t="e">
        <f>VLOOKUP($C69,#REF!,25,0)</f>
        <v>#REF!</v>
      </c>
      <c r="AB69" s="34" t="e">
        <f>VLOOKUP($C69,#REF!,26,0)</f>
        <v>#REF!</v>
      </c>
      <c r="AC69" s="106" t="e">
        <f>VLOOKUP($C69,#REF!,27,0)</f>
        <v>#REF!</v>
      </c>
      <c r="AE69" s="105" t="e">
        <f t="shared" si="0"/>
        <v>#REF!</v>
      </c>
      <c r="AF69" s="107" t="s">
        <v>320</v>
      </c>
      <c r="AG69" s="107" t="s">
        <v>321</v>
      </c>
      <c r="AH69" s="106" t="s">
        <v>322</v>
      </c>
      <c r="AJ69" s="105" t="s">
        <v>323</v>
      </c>
      <c r="AK69" s="107" t="s">
        <v>324</v>
      </c>
      <c r="AL69" s="107" t="s">
        <v>325</v>
      </c>
      <c r="AM69" s="107" t="s">
        <v>326</v>
      </c>
      <c r="AN69" s="107" t="s">
        <v>326</v>
      </c>
      <c r="AO69" s="106" t="s">
        <v>320</v>
      </c>
      <c r="AQ69" s="108">
        <v>0</v>
      </c>
      <c r="AR69" s="5"/>
      <c r="AS69" s="105">
        <v>0</v>
      </c>
      <c r="AT69" s="106">
        <v>0</v>
      </c>
      <c r="AU69" s="34"/>
      <c r="AV69" s="105">
        <f t="shared" si="25"/>
        <v>0</v>
      </c>
      <c r="AW69" s="106">
        <f t="shared" si="26"/>
        <v>0</v>
      </c>
      <c r="AX69" s="105">
        <f t="shared" si="3"/>
        <v>0</v>
      </c>
      <c r="AY69" s="106">
        <f t="shared" si="4"/>
        <v>0</v>
      </c>
      <c r="AZ69" s="105">
        <f t="shared" si="5"/>
        <v>0</v>
      </c>
      <c r="BA69" s="106">
        <f t="shared" si="6"/>
        <v>0</v>
      </c>
      <c r="BB69" s="34">
        <f t="shared" si="7"/>
        <v>0</v>
      </c>
      <c r="BC69" s="106">
        <f t="shared" si="8"/>
        <v>0</v>
      </c>
      <c r="BD69" s="34"/>
      <c r="BE69" s="105">
        <f t="shared" si="9"/>
        <v>0</v>
      </c>
      <c r="BF69" s="106">
        <f t="shared" si="10"/>
        <v>0</v>
      </c>
      <c r="BG69" s="105">
        <f t="shared" si="11"/>
        <v>0</v>
      </c>
      <c r="BH69" s="106">
        <f t="shared" si="12"/>
        <v>0</v>
      </c>
      <c r="BI69" s="34">
        <f t="shared" si="13"/>
        <v>0</v>
      </c>
      <c r="BJ69" s="106">
        <f t="shared" si="14"/>
        <v>0</v>
      </c>
      <c r="BK69" s="34">
        <f t="shared" si="15"/>
        <v>0</v>
      </c>
      <c r="BL69" s="106">
        <f t="shared" si="16"/>
        <v>0</v>
      </c>
      <c r="BN69" s="108">
        <v>0</v>
      </c>
      <c r="BO69" s="5"/>
      <c r="BP69" s="105">
        <v>0</v>
      </c>
      <c r="BQ69" s="106">
        <v>0</v>
      </c>
      <c r="BR69" s="34"/>
      <c r="BS69" s="105">
        <v>0</v>
      </c>
      <c r="BT69" s="106">
        <v>0</v>
      </c>
      <c r="BU69" s="105">
        <v>0</v>
      </c>
      <c r="BV69" s="106">
        <v>0</v>
      </c>
      <c r="BW69" s="105">
        <v>0</v>
      </c>
      <c r="BX69" s="106">
        <v>0</v>
      </c>
      <c r="BY69" s="105">
        <v>0</v>
      </c>
      <c r="BZ69" s="106">
        <v>0</v>
      </c>
      <c r="CA69" s="34"/>
      <c r="CB69" s="105">
        <v>0</v>
      </c>
      <c r="CC69" s="106">
        <v>0</v>
      </c>
      <c r="CD69" s="105">
        <v>0</v>
      </c>
      <c r="CE69" s="106">
        <v>0</v>
      </c>
      <c r="CF69" s="105">
        <v>0</v>
      </c>
      <c r="CG69" s="106">
        <v>0</v>
      </c>
      <c r="CH69" s="105">
        <v>0</v>
      </c>
      <c r="CI69" s="106">
        <v>0</v>
      </c>
      <c r="CK69" s="78"/>
      <c r="CL69" s="5"/>
      <c r="CM69" s="38" t="str">
        <f t="shared" si="17"/>
        <v>-</v>
      </c>
      <c r="CN69" s="5"/>
      <c r="CO69" s="38" t="str">
        <f t="shared" si="18"/>
        <v>-</v>
      </c>
      <c r="CP69" s="38" t="str">
        <f t="shared" si="19"/>
        <v>-</v>
      </c>
      <c r="CQ69" s="38" t="str">
        <f t="shared" si="20"/>
        <v>-</v>
      </c>
      <c r="CR69" s="38" t="str">
        <f t="shared" si="20"/>
        <v>-</v>
      </c>
      <c r="CS69" s="5"/>
      <c r="CT69" s="38" t="str">
        <f t="shared" si="21"/>
        <v>-</v>
      </c>
      <c r="CU69" s="38" t="str">
        <f t="shared" si="22"/>
        <v>-</v>
      </c>
      <c r="CV69" s="38" t="str">
        <f t="shared" si="23"/>
        <v>-</v>
      </c>
      <c r="CW69" s="38" t="str">
        <f t="shared" si="24"/>
        <v>-</v>
      </c>
    </row>
    <row r="70" spans="2:101" s="113" customFormat="1" ht="12.75" customHeight="1">
      <c r="B70" s="99" t="s">
        <v>57</v>
      </c>
      <c r="C70" s="98" t="s">
        <v>240</v>
      </c>
      <c r="D70" s="114" t="e">
        <f>VLOOKUP($C70,#REF!,5,0)</f>
        <v>#REF!</v>
      </c>
      <c r="E70" s="115" t="e">
        <f>VLOOKUP($C70,#REF!,6,0)</f>
        <v>#REF!</v>
      </c>
      <c r="F70" s="98" t="e">
        <f>VLOOKUP($C70,#REF!,7,0)</f>
        <v>#REF!</v>
      </c>
      <c r="G70" s="98" t="e">
        <f>VLOOKUP($C70,#REF!,8,0)</f>
        <v>#REF!</v>
      </c>
      <c r="H70" s="116" t="e">
        <f>VLOOKUP($C70,#REF!,9,0)</f>
        <v>#REF!</v>
      </c>
      <c r="I70" s="5"/>
      <c r="J70" s="118" t="e">
        <f>VLOOKUP($C70,#REF!,10,0)</f>
        <v>#REF!</v>
      </c>
      <c r="K70" s="119" t="e">
        <f>VLOOKUP($C70,#REF!,11,0)</f>
        <v>#REF!</v>
      </c>
      <c r="L70" s="34"/>
      <c r="M70" s="118" t="e">
        <f>VLOOKUP($C70,#REF!,12,0)</f>
        <v>#REF!</v>
      </c>
      <c r="N70" s="120" t="e">
        <f>VLOOKUP($C70,#REF!,13,0)</f>
        <v>#REF!</v>
      </c>
      <c r="O70" s="118" t="e">
        <f>VLOOKUP($C70,#REF!,14,0)</f>
        <v>#REF!</v>
      </c>
      <c r="P70" s="120" t="e">
        <f>VLOOKUP($C70,#REF!,15,0)</f>
        <v>#REF!</v>
      </c>
      <c r="Q70" s="118" t="e">
        <f>VLOOKUP($C70,#REF!,16,0)</f>
        <v>#REF!</v>
      </c>
      <c r="R70" s="119" t="e">
        <f>VLOOKUP($C70,#REF!,17,0)</f>
        <v>#REF!</v>
      </c>
      <c r="S70" s="120" t="e">
        <f>VLOOKUP($C70,#REF!,18,0)</f>
        <v>#REF!</v>
      </c>
      <c r="T70" s="119" t="e">
        <f>VLOOKUP($C70,#REF!,19,0)</f>
        <v>#REF!</v>
      </c>
      <c r="U70" s="34"/>
      <c r="V70" s="118" t="e">
        <f>VLOOKUP($C70,#REF!,20,0)</f>
        <v>#REF!</v>
      </c>
      <c r="W70" s="120" t="e">
        <f>VLOOKUP($C70,#REF!,21,0)</f>
        <v>#REF!</v>
      </c>
      <c r="X70" s="118" t="e">
        <f>VLOOKUP($C70,#REF!,22,0)</f>
        <v>#REF!</v>
      </c>
      <c r="Y70" s="120" t="e">
        <f>VLOOKUP($C70,#REF!,23,0)</f>
        <v>#REF!</v>
      </c>
      <c r="Z70" s="118" t="e">
        <f>VLOOKUP($C70,#REF!,24,0)</f>
        <v>#REF!</v>
      </c>
      <c r="AA70" s="119" t="e">
        <f>VLOOKUP($C70,#REF!,25,0)</f>
        <v>#REF!</v>
      </c>
      <c r="AB70" s="120" t="e">
        <f>VLOOKUP($C70,#REF!,26,0)</f>
        <v>#REF!</v>
      </c>
      <c r="AC70" s="119" t="e">
        <f>VLOOKUP($C70,#REF!,27,0)</f>
        <v>#REF!</v>
      </c>
      <c r="AD70" s="4"/>
      <c r="AE70" s="118" t="e">
        <f t="shared" si="0"/>
        <v>#REF!</v>
      </c>
      <c r="AF70" s="121" t="s">
        <v>320</v>
      </c>
      <c r="AG70" s="121" t="s">
        <v>321</v>
      </c>
      <c r="AH70" s="119" t="s">
        <v>322</v>
      </c>
      <c r="AI70" s="4"/>
      <c r="AJ70" s="118" t="s">
        <v>323</v>
      </c>
      <c r="AK70" s="121" t="s">
        <v>324</v>
      </c>
      <c r="AL70" s="121" t="s">
        <v>325</v>
      </c>
      <c r="AM70" s="121" t="s">
        <v>326</v>
      </c>
      <c r="AN70" s="121" t="s">
        <v>326</v>
      </c>
      <c r="AO70" s="119" t="s">
        <v>320</v>
      </c>
      <c r="AP70" s="4"/>
      <c r="AQ70" s="122">
        <v>-1</v>
      </c>
      <c r="AR70" s="5"/>
      <c r="AS70" s="118">
        <v>0</v>
      </c>
      <c r="AT70" s="119">
        <v>0</v>
      </c>
      <c r="AU70" s="34"/>
      <c r="AV70" s="118">
        <f t="shared" si="25"/>
        <v>0</v>
      </c>
      <c r="AW70" s="119">
        <f t="shared" si="26"/>
        <v>0</v>
      </c>
      <c r="AX70" s="118">
        <f t="shared" si="3"/>
        <v>0</v>
      </c>
      <c r="AY70" s="119">
        <f t="shared" si="4"/>
        <v>0</v>
      </c>
      <c r="AZ70" s="118">
        <f t="shared" si="5"/>
        <v>0</v>
      </c>
      <c r="BA70" s="119">
        <f t="shared" si="6"/>
        <v>0</v>
      </c>
      <c r="BB70" s="120">
        <f t="shared" si="7"/>
        <v>0</v>
      </c>
      <c r="BC70" s="119">
        <f t="shared" si="8"/>
        <v>0</v>
      </c>
      <c r="BD70" s="34"/>
      <c r="BE70" s="118">
        <f t="shared" si="9"/>
        <v>0</v>
      </c>
      <c r="BF70" s="119">
        <f t="shared" si="10"/>
        <v>0</v>
      </c>
      <c r="BG70" s="118">
        <f t="shared" si="11"/>
        <v>0</v>
      </c>
      <c r="BH70" s="119">
        <f t="shared" si="12"/>
        <v>0</v>
      </c>
      <c r="BI70" s="120">
        <f t="shared" si="13"/>
        <v>0</v>
      </c>
      <c r="BJ70" s="119">
        <f t="shared" si="14"/>
        <v>0</v>
      </c>
      <c r="BK70" s="120">
        <f t="shared" si="15"/>
        <v>0</v>
      </c>
      <c r="BL70" s="119">
        <f t="shared" si="16"/>
        <v>0</v>
      </c>
      <c r="BM70" s="4"/>
      <c r="BN70" s="122">
        <v>0</v>
      </c>
      <c r="BO70" s="117"/>
      <c r="BP70" s="118">
        <v>0</v>
      </c>
      <c r="BQ70" s="119">
        <v>0</v>
      </c>
      <c r="BR70" s="120"/>
      <c r="BS70" s="118">
        <v>0</v>
      </c>
      <c r="BT70" s="119">
        <v>0</v>
      </c>
      <c r="BU70" s="118">
        <v>0</v>
      </c>
      <c r="BV70" s="119">
        <v>0</v>
      </c>
      <c r="BW70" s="118">
        <v>0</v>
      </c>
      <c r="BX70" s="119">
        <v>0</v>
      </c>
      <c r="BY70" s="118">
        <v>0</v>
      </c>
      <c r="BZ70" s="119">
        <v>0</v>
      </c>
      <c r="CA70" s="120"/>
      <c r="CB70" s="118">
        <v>0</v>
      </c>
      <c r="CC70" s="119">
        <v>0</v>
      </c>
      <c r="CD70" s="118">
        <v>0</v>
      </c>
      <c r="CE70" s="119">
        <v>0</v>
      </c>
      <c r="CF70" s="118">
        <v>0</v>
      </c>
      <c r="CG70" s="119">
        <v>0</v>
      </c>
      <c r="CH70" s="118">
        <v>0</v>
      </c>
      <c r="CI70" s="119">
        <v>0</v>
      </c>
      <c r="CJ70" s="4"/>
      <c r="CK70" s="79"/>
      <c r="CL70" s="5"/>
      <c r="CM70" s="39" t="str">
        <f t="shared" si="17"/>
        <v>-</v>
      </c>
      <c r="CN70" s="5"/>
      <c r="CO70" s="39" t="str">
        <f t="shared" si="18"/>
        <v>-</v>
      </c>
      <c r="CP70" s="39" t="str">
        <f t="shared" si="19"/>
        <v>-</v>
      </c>
      <c r="CQ70" s="39" t="str">
        <f t="shared" si="20"/>
        <v>-</v>
      </c>
      <c r="CR70" s="39" t="str">
        <f t="shared" si="20"/>
        <v>-</v>
      </c>
      <c r="CS70" s="5"/>
      <c r="CT70" s="39" t="str">
        <f t="shared" si="21"/>
        <v>-</v>
      </c>
      <c r="CU70" s="39" t="str">
        <f t="shared" si="22"/>
        <v>-</v>
      </c>
      <c r="CV70" s="39" t="str">
        <f t="shared" si="23"/>
        <v>-</v>
      </c>
      <c r="CW70" s="39" t="str">
        <f t="shared" si="24"/>
        <v>-</v>
      </c>
    </row>
    <row r="71" spans="2:101" s="4" customFormat="1" ht="12.75" customHeight="1">
      <c r="B71" s="102" t="s">
        <v>57</v>
      </c>
      <c r="C71" s="103" t="s">
        <v>300</v>
      </c>
      <c r="D71" s="104" t="e">
        <f>VLOOKUP($C71,#REF!,5,0)</f>
        <v>#REF!</v>
      </c>
      <c r="E71" s="109" t="e">
        <f>VLOOKUP($C71,#REF!,6,0)</f>
        <v>#REF!</v>
      </c>
      <c r="F71" s="103" t="e">
        <f>VLOOKUP($C71,#REF!,7,0)</f>
        <v>#REF!</v>
      </c>
      <c r="G71" s="103" t="e">
        <f>VLOOKUP($C71,#REF!,8,0)</f>
        <v>#REF!</v>
      </c>
      <c r="H71" s="110" t="e">
        <f>VLOOKUP($C71,#REF!,9,0)</f>
        <v>#REF!</v>
      </c>
      <c r="I71" s="5"/>
      <c r="J71" s="105" t="e">
        <f>VLOOKUP($C71,#REF!,10,0)</f>
        <v>#REF!</v>
      </c>
      <c r="K71" s="106" t="e">
        <f>VLOOKUP($C71,#REF!,11,0)</f>
        <v>#REF!</v>
      </c>
      <c r="L71" s="34"/>
      <c r="M71" s="105" t="e">
        <f>VLOOKUP($C71,#REF!,12,0)</f>
        <v>#REF!</v>
      </c>
      <c r="N71" s="34" t="e">
        <f>VLOOKUP($C71,#REF!,13,0)</f>
        <v>#REF!</v>
      </c>
      <c r="O71" s="105" t="e">
        <f>VLOOKUP($C71,#REF!,14,0)</f>
        <v>#REF!</v>
      </c>
      <c r="P71" s="34" t="e">
        <f>VLOOKUP($C71,#REF!,15,0)</f>
        <v>#REF!</v>
      </c>
      <c r="Q71" s="105" t="e">
        <f>VLOOKUP($C71,#REF!,16,0)</f>
        <v>#REF!</v>
      </c>
      <c r="R71" s="106" t="e">
        <f>VLOOKUP($C71,#REF!,17,0)</f>
        <v>#REF!</v>
      </c>
      <c r="S71" s="34" t="e">
        <f>VLOOKUP($C71,#REF!,18,0)</f>
        <v>#REF!</v>
      </c>
      <c r="T71" s="106" t="e">
        <f>VLOOKUP($C71,#REF!,19,0)</f>
        <v>#REF!</v>
      </c>
      <c r="U71" s="34"/>
      <c r="V71" s="105" t="e">
        <f>VLOOKUP($C71,#REF!,20,0)</f>
        <v>#REF!</v>
      </c>
      <c r="W71" s="34" t="e">
        <f>VLOOKUP($C71,#REF!,21,0)</f>
        <v>#REF!</v>
      </c>
      <c r="X71" s="105" t="e">
        <f>VLOOKUP($C71,#REF!,22,0)</f>
        <v>#REF!</v>
      </c>
      <c r="Y71" s="34" t="e">
        <f>VLOOKUP($C71,#REF!,23,0)</f>
        <v>#REF!</v>
      </c>
      <c r="Z71" s="105" t="e">
        <f>VLOOKUP($C71,#REF!,24,0)</f>
        <v>#REF!</v>
      </c>
      <c r="AA71" s="106" t="e">
        <f>VLOOKUP($C71,#REF!,25,0)</f>
        <v>#REF!</v>
      </c>
      <c r="AB71" s="34" t="e">
        <f>VLOOKUP($C71,#REF!,26,0)</f>
        <v>#REF!</v>
      </c>
      <c r="AC71" s="106" t="e">
        <f>VLOOKUP($C71,#REF!,27,0)</f>
        <v>#REF!</v>
      </c>
      <c r="AE71" s="105" t="e">
        <f t="shared" si="0"/>
        <v>#REF!</v>
      </c>
      <c r="AF71" s="107" t="s">
        <v>320</v>
      </c>
      <c r="AG71" s="107" t="s">
        <v>321</v>
      </c>
      <c r="AH71" s="106" t="s">
        <v>322</v>
      </c>
      <c r="AJ71" s="105" t="s">
        <v>323</v>
      </c>
      <c r="AK71" s="107" t="s">
        <v>324</v>
      </c>
      <c r="AL71" s="107" t="s">
        <v>325</v>
      </c>
      <c r="AM71" s="107" t="s">
        <v>326</v>
      </c>
      <c r="AN71" s="107" t="s">
        <v>326</v>
      </c>
      <c r="AO71" s="106" t="s">
        <v>320</v>
      </c>
      <c r="AQ71" s="108">
        <v>2</v>
      </c>
      <c r="AR71" s="5"/>
      <c r="AS71" s="105">
        <v>0</v>
      </c>
      <c r="AT71" s="106">
        <v>0</v>
      </c>
      <c r="AU71" s="34"/>
      <c r="AV71" s="105">
        <f t="shared" si="25"/>
        <v>0</v>
      </c>
      <c r="AW71" s="106">
        <f t="shared" si="26"/>
        <v>0</v>
      </c>
      <c r="AX71" s="105">
        <f t="shared" si="3"/>
        <v>0</v>
      </c>
      <c r="AY71" s="106">
        <f t="shared" si="4"/>
        <v>0</v>
      </c>
      <c r="AZ71" s="105">
        <f t="shared" si="5"/>
        <v>0</v>
      </c>
      <c r="BA71" s="106">
        <f t="shared" si="6"/>
        <v>0</v>
      </c>
      <c r="BB71" s="34">
        <f t="shared" si="7"/>
        <v>0</v>
      </c>
      <c r="BC71" s="106">
        <f t="shared" si="8"/>
        <v>0</v>
      </c>
      <c r="BD71" s="34"/>
      <c r="BE71" s="105">
        <f t="shared" si="9"/>
        <v>0</v>
      </c>
      <c r="BF71" s="106">
        <f t="shared" si="10"/>
        <v>0</v>
      </c>
      <c r="BG71" s="105">
        <f t="shared" si="11"/>
        <v>0</v>
      </c>
      <c r="BH71" s="106">
        <f t="shared" si="12"/>
        <v>0</v>
      </c>
      <c r="BI71" s="34">
        <f t="shared" si="13"/>
        <v>0</v>
      </c>
      <c r="BJ71" s="106">
        <f t="shared" si="14"/>
        <v>0</v>
      </c>
      <c r="BK71" s="34">
        <f t="shared" si="15"/>
        <v>0</v>
      </c>
      <c r="BL71" s="106">
        <f t="shared" si="16"/>
        <v>0</v>
      </c>
      <c r="BN71" s="108" t="e">
        <v>#N/A</v>
      </c>
      <c r="BO71" s="5"/>
      <c r="BP71" s="105" t="e">
        <v>#N/A</v>
      </c>
      <c r="BQ71" s="106" t="e">
        <v>#N/A</v>
      </c>
      <c r="BR71" s="34"/>
      <c r="BS71" s="105" t="e">
        <v>#N/A</v>
      </c>
      <c r="BT71" s="106" t="e">
        <v>#N/A</v>
      </c>
      <c r="BU71" s="105" t="e">
        <v>#N/A</v>
      </c>
      <c r="BV71" s="106" t="e">
        <v>#N/A</v>
      </c>
      <c r="BW71" s="105" t="e">
        <v>#N/A</v>
      </c>
      <c r="BX71" s="106" t="e">
        <v>#N/A</v>
      </c>
      <c r="BY71" s="105" t="e">
        <v>#N/A</v>
      </c>
      <c r="BZ71" s="106" t="e">
        <v>#N/A</v>
      </c>
      <c r="CA71" s="34"/>
      <c r="CB71" s="105" t="e">
        <v>#N/A</v>
      </c>
      <c r="CC71" s="106" t="e">
        <v>#N/A</v>
      </c>
      <c r="CD71" s="105" t="e">
        <v>#N/A</v>
      </c>
      <c r="CE71" s="106" t="e">
        <v>#N/A</v>
      </c>
      <c r="CF71" s="105" t="e">
        <v>#N/A</v>
      </c>
      <c r="CG71" s="106" t="e">
        <v>#N/A</v>
      </c>
      <c r="CH71" s="105" t="e">
        <v>#N/A</v>
      </c>
      <c r="CI71" s="106" t="e">
        <v>#N/A</v>
      </c>
      <c r="CK71" s="78"/>
      <c r="CL71" s="5"/>
      <c r="CM71" s="38" t="str">
        <f t="shared" si="17"/>
        <v>-</v>
      </c>
      <c r="CN71" s="5"/>
      <c r="CO71" s="38" t="str">
        <f t="shared" si="18"/>
        <v>-</v>
      </c>
      <c r="CP71" s="38" t="str">
        <f t="shared" si="19"/>
        <v>-</v>
      </c>
      <c r="CQ71" s="38" t="str">
        <f t="shared" si="20"/>
        <v>-</v>
      </c>
      <c r="CR71" s="38" t="str">
        <f t="shared" si="20"/>
        <v>-</v>
      </c>
      <c r="CS71" s="5"/>
      <c r="CT71" s="38" t="str">
        <f t="shared" si="21"/>
        <v>-</v>
      </c>
      <c r="CU71" s="38" t="str">
        <f t="shared" si="22"/>
        <v>-</v>
      </c>
      <c r="CV71" s="38" t="str">
        <f t="shared" si="23"/>
        <v>-</v>
      </c>
      <c r="CW71" s="38" t="str">
        <f t="shared" si="24"/>
        <v>-</v>
      </c>
    </row>
    <row r="72" spans="2:101" s="113" customFormat="1" ht="12.75" customHeight="1">
      <c r="B72" s="99" t="s">
        <v>57</v>
      </c>
      <c r="C72" s="98" t="s">
        <v>88</v>
      </c>
      <c r="D72" s="114" t="e">
        <f>VLOOKUP($C72,#REF!,5,0)</f>
        <v>#REF!</v>
      </c>
      <c r="E72" s="115" t="e">
        <f>VLOOKUP($C72,#REF!,6,0)</f>
        <v>#REF!</v>
      </c>
      <c r="F72" s="98" t="e">
        <f>VLOOKUP($C72,#REF!,7,0)</f>
        <v>#REF!</v>
      </c>
      <c r="G72" s="98" t="e">
        <f>VLOOKUP($C72,#REF!,8,0)</f>
        <v>#REF!</v>
      </c>
      <c r="H72" s="116" t="e">
        <f>VLOOKUP($C72,#REF!,9,0)</f>
        <v>#REF!</v>
      </c>
      <c r="I72" s="5"/>
      <c r="J72" s="118" t="e">
        <f>VLOOKUP($C72,#REF!,10,0)</f>
        <v>#REF!</v>
      </c>
      <c r="K72" s="119" t="e">
        <f>VLOOKUP($C72,#REF!,11,0)</f>
        <v>#REF!</v>
      </c>
      <c r="L72" s="34"/>
      <c r="M72" s="118" t="e">
        <f>VLOOKUP($C72,#REF!,12,0)</f>
        <v>#REF!</v>
      </c>
      <c r="N72" s="120" t="e">
        <f>VLOOKUP($C72,#REF!,13,0)</f>
        <v>#REF!</v>
      </c>
      <c r="O72" s="118" t="e">
        <f>VLOOKUP($C72,#REF!,14,0)</f>
        <v>#REF!</v>
      </c>
      <c r="P72" s="120" t="e">
        <f>VLOOKUP($C72,#REF!,15,0)</f>
        <v>#REF!</v>
      </c>
      <c r="Q72" s="118" t="e">
        <f>VLOOKUP($C72,#REF!,16,0)</f>
        <v>#REF!</v>
      </c>
      <c r="R72" s="119" t="e">
        <f>VLOOKUP($C72,#REF!,17,0)</f>
        <v>#REF!</v>
      </c>
      <c r="S72" s="120" t="e">
        <f>VLOOKUP($C72,#REF!,18,0)</f>
        <v>#REF!</v>
      </c>
      <c r="T72" s="119" t="e">
        <f>VLOOKUP($C72,#REF!,19,0)</f>
        <v>#REF!</v>
      </c>
      <c r="U72" s="34"/>
      <c r="V72" s="118" t="e">
        <f>VLOOKUP($C72,#REF!,20,0)</f>
        <v>#REF!</v>
      </c>
      <c r="W72" s="120" t="e">
        <f>VLOOKUP($C72,#REF!,21,0)</f>
        <v>#REF!</v>
      </c>
      <c r="X72" s="118" t="e">
        <f>VLOOKUP($C72,#REF!,22,0)</f>
        <v>#REF!</v>
      </c>
      <c r="Y72" s="120" t="e">
        <f>VLOOKUP($C72,#REF!,23,0)</f>
        <v>#REF!</v>
      </c>
      <c r="Z72" s="118" t="e">
        <f>VLOOKUP($C72,#REF!,24,0)</f>
        <v>#REF!</v>
      </c>
      <c r="AA72" s="119" t="e">
        <f>VLOOKUP($C72,#REF!,25,0)</f>
        <v>#REF!</v>
      </c>
      <c r="AB72" s="120" t="e">
        <f>VLOOKUP($C72,#REF!,26,0)</f>
        <v>#REF!</v>
      </c>
      <c r="AC72" s="119" t="e">
        <f>VLOOKUP($C72,#REF!,27,0)</f>
        <v>#REF!</v>
      </c>
      <c r="AD72" s="4"/>
      <c r="AE72" s="118" t="e">
        <f t="shared" si="0"/>
        <v>#REF!</v>
      </c>
      <c r="AF72" s="121" t="s">
        <v>320</v>
      </c>
      <c r="AG72" s="121" t="s">
        <v>321</v>
      </c>
      <c r="AH72" s="119" t="s">
        <v>322</v>
      </c>
      <c r="AI72" s="4"/>
      <c r="AJ72" s="118" t="s">
        <v>323</v>
      </c>
      <c r="AK72" s="121" t="s">
        <v>324</v>
      </c>
      <c r="AL72" s="121" t="s">
        <v>325</v>
      </c>
      <c r="AM72" s="121" t="s">
        <v>326</v>
      </c>
      <c r="AN72" s="121" t="s">
        <v>326</v>
      </c>
      <c r="AO72" s="119" t="s">
        <v>320</v>
      </c>
      <c r="AP72" s="4"/>
      <c r="AQ72" s="122">
        <v>-1</v>
      </c>
      <c r="AR72" s="5"/>
      <c r="AS72" s="118">
        <v>0</v>
      </c>
      <c r="AT72" s="119">
        <v>0</v>
      </c>
      <c r="AU72" s="34"/>
      <c r="AV72" s="118">
        <f t="shared" si="25"/>
        <v>0</v>
      </c>
      <c r="AW72" s="119">
        <f t="shared" si="26"/>
        <v>0</v>
      </c>
      <c r="AX72" s="118">
        <f t="shared" si="3"/>
        <v>0</v>
      </c>
      <c r="AY72" s="119">
        <f t="shared" si="4"/>
        <v>0</v>
      </c>
      <c r="AZ72" s="118">
        <f t="shared" si="5"/>
        <v>0</v>
      </c>
      <c r="BA72" s="119">
        <f t="shared" si="6"/>
        <v>0</v>
      </c>
      <c r="BB72" s="120">
        <f t="shared" si="7"/>
        <v>0</v>
      </c>
      <c r="BC72" s="119">
        <f t="shared" si="8"/>
        <v>0</v>
      </c>
      <c r="BD72" s="34"/>
      <c r="BE72" s="118">
        <f t="shared" si="9"/>
        <v>0</v>
      </c>
      <c r="BF72" s="119">
        <f t="shared" si="10"/>
        <v>0</v>
      </c>
      <c r="BG72" s="118">
        <f t="shared" si="11"/>
        <v>0</v>
      </c>
      <c r="BH72" s="119">
        <f t="shared" si="12"/>
        <v>0</v>
      </c>
      <c r="BI72" s="120">
        <f t="shared" si="13"/>
        <v>0</v>
      </c>
      <c r="BJ72" s="119">
        <f t="shared" si="14"/>
        <v>0</v>
      </c>
      <c r="BK72" s="120">
        <f t="shared" si="15"/>
        <v>0</v>
      </c>
      <c r="BL72" s="119">
        <f t="shared" si="16"/>
        <v>0</v>
      </c>
      <c r="BM72" s="4"/>
      <c r="BN72" s="122">
        <v>0</v>
      </c>
      <c r="BO72" s="117"/>
      <c r="BP72" s="118">
        <v>0</v>
      </c>
      <c r="BQ72" s="119">
        <v>0</v>
      </c>
      <c r="BR72" s="120"/>
      <c r="BS72" s="118">
        <v>0</v>
      </c>
      <c r="BT72" s="119">
        <v>0</v>
      </c>
      <c r="BU72" s="118">
        <v>0</v>
      </c>
      <c r="BV72" s="119">
        <v>0</v>
      </c>
      <c r="BW72" s="118">
        <v>0</v>
      </c>
      <c r="BX72" s="119">
        <v>0</v>
      </c>
      <c r="BY72" s="118">
        <v>0</v>
      </c>
      <c r="BZ72" s="119">
        <v>0</v>
      </c>
      <c r="CA72" s="120"/>
      <c r="CB72" s="118">
        <v>0</v>
      </c>
      <c r="CC72" s="119">
        <v>0</v>
      </c>
      <c r="CD72" s="118">
        <v>0</v>
      </c>
      <c r="CE72" s="119">
        <v>0</v>
      </c>
      <c r="CF72" s="118">
        <v>0</v>
      </c>
      <c r="CG72" s="119">
        <v>0</v>
      </c>
      <c r="CH72" s="118">
        <v>0</v>
      </c>
      <c r="CI72" s="119">
        <v>0</v>
      </c>
      <c r="CJ72" s="4"/>
      <c r="CK72" s="79"/>
      <c r="CL72" s="5"/>
      <c r="CM72" s="39" t="str">
        <f t="shared" si="17"/>
        <v>-</v>
      </c>
      <c r="CN72" s="5"/>
      <c r="CO72" s="39" t="str">
        <f t="shared" si="18"/>
        <v>-</v>
      </c>
      <c r="CP72" s="39" t="str">
        <f t="shared" si="19"/>
        <v>-</v>
      </c>
      <c r="CQ72" s="39" t="str">
        <f t="shared" si="20"/>
        <v>-</v>
      </c>
      <c r="CR72" s="39" t="str">
        <f t="shared" si="20"/>
        <v>-</v>
      </c>
      <c r="CS72" s="5"/>
      <c r="CT72" s="39" t="str">
        <f t="shared" si="21"/>
        <v>-</v>
      </c>
      <c r="CU72" s="39" t="str">
        <f t="shared" si="22"/>
        <v>-</v>
      </c>
      <c r="CV72" s="39" t="str">
        <f t="shared" si="23"/>
        <v>-</v>
      </c>
      <c r="CW72" s="39" t="str">
        <f t="shared" si="24"/>
        <v>-</v>
      </c>
    </row>
    <row r="73" spans="2:101" s="4" customFormat="1" ht="12.75" customHeight="1">
      <c r="B73" s="102" t="s">
        <v>57</v>
      </c>
      <c r="C73" s="103" t="s">
        <v>123</v>
      </c>
      <c r="D73" s="104" t="e">
        <f>VLOOKUP($C73,#REF!,5,0)</f>
        <v>#REF!</v>
      </c>
      <c r="E73" s="109" t="e">
        <f>VLOOKUP($C73,#REF!,6,0)</f>
        <v>#REF!</v>
      </c>
      <c r="F73" s="103" t="e">
        <f>VLOOKUP($C73,#REF!,7,0)</f>
        <v>#REF!</v>
      </c>
      <c r="G73" s="103" t="e">
        <f>VLOOKUP($C73,#REF!,8,0)</f>
        <v>#REF!</v>
      </c>
      <c r="H73" s="110" t="e">
        <f>VLOOKUP($C73,#REF!,9,0)</f>
        <v>#REF!</v>
      </c>
      <c r="I73" s="5"/>
      <c r="J73" s="105" t="e">
        <f>VLOOKUP($C73,#REF!,10,0)</f>
        <v>#REF!</v>
      </c>
      <c r="K73" s="106" t="e">
        <f>VLOOKUP($C73,#REF!,11,0)</f>
        <v>#REF!</v>
      </c>
      <c r="L73" s="34"/>
      <c r="M73" s="105" t="e">
        <f>VLOOKUP($C73,#REF!,12,0)</f>
        <v>#REF!</v>
      </c>
      <c r="N73" s="34" t="e">
        <f>VLOOKUP($C73,#REF!,13,0)</f>
        <v>#REF!</v>
      </c>
      <c r="O73" s="105" t="e">
        <f>VLOOKUP($C73,#REF!,14,0)</f>
        <v>#REF!</v>
      </c>
      <c r="P73" s="34" t="e">
        <f>VLOOKUP($C73,#REF!,15,0)</f>
        <v>#REF!</v>
      </c>
      <c r="Q73" s="105" t="e">
        <f>VLOOKUP($C73,#REF!,16,0)</f>
        <v>#REF!</v>
      </c>
      <c r="R73" s="106" t="e">
        <f>VLOOKUP($C73,#REF!,17,0)</f>
        <v>#REF!</v>
      </c>
      <c r="S73" s="34" t="e">
        <f>VLOOKUP($C73,#REF!,18,0)</f>
        <v>#REF!</v>
      </c>
      <c r="T73" s="106" t="e">
        <f>VLOOKUP($C73,#REF!,19,0)</f>
        <v>#REF!</v>
      </c>
      <c r="U73" s="34"/>
      <c r="V73" s="105" t="e">
        <f>VLOOKUP($C73,#REF!,20,0)</f>
        <v>#REF!</v>
      </c>
      <c r="W73" s="34" t="e">
        <f>VLOOKUP($C73,#REF!,21,0)</f>
        <v>#REF!</v>
      </c>
      <c r="X73" s="105" t="e">
        <f>VLOOKUP($C73,#REF!,22,0)</f>
        <v>#REF!</v>
      </c>
      <c r="Y73" s="34" t="e">
        <f>VLOOKUP($C73,#REF!,23,0)</f>
        <v>#REF!</v>
      </c>
      <c r="Z73" s="105" t="e">
        <f>VLOOKUP($C73,#REF!,24,0)</f>
        <v>#REF!</v>
      </c>
      <c r="AA73" s="106" t="e">
        <f>VLOOKUP($C73,#REF!,25,0)</f>
        <v>#REF!</v>
      </c>
      <c r="AB73" s="34" t="e">
        <f>VLOOKUP($C73,#REF!,26,0)</f>
        <v>#REF!</v>
      </c>
      <c r="AC73" s="106" t="e">
        <f>VLOOKUP($C73,#REF!,27,0)</f>
        <v>#REF!</v>
      </c>
      <c r="AE73" s="105" t="e">
        <f t="shared" si="0"/>
        <v>#REF!</v>
      </c>
      <c r="AF73" s="107" t="s">
        <v>320</v>
      </c>
      <c r="AG73" s="107" t="s">
        <v>321</v>
      </c>
      <c r="AH73" s="106" t="s">
        <v>322</v>
      </c>
      <c r="AJ73" s="105" t="s">
        <v>323</v>
      </c>
      <c r="AK73" s="107" t="s">
        <v>324</v>
      </c>
      <c r="AL73" s="107" t="s">
        <v>325</v>
      </c>
      <c r="AM73" s="107" t="s">
        <v>326</v>
      </c>
      <c r="AN73" s="107" t="s">
        <v>326</v>
      </c>
      <c r="AO73" s="106" t="s">
        <v>320</v>
      </c>
      <c r="AQ73" s="108">
        <v>0</v>
      </c>
      <c r="AR73" s="5"/>
      <c r="AS73" s="105">
        <v>0</v>
      </c>
      <c r="AT73" s="106">
        <v>0</v>
      </c>
      <c r="AU73" s="34"/>
      <c r="AV73" s="105">
        <f t="shared" si="25"/>
        <v>0</v>
      </c>
      <c r="AW73" s="106">
        <f t="shared" si="26"/>
        <v>0</v>
      </c>
      <c r="AX73" s="105">
        <f t="shared" si="3"/>
        <v>0</v>
      </c>
      <c r="AY73" s="106">
        <f t="shared" si="4"/>
        <v>0</v>
      </c>
      <c r="AZ73" s="105">
        <f t="shared" si="5"/>
        <v>0</v>
      </c>
      <c r="BA73" s="106">
        <f t="shared" si="6"/>
        <v>0</v>
      </c>
      <c r="BB73" s="34">
        <f t="shared" si="7"/>
        <v>0</v>
      </c>
      <c r="BC73" s="106">
        <f t="shared" si="8"/>
        <v>0</v>
      </c>
      <c r="BD73" s="34"/>
      <c r="BE73" s="105">
        <f t="shared" si="9"/>
        <v>0</v>
      </c>
      <c r="BF73" s="106">
        <f t="shared" si="10"/>
        <v>0</v>
      </c>
      <c r="BG73" s="105">
        <f t="shared" si="11"/>
        <v>0</v>
      </c>
      <c r="BH73" s="106">
        <f t="shared" si="12"/>
        <v>0</v>
      </c>
      <c r="BI73" s="34">
        <f t="shared" si="13"/>
        <v>0</v>
      </c>
      <c r="BJ73" s="106">
        <f t="shared" si="14"/>
        <v>0</v>
      </c>
      <c r="BK73" s="34">
        <f t="shared" si="15"/>
        <v>0</v>
      </c>
      <c r="BL73" s="106">
        <f t="shared" si="16"/>
        <v>0</v>
      </c>
      <c r="BN73" s="108">
        <v>0</v>
      </c>
      <c r="BO73" s="5"/>
      <c r="BP73" s="105">
        <v>0</v>
      </c>
      <c r="BQ73" s="106">
        <v>0</v>
      </c>
      <c r="BR73" s="34"/>
      <c r="BS73" s="105">
        <v>0</v>
      </c>
      <c r="BT73" s="106">
        <v>0</v>
      </c>
      <c r="BU73" s="105">
        <v>0</v>
      </c>
      <c r="BV73" s="106">
        <v>0</v>
      </c>
      <c r="BW73" s="105">
        <v>0</v>
      </c>
      <c r="BX73" s="106">
        <v>0</v>
      </c>
      <c r="BY73" s="105">
        <v>0</v>
      </c>
      <c r="BZ73" s="106">
        <v>0</v>
      </c>
      <c r="CA73" s="34"/>
      <c r="CB73" s="105">
        <v>0</v>
      </c>
      <c r="CC73" s="106">
        <v>0</v>
      </c>
      <c r="CD73" s="105">
        <v>0</v>
      </c>
      <c r="CE73" s="106">
        <v>0</v>
      </c>
      <c r="CF73" s="105">
        <v>0</v>
      </c>
      <c r="CG73" s="106">
        <v>0</v>
      </c>
      <c r="CH73" s="105">
        <v>0</v>
      </c>
      <c r="CI73" s="106">
        <v>0</v>
      </c>
      <c r="CK73" s="78"/>
      <c r="CL73" s="5"/>
      <c r="CM73" s="38" t="str">
        <f t="shared" si="17"/>
        <v>-</v>
      </c>
      <c r="CN73" s="5"/>
      <c r="CO73" s="38" t="str">
        <f t="shared" si="18"/>
        <v>-</v>
      </c>
      <c r="CP73" s="38" t="str">
        <f t="shared" si="19"/>
        <v>-</v>
      </c>
      <c r="CQ73" s="38" t="str">
        <f t="shared" si="20"/>
        <v>-</v>
      </c>
      <c r="CR73" s="38" t="str">
        <f t="shared" si="20"/>
        <v>-</v>
      </c>
      <c r="CS73" s="5"/>
      <c r="CT73" s="38" t="str">
        <f t="shared" si="21"/>
        <v>-</v>
      </c>
      <c r="CU73" s="38" t="str">
        <f t="shared" si="22"/>
        <v>-</v>
      </c>
      <c r="CV73" s="38" t="str">
        <f t="shared" si="23"/>
        <v>-</v>
      </c>
      <c r="CW73" s="38" t="str">
        <f t="shared" si="24"/>
        <v>-</v>
      </c>
    </row>
    <row r="74" spans="2:101" s="113" customFormat="1" ht="12.75" customHeight="1">
      <c r="B74" s="99" t="s">
        <v>57</v>
      </c>
      <c r="C74" s="98" t="s">
        <v>230</v>
      </c>
      <c r="D74" s="114" t="e">
        <f>VLOOKUP($C74,#REF!,5,0)</f>
        <v>#REF!</v>
      </c>
      <c r="E74" s="115" t="e">
        <f>VLOOKUP($C74,#REF!,6,0)</f>
        <v>#REF!</v>
      </c>
      <c r="F74" s="98" t="e">
        <f>VLOOKUP($C74,#REF!,7,0)</f>
        <v>#REF!</v>
      </c>
      <c r="G74" s="98" t="e">
        <f>VLOOKUP($C74,#REF!,8,0)</f>
        <v>#REF!</v>
      </c>
      <c r="H74" s="116" t="e">
        <f>VLOOKUP($C74,#REF!,9,0)</f>
        <v>#REF!</v>
      </c>
      <c r="I74" s="5"/>
      <c r="J74" s="118" t="e">
        <f>VLOOKUP($C74,#REF!,10,0)</f>
        <v>#REF!</v>
      </c>
      <c r="K74" s="119" t="e">
        <f>VLOOKUP($C74,#REF!,11,0)</f>
        <v>#REF!</v>
      </c>
      <c r="L74" s="34"/>
      <c r="M74" s="118" t="e">
        <f>VLOOKUP($C74,#REF!,12,0)</f>
        <v>#REF!</v>
      </c>
      <c r="N74" s="120" t="e">
        <f>VLOOKUP($C74,#REF!,13,0)</f>
        <v>#REF!</v>
      </c>
      <c r="O74" s="118" t="e">
        <f>VLOOKUP($C74,#REF!,14,0)</f>
        <v>#REF!</v>
      </c>
      <c r="P74" s="120" t="e">
        <f>VLOOKUP($C74,#REF!,15,0)</f>
        <v>#REF!</v>
      </c>
      <c r="Q74" s="118" t="e">
        <f>VLOOKUP($C74,#REF!,16,0)</f>
        <v>#REF!</v>
      </c>
      <c r="R74" s="119" t="e">
        <f>VLOOKUP($C74,#REF!,17,0)</f>
        <v>#REF!</v>
      </c>
      <c r="S74" s="120" t="e">
        <f>VLOOKUP($C74,#REF!,18,0)</f>
        <v>#REF!</v>
      </c>
      <c r="T74" s="119" t="e">
        <f>VLOOKUP($C74,#REF!,19,0)</f>
        <v>#REF!</v>
      </c>
      <c r="U74" s="34"/>
      <c r="V74" s="118" t="e">
        <f>VLOOKUP($C74,#REF!,20,0)</f>
        <v>#REF!</v>
      </c>
      <c r="W74" s="120" t="e">
        <f>VLOOKUP($C74,#REF!,21,0)</f>
        <v>#REF!</v>
      </c>
      <c r="X74" s="118" t="e">
        <f>VLOOKUP($C74,#REF!,22,0)</f>
        <v>#REF!</v>
      </c>
      <c r="Y74" s="120" t="e">
        <f>VLOOKUP($C74,#REF!,23,0)</f>
        <v>#REF!</v>
      </c>
      <c r="Z74" s="118" t="e">
        <f>VLOOKUP($C74,#REF!,24,0)</f>
        <v>#REF!</v>
      </c>
      <c r="AA74" s="119" t="e">
        <f>VLOOKUP($C74,#REF!,25,0)</f>
        <v>#REF!</v>
      </c>
      <c r="AB74" s="120" t="e">
        <f>VLOOKUP($C74,#REF!,26,0)</f>
        <v>#REF!</v>
      </c>
      <c r="AC74" s="119" t="e">
        <f>VLOOKUP($C74,#REF!,27,0)</f>
        <v>#REF!</v>
      </c>
      <c r="AD74" s="4"/>
      <c r="AE74" s="118" t="e">
        <f t="shared" si="0"/>
        <v>#REF!</v>
      </c>
      <c r="AF74" s="121" t="s">
        <v>320</v>
      </c>
      <c r="AG74" s="121" t="s">
        <v>321</v>
      </c>
      <c r="AH74" s="119" t="s">
        <v>322</v>
      </c>
      <c r="AI74" s="4"/>
      <c r="AJ74" s="118" t="s">
        <v>323</v>
      </c>
      <c r="AK74" s="121" t="s">
        <v>324</v>
      </c>
      <c r="AL74" s="121" t="s">
        <v>325</v>
      </c>
      <c r="AM74" s="121" t="s">
        <v>326</v>
      </c>
      <c r="AN74" s="121" t="s">
        <v>326</v>
      </c>
      <c r="AO74" s="119" t="s">
        <v>320</v>
      </c>
      <c r="AP74" s="4"/>
      <c r="AQ74" s="122">
        <v>2</v>
      </c>
      <c r="AR74" s="5"/>
      <c r="AS74" s="118">
        <v>0</v>
      </c>
      <c r="AT74" s="119">
        <v>0</v>
      </c>
      <c r="AU74" s="34"/>
      <c r="AV74" s="118">
        <f t="shared" si="25"/>
        <v>0</v>
      </c>
      <c r="AW74" s="119">
        <f t="shared" si="26"/>
        <v>0</v>
      </c>
      <c r="AX74" s="118">
        <f t="shared" si="3"/>
        <v>0</v>
      </c>
      <c r="AY74" s="119">
        <f t="shared" si="4"/>
        <v>0</v>
      </c>
      <c r="AZ74" s="118">
        <f t="shared" si="5"/>
        <v>0</v>
      </c>
      <c r="BA74" s="119">
        <f t="shared" si="6"/>
        <v>0</v>
      </c>
      <c r="BB74" s="120">
        <f t="shared" si="7"/>
        <v>0</v>
      </c>
      <c r="BC74" s="119">
        <f t="shared" si="8"/>
        <v>0</v>
      </c>
      <c r="BD74" s="34"/>
      <c r="BE74" s="118">
        <f t="shared" si="9"/>
        <v>0</v>
      </c>
      <c r="BF74" s="119">
        <f t="shared" si="10"/>
        <v>0</v>
      </c>
      <c r="BG74" s="118">
        <f t="shared" si="11"/>
        <v>0</v>
      </c>
      <c r="BH74" s="119">
        <f t="shared" si="12"/>
        <v>0</v>
      </c>
      <c r="BI74" s="120">
        <f t="shared" si="13"/>
        <v>0</v>
      </c>
      <c r="BJ74" s="119">
        <f t="shared" si="14"/>
        <v>0</v>
      </c>
      <c r="BK74" s="120">
        <f t="shared" si="15"/>
        <v>0</v>
      </c>
      <c r="BL74" s="119">
        <f t="shared" si="16"/>
        <v>0</v>
      </c>
      <c r="BM74" s="4"/>
      <c r="BN74" s="122">
        <v>0</v>
      </c>
      <c r="BO74" s="117"/>
      <c r="BP74" s="118">
        <v>0</v>
      </c>
      <c r="BQ74" s="119">
        <v>0</v>
      </c>
      <c r="BR74" s="120"/>
      <c r="BS74" s="118">
        <v>0</v>
      </c>
      <c r="BT74" s="119">
        <v>0</v>
      </c>
      <c r="BU74" s="118">
        <v>0</v>
      </c>
      <c r="BV74" s="119">
        <v>0</v>
      </c>
      <c r="BW74" s="118">
        <v>0</v>
      </c>
      <c r="BX74" s="119">
        <v>0</v>
      </c>
      <c r="BY74" s="118">
        <v>0</v>
      </c>
      <c r="BZ74" s="119">
        <v>0</v>
      </c>
      <c r="CA74" s="120"/>
      <c r="CB74" s="118">
        <v>0</v>
      </c>
      <c r="CC74" s="119">
        <v>0</v>
      </c>
      <c r="CD74" s="118">
        <v>0</v>
      </c>
      <c r="CE74" s="119">
        <v>0</v>
      </c>
      <c r="CF74" s="118">
        <v>0</v>
      </c>
      <c r="CG74" s="119">
        <v>0</v>
      </c>
      <c r="CH74" s="118">
        <v>0</v>
      </c>
      <c r="CI74" s="119">
        <v>0</v>
      </c>
      <c r="CJ74" s="4"/>
      <c r="CK74" s="79"/>
      <c r="CL74" s="5"/>
      <c r="CM74" s="39" t="str">
        <f t="shared" si="17"/>
        <v>-</v>
      </c>
      <c r="CN74" s="5"/>
      <c r="CO74" s="39" t="str">
        <f t="shared" si="18"/>
        <v>-</v>
      </c>
      <c r="CP74" s="39" t="str">
        <f t="shared" si="19"/>
        <v>-</v>
      </c>
      <c r="CQ74" s="39" t="str">
        <f t="shared" si="20"/>
        <v>-</v>
      </c>
      <c r="CR74" s="39" t="str">
        <f t="shared" si="20"/>
        <v>-</v>
      </c>
      <c r="CS74" s="5"/>
      <c r="CT74" s="39" t="str">
        <f t="shared" si="21"/>
        <v>-</v>
      </c>
      <c r="CU74" s="39" t="str">
        <f t="shared" si="22"/>
        <v>-</v>
      </c>
      <c r="CV74" s="39" t="str">
        <f t="shared" si="23"/>
        <v>-</v>
      </c>
      <c r="CW74" s="39" t="str">
        <f t="shared" si="24"/>
        <v>-</v>
      </c>
    </row>
    <row r="75" spans="2:101" s="4" customFormat="1" ht="12.75" customHeight="1">
      <c r="B75" s="102" t="s">
        <v>57</v>
      </c>
      <c r="C75" s="103" t="s">
        <v>231</v>
      </c>
      <c r="D75" s="104" t="e">
        <f>VLOOKUP($C75,#REF!,5,0)</f>
        <v>#REF!</v>
      </c>
      <c r="E75" s="109" t="e">
        <f>VLOOKUP($C75,#REF!,6,0)</f>
        <v>#REF!</v>
      </c>
      <c r="F75" s="103" t="e">
        <f>VLOOKUP($C75,#REF!,7,0)</f>
        <v>#REF!</v>
      </c>
      <c r="G75" s="103" t="e">
        <f>VLOOKUP($C75,#REF!,8,0)</f>
        <v>#REF!</v>
      </c>
      <c r="H75" s="110" t="e">
        <f>VLOOKUP($C75,#REF!,9,0)</f>
        <v>#REF!</v>
      </c>
      <c r="I75" s="5"/>
      <c r="J75" s="105" t="e">
        <f>VLOOKUP($C75,#REF!,10,0)</f>
        <v>#REF!</v>
      </c>
      <c r="K75" s="106" t="e">
        <f>VLOOKUP($C75,#REF!,11,0)</f>
        <v>#REF!</v>
      </c>
      <c r="L75" s="34"/>
      <c r="M75" s="105" t="e">
        <f>VLOOKUP($C75,#REF!,12,0)</f>
        <v>#REF!</v>
      </c>
      <c r="N75" s="34" t="e">
        <f>VLOOKUP($C75,#REF!,13,0)</f>
        <v>#REF!</v>
      </c>
      <c r="O75" s="105" t="e">
        <f>VLOOKUP($C75,#REF!,14,0)</f>
        <v>#REF!</v>
      </c>
      <c r="P75" s="34" t="e">
        <f>VLOOKUP($C75,#REF!,15,0)</f>
        <v>#REF!</v>
      </c>
      <c r="Q75" s="105" t="e">
        <f>VLOOKUP($C75,#REF!,16,0)</f>
        <v>#REF!</v>
      </c>
      <c r="R75" s="106" t="e">
        <f>VLOOKUP($C75,#REF!,17,0)</f>
        <v>#REF!</v>
      </c>
      <c r="S75" s="34" t="e">
        <f>VLOOKUP($C75,#REF!,18,0)</f>
        <v>#REF!</v>
      </c>
      <c r="T75" s="106" t="e">
        <f>VLOOKUP($C75,#REF!,19,0)</f>
        <v>#REF!</v>
      </c>
      <c r="U75" s="34"/>
      <c r="V75" s="105" t="e">
        <f>VLOOKUP($C75,#REF!,20,0)</f>
        <v>#REF!</v>
      </c>
      <c r="W75" s="34" t="e">
        <f>VLOOKUP($C75,#REF!,21,0)</f>
        <v>#REF!</v>
      </c>
      <c r="X75" s="105" t="e">
        <f>VLOOKUP($C75,#REF!,22,0)</f>
        <v>#REF!</v>
      </c>
      <c r="Y75" s="34" t="e">
        <f>VLOOKUP($C75,#REF!,23,0)</f>
        <v>#REF!</v>
      </c>
      <c r="Z75" s="105" t="e">
        <f>VLOOKUP($C75,#REF!,24,0)</f>
        <v>#REF!</v>
      </c>
      <c r="AA75" s="106" t="e">
        <f>VLOOKUP($C75,#REF!,25,0)</f>
        <v>#REF!</v>
      </c>
      <c r="AB75" s="34" t="e">
        <f>VLOOKUP($C75,#REF!,26,0)</f>
        <v>#REF!</v>
      </c>
      <c r="AC75" s="106" t="e">
        <f>VLOOKUP($C75,#REF!,27,0)</f>
        <v>#REF!</v>
      </c>
      <c r="AE75" s="105" t="e">
        <f t="shared" si="0"/>
        <v>#REF!</v>
      </c>
      <c r="AF75" s="107" t="s">
        <v>320</v>
      </c>
      <c r="AG75" s="107" t="s">
        <v>321</v>
      </c>
      <c r="AH75" s="106" t="s">
        <v>322</v>
      </c>
      <c r="AJ75" s="105" t="s">
        <v>323</v>
      </c>
      <c r="AK75" s="107" t="s">
        <v>324</v>
      </c>
      <c r="AL75" s="107" t="s">
        <v>325</v>
      </c>
      <c r="AM75" s="107" t="s">
        <v>326</v>
      </c>
      <c r="AN75" s="107" t="s">
        <v>326</v>
      </c>
      <c r="AO75" s="106" t="s">
        <v>320</v>
      </c>
      <c r="AQ75" s="108">
        <v>0</v>
      </c>
      <c r="AR75" s="5"/>
      <c r="AS75" s="105">
        <v>0</v>
      </c>
      <c r="AT75" s="106">
        <v>0</v>
      </c>
      <c r="AU75" s="34"/>
      <c r="AV75" s="105">
        <f t="shared" si="25"/>
        <v>0</v>
      </c>
      <c r="AW75" s="106">
        <f t="shared" si="26"/>
        <v>0</v>
      </c>
      <c r="AX75" s="105">
        <f t="shared" si="3"/>
        <v>0</v>
      </c>
      <c r="AY75" s="106">
        <f t="shared" si="4"/>
        <v>0</v>
      </c>
      <c r="AZ75" s="105">
        <f t="shared" si="5"/>
        <v>0</v>
      </c>
      <c r="BA75" s="106">
        <f t="shared" si="6"/>
        <v>0</v>
      </c>
      <c r="BB75" s="34">
        <f t="shared" si="7"/>
        <v>0</v>
      </c>
      <c r="BC75" s="106">
        <f t="shared" si="8"/>
        <v>0</v>
      </c>
      <c r="BD75" s="34"/>
      <c r="BE75" s="105">
        <f t="shared" si="9"/>
        <v>0</v>
      </c>
      <c r="BF75" s="106">
        <f t="shared" si="10"/>
        <v>0</v>
      </c>
      <c r="BG75" s="105">
        <f t="shared" si="11"/>
        <v>0</v>
      </c>
      <c r="BH75" s="106">
        <f t="shared" si="12"/>
        <v>0</v>
      </c>
      <c r="BI75" s="34">
        <f t="shared" si="13"/>
        <v>0</v>
      </c>
      <c r="BJ75" s="106">
        <f t="shared" si="14"/>
        <v>0</v>
      </c>
      <c r="BK75" s="34">
        <f t="shared" si="15"/>
        <v>0</v>
      </c>
      <c r="BL75" s="106">
        <f t="shared" si="16"/>
        <v>0</v>
      </c>
      <c r="BN75" s="108">
        <v>0</v>
      </c>
      <c r="BO75" s="5"/>
      <c r="BP75" s="105">
        <v>0</v>
      </c>
      <c r="BQ75" s="106">
        <v>0</v>
      </c>
      <c r="BR75" s="34"/>
      <c r="BS75" s="105">
        <v>0</v>
      </c>
      <c r="BT75" s="106">
        <v>0</v>
      </c>
      <c r="BU75" s="105">
        <v>0</v>
      </c>
      <c r="BV75" s="106">
        <v>0</v>
      </c>
      <c r="BW75" s="105">
        <v>0</v>
      </c>
      <c r="BX75" s="106">
        <v>0</v>
      </c>
      <c r="BY75" s="105">
        <v>0</v>
      </c>
      <c r="BZ75" s="106">
        <v>0</v>
      </c>
      <c r="CA75" s="34"/>
      <c r="CB75" s="105">
        <v>0</v>
      </c>
      <c r="CC75" s="106">
        <v>0</v>
      </c>
      <c r="CD75" s="105">
        <v>0</v>
      </c>
      <c r="CE75" s="106">
        <v>0</v>
      </c>
      <c r="CF75" s="105">
        <v>0</v>
      </c>
      <c r="CG75" s="106">
        <v>0</v>
      </c>
      <c r="CH75" s="105">
        <v>0</v>
      </c>
      <c r="CI75" s="106">
        <v>0</v>
      </c>
      <c r="CK75" s="78"/>
      <c r="CL75" s="5"/>
      <c r="CM75" s="38" t="str">
        <f t="shared" si="17"/>
        <v>-</v>
      </c>
      <c r="CN75" s="5"/>
      <c r="CO75" s="38" t="str">
        <f t="shared" si="18"/>
        <v>-</v>
      </c>
      <c r="CP75" s="38" t="str">
        <f t="shared" si="19"/>
        <v>-</v>
      </c>
      <c r="CQ75" s="38" t="str">
        <f t="shared" si="20"/>
        <v>-</v>
      </c>
      <c r="CR75" s="38" t="str">
        <f t="shared" si="20"/>
        <v>-</v>
      </c>
      <c r="CS75" s="5"/>
      <c r="CT75" s="38" t="str">
        <f t="shared" si="21"/>
        <v>-</v>
      </c>
      <c r="CU75" s="38" t="str">
        <f t="shared" si="22"/>
        <v>-</v>
      </c>
      <c r="CV75" s="38" t="str">
        <f t="shared" si="23"/>
        <v>-</v>
      </c>
      <c r="CW75" s="38" t="str">
        <f t="shared" si="24"/>
        <v>-</v>
      </c>
    </row>
    <row r="76" spans="2:101" s="113" customFormat="1" ht="12.75" customHeight="1">
      <c r="B76" s="99" t="s">
        <v>57</v>
      </c>
      <c r="C76" s="98" t="s">
        <v>124</v>
      </c>
      <c r="D76" s="114" t="e">
        <f>VLOOKUP($C76,#REF!,5,0)</f>
        <v>#REF!</v>
      </c>
      <c r="E76" s="115" t="e">
        <f>VLOOKUP($C76,#REF!,6,0)</f>
        <v>#REF!</v>
      </c>
      <c r="F76" s="98" t="e">
        <f>VLOOKUP($C76,#REF!,7,0)</f>
        <v>#REF!</v>
      </c>
      <c r="G76" s="98" t="e">
        <f>VLOOKUP($C76,#REF!,8,0)</f>
        <v>#REF!</v>
      </c>
      <c r="H76" s="116" t="e">
        <f>VLOOKUP($C76,#REF!,9,0)</f>
        <v>#REF!</v>
      </c>
      <c r="I76" s="5"/>
      <c r="J76" s="118" t="e">
        <f>VLOOKUP($C76,#REF!,10,0)</f>
        <v>#REF!</v>
      </c>
      <c r="K76" s="119" t="e">
        <f>VLOOKUP($C76,#REF!,11,0)</f>
        <v>#REF!</v>
      </c>
      <c r="L76" s="34"/>
      <c r="M76" s="118" t="e">
        <f>VLOOKUP($C76,#REF!,12,0)</f>
        <v>#REF!</v>
      </c>
      <c r="N76" s="120" t="e">
        <f>VLOOKUP($C76,#REF!,13,0)</f>
        <v>#REF!</v>
      </c>
      <c r="O76" s="118" t="e">
        <f>VLOOKUP($C76,#REF!,14,0)</f>
        <v>#REF!</v>
      </c>
      <c r="P76" s="120" t="e">
        <f>VLOOKUP($C76,#REF!,15,0)</f>
        <v>#REF!</v>
      </c>
      <c r="Q76" s="118" t="e">
        <f>VLOOKUP($C76,#REF!,16,0)</f>
        <v>#REF!</v>
      </c>
      <c r="R76" s="119" t="e">
        <f>VLOOKUP($C76,#REF!,17,0)</f>
        <v>#REF!</v>
      </c>
      <c r="S76" s="120" t="e">
        <f>VLOOKUP($C76,#REF!,18,0)</f>
        <v>#REF!</v>
      </c>
      <c r="T76" s="119" t="e">
        <f>VLOOKUP($C76,#REF!,19,0)</f>
        <v>#REF!</v>
      </c>
      <c r="U76" s="34"/>
      <c r="V76" s="118" t="e">
        <f>VLOOKUP($C76,#REF!,20,0)</f>
        <v>#REF!</v>
      </c>
      <c r="W76" s="120" t="e">
        <f>VLOOKUP($C76,#REF!,21,0)</f>
        <v>#REF!</v>
      </c>
      <c r="X76" s="118" t="e">
        <f>VLOOKUP($C76,#REF!,22,0)</f>
        <v>#REF!</v>
      </c>
      <c r="Y76" s="120" t="e">
        <f>VLOOKUP($C76,#REF!,23,0)</f>
        <v>#REF!</v>
      </c>
      <c r="Z76" s="118" t="e">
        <f>VLOOKUP($C76,#REF!,24,0)</f>
        <v>#REF!</v>
      </c>
      <c r="AA76" s="119" t="e">
        <f>VLOOKUP($C76,#REF!,25,0)</f>
        <v>#REF!</v>
      </c>
      <c r="AB76" s="120" t="e">
        <f>VLOOKUP($C76,#REF!,26,0)</f>
        <v>#REF!</v>
      </c>
      <c r="AC76" s="119" t="e">
        <f>VLOOKUP($C76,#REF!,27,0)</f>
        <v>#REF!</v>
      </c>
      <c r="AD76" s="4"/>
      <c r="AE76" s="118" t="e">
        <f t="shared" si="0"/>
        <v>#REF!</v>
      </c>
      <c r="AF76" s="121" t="s">
        <v>320</v>
      </c>
      <c r="AG76" s="121" t="s">
        <v>321</v>
      </c>
      <c r="AH76" s="119" t="s">
        <v>322</v>
      </c>
      <c r="AI76" s="4"/>
      <c r="AJ76" s="118" t="s">
        <v>323</v>
      </c>
      <c r="AK76" s="121" t="s">
        <v>324</v>
      </c>
      <c r="AL76" s="121" t="s">
        <v>325</v>
      </c>
      <c r="AM76" s="121" t="s">
        <v>326</v>
      </c>
      <c r="AN76" s="121" t="s">
        <v>326</v>
      </c>
      <c r="AO76" s="119" t="s">
        <v>320</v>
      </c>
      <c r="AP76" s="4"/>
      <c r="AQ76" s="122">
        <v>-8</v>
      </c>
      <c r="AR76" s="5"/>
      <c r="AS76" s="118">
        <v>0</v>
      </c>
      <c r="AT76" s="119">
        <v>0</v>
      </c>
      <c r="AU76" s="34"/>
      <c r="AV76" s="118">
        <f t="shared" si="25"/>
        <v>0</v>
      </c>
      <c r="AW76" s="119">
        <f t="shared" si="26"/>
        <v>0</v>
      </c>
      <c r="AX76" s="118">
        <f t="shared" si="3"/>
        <v>0</v>
      </c>
      <c r="AY76" s="119">
        <f t="shared" si="4"/>
        <v>0</v>
      </c>
      <c r="AZ76" s="118">
        <f t="shared" si="5"/>
        <v>0</v>
      </c>
      <c r="BA76" s="119">
        <f t="shared" si="6"/>
        <v>0</v>
      </c>
      <c r="BB76" s="120">
        <f t="shared" si="7"/>
        <v>0</v>
      </c>
      <c r="BC76" s="119">
        <f t="shared" si="8"/>
        <v>0</v>
      </c>
      <c r="BD76" s="34"/>
      <c r="BE76" s="118">
        <f t="shared" si="9"/>
        <v>0</v>
      </c>
      <c r="BF76" s="119">
        <f t="shared" si="10"/>
        <v>0</v>
      </c>
      <c r="BG76" s="118">
        <f t="shared" si="11"/>
        <v>0</v>
      </c>
      <c r="BH76" s="119">
        <f t="shared" si="12"/>
        <v>0</v>
      </c>
      <c r="BI76" s="120">
        <f t="shared" si="13"/>
        <v>0</v>
      </c>
      <c r="BJ76" s="119">
        <f t="shared" si="14"/>
        <v>0</v>
      </c>
      <c r="BK76" s="120">
        <f t="shared" si="15"/>
        <v>0</v>
      </c>
      <c r="BL76" s="119">
        <f t="shared" si="16"/>
        <v>0</v>
      </c>
      <c r="BM76" s="4"/>
      <c r="BN76" s="122">
        <v>0</v>
      </c>
      <c r="BO76" s="117"/>
      <c r="BP76" s="118">
        <v>0</v>
      </c>
      <c r="BQ76" s="119">
        <v>0</v>
      </c>
      <c r="BR76" s="120"/>
      <c r="BS76" s="118">
        <v>0</v>
      </c>
      <c r="BT76" s="119">
        <v>0</v>
      </c>
      <c r="BU76" s="118">
        <v>0</v>
      </c>
      <c r="BV76" s="119">
        <v>0</v>
      </c>
      <c r="BW76" s="118">
        <v>0</v>
      </c>
      <c r="BX76" s="119">
        <v>0</v>
      </c>
      <c r="BY76" s="118">
        <v>0</v>
      </c>
      <c r="BZ76" s="119">
        <v>0</v>
      </c>
      <c r="CA76" s="120"/>
      <c r="CB76" s="118">
        <v>0</v>
      </c>
      <c r="CC76" s="119">
        <v>0</v>
      </c>
      <c r="CD76" s="118">
        <v>0</v>
      </c>
      <c r="CE76" s="119">
        <v>0</v>
      </c>
      <c r="CF76" s="118">
        <v>0</v>
      </c>
      <c r="CG76" s="119">
        <v>0</v>
      </c>
      <c r="CH76" s="118">
        <v>0</v>
      </c>
      <c r="CI76" s="119">
        <v>0</v>
      </c>
      <c r="CJ76" s="4"/>
      <c r="CK76" s="79"/>
      <c r="CL76" s="5"/>
      <c r="CM76" s="39" t="str">
        <f t="shared" si="17"/>
        <v>-</v>
      </c>
      <c r="CN76" s="5"/>
      <c r="CO76" s="39" t="str">
        <f t="shared" si="18"/>
        <v>-</v>
      </c>
      <c r="CP76" s="39" t="str">
        <f t="shared" si="19"/>
        <v>-</v>
      </c>
      <c r="CQ76" s="39" t="str">
        <f t="shared" si="20"/>
        <v>-</v>
      </c>
      <c r="CR76" s="39" t="str">
        <f t="shared" si="20"/>
        <v>-</v>
      </c>
      <c r="CS76" s="5"/>
      <c r="CT76" s="39" t="str">
        <f t="shared" si="21"/>
        <v>-</v>
      </c>
      <c r="CU76" s="39" t="str">
        <f t="shared" si="22"/>
        <v>-</v>
      </c>
      <c r="CV76" s="39" t="str">
        <f t="shared" si="23"/>
        <v>-</v>
      </c>
      <c r="CW76" s="39" t="str">
        <f t="shared" si="24"/>
        <v>-</v>
      </c>
    </row>
    <row r="77" spans="2:101" s="4" customFormat="1" ht="12.75" customHeight="1">
      <c r="B77" s="102" t="s">
        <v>58</v>
      </c>
      <c r="C77" s="103" t="s">
        <v>214</v>
      </c>
      <c r="D77" s="104" t="e">
        <f>VLOOKUP($C77,#REF!,5,0)</f>
        <v>#REF!</v>
      </c>
      <c r="E77" s="109" t="e">
        <f>VLOOKUP($C77,#REF!,6,0)</f>
        <v>#REF!</v>
      </c>
      <c r="F77" s="103" t="e">
        <f>VLOOKUP($C77,#REF!,7,0)</f>
        <v>#REF!</v>
      </c>
      <c r="G77" s="103" t="e">
        <f>VLOOKUP($C77,#REF!,8,0)</f>
        <v>#REF!</v>
      </c>
      <c r="H77" s="110" t="e">
        <f>VLOOKUP($C77,#REF!,9,0)</f>
        <v>#REF!</v>
      </c>
      <c r="I77" s="5"/>
      <c r="J77" s="105" t="e">
        <f>VLOOKUP($C77,#REF!,10,0)</f>
        <v>#REF!</v>
      </c>
      <c r="K77" s="106" t="e">
        <f>VLOOKUP($C77,#REF!,11,0)</f>
        <v>#REF!</v>
      </c>
      <c r="L77" s="34"/>
      <c r="M77" s="105" t="e">
        <f>VLOOKUP($C77,#REF!,12,0)</f>
        <v>#REF!</v>
      </c>
      <c r="N77" s="34" t="e">
        <f>VLOOKUP($C77,#REF!,13,0)</f>
        <v>#REF!</v>
      </c>
      <c r="O77" s="105" t="e">
        <f>VLOOKUP($C77,#REF!,14,0)</f>
        <v>#REF!</v>
      </c>
      <c r="P77" s="34" t="e">
        <f>VLOOKUP($C77,#REF!,15,0)</f>
        <v>#REF!</v>
      </c>
      <c r="Q77" s="105" t="e">
        <f>VLOOKUP($C77,#REF!,16,0)</f>
        <v>#REF!</v>
      </c>
      <c r="R77" s="106" t="e">
        <f>VLOOKUP($C77,#REF!,17,0)</f>
        <v>#REF!</v>
      </c>
      <c r="S77" s="34" t="e">
        <f>VLOOKUP($C77,#REF!,18,0)</f>
        <v>#REF!</v>
      </c>
      <c r="T77" s="106" t="e">
        <f>VLOOKUP($C77,#REF!,19,0)</f>
        <v>#REF!</v>
      </c>
      <c r="U77" s="34"/>
      <c r="V77" s="105" t="e">
        <f>VLOOKUP($C77,#REF!,20,0)</f>
        <v>#REF!</v>
      </c>
      <c r="W77" s="34" t="e">
        <f>VLOOKUP($C77,#REF!,21,0)</f>
        <v>#REF!</v>
      </c>
      <c r="X77" s="105" t="e">
        <f>VLOOKUP($C77,#REF!,22,0)</f>
        <v>#REF!</v>
      </c>
      <c r="Y77" s="34" t="e">
        <f>VLOOKUP($C77,#REF!,23,0)</f>
        <v>#REF!</v>
      </c>
      <c r="Z77" s="105" t="e">
        <f>VLOOKUP($C77,#REF!,24,0)</f>
        <v>#REF!</v>
      </c>
      <c r="AA77" s="106" t="e">
        <f>VLOOKUP($C77,#REF!,25,0)</f>
        <v>#REF!</v>
      </c>
      <c r="AB77" s="34" t="e">
        <f>VLOOKUP($C77,#REF!,26,0)</f>
        <v>#REF!</v>
      </c>
      <c r="AC77" s="106" t="e">
        <f>VLOOKUP($C77,#REF!,27,0)</f>
        <v>#REF!</v>
      </c>
      <c r="AE77" s="105" t="e">
        <f t="shared" si="0"/>
        <v>#REF!</v>
      </c>
      <c r="AF77" s="107" t="s">
        <v>320</v>
      </c>
      <c r="AG77" s="107" t="s">
        <v>321</v>
      </c>
      <c r="AH77" s="106" t="s">
        <v>322</v>
      </c>
      <c r="AJ77" s="105" t="s">
        <v>323</v>
      </c>
      <c r="AK77" s="107" t="s">
        <v>324</v>
      </c>
      <c r="AL77" s="107" t="s">
        <v>325</v>
      </c>
      <c r="AM77" s="107" t="s">
        <v>326</v>
      </c>
      <c r="AN77" s="107" t="s">
        <v>326</v>
      </c>
      <c r="AO77" s="106" t="s">
        <v>320</v>
      </c>
      <c r="AQ77" s="108">
        <v>0</v>
      </c>
      <c r="AR77" s="5"/>
      <c r="AS77" s="105">
        <v>0</v>
      </c>
      <c r="AT77" s="106">
        <v>0</v>
      </c>
      <c r="AU77" s="34"/>
      <c r="AV77" s="105">
        <f t="shared" si="25"/>
        <v>0</v>
      </c>
      <c r="AW77" s="106">
        <f t="shared" si="26"/>
        <v>0</v>
      </c>
      <c r="AX77" s="105">
        <f t="shared" si="3"/>
        <v>0</v>
      </c>
      <c r="AY77" s="106">
        <f t="shared" si="4"/>
        <v>0</v>
      </c>
      <c r="AZ77" s="105">
        <f t="shared" si="5"/>
        <v>0</v>
      </c>
      <c r="BA77" s="106">
        <f t="shared" si="6"/>
        <v>0</v>
      </c>
      <c r="BB77" s="34">
        <f t="shared" si="7"/>
        <v>0</v>
      </c>
      <c r="BC77" s="106">
        <f t="shared" si="8"/>
        <v>0</v>
      </c>
      <c r="BD77" s="34"/>
      <c r="BE77" s="105">
        <f t="shared" si="9"/>
        <v>0</v>
      </c>
      <c r="BF77" s="106">
        <f t="shared" si="10"/>
        <v>0</v>
      </c>
      <c r="BG77" s="105">
        <f t="shared" si="11"/>
        <v>0</v>
      </c>
      <c r="BH77" s="106">
        <f t="shared" si="12"/>
        <v>0</v>
      </c>
      <c r="BI77" s="34">
        <f t="shared" si="13"/>
        <v>0</v>
      </c>
      <c r="BJ77" s="106">
        <f t="shared" si="14"/>
        <v>0</v>
      </c>
      <c r="BK77" s="34">
        <f t="shared" si="15"/>
        <v>0</v>
      </c>
      <c r="BL77" s="106">
        <f t="shared" si="16"/>
        <v>0</v>
      </c>
      <c r="BN77" s="108">
        <v>0</v>
      </c>
      <c r="BO77" s="5"/>
      <c r="BP77" s="105">
        <v>0</v>
      </c>
      <c r="BQ77" s="106">
        <v>0</v>
      </c>
      <c r="BR77" s="34"/>
      <c r="BS77" s="105">
        <v>0</v>
      </c>
      <c r="BT77" s="106">
        <v>0</v>
      </c>
      <c r="BU77" s="105">
        <v>0</v>
      </c>
      <c r="BV77" s="106">
        <v>0</v>
      </c>
      <c r="BW77" s="105">
        <v>0</v>
      </c>
      <c r="BX77" s="106">
        <v>0</v>
      </c>
      <c r="BY77" s="105">
        <v>0</v>
      </c>
      <c r="BZ77" s="106">
        <v>0</v>
      </c>
      <c r="CA77" s="34"/>
      <c r="CB77" s="105">
        <v>0</v>
      </c>
      <c r="CC77" s="106">
        <v>0</v>
      </c>
      <c r="CD77" s="105">
        <v>0</v>
      </c>
      <c r="CE77" s="106">
        <v>0</v>
      </c>
      <c r="CF77" s="105">
        <v>0</v>
      </c>
      <c r="CG77" s="106">
        <v>0</v>
      </c>
      <c r="CH77" s="105">
        <v>0</v>
      </c>
      <c r="CI77" s="106">
        <v>0</v>
      </c>
      <c r="CK77" s="78"/>
      <c r="CL77" s="5"/>
      <c r="CM77" s="38" t="str">
        <f t="shared" si="17"/>
        <v>-</v>
      </c>
      <c r="CN77" s="5"/>
      <c r="CO77" s="38" t="str">
        <f t="shared" si="18"/>
        <v>-</v>
      </c>
      <c r="CP77" s="38" t="str">
        <f t="shared" si="19"/>
        <v>-</v>
      </c>
      <c r="CQ77" s="38" t="str">
        <f t="shared" si="20"/>
        <v>-</v>
      </c>
      <c r="CR77" s="38" t="str">
        <f t="shared" si="20"/>
        <v>-</v>
      </c>
      <c r="CS77" s="5"/>
      <c r="CT77" s="38" t="str">
        <f t="shared" si="21"/>
        <v>-</v>
      </c>
      <c r="CU77" s="38" t="str">
        <f t="shared" si="22"/>
        <v>-</v>
      </c>
      <c r="CV77" s="38" t="str">
        <f t="shared" si="23"/>
        <v>-</v>
      </c>
      <c r="CW77" s="38" t="str">
        <f t="shared" si="24"/>
        <v>-</v>
      </c>
    </row>
    <row r="78" spans="2:101" s="113" customFormat="1" ht="12.75" customHeight="1">
      <c r="B78" s="99" t="s">
        <v>58</v>
      </c>
      <c r="C78" s="98" t="s">
        <v>228</v>
      </c>
      <c r="D78" s="114" t="e">
        <f>VLOOKUP($C78,#REF!,5,0)</f>
        <v>#REF!</v>
      </c>
      <c r="E78" s="115" t="e">
        <f>VLOOKUP($C78,#REF!,6,0)</f>
        <v>#REF!</v>
      </c>
      <c r="F78" s="98" t="e">
        <f>VLOOKUP($C78,#REF!,7,0)</f>
        <v>#REF!</v>
      </c>
      <c r="G78" s="98" t="e">
        <f>VLOOKUP($C78,#REF!,8,0)</f>
        <v>#REF!</v>
      </c>
      <c r="H78" s="116" t="e">
        <f>VLOOKUP($C78,#REF!,9,0)</f>
        <v>#REF!</v>
      </c>
      <c r="I78" s="5"/>
      <c r="J78" s="118" t="e">
        <f>VLOOKUP($C78,#REF!,10,0)</f>
        <v>#REF!</v>
      </c>
      <c r="K78" s="119" t="e">
        <f>VLOOKUP($C78,#REF!,11,0)</f>
        <v>#REF!</v>
      </c>
      <c r="L78" s="34"/>
      <c r="M78" s="118" t="e">
        <f>VLOOKUP($C78,#REF!,12,0)</f>
        <v>#REF!</v>
      </c>
      <c r="N78" s="120" t="e">
        <f>VLOOKUP($C78,#REF!,13,0)</f>
        <v>#REF!</v>
      </c>
      <c r="O78" s="118" t="e">
        <f>VLOOKUP($C78,#REF!,14,0)</f>
        <v>#REF!</v>
      </c>
      <c r="P78" s="120" t="e">
        <f>VLOOKUP($C78,#REF!,15,0)</f>
        <v>#REF!</v>
      </c>
      <c r="Q78" s="118" t="e">
        <f>VLOOKUP($C78,#REF!,16,0)</f>
        <v>#REF!</v>
      </c>
      <c r="R78" s="119" t="e">
        <f>VLOOKUP($C78,#REF!,17,0)</f>
        <v>#REF!</v>
      </c>
      <c r="S78" s="120" t="e">
        <f>VLOOKUP($C78,#REF!,18,0)</f>
        <v>#REF!</v>
      </c>
      <c r="T78" s="119" t="e">
        <f>VLOOKUP($C78,#REF!,19,0)</f>
        <v>#REF!</v>
      </c>
      <c r="U78" s="34"/>
      <c r="V78" s="118" t="e">
        <f>VLOOKUP($C78,#REF!,20,0)</f>
        <v>#REF!</v>
      </c>
      <c r="W78" s="120" t="e">
        <f>VLOOKUP($C78,#REF!,21,0)</f>
        <v>#REF!</v>
      </c>
      <c r="X78" s="118" t="e">
        <f>VLOOKUP($C78,#REF!,22,0)</f>
        <v>#REF!</v>
      </c>
      <c r="Y78" s="120" t="e">
        <f>VLOOKUP($C78,#REF!,23,0)</f>
        <v>#REF!</v>
      </c>
      <c r="Z78" s="118" t="e">
        <f>VLOOKUP($C78,#REF!,24,0)</f>
        <v>#REF!</v>
      </c>
      <c r="AA78" s="119" t="e">
        <f>VLOOKUP($C78,#REF!,25,0)</f>
        <v>#REF!</v>
      </c>
      <c r="AB78" s="120" t="e">
        <f>VLOOKUP($C78,#REF!,26,0)</f>
        <v>#REF!</v>
      </c>
      <c r="AC78" s="119" t="e">
        <f>VLOOKUP($C78,#REF!,27,0)</f>
        <v>#REF!</v>
      </c>
      <c r="AD78" s="4"/>
      <c r="AE78" s="118" t="e">
        <f t="shared" si="0"/>
        <v>#REF!</v>
      </c>
      <c r="AF78" s="121" t="s">
        <v>320</v>
      </c>
      <c r="AG78" s="121" t="s">
        <v>321</v>
      </c>
      <c r="AH78" s="119" t="s">
        <v>322</v>
      </c>
      <c r="AI78" s="4"/>
      <c r="AJ78" s="118" t="s">
        <v>323</v>
      </c>
      <c r="AK78" s="121" t="s">
        <v>324</v>
      </c>
      <c r="AL78" s="121" t="s">
        <v>325</v>
      </c>
      <c r="AM78" s="121" t="s">
        <v>326</v>
      </c>
      <c r="AN78" s="121" t="s">
        <v>326</v>
      </c>
      <c r="AO78" s="119" t="s">
        <v>320</v>
      </c>
      <c r="AP78" s="4"/>
      <c r="AQ78" s="122">
        <v>0</v>
      </c>
      <c r="AR78" s="5"/>
      <c r="AS78" s="118">
        <v>0</v>
      </c>
      <c r="AT78" s="119">
        <v>0</v>
      </c>
      <c r="AU78" s="34"/>
      <c r="AV78" s="118">
        <f t="shared" si="25"/>
        <v>0</v>
      </c>
      <c r="AW78" s="119">
        <f t="shared" si="26"/>
        <v>0</v>
      </c>
      <c r="AX78" s="118">
        <f t="shared" si="3"/>
        <v>0</v>
      </c>
      <c r="AY78" s="119">
        <f t="shared" si="4"/>
        <v>0</v>
      </c>
      <c r="AZ78" s="118">
        <f t="shared" si="5"/>
        <v>0</v>
      </c>
      <c r="BA78" s="119">
        <f t="shared" si="6"/>
        <v>0</v>
      </c>
      <c r="BB78" s="120">
        <f t="shared" si="7"/>
        <v>0</v>
      </c>
      <c r="BC78" s="119">
        <f t="shared" si="8"/>
        <v>0</v>
      </c>
      <c r="BD78" s="34"/>
      <c r="BE78" s="118">
        <f t="shared" si="9"/>
        <v>0</v>
      </c>
      <c r="BF78" s="119">
        <f t="shared" si="10"/>
        <v>0</v>
      </c>
      <c r="BG78" s="118">
        <f t="shared" si="11"/>
        <v>0</v>
      </c>
      <c r="BH78" s="119">
        <f t="shared" si="12"/>
        <v>0</v>
      </c>
      <c r="BI78" s="120">
        <f t="shared" si="13"/>
        <v>0</v>
      </c>
      <c r="BJ78" s="119">
        <f t="shared" si="14"/>
        <v>0</v>
      </c>
      <c r="BK78" s="120">
        <f t="shared" si="15"/>
        <v>0</v>
      </c>
      <c r="BL78" s="119">
        <f t="shared" si="16"/>
        <v>0</v>
      </c>
      <c r="BM78" s="4"/>
      <c r="BN78" s="122" t="e">
        <v>#N/A</v>
      </c>
      <c r="BO78" s="117"/>
      <c r="BP78" s="118" t="e">
        <v>#N/A</v>
      </c>
      <c r="BQ78" s="119" t="e">
        <v>#N/A</v>
      </c>
      <c r="BR78" s="120"/>
      <c r="BS78" s="118" t="e">
        <v>#N/A</v>
      </c>
      <c r="BT78" s="119" t="e">
        <v>#N/A</v>
      </c>
      <c r="BU78" s="118" t="e">
        <v>#N/A</v>
      </c>
      <c r="BV78" s="119" t="e">
        <v>#N/A</v>
      </c>
      <c r="BW78" s="118" t="e">
        <v>#N/A</v>
      </c>
      <c r="BX78" s="119" t="e">
        <v>#N/A</v>
      </c>
      <c r="BY78" s="118" t="e">
        <v>#N/A</v>
      </c>
      <c r="BZ78" s="119" t="e">
        <v>#N/A</v>
      </c>
      <c r="CA78" s="120"/>
      <c r="CB78" s="118" t="e">
        <v>#N/A</v>
      </c>
      <c r="CC78" s="119" t="e">
        <v>#N/A</v>
      </c>
      <c r="CD78" s="118" t="e">
        <v>#N/A</v>
      </c>
      <c r="CE78" s="119" t="e">
        <v>#N/A</v>
      </c>
      <c r="CF78" s="118" t="e">
        <v>#N/A</v>
      </c>
      <c r="CG78" s="119" t="e">
        <v>#N/A</v>
      </c>
      <c r="CH78" s="118" t="e">
        <v>#N/A</v>
      </c>
      <c r="CI78" s="119" t="e">
        <v>#N/A</v>
      </c>
      <c r="CJ78" s="4"/>
      <c r="CK78" s="79"/>
      <c r="CL78" s="5"/>
      <c r="CM78" s="39" t="str">
        <f t="shared" si="17"/>
        <v>-</v>
      </c>
      <c r="CN78" s="5"/>
      <c r="CO78" s="39" t="str">
        <f t="shared" si="18"/>
        <v>-</v>
      </c>
      <c r="CP78" s="39" t="str">
        <f t="shared" si="19"/>
        <v>-</v>
      </c>
      <c r="CQ78" s="39" t="str">
        <f t="shared" si="20"/>
        <v>-</v>
      </c>
      <c r="CR78" s="39" t="str">
        <f t="shared" si="20"/>
        <v>-</v>
      </c>
      <c r="CS78" s="5"/>
      <c r="CT78" s="39" t="str">
        <f t="shared" si="21"/>
        <v>-</v>
      </c>
      <c r="CU78" s="39" t="str">
        <f t="shared" si="22"/>
        <v>-</v>
      </c>
      <c r="CV78" s="39" t="str">
        <f t="shared" si="23"/>
        <v>-</v>
      </c>
      <c r="CW78" s="39" t="str">
        <f t="shared" si="24"/>
        <v>-</v>
      </c>
    </row>
    <row r="79" spans="2:101" s="4" customFormat="1" ht="12.75" customHeight="1">
      <c r="B79" s="102" t="s">
        <v>58</v>
      </c>
      <c r="C79" s="103" t="s">
        <v>215</v>
      </c>
      <c r="D79" s="104" t="e">
        <f>VLOOKUP($C79,#REF!,5,0)</f>
        <v>#REF!</v>
      </c>
      <c r="E79" s="109" t="e">
        <f>VLOOKUP($C79,#REF!,6,0)</f>
        <v>#REF!</v>
      </c>
      <c r="F79" s="103" t="e">
        <f>VLOOKUP($C79,#REF!,7,0)</f>
        <v>#REF!</v>
      </c>
      <c r="G79" s="103" t="e">
        <f>VLOOKUP($C79,#REF!,8,0)</f>
        <v>#REF!</v>
      </c>
      <c r="H79" s="110" t="e">
        <f>VLOOKUP($C79,#REF!,9,0)</f>
        <v>#REF!</v>
      </c>
      <c r="I79" s="5"/>
      <c r="J79" s="105" t="e">
        <f>VLOOKUP($C79,#REF!,10,0)</f>
        <v>#REF!</v>
      </c>
      <c r="K79" s="106" t="e">
        <f>VLOOKUP($C79,#REF!,11,0)</f>
        <v>#REF!</v>
      </c>
      <c r="L79" s="34"/>
      <c r="M79" s="105" t="e">
        <f>VLOOKUP($C79,#REF!,12,0)</f>
        <v>#REF!</v>
      </c>
      <c r="N79" s="34" t="e">
        <f>VLOOKUP($C79,#REF!,13,0)</f>
        <v>#REF!</v>
      </c>
      <c r="O79" s="105" t="e">
        <f>VLOOKUP($C79,#REF!,14,0)</f>
        <v>#REF!</v>
      </c>
      <c r="P79" s="34" t="e">
        <f>VLOOKUP($C79,#REF!,15,0)</f>
        <v>#REF!</v>
      </c>
      <c r="Q79" s="105" t="e">
        <f>VLOOKUP($C79,#REF!,16,0)</f>
        <v>#REF!</v>
      </c>
      <c r="R79" s="106" t="e">
        <f>VLOOKUP($C79,#REF!,17,0)</f>
        <v>#REF!</v>
      </c>
      <c r="S79" s="34" t="e">
        <f>VLOOKUP($C79,#REF!,18,0)</f>
        <v>#REF!</v>
      </c>
      <c r="T79" s="106" t="e">
        <f>VLOOKUP($C79,#REF!,19,0)</f>
        <v>#REF!</v>
      </c>
      <c r="U79" s="34"/>
      <c r="V79" s="105" t="e">
        <f>VLOOKUP($C79,#REF!,20,0)</f>
        <v>#REF!</v>
      </c>
      <c r="W79" s="34" t="e">
        <f>VLOOKUP($C79,#REF!,21,0)</f>
        <v>#REF!</v>
      </c>
      <c r="X79" s="105" t="e">
        <f>VLOOKUP($C79,#REF!,22,0)</f>
        <v>#REF!</v>
      </c>
      <c r="Y79" s="34" t="e">
        <f>VLOOKUP($C79,#REF!,23,0)</f>
        <v>#REF!</v>
      </c>
      <c r="Z79" s="105" t="e">
        <f>VLOOKUP($C79,#REF!,24,0)</f>
        <v>#REF!</v>
      </c>
      <c r="AA79" s="106" t="e">
        <f>VLOOKUP($C79,#REF!,25,0)</f>
        <v>#REF!</v>
      </c>
      <c r="AB79" s="34" t="e">
        <f>VLOOKUP($C79,#REF!,26,0)</f>
        <v>#REF!</v>
      </c>
      <c r="AC79" s="106" t="e">
        <f>VLOOKUP($C79,#REF!,27,0)</f>
        <v>#REF!</v>
      </c>
      <c r="AE79" s="105" t="e">
        <f t="shared" si="0"/>
        <v>#REF!</v>
      </c>
      <c r="AF79" s="107" t="s">
        <v>320</v>
      </c>
      <c r="AG79" s="107" t="s">
        <v>321</v>
      </c>
      <c r="AH79" s="106" t="s">
        <v>322</v>
      </c>
      <c r="AJ79" s="105" t="s">
        <v>323</v>
      </c>
      <c r="AK79" s="107" t="s">
        <v>324</v>
      </c>
      <c r="AL79" s="107" t="s">
        <v>325</v>
      </c>
      <c r="AM79" s="107" t="s">
        <v>326</v>
      </c>
      <c r="AN79" s="107" t="s">
        <v>326</v>
      </c>
      <c r="AO79" s="106" t="s">
        <v>320</v>
      </c>
      <c r="AQ79" s="108">
        <v>0</v>
      </c>
      <c r="AR79" s="5"/>
      <c r="AS79" s="105">
        <v>0</v>
      </c>
      <c r="AT79" s="106">
        <v>0</v>
      </c>
      <c r="AU79" s="34"/>
      <c r="AV79" s="105">
        <f t="shared" si="25"/>
        <v>0</v>
      </c>
      <c r="AW79" s="106">
        <f t="shared" si="26"/>
        <v>0</v>
      </c>
      <c r="AX79" s="105">
        <f t="shared" si="3"/>
        <v>0</v>
      </c>
      <c r="AY79" s="106">
        <f t="shared" si="4"/>
        <v>0</v>
      </c>
      <c r="AZ79" s="105">
        <f t="shared" si="5"/>
        <v>0</v>
      </c>
      <c r="BA79" s="106">
        <f t="shared" si="6"/>
        <v>0</v>
      </c>
      <c r="BB79" s="34">
        <f t="shared" si="7"/>
        <v>0</v>
      </c>
      <c r="BC79" s="106">
        <f t="shared" si="8"/>
        <v>0</v>
      </c>
      <c r="BD79" s="34"/>
      <c r="BE79" s="105">
        <f t="shared" si="9"/>
        <v>0</v>
      </c>
      <c r="BF79" s="106">
        <f t="shared" si="10"/>
        <v>0</v>
      </c>
      <c r="BG79" s="105">
        <f t="shared" si="11"/>
        <v>0</v>
      </c>
      <c r="BH79" s="106">
        <f t="shared" si="12"/>
        <v>0</v>
      </c>
      <c r="BI79" s="34">
        <f t="shared" si="13"/>
        <v>0</v>
      </c>
      <c r="BJ79" s="106">
        <f t="shared" si="14"/>
        <v>0</v>
      </c>
      <c r="BK79" s="34">
        <f t="shared" si="15"/>
        <v>0</v>
      </c>
      <c r="BL79" s="106">
        <f t="shared" si="16"/>
        <v>0</v>
      </c>
      <c r="BN79" s="108">
        <v>0</v>
      </c>
      <c r="BO79" s="5"/>
      <c r="BP79" s="105">
        <v>0</v>
      </c>
      <c r="BQ79" s="106">
        <v>0</v>
      </c>
      <c r="BR79" s="34"/>
      <c r="BS79" s="105">
        <v>0</v>
      </c>
      <c r="BT79" s="106">
        <v>0</v>
      </c>
      <c r="BU79" s="105">
        <v>0</v>
      </c>
      <c r="BV79" s="106">
        <v>0</v>
      </c>
      <c r="BW79" s="105">
        <v>0</v>
      </c>
      <c r="BX79" s="106">
        <v>0</v>
      </c>
      <c r="BY79" s="105">
        <v>0</v>
      </c>
      <c r="BZ79" s="106">
        <v>0</v>
      </c>
      <c r="CA79" s="34"/>
      <c r="CB79" s="105">
        <v>0</v>
      </c>
      <c r="CC79" s="106">
        <v>0</v>
      </c>
      <c r="CD79" s="105">
        <v>0</v>
      </c>
      <c r="CE79" s="106">
        <v>0</v>
      </c>
      <c r="CF79" s="105">
        <v>0</v>
      </c>
      <c r="CG79" s="106">
        <v>0</v>
      </c>
      <c r="CH79" s="105">
        <v>0</v>
      </c>
      <c r="CI79" s="106">
        <v>0</v>
      </c>
      <c r="CK79" s="78"/>
      <c r="CL79" s="5"/>
      <c r="CM79" s="38" t="str">
        <f t="shared" si="17"/>
        <v>-</v>
      </c>
      <c r="CN79" s="5"/>
      <c r="CO79" s="38" t="str">
        <f t="shared" si="18"/>
        <v>-</v>
      </c>
      <c r="CP79" s="38" t="str">
        <f t="shared" si="19"/>
        <v>-</v>
      </c>
      <c r="CQ79" s="38" t="str">
        <f t="shared" si="20"/>
        <v>-</v>
      </c>
      <c r="CR79" s="38" t="str">
        <f t="shared" si="20"/>
        <v>-</v>
      </c>
      <c r="CS79" s="5"/>
      <c r="CT79" s="38" t="str">
        <f t="shared" si="21"/>
        <v>-</v>
      </c>
      <c r="CU79" s="38" t="str">
        <f t="shared" si="22"/>
        <v>-</v>
      </c>
      <c r="CV79" s="38" t="str">
        <f t="shared" si="23"/>
        <v>-</v>
      </c>
      <c r="CW79" s="38" t="str">
        <f t="shared" si="24"/>
        <v>-</v>
      </c>
    </row>
    <row r="80" spans="2:101" s="113" customFormat="1" ht="12.75" customHeight="1">
      <c r="B80" s="99" t="s">
        <v>58</v>
      </c>
      <c r="C80" s="98" t="s">
        <v>125</v>
      </c>
      <c r="D80" s="114" t="e">
        <f>VLOOKUP($C80,#REF!,5,0)</f>
        <v>#REF!</v>
      </c>
      <c r="E80" s="115" t="e">
        <f>VLOOKUP($C80,#REF!,6,0)</f>
        <v>#REF!</v>
      </c>
      <c r="F80" s="98" t="e">
        <f>VLOOKUP($C80,#REF!,7,0)</f>
        <v>#REF!</v>
      </c>
      <c r="G80" s="98" t="e">
        <f>VLOOKUP($C80,#REF!,8,0)</f>
        <v>#REF!</v>
      </c>
      <c r="H80" s="116" t="e">
        <f>VLOOKUP($C80,#REF!,9,0)</f>
        <v>#REF!</v>
      </c>
      <c r="I80" s="5"/>
      <c r="J80" s="118" t="e">
        <f>VLOOKUP($C80,#REF!,10,0)</f>
        <v>#REF!</v>
      </c>
      <c r="K80" s="119" t="e">
        <f>VLOOKUP($C80,#REF!,11,0)</f>
        <v>#REF!</v>
      </c>
      <c r="L80" s="34"/>
      <c r="M80" s="118" t="e">
        <f>VLOOKUP($C80,#REF!,12,0)</f>
        <v>#REF!</v>
      </c>
      <c r="N80" s="120" t="e">
        <f>VLOOKUP($C80,#REF!,13,0)</f>
        <v>#REF!</v>
      </c>
      <c r="O80" s="118" t="e">
        <f>VLOOKUP($C80,#REF!,14,0)</f>
        <v>#REF!</v>
      </c>
      <c r="P80" s="120" t="e">
        <f>VLOOKUP($C80,#REF!,15,0)</f>
        <v>#REF!</v>
      </c>
      <c r="Q80" s="118" t="e">
        <f>VLOOKUP($C80,#REF!,16,0)</f>
        <v>#REF!</v>
      </c>
      <c r="R80" s="119" t="e">
        <f>VLOOKUP($C80,#REF!,17,0)</f>
        <v>#REF!</v>
      </c>
      <c r="S80" s="120" t="e">
        <f>VLOOKUP($C80,#REF!,18,0)</f>
        <v>#REF!</v>
      </c>
      <c r="T80" s="119" t="e">
        <f>VLOOKUP($C80,#REF!,19,0)</f>
        <v>#REF!</v>
      </c>
      <c r="U80" s="34"/>
      <c r="V80" s="118" t="e">
        <f>VLOOKUP($C80,#REF!,20,0)</f>
        <v>#REF!</v>
      </c>
      <c r="W80" s="120" t="e">
        <f>VLOOKUP($C80,#REF!,21,0)</f>
        <v>#REF!</v>
      </c>
      <c r="X80" s="118" t="e">
        <f>VLOOKUP($C80,#REF!,22,0)</f>
        <v>#REF!</v>
      </c>
      <c r="Y80" s="120" t="e">
        <f>VLOOKUP($C80,#REF!,23,0)</f>
        <v>#REF!</v>
      </c>
      <c r="Z80" s="118" t="e">
        <f>VLOOKUP($C80,#REF!,24,0)</f>
        <v>#REF!</v>
      </c>
      <c r="AA80" s="119" t="e">
        <f>VLOOKUP($C80,#REF!,25,0)</f>
        <v>#REF!</v>
      </c>
      <c r="AB80" s="120" t="e">
        <f>VLOOKUP($C80,#REF!,26,0)</f>
        <v>#REF!</v>
      </c>
      <c r="AC80" s="119" t="e">
        <f>VLOOKUP($C80,#REF!,27,0)</f>
        <v>#REF!</v>
      </c>
      <c r="AD80" s="4"/>
      <c r="AE80" s="118" t="e">
        <f t="shared" si="0"/>
        <v>#REF!</v>
      </c>
      <c r="AF80" s="121" t="s">
        <v>320</v>
      </c>
      <c r="AG80" s="121" t="s">
        <v>321</v>
      </c>
      <c r="AH80" s="119" t="s">
        <v>322</v>
      </c>
      <c r="AI80" s="4"/>
      <c r="AJ80" s="118" t="s">
        <v>323</v>
      </c>
      <c r="AK80" s="121" t="s">
        <v>324</v>
      </c>
      <c r="AL80" s="121" t="s">
        <v>325</v>
      </c>
      <c r="AM80" s="121" t="s">
        <v>326</v>
      </c>
      <c r="AN80" s="121" t="s">
        <v>326</v>
      </c>
      <c r="AO80" s="119" t="s">
        <v>320</v>
      </c>
      <c r="AP80" s="4"/>
      <c r="AQ80" s="122">
        <v>1</v>
      </c>
      <c r="AR80" s="5"/>
      <c r="AS80" s="118">
        <v>0</v>
      </c>
      <c r="AT80" s="119">
        <v>0</v>
      </c>
      <c r="AU80" s="34"/>
      <c r="AV80" s="118">
        <f t="shared" si="25"/>
        <v>0</v>
      </c>
      <c r="AW80" s="119">
        <f t="shared" si="26"/>
        <v>0</v>
      </c>
      <c r="AX80" s="118">
        <f t="shared" si="3"/>
        <v>0</v>
      </c>
      <c r="AY80" s="119">
        <f t="shared" si="4"/>
        <v>0</v>
      </c>
      <c r="AZ80" s="118">
        <f t="shared" si="5"/>
        <v>0</v>
      </c>
      <c r="BA80" s="119">
        <f t="shared" si="6"/>
        <v>0</v>
      </c>
      <c r="BB80" s="120">
        <f t="shared" si="7"/>
        <v>0</v>
      </c>
      <c r="BC80" s="119">
        <f t="shared" si="8"/>
        <v>0</v>
      </c>
      <c r="BD80" s="34"/>
      <c r="BE80" s="118">
        <f t="shared" si="9"/>
        <v>0</v>
      </c>
      <c r="BF80" s="119">
        <f t="shared" si="10"/>
        <v>0</v>
      </c>
      <c r="BG80" s="118">
        <f t="shared" si="11"/>
        <v>0</v>
      </c>
      <c r="BH80" s="119">
        <f t="shared" si="12"/>
        <v>0</v>
      </c>
      <c r="BI80" s="120">
        <f t="shared" si="13"/>
        <v>0</v>
      </c>
      <c r="BJ80" s="119">
        <f t="shared" si="14"/>
        <v>0</v>
      </c>
      <c r="BK80" s="120">
        <f t="shared" si="15"/>
        <v>0</v>
      </c>
      <c r="BL80" s="119">
        <f t="shared" si="16"/>
        <v>0</v>
      </c>
      <c r="BM80" s="4"/>
      <c r="BN80" s="122">
        <v>0</v>
      </c>
      <c r="BO80" s="117"/>
      <c r="BP80" s="118">
        <v>0</v>
      </c>
      <c r="BQ80" s="119">
        <v>0</v>
      </c>
      <c r="BR80" s="120"/>
      <c r="BS80" s="118">
        <v>0</v>
      </c>
      <c r="BT80" s="119">
        <v>0</v>
      </c>
      <c r="BU80" s="118">
        <v>0</v>
      </c>
      <c r="BV80" s="119">
        <v>0</v>
      </c>
      <c r="BW80" s="118">
        <v>0</v>
      </c>
      <c r="BX80" s="119">
        <v>0</v>
      </c>
      <c r="BY80" s="118">
        <v>0</v>
      </c>
      <c r="BZ80" s="119">
        <v>0</v>
      </c>
      <c r="CA80" s="120"/>
      <c r="CB80" s="118">
        <v>0</v>
      </c>
      <c r="CC80" s="119">
        <v>0</v>
      </c>
      <c r="CD80" s="118">
        <v>0</v>
      </c>
      <c r="CE80" s="119">
        <v>0</v>
      </c>
      <c r="CF80" s="118">
        <v>0</v>
      </c>
      <c r="CG80" s="119">
        <v>0</v>
      </c>
      <c r="CH80" s="118">
        <v>0</v>
      </c>
      <c r="CI80" s="119">
        <v>0</v>
      </c>
      <c r="CJ80" s="4"/>
      <c r="CK80" s="79"/>
      <c r="CL80" s="5"/>
      <c r="CM80" s="39" t="str">
        <f t="shared" si="17"/>
        <v>-</v>
      </c>
      <c r="CN80" s="5"/>
      <c r="CO80" s="39" t="str">
        <f t="shared" si="18"/>
        <v>-</v>
      </c>
      <c r="CP80" s="39" t="str">
        <f t="shared" si="19"/>
        <v>-</v>
      </c>
      <c r="CQ80" s="39" t="str">
        <f t="shared" si="20"/>
        <v>-</v>
      </c>
      <c r="CR80" s="39" t="str">
        <f t="shared" si="20"/>
        <v>-</v>
      </c>
      <c r="CS80" s="5"/>
      <c r="CT80" s="39" t="str">
        <f t="shared" si="21"/>
        <v>-</v>
      </c>
      <c r="CU80" s="39" t="str">
        <f t="shared" si="22"/>
        <v>-</v>
      </c>
      <c r="CV80" s="39" t="str">
        <f t="shared" si="23"/>
        <v>-</v>
      </c>
      <c r="CW80" s="39" t="str">
        <f t="shared" si="24"/>
        <v>-</v>
      </c>
    </row>
    <row r="81" spans="2:101" s="4" customFormat="1" ht="12.75" customHeight="1">
      <c r="B81" s="102" t="s">
        <v>58</v>
      </c>
      <c r="C81" s="103" t="s">
        <v>89</v>
      </c>
      <c r="D81" s="104" t="e">
        <f>VLOOKUP($C81,#REF!,5,0)</f>
        <v>#REF!</v>
      </c>
      <c r="E81" s="109" t="e">
        <f>VLOOKUP($C81,#REF!,6,0)</f>
        <v>#REF!</v>
      </c>
      <c r="F81" s="103" t="e">
        <f>VLOOKUP($C81,#REF!,7,0)</f>
        <v>#REF!</v>
      </c>
      <c r="G81" s="103" t="e">
        <f>VLOOKUP($C81,#REF!,8,0)</f>
        <v>#REF!</v>
      </c>
      <c r="H81" s="110" t="e">
        <f>VLOOKUP($C81,#REF!,9,0)</f>
        <v>#REF!</v>
      </c>
      <c r="I81" s="5"/>
      <c r="J81" s="105" t="e">
        <f>VLOOKUP($C81,#REF!,10,0)</f>
        <v>#REF!</v>
      </c>
      <c r="K81" s="106" t="e">
        <f>VLOOKUP($C81,#REF!,11,0)</f>
        <v>#REF!</v>
      </c>
      <c r="L81" s="34"/>
      <c r="M81" s="105" t="e">
        <f>VLOOKUP($C81,#REF!,12,0)</f>
        <v>#REF!</v>
      </c>
      <c r="N81" s="34" t="e">
        <f>VLOOKUP($C81,#REF!,13,0)</f>
        <v>#REF!</v>
      </c>
      <c r="O81" s="105" t="e">
        <f>VLOOKUP($C81,#REF!,14,0)</f>
        <v>#REF!</v>
      </c>
      <c r="P81" s="34" t="e">
        <f>VLOOKUP($C81,#REF!,15,0)</f>
        <v>#REF!</v>
      </c>
      <c r="Q81" s="105" t="e">
        <f>VLOOKUP($C81,#REF!,16,0)</f>
        <v>#REF!</v>
      </c>
      <c r="R81" s="106" t="e">
        <f>VLOOKUP($C81,#REF!,17,0)</f>
        <v>#REF!</v>
      </c>
      <c r="S81" s="34" t="e">
        <f>VLOOKUP($C81,#REF!,18,0)</f>
        <v>#REF!</v>
      </c>
      <c r="T81" s="106" t="e">
        <f>VLOOKUP($C81,#REF!,19,0)</f>
        <v>#REF!</v>
      </c>
      <c r="U81" s="34"/>
      <c r="V81" s="105" t="e">
        <f>VLOOKUP($C81,#REF!,20,0)</f>
        <v>#REF!</v>
      </c>
      <c r="W81" s="34" t="e">
        <f>VLOOKUP($C81,#REF!,21,0)</f>
        <v>#REF!</v>
      </c>
      <c r="X81" s="105" t="e">
        <f>VLOOKUP($C81,#REF!,22,0)</f>
        <v>#REF!</v>
      </c>
      <c r="Y81" s="34" t="e">
        <f>VLOOKUP($C81,#REF!,23,0)</f>
        <v>#REF!</v>
      </c>
      <c r="Z81" s="105" t="e">
        <f>VLOOKUP($C81,#REF!,24,0)</f>
        <v>#REF!</v>
      </c>
      <c r="AA81" s="106" t="e">
        <f>VLOOKUP($C81,#REF!,25,0)</f>
        <v>#REF!</v>
      </c>
      <c r="AB81" s="34" t="e">
        <f>VLOOKUP($C81,#REF!,26,0)</f>
        <v>#REF!</v>
      </c>
      <c r="AC81" s="106" t="e">
        <f>VLOOKUP($C81,#REF!,27,0)</f>
        <v>#REF!</v>
      </c>
      <c r="AE81" s="105" t="e">
        <f t="shared" si="0"/>
        <v>#REF!</v>
      </c>
      <c r="AF81" s="107" t="s">
        <v>320</v>
      </c>
      <c r="AG81" s="107" t="s">
        <v>321</v>
      </c>
      <c r="AH81" s="106" t="s">
        <v>322</v>
      </c>
      <c r="AJ81" s="105" t="s">
        <v>323</v>
      </c>
      <c r="AK81" s="107" t="s">
        <v>324</v>
      </c>
      <c r="AL81" s="107" t="s">
        <v>325</v>
      </c>
      <c r="AM81" s="107" t="s">
        <v>326</v>
      </c>
      <c r="AN81" s="107" t="s">
        <v>326</v>
      </c>
      <c r="AO81" s="106" t="s">
        <v>320</v>
      </c>
      <c r="AQ81" s="108">
        <v>0</v>
      </c>
      <c r="AR81" s="5"/>
      <c r="AS81" s="105">
        <v>0</v>
      </c>
      <c r="AT81" s="106">
        <v>0</v>
      </c>
      <c r="AU81" s="34"/>
      <c r="AV81" s="105">
        <f t="shared" si="25"/>
        <v>0</v>
      </c>
      <c r="AW81" s="106">
        <f t="shared" si="26"/>
        <v>0</v>
      </c>
      <c r="AX81" s="105">
        <f t="shared" si="3"/>
        <v>0</v>
      </c>
      <c r="AY81" s="106">
        <f t="shared" si="4"/>
        <v>0</v>
      </c>
      <c r="AZ81" s="105">
        <f t="shared" si="5"/>
        <v>0</v>
      </c>
      <c r="BA81" s="106">
        <f t="shared" si="6"/>
        <v>0</v>
      </c>
      <c r="BB81" s="34">
        <f t="shared" si="7"/>
        <v>0</v>
      </c>
      <c r="BC81" s="106">
        <f t="shared" si="8"/>
        <v>0</v>
      </c>
      <c r="BD81" s="34"/>
      <c r="BE81" s="105">
        <f t="shared" si="9"/>
        <v>0</v>
      </c>
      <c r="BF81" s="106">
        <f t="shared" si="10"/>
        <v>0</v>
      </c>
      <c r="BG81" s="105">
        <f t="shared" si="11"/>
        <v>0</v>
      </c>
      <c r="BH81" s="106">
        <f t="shared" si="12"/>
        <v>0</v>
      </c>
      <c r="BI81" s="34">
        <f t="shared" si="13"/>
        <v>0</v>
      </c>
      <c r="BJ81" s="106">
        <f t="shared" si="14"/>
        <v>0</v>
      </c>
      <c r="BK81" s="34">
        <f t="shared" si="15"/>
        <v>0</v>
      </c>
      <c r="BL81" s="106">
        <f t="shared" si="16"/>
        <v>0</v>
      </c>
      <c r="BN81" s="108">
        <v>0</v>
      </c>
      <c r="BO81" s="5"/>
      <c r="BP81" s="105">
        <v>0</v>
      </c>
      <c r="BQ81" s="106">
        <v>0</v>
      </c>
      <c r="BR81" s="34"/>
      <c r="BS81" s="105">
        <v>0</v>
      </c>
      <c r="BT81" s="106">
        <v>0</v>
      </c>
      <c r="BU81" s="105">
        <v>0</v>
      </c>
      <c r="BV81" s="106">
        <v>0</v>
      </c>
      <c r="BW81" s="105">
        <v>0</v>
      </c>
      <c r="BX81" s="106">
        <v>0</v>
      </c>
      <c r="BY81" s="105">
        <v>0</v>
      </c>
      <c r="BZ81" s="106">
        <v>0</v>
      </c>
      <c r="CA81" s="34"/>
      <c r="CB81" s="105">
        <v>0</v>
      </c>
      <c r="CC81" s="106">
        <v>0</v>
      </c>
      <c r="CD81" s="105">
        <v>0</v>
      </c>
      <c r="CE81" s="106">
        <v>0</v>
      </c>
      <c r="CF81" s="105">
        <v>0</v>
      </c>
      <c r="CG81" s="106">
        <v>0</v>
      </c>
      <c r="CH81" s="105">
        <v>0</v>
      </c>
      <c r="CI81" s="106">
        <v>0</v>
      </c>
      <c r="CK81" s="78"/>
      <c r="CL81" s="5"/>
      <c r="CM81" s="38" t="str">
        <f t="shared" si="17"/>
        <v>-</v>
      </c>
      <c r="CN81" s="5"/>
      <c r="CO81" s="38" t="str">
        <f t="shared" si="18"/>
        <v>-</v>
      </c>
      <c r="CP81" s="38" t="str">
        <f t="shared" si="19"/>
        <v>-</v>
      </c>
      <c r="CQ81" s="38" t="str">
        <f t="shared" si="20"/>
        <v>-</v>
      </c>
      <c r="CR81" s="38" t="str">
        <f t="shared" si="20"/>
        <v>-</v>
      </c>
      <c r="CS81" s="5"/>
      <c r="CT81" s="38" t="str">
        <f t="shared" si="21"/>
        <v>-</v>
      </c>
      <c r="CU81" s="38" t="str">
        <f t="shared" si="22"/>
        <v>-</v>
      </c>
      <c r="CV81" s="38" t="str">
        <f t="shared" si="23"/>
        <v>-</v>
      </c>
      <c r="CW81" s="38" t="str">
        <f t="shared" si="24"/>
        <v>-</v>
      </c>
    </row>
    <row r="82" spans="2:101" s="113" customFormat="1" ht="12.75" customHeight="1">
      <c r="B82" s="99" t="s">
        <v>58</v>
      </c>
      <c r="C82" s="98" t="s">
        <v>129</v>
      </c>
      <c r="D82" s="114" t="e">
        <f>VLOOKUP($C82,#REF!,5,0)</f>
        <v>#REF!</v>
      </c>
      <c r="E82" s="115" t="e">
        <f>VLOOKUP($C82,#REF!,6,0)</f>
        <v>#REF!</v>
      </c>
      <c r="F82" s="98" t="e">
        <f>VLOOKUP($C82,#REF!,7,0)</f>
        <v>#REF!</v>
      </c>
      <c r="G82" s="98" t="e">
        <f>VLOOKUP($C82,#REF!,8,0)</f>
        <v>#REF!</v>
      </c>
      <c r="H82" s="116" t="e">
        <f>VLOOKUP($C82,#REF!,9,0)</f>
        <v>#REF!</v>
      </c>
      <c r="I82" s="5"/>
      <c r="J82" s="118" t="e">
        <f>VLOOKUP($C82,#REF!,10,0)</f>
        <v>#REF!</v>
      </c>
      <c r="K82" s="119" t="e">
        <f>VLOOKUP($C82,#REF!,11,0)</f>
        <v>#REF!</v>
      </c>
      <c r="L82" s="34"/>
      <c r="M82" s="118" t="e">
        <f>VLOOKUP($C82,#REF!,12,0)</f>
        <v>#REF!</v>
      </c>
      <c r="N82" s="120" t="e">
        <f>VLOOKUP($C82,#REF!,13,0)</f>
        <v>#REF!</v>
      </c>
      <c r="O82" s="118" t="e">
        <f>VLOOKUP($C82,#REF!,14,0)</f>
        <v>#REF!</v>
      </c>
      <c r="P82" s="120" t="e">
        <f>VLOOKUP($C82,#REF!,15,0)</f>
        <v>#REF!</v>
      </c>
      <c r="Q82" s="118" t="e">
        <f>VLOOKUP($C82,#REF!,16,0)</f>
        <v>#REF!</v>
      </c>
      <c r="R82" s="119" t="e">
        <f>VLOOKUP($C82,#REF!,17,0)</f>
        <v>#REF!</v>
      </c>
      <c r="S82" s="120" t="e">
        <f>VLOOKUP($C82,#REF!,18,0)</f>
        <v>#REF!</v>
      </c>
      <c r="T82" s="119" t="e">
        <f>VLOOKUP($C82,#REF!,19,0)</f>
        <v>#REF!</v>
      </c>
      <c r="U82" s="34"/>
      <c r="V82" s="118" t="e">
        <f>VLOOKUP($C82,#REF!,20,0)</f>
        <v>#REF!</v>
      </c>
      <c r="W82" s="120" t="e">
        <f>VLOOKUP($C82,#REF!,21,0)</f>
        <v>#REF!</v>
      </c>
      <c r="X82" s="118" t="e">
        <f>VLOOKUP($C82,#REF!,22,0)</f>
        <v>#REF!</v>
      </c>
      <c r="Y82" s="120" t="e">
        <f>VLOOKUP($C82,#REF!,23,0)</f>
        <v>#REF!</v>
      </c>
      <c r="Z82" s="118" t="e">
        <f>VLOOKUP($C82,#REF!,24,0)</f>
        <v>#REF!</v>
      </c>
      <c r="AA82" s="119" t="e">
        <f>VLOOKUP($C82,#REF!,25,0)</f>
        <v>#REF!</v>
      </c>
      <c r="AB82" s="120" t="e">
        <f>VLOOKUP($C82,#REF!,26,0)</f>
        <v>#REF!</v>
      </c>
      <c r="AC82" s="119" t="e">
        <f>VLOOKUP($C82,#REF!,27,0)</f>
        <v>#REF!</v>
      </c>
      <c r="AD82" s="4"/>
      <c r="AE82" s="118" t="e">
        <f t="shared" si="0"/>
        <v>#REF!</v>
      </c>
      <c r="AF82" s="121" t="s">
        <v>320</v>
      </c>
      <c r="AG82" s="121" t="s">
        <v>321</v>
      </c>
      <c r="AH82" s="119" t="s">
        <v>322</v>
      </c>
      <c r="AI82" s="4"/>
      <c r="AJ82" s="118" t="s">
        <v>323</v>
      </c>
      <c r="AK82" s="121" t="s">
        <v>324</v>
      </c>
      <c r="AL82" s="121" t="s">
        <v>325</v>
      </c>
      <c r="AM82" s="121" t="s">
        <v>326</v>
      </c>
      <c r="AN82" s="121" t="s">
        <v>326</v>
      </c>
      <c r="AO82" s="119" t="s">
        <v>320</v>
      </c>
      <c r="AP82" s="4"/>
      <c r="AQ82" s="122">
        <v>0</v>
      </c>
      <c r="AR82" s="5"/>
      <c r="AS82" s="118">
        <v>0</v>
      </c>
      <c r="AT82" s="119">
        <v>0</v>
      </c>
      <c r="AU82" s="34"/>
      <c r="AV82" s="118">
        <f t="shared" si="25"/>
        <v>0</v>
      </c>
      <c r="AW82" s="119">
        <f t="shared" si="26"/>
        <v>0</v>
      </c>
      <c r="AX82" s="118">
        <f t="shared" si="3"/>
        <v>0</v>
      </c>
      <c r="AY82" s="119">
        <f t="shared" si="4"/>
        <v>0</v>
      </c>
      <c r="AZ82" s="118">
        <f t="shared" si="5"/>
        <v>0</v>
      </c>
      <c r="BA82" s="119">
        <f t="shared" si="6"/>
        <v>0</v>
      </c>
      <c r="BB82" s="120">
        <f t="shared" si="7"/>
        <v>0</v>
      </c>
      <c r="BC82" s="119">
        <f t="shared" si="8"/>
        <v>0</v>
      </c>
      <c r="BD82" s="34"/>
      <c r="BE82" s="118">
        <f t="shared" si="9"/>
        <v>0</v>
      </c>
      <c r="BF82" s="119">
        <f t="shared" si="10"/>
        <v>0</v>
      </c>
      <c r="BG82" s="118">
        <f t="shared" si="11"/>
        <v>0</v>
      </c>
      <c r="BH82" s="119">
        <f t="shared" si="12"/>
        <v>0</v>
      </c>
      <c r="BI82" s="120">
        <f t="shared" si="13"/>
        <v>0</v>
      </c>
      <c r="BJ82" s="119">
        <f t="shared" si="14"/>
        <v>0</v>
      </c>
      <c r="BK82" s="120">
        <f t="shared" si="15"/>
        <v>0</v>
      </c>
      <c r="BL82" s="119">
        <f t="shared" si="16"/>
        <v>0</v>
      </c>
      <c r="BM82" s="4"/>
      <c r="BN82" s="122">
        <v>0</v>
      </c>
      <c r="BO82" s="117"/>
      <c r="BP82" s="118">
        <v>0</v>
      </c>
      <c r="BQ82" s="119">
        <v>0</v>
      </c>
      <c r="BR82" s="120"/>
      <c r="BS82" s="118">
        <v>0</v>
      </c>
      <c r="BT82" s="119">
        <v>0</v>
      </c>
      <c r="BU82" s="118">
        <v>0</v>
      </c>
      <c r="BV82" s="119">
        <v>0</v>
      </c>
      <c r="BW82" s="118">
        <v>0</v>
      </c>
      <c r="BX82" s="119">
        <v>0</v>
      </c>
      <c r="BY82" s="118">
        <v>0</v>
      </c>
      <c r="BZ82" s="119">
        <v>0</v>
      </c>
      <c r="CA82" s="120"/>
      <c r="CB82" s="118">
        <v>0</v>
      </c>
      <c r="CC82" s="119">
        <v>0</v>
      </c>
      <c r="CD82" s="118">
        <v>0</v>
      </c>
      <c r="CE82" s="119">
        <v>0</v>
      </c>
      <c r="CF82" s="118">
        <v>0</v>
      </c>
      <c r="CG82" s="119">
        <v>0</v>
      </c>
      <c r="CH82" s="118">
        <v>0</v>
      </c>
      <c r="CI82" s="119">
        <v>0</v>
      </c>
      <c r="CJ82" s="4"/>
      <c r="CK82" s="79"/>
      <c r="CL82" s="5"/>
      <c r="CM82" s="39" t="str">
        <f t="shared" si="17"/>
        <v>-</v>
      </c>
      <c r="CN82" s="5"/>
      <c r="CO82" s="39" t="str">
        <f t="shared" si="18"/>
        <v>-</v>
      </c>
      <c r="CP82" s="39" t="str">
        <f t="shared" si="19"/>
        <v>-</v>
      </c>
      <c r="CQ82" s="39" t="str">
        <f t="shared" si="20"/>
        <v>-</v>
      </c>
      <c r="CR82" s="39" t="str">
        <f t="shared" si="20"/>
        <v>-</v>
      </c>
      <c r="CS82" s="5"/>
      <c r="CT82" s="39" t="str">
        <f t="shared" si="21"/>
        <v>-</v>
      </c>
      <c r="CU82" s="39" t="str">
        <f t="shared" si="22"/>
        <v>-</v>
      </c>
      <c r="CV82" s="39" t="str">
        <f t="shared" si="23"/>
        <v>-</v>
      </c>
      <c r="CW82" s="39" t="str">
        <f t="shared" si="24"/>
        <v>-</v>
      </c>
    </row>
    <row r="83" spans="2:101" s="4" customFormat="1" ht="12.75" customHeight="1">
      <c r="B83" s="102" t="s">
        <v>58</v>
      </c>
      <c r="C83" s="103" t="s">
        <v>248</v>
      </c>
      <c r="D83" s="104" t="e">
        <f>VLOOKUP($C83,#REF!,5,0)</f>
        <v>#REF!</v>
      </c>
      <c r="E83" s="109" t="e">
        <f>VLOOKUP($C83,#REF!,6,0)</f>
        <v>#REF!</v>
      </c>
      <c r="F83" s="103" t="e">
        <f>VLOOKUP($C83,#REF!,7,0)</f>
        <v>#REF!</v>
      </c>
      <c r="G83" s="103" t="e">
        <f>VLOOKUP($C83,#REF!,8,0)</f>
        <v>#REF!</v>
      </c>
      <c r="H83" s="110" t="e">
        <f>VLOOKUP($C83,#REF!,9,0)</f>
        <v>#REF!</v>
      </c>
      <c r="I83" s="5"/>
      <c r="J83" s="105" t="e">
        <f>VLOOKUP($C83,#REF!,10,0)</f>
        <v>#REF!</v>
      </c>
      <c r="K83" s="106" t="e">
        <f>VLOOKUP($C83,#REF!,11,0)</f>
        <v>#REF!</v>
      </c>
      <c r="L83" s="34"/>
      <c r="M83" s="105" t="e">
        <f>VLOOKUP($C83,#REF!,12,0)</f>
        <v>#REF!</v>
      </c>
      <c r="N83" s="34" t="e">
        <f>VLOOKUP($C83,#REF!,13,0)</f>
        <v>#REF!</v>
      </c>
      <c r="O83" s="105" t="e">
        <f>VLOOKUP($C83,#REF!,14,0)</f>
        <v>#REF!</v>
      </c>
      <c r="P83" s="34" t="e">
        <f>VLOOKUP($C83,#REF!,15,0)</f>
        <v>#REF!</v>
      </c>
      <c r="Q83" s="105" t="e">
        <f>VLOOKUP($C83,#REF!,16,0)</f>
        <v>#REF!</v>
      </c>
      <c r="R83" s="106" t="e">
        <f>VLOOKUP($C83,#REF!,17,0)</f>
        <v>#REF!</v>
      </c>
      <c r="S83" s="34" t="e">
        <f>VLOOKUP($C83,#REF!,18,0)</f>
        <v>#REF!</v>
      </c>
      <c r="T83" s="106" t="e">
        <f>VLOOKUP($C83,#REF!,19,0)</f>
        <v>#REF!</v>
      </c>
      <c r="U83" s="34"/>
      <c r="V83" s="105" t="e">
        <f>VLOOKUP($C83,#REF!,20,0)</f>
        <v>#REF!</v>
      </c>
      <c r="W83" s="34" t="e">
        <f>VLOOKUP($C83,#REF!,21,0)</f>
        <v>#REF!</v>
      </c>
      <c r="X83" s="105" t="e">
        <f>VLOOKUP($C83,#REF!,22,0)</f>
        <v>#REF!</v>
      </c>
      <c r="Y83" s="34" t="e">
        <f>VLOOKUP($C83,#REF!,23,0)</f>
        <v>#REF!</v>
      </c>
      <c r="Z83" s="105" t="e">
        <f>VLOOKUP($C83,#REF!,24,0)</f>
        <v>#REF!</v>
      </c>
      <c r="AA83" s="106" t="e">
        <f>VLOOKUP($C83,#REF!,25,0)</f>
        <v>#REF!</v>
      </c>
      <c r="AB83" s="34" t="e">
        <f>VLOOKUP($C83,#REF!,26,0)</f>
        <v>#REF!</v>
      </c>
      <c r="AC83" s="106" t="e">
        <f>VLOOKUP($C83,#REF!,27,0)</f>
        <v>#REF!</v>
      </c>
      <c r="AE83" s="105" t="e">
        <f t="shared" si="0"/>
        <v>#REF!</v>
      </c>
      <c r="AF83" s="107" t="s">
        <v>320</v>
      </c>
      <c r="AG83" s="107" t="s">
        <v>321</v>
      </c>
      <c r="AH83" s="106" t="s">
        <v>322</v>
      </c>
      <c r="AJ83" s="105" t="s">
        <v>323</v>
      </c>
      <c r="AK83" s="107" t="s">
        <v>324</v>
      </c>
      <c r="AL83" s="107" t="s">
        <v>325</v>
      </c>
      <c r="AM83" s="107" t="s">
        <v>326</v>
      </c>
      <c r="AN83" s="107" t="s">
        <v>326</v>
      </c>
      <c r="AO83" s="106" t="s">
        <v>320</v>
      </c>
      <c r="AQ83" s="108">
        <v>-1</v>
      </c>
      <c r="AR83" s="5"/>
      <c r="AS83" s="105">
        <v>0</v>
      </c>
      <c r="AT83" s="106">
        <v>0</v>
      </c>
      <c r="AU83" s="34"/>
      <c r="AV83" s="105">
        <f t="shared" si="25"/>
        <v>0</v>
      </c>
      <c r="AW83" s="106">
        <f t="shared" si="26"/>
        <v>0</v>
      </c>
      <c r="AX83" s="105">
        <f t="shared" si="3"/>
        <v>0</v>
      </c>
      <c r="AY83" s="106">
        <f t="shared" si="4"/>
        <v>0</v>
      </c>
      <c r="AZ83" s="105">
        <f t="shared" si="5"/>
        <v>0</v>
      </c>
      <c r="BA83" s="106">
        <f t="shared" si="6"/>
        <v>0</v>
      </c>
      <c r="BB83" s="34">
        <f t="shared" si="7"/>
        <v>0</v>
      </c>
      <c r="BC83" s="106">
        <f t="shared" si="8"/>
        <v>0</v>
      </c>
      <c r="BD83" s="34"/>
      <c r="BE83" s="105">
        <f t="shared" si="9"/>
        <v>0</v>
      </c>
      <c r="BF83" s="106">
        <f t="shared" si="10"/>
        <v>0</v>
      </c>
      <c r="BG83" s="105">
        <f t="shared" si="11"/>
        <v>0</v>
      </c>
      <c r="BH83" s="106">
        <f t="shared" si="12"/>
        <v>0</v>
      </c>
      <c r="BI83" s="34">
        <f t="shared" si="13"/>
        <v>0</v>
      </c>
      <c r="BJ83" s="106">
        <f t="shared" si="14"/>
        <v>0</v>
      </c>
      <c r="BK83" s="34">
        <f t="shared" si="15"/>
        <v>0</v>
      </c>
      <c r="BL83" s="106">
        <f t="shared" si="16"/>
        <v>0</v>
      </c>
      <c r="BN83" s="108">
        <v>0</v>
      </c>
      <c r="BO83" s="5"/>
      <c r="BP83" s="105">
        <v>0</v>
      </c>
      <c r="BQ83" s="106">
        <v>0</v>
      </c>
      <c r="BR83" s="34"/>
      <c r="BS83" s="105">
        <v>0</v>
      </c>
      <c r="BT83" s="106">
        <v>0</v>
      </c>
      <c r="BU83" s="105">
        <v>0</v>
      </c>
      <c r="BV83" s="106">
        <v>0</v>
      </c>
      <c r="BW83" s="105">
        <v>0</v>
      </c>
      <c r="BX83" s="106">
        <v>0</v>
      </c>
      <c r="BY83" s="105">
        <v>0</v>
      </c>
      <c r="BZ83" s="106">
        <v>0</v>
      </c>
      <c r="CA83" s="34"/>
      <c r="CB83" s="105">
        <v>0</v>
      </c>
      <c r="CC83" s="106">
        <v>0</v>
      </c>
      <c r="CD83" s="105">
        <v>0</v>
      </c>
      <c r="CE83" s="106">
        <v>0</v>
      </c>
      <c r="CF83" s="105">
        <v>0</v>
      </c>
      <c r="CG83" s="106">
        <v>0</v>
      </c>
      <c r="CH83" s="105">
        <v>0</v>
      </c>
      <c r="CI83" s="106">
        <v>0</v>
      </c>
      <c r="CK83" s="78"/>
      <c r="CL83" s="5"/>
      <c r="CM83" s="38" t="str">
        <f t="shared" si="17"/>
        <v>-</v>
      </c>
      <c r="CN83" s="5"/>
      <c r="CO83" s="38" t="str">
        <f t="shared" si="18"/>
        <v>-</v>
      </c>
      <c r="CP83" s="38" t="str">
        <f t="shared" si="19"/>
        <v>-</v>
      </c>
      <c r="CQ83" s="38" t="str">
        <f t="shared" si="20"/>
        <v>-</v>
      </c>
      <c r="CR83" s="38" t="str">
        <f t="shared" si="20"/>
        <v>-</v>
      </c>
      <c r="CS83" s="5"/>
      <c r="CT83" s="38" t="str">
        <f t="shared" si="21"/>
        <v>-</v>
      </c>
      <c r="CU83" s="38" t="str">
        <f t="shared" si="22"/>
        <v>-</v>
      </c>
      <c r="CV83" s="38" t="str">
        <f t="shared" si="23"/>
        <v>-</v>
      </c>
      <c r="CW83" s="38" t="str">
        <f t="shared" si="24"/>
        <v>-</v>
      </c>
    </row>
    <row r="84" spans="2:101" s="113" customFormat="1" ht="12.75" customHeight="1">
      <c r="B84" s="99" t="s">
        <v>58</v>
      </c>
      <c r="C84" s="98" t="s">
        <v>83</v>
      </c>
      <c r="D84" s="114" t="e">
        <f>VLOOKUP($C84,#REF!,5,0)</f>
        <v>#REF!</v>
      </c>
      <c r="E84" s="115" t="e">
        <f>VLOOKUP($C84,#REF!,6,0)</f>
        <v>#REF!</v>
      </c>
      <c r="F84" s="98" t="e">
        <f>VLOOKUP($C84,#REF!,7,0)</f>
        <v>#REF!</v>
      </c>
      <c r="G84" s="98" t="e">
        <f>VLOOKUP($C84,#REF!,8,0)</f>
        <v>#REF!</v>
      </c>
      <c r="H84" s="116" t="e">
        <f>VLOOKUP($C84,#REF!,9,0)</f>
        <v>#REF!</v>
      </c>
      <c r="I84" s="5"/>
      <c r="J84" s="118" t="e">
        <f>VLOOKUP($C84,#REF!,10,0)</f>
        <v>#REF!</v>
      </c>
      <c r="K84" s="119" t="e">
        <f>VLOOKUP($C84,#REF!,11,0)</f>
        <v>#REF!</v>
      </c>
      <c r="L84" s="34"/>
      <c r="M84" s="118" t="e">
        <f>VLOOKUP($C84,#REF!,12,0)</f>
        <v>#REF!</v>
      </c>
      <c r="N84" s="120" t="e">
        <f>VLOOKUP($C84,#REF!,13,0)</f>
        <v>#REF!</v>
      </c>
      <c r="O84" s="118" t="e">
        <f>VLOOKUP($C84,#REF!,14,0)</f>
        <v>#REF!</v>
      </c>
      <c r="P84" s="120" t="e">
        <f>VLOOKUP($C84,#REF!,15,0)</f>
        <v>#REF!</v>
      </c>
      <c r="Q84" s="118" t="e">
        <f>VLOOKUP($C84,#REF!,16,0)</f>
        <v>#REF!</v>
      </c>
      <c r="R84" s="119" t="e">
        <f>VLOOKUP($C84,#REF!,17,0)</f>
        <v>#REF!</v>
      </c>
      <c r="S84" s="120" t="e">
        <f>VLOOKUP($C84,#REF!,18,0)</f>
        <v>#REF!</v>
      </c>
      <c r="T84" s="119" t="e">
        <f>VLOOKUP($C84,#REF!,19,0)</f>
        <v>#REF!</v>
      </c>
      <c r="U84" s="34"/>
      <c r="V84" s="118" t="e">
        <f>VLOOKUP($C84,#REF!,20,0)</f>
        <v>#REF!</v>
      </c>
      <c r="W84" s="120" t="e">
        <f>VLOOKUP($C84,#REF!,21,0)</f>
        <v>#REF!</v>
      </c>
      <c r="X84" s="118" t="e">
        <f>VLOOKUP($C84,#REF!,22,0)</f>
        <v>#REF!</v>
      </c>
      <c r="Y84" s="120" t="e">
        <f>VLOOKUP($C84,#REF!,23,0)</f>
        <v>#REF!</v>
      </c>
      <c r="Z84" s="118" t="e">
        <f>VLOOKUP($C84,#REF!,24,0)</f>
        <v>#REF!</v>
      </c>
      <c r="AA84" s="119" t="e">
        <f>VLOOKUP($C84,#REF!,25,0)</f>
        <v>#REF!</v>
      </c>
      <c r="AB84" s="120" t="e">
        <f>VLOOKUP($C84,#REF!,26,0)</f>
        <v>#REF!</v>
      </c>
      <c r="AC84" s="119" t="e">
        <f>VLOOKUP($C84,#REF!,27,0)</f>
        <v>#REF!</v>
      </c>
      <c r="AD84" s="4"/>
      <c r="AE84" s="118" t="e">
        <f t="shared" si="0"/>
        <v>#REF!</v>
      </c>
      <c r="AF84" s="121" t="s">
        <v>320</v>
      </c>
      <c r="AG84" s="121" t="s">
        <v>321</v>
      </c>
      <c r="AH84" s="119" t="s">
        <v>322</v>
      </c>
      <c r="AI84" s="4"/>
      <c r="AJ84" s="118" t="s">
        <v>323</v>
      </c>
      <c r="AK84" s="121" t="s">
        <v>324</v>
      </c>
      <c r="AL84" s="121" t="s">
        <v>325</v>
      </c>
      <c r="AM84" s="121" t="s">
        <v>326</v>
      </c>
      <c r="AN84" s="121" t="s">
        <v>326</v>
      </c>
      <c r="AO84" s="119" t="s">
        <v>320</v>
      </c>
      <c r="AP84" s="4"/>
      <c r="AQ84" s="122">
        <v>206</v>
      </c>
      <c r="AR84" s="5"/>
      <c r="AS84" s="118">
        <v>0</v>
      </c>
      <c r="AT84" s="119">
        <v>0</v>
      </c>
      <c r="AU84" s="34"/>
      <c r="AV84" s="118">
        <f t="shared" si="25"/>
        <v>0</v>
      </c>
      <c r="AW84" s="119">
        <f t="shared" si="26"/>
        <v>0</v>
      </c>
      <c r="AX84" s="118">
        <f t="shared" si="3"/>
        <v>0</v>
      </c>
      <c r="AY84" s="119">
        <f t="shared" si="4"/>
        <v>0</v>
      </c>
      <c r="AZ84" s="118">
        <f t="shared" si="5"/>
        <v>0</v>
      </c>
      <c r="BA84" s="119">
        <f t="shared" si="6"/>
        <v>0</v>
      </c>
      <c r="BB84" s="120">
        <f t="shared" si="7"/>
        <v>0</v>
      </c>
      <c r="BC84" s="119">
        <f t="shared" si="8"/>
        <v>0</v>
      </c>
      <c r="BD84" s="34"/>
      <c r="BE84" s="118">
        <f t="shared" si="9"/>
        <v>0</v>
      </c>
      <c r="BF84" s="119">
        <f t="shared" si="10"/>
        <v>0</v>
      </c>
      <c r="BG84" s="118">
        <f t="shared" si="11"/>
        <v>0</v>
      </c>
      <c r="BH84" s="119">
        <f t="shared" si="12"/>
        <v>0</v>
      </c>
      <c r="BI84" s="120">
        <f t="shared" si="13"/>
        <v>0</v>
      </c>
      <c r="BJ84" s="119">
        <f t="shared" si="14"/>
        <v>0</v>
      </c>
      <c r="BK84" s="120">
        <f t="shared" si="15"/>
        <v>0</v>
      </c>
      <c r="BL84" s="119">
        <f t="shared" si="16"/>
        <v>0</v>
      </c>
      <c r="BM84" s="4"/>
      <c r="BN84" s="122">
        <v>0</v>
      </c>
      <c r="BO84" s="117"/>
      <c r="BP84" s="118">
        <v>0</v>
      </c>
      <c r="BQ84" s="119">
        <v>0</v>
      </c>
      <c r="BR84" s="120"/>
      <c r="BS84" s="118">
        <v>0</v>
      </c>
      <c r="BT84" s="119">
        <v>0</v>
      </c>
      <c r="BU84" s="118">
        <v>0</v>
      </c>
      <c r="BV84" s="119">
        <v>0</v>
      </c>
      <c r="BW84" s="118">
        <v>0</v>
      </c>
      <c r="BX84" s="119">
        <v>0</v>
      </c>
      <c r="BY84" s="118">
        <v>0</v>
      </c>
      <c r="BZ84" s="119">
        <v>0</v>
      </c>
      <c r="CA84" s="120"/>
      <c r="CB84" s="118">
        <v>0</v>
      </c>
      <c r="CC84" s="119">
        <v>0</v>
      </c>
      <c r="CD84" s="118">
        <v>0</v>
      </c>
      <c r="CE84" s="119">
        <v>0</v>
      </c>
      <c r="CF84" s="118">
        <v>0</v>
      </c>
      <c r="CG84" s="119">
        <v>0</v>
      </c>
      <c r="CH84" s="118">
        <v>0</v>
      </c>
      <c r="CI84" s="119">
        <v>0</v>
      </c>
      <c r="CJ84" s="4"/>
      <c r="CK84" s="79"/>
      <c r="CL84" s="5"/>
      <c r="CM84" s="39" t="str">
        <f t="shared" si="17"/>
        <v>-</v>
      </c>
      <c r="CN84" s="5"/>
      <c r="CO84" s="39" t="str">
        <f t="shared" si="18"/>
        <v>-</v>
      </c>
      <c r="CP84" s="39" t="str">
        <f t="shared" si="19"/>
        <v>-</v>
      </c>
      <c r="CQ84" s="39" t="str">
        <f t="shared" si="20"/>
        <v>-</v>
      </c>
      <c r="CR84" s="39" t="str">
        <f t="shared" si="20"/>
        <v>-</v>
      </c>
      <c r="CS84" s="5"/>
      <c r="CT84" s="39" t="str">
        <f t="shared" si="21"/>
        <v>-</v>
      </c>
      <c r="CU84" s="39" t="str">
        <f t="shared" si="22"/>
        <v>-</v>
      </c>
      <c r="CV84" s="39" t="str">
        <f t="shared" si="23"/>
        <v>-</v>
      </c>
      <c r="CW84" s="39" t="str">
        <f t="shared" si="24"/>
        <v>-</v>
      </c>
    </row>
    <row r="85" spans="2:101" s="4" customFormat="1" ht="12.75" customHeight="1">
      <c r="B85" s="102" t="s">
        <v>58</v>
      </c>
      <c r="C85" s="103" t="s">
        <v>249</v>
      </c>
      <c r="D85" s="104" t="e">
        <f>VLOOKUP($C85,#REF!,5,0)</f>
        <v>#REF!</v>
      </c>
      <c r="E85" s="109" t="e">
        <f>VLOOKUP($C85,#REF!,6,0)</f>
        <v>#REF!</v>
      </c>
      <c r="F85" s="103" t="e">
        <f>VLOOKUP($C85,#REF!,7,0)</f>
        <v>#REF!</v>
      </c>
      <c r="G85" s="103" t="e">
        <f>VLOOKUP($C85,#REF!,8,0)</f>
        <v>#REF!</v>
      </c>
      <c r="H85" s="110" t="e">
        <f>VLOOKUP($C85,#REF!,9,0)</f>
        <v>#REF!</v>
      </c>
      <c r="I85" s="5"/>
      <c r="J85" s="105" t="e">
        <f>VLOOKUP($C85,#REF!,10,0)</f>
        <v>#REF!</v>
      </c>
      <c r="K85" s="106" t="e">
        <f>VLOOKUP($C85,#REF!,11,0)</f>
        <v>#REF!</v>
      </c>
      <c r="L85" s="34"/>
      <c r="M85" s="105" t="e">
        <f>VLOOKUP($C85,#REF!,12,0)</f>
        <v>#REF!</v>
      </c>
      <c r="N85" s="34" t="e">
        <f>VLOOKUP($C85,#REF!,13,0)</f>
        <v>#REF!</v>
      </c>
      <c r="O85" s="105" t="e">
        <f>VLOOKUP($C85,#REF!,14,0)</f>
        <v>#REF!</v>
      </c>
      <c r="P85" s="34" t="e">
        <f>VLOOKUP($C85,#REF!,15,0)</f>
        <v>#REF!</v>
      </c>
      <c r="Q85" s="105" t="e">
        <f>VLOOKUP($C85,#REF!,16,0)</f>
        <v>#REF!</v>
      </c>
      <c r="R85" s="106" t="e">
        <f>VLOOKUP($C85,#REF!,17,0)</f>
        <v>#REF!</v>
      </c>
      <c r="S85" s="34" t="e">
        <f>VLOOKUP($C85,#REF!,18,0)</f>
        <v>#REF!</v>
      </c>
      <c r="T85" s="106" t="e">
        <f>VLOOKUP($C85,#REF!,19,0)</f>
        <v>#REF!</v>
      </c>
      <c r="U85" s="34"/>
      <c r="V85" s="105" t="e">
        <f>VLOOKUP($C85,#REF!,20,0)</f>
        <v>#REF!</v>
      </c>
      <c r="W85" s="34" t="e">
        <f>VLOOKUP($C85,#REF!,21,0)</f>
        <v>#REF!</v>
      </c>
      <c r="X85" s="105" t="e">
        <f>VLOOKUP($C85,#REF!,22,0)</f>
        <v>#REF!</v>
      </c>
      <c r="Y85" s="34" t="e">
        <f>VLOOKUP($C85,#REF!,23,0)</f>
        <v>#REF!</v>
      </c>
      <c r="Z85" s="105" t="e">
        <f>VLOOKUP($C85,#REF!,24,0)</f>
        <v>#REF!</v>
      </c>
      <c r="AA85" s="106" t="e">
        <f>VLOOKUP($C85,#REF!,25,0)</f>
        <v>#REF!</v>
      </c>
      <c r="AB85" s="34" t="e">
        <f>VLOOKUP($C85,#REF!,26,0)</f>
        <v>#REF!</v>
      </c>
      <c r="AC85" s="106" t="e">
        <f>VLOOKUP($C85,#REF!,27,0)</f>
        <v>#REF!</v>
      </c>
      <c r="AE85" s="105" t="e">
        <f t="shared" si="0"/>
        <v>#REF!</v>
      </c>
      <c r="AF85" s="107" t="s">
        <v>320</v>
      </c>
      <c r="AG85" s="107" t="s">
        <v>321</v>
      </c>
      <c r="AH85" s="106" t="s">
        <v>322</v>
      </c>
      <c r="AJ85" s="105" t="s">
        <v>323</v>
      </c>
      <c r="AK85" s="107" t="s">
        <v>324</v>
      </c>
      <c r="AL85" s="107" t="s">
        <v>325</v>
      </c>
      <c r="AM85" s="107" t="s">
        <v>326</v>
      </c>
      <c r="AN85" s="107" t="s">
        <v>326</v>
      </c>
      <c r="AO85" s="106" t="s">
        <v>320</v>
      </c>
      <c r="AQ85" s="108">
        <v>1</v>
      </c>
      <c r="AR85" s="5"/>
      <c r="AS85" s="105">
        <v>0</v>
      </c>
      <c r="AT85" s="106">
        <v>0</v>
      </c>
      <c r="AU85" s="34"/>
      <c r="AV85" s="105">
        <f t="shared" si="25"/>
        <v>0</v>
      </c>
      <c r="AW85" s="106">
        <f t="shared" si="26"/>
        <v>0</v>
      </c>
      <c r="AX85" s="105">
        <f t="shared" si="3"/>
        <v>0</v>
      </c>
      <c r="AY85" s="106">
        <f t="shared" si="4"/>
        <v>0</v>
      </c>
      <c r="AZ85" s="105">
        <f t="shared" si="5"/>
        <v>0</v>
      </c>
      <c r="BA85" s="106">
        <f t="shared" si="6"/>
        <v>0</v>
      </c>
      <c r="BB85" s="34">
        <f t="shared" si="7"/>
        <v>0</v>
      </c>
      <c r="BC85" s="106">
        <f t="shared" si="8"/>
        <v>0</v>
      </c>
      <c r="BD85" s="34"/>
      <c r="BE85" s="105">
        <f t="shared" si="9"/>
        <v>0</v>
      </c>
      <c r="BF85" s="106">
        <f t="shared" si="10"/>
        <v>0</v>
      </c>
      <c r="BG85" s="105">
        <f t="shared" si="11"/>
        <v>0</v>
      </c>
      <c r="BH85" s="106">
        <f t="shared" si="12"/>
        <v>0</v>
      </c>
      <c r="BI85" s="34">
        <f t="shared" si="13"/>
        <v>0</v>
      </c>
      <c r="BJ85" s="106">
        <f t="shared" si="14"/>
        <v>0</v>
      </c>
      <c r="BK85" s="34">
        <f t="shared" si="15"/>
        <v>0</v>
      </c>
      <c r="BL85" s="106">
        <f t="shared" si="16"/>
        <v>0</v>
      </c>
      <c r="BN85" s="108">
        <v>0</v>
      </c>
      <c r="BO85" s="5"/>
      <c r="BP85" s="105">
        <v>0</v>
      </c>
      <c r="BQ85" s="106">
        <v>0</v>
      </c>
      <c r="BR85" s="34"/>
      <c r="BS85" s="105">
        <v>0</v>
      </c>
      <c r="BT85" s="106">
        <v>0</v>
      </c>
      <c r="BU85" s="105">
        <v>0</v>
      </c>
      <c r="BV85" s="106">
        <v>0</v>
      </c>
      <c r="BW85" s="105">
        <v>0</v>
      </c>
      <c r="BX85" s="106">
        <v>0</v>
      </c>
      <c r="BY85" s="105">
        <v>0</v>
      </c>
      <c r="BZ85" s="106">
        <v>0</v>
      </c>
      <c r="CA85" s="34"/>
      <c r="CB85" s="105">
        <v>0</v>
      </c>
      <c r="CC85" s="106">
        <v>0</v>
      </c>
      <c r="CD85" s="105">
        <v>0</v>
      </c>
      <c r="CE85" s="106">
        <v>0</v>
      </c>
      <c r="CF85" s="105">
        <v>0</v>
      </c>
      <c r="CG85" s="106">
        <v>0</v>
      </c>
      <c r="CH85" s="105">
        <v>0</v>
      </c>
      <c r="CI85" s="106">
        <v>0</v>
      </c>
      <c r="CK85" s="78"/>
      <c r="CL85" s="5"/>
      <c r="CM85" s="38" t="str">
        <f t="shared" si="17"/>
        <v>-</v>
      </c>
      <c r="CN85" s="5"/>
      <c r="CO85" s="38" t="str">
        <f t="shared" si="18"/>
        <v>-</v>
      </c>
      <c r="CP85" s="38" t="str">
        <f t="shared" si="19"/>
        <v>-</v>
      </c>
      <c r="CQ85" s="38" t="str">
        <f t="shared" si="20"/>
        <v>-</v>
      </c>
      <c r="CR85" s="38" t="str">
        <f t="shared" si="20"/>
        <v>-</v>
      </c>
      <c r="CS85" s="5"/>
      <c r="CT85" s="38" t="str">
        <f t="shared" si="21"/>
        <v>-</v>
      </c>
      <c r="CU85" s="38" t="str">
        <f t="shared" si="22"/>
        <v>-</v>
      </c>
      <c r="CV85" s="38" t="str">
        <f t="shared" si="23"/>
        <v>-</v>
      </c>
      <c r="CW85" s="38" t="str">
        <f t="shared" si="24"/>
        <v>-</v>
      </c>
    </row>
    <row r="86" spans="2:101" s="113" customFormat="1" ht="12.75" customHeight="1">
      <c r="B86" s="99" t="s">
        <v>58</v>
      </c>
      <c r="C86" s="98" t="s">
        <v>251</v>
      </c>
      <c r="D86" s="114" t="e">
        <f>VLOOKUP($C86,#REF!,5,0)</f>
        <v>#REF!</v>
      </c>
      <c r="E86" s="115" t="e">
        <f>VLOOKUP($C86,#REF!,6,0)</f>
        <v>#REF!</v>
      </c>
      <c r="F86" s="98" t="e">
        <f>VLOOKUP($C86,#REF!,7,0)</f>
        <v>#REF!</v>
      </c>
      <c r="G86" s="98" t="e">
        <f>VLOOKUP($C86,#REF!,8,0)</f>
        <v>#REF!</v>
      </c>
      <c r="H86" s="116" t="e">
        <f>VLOOKUP($C86,#REF!,9,0)</f>
        <v>#REF!</v>
      </c>
      <c r="I86" s="5"/>
      <c r="J86" s="118" t="e">
        <f>VLOOKUP($C86,#REF!,10,0)</f>
        <v>#REF!</v>
      </c>
      <c r="K86" s="119" t="e">
        <f>VLOOKUP($C86,#REF!,11,0)</f>
        <v>#REF!</v>
      </c>
      <c r="L86" s="34"/>
      <c r="M86" s="118" t="e">
        <f>VLOOKUP($C86,#REF!,12,0)</f>
        <v>#REF!</v>
      </c>
      <c r="N86" s="120" t="e">
        <f>VLOOKUP($C86,#REF!,13,0)</f>
        <v>#REF!</v>
      </c>
      <c r="O86" s="118" t="e">
        <f>VLOOKUP($C86,#REF!,14,0)</f>
        <v>#REF!</v>
      </c>
      <c r="P86" s="120" t="e">
        <f>VLOOKUP($C86,#REF!,15,0)</f>
        <v>#REF!</v>
      </c>
      <c r="Q86" s="118" t="e">
        <f>VLOOKUP($C86,#REF!,16,0)</f>
        <v>#REF!</v>
      </c>
      <c r="R86" s="119" t="e">
        <f>VLOOKUP($C86,#REF!,17,0)</f>
        <v>#REF!</v>
      </c>
      <c r="S86" s="120" t="e">
        <f>VLOOKUP($C86,#REF!,18,0)</f>
        <v>#REF!</v>
      </c>
      <c r="T86" s="119" t="e">
        <f>VLOOKUP($C86,#REF!,19,0)</f>
        <v>#REF!</v>
      </c>
      <c r="U86" s="34"/>
      <c r="V86" s="118" t="e">
        <f>VLOOKUP($C86,#REF!,20,0)</f>
        <v>#REF!</v>
      </c>
      <c r="W86" s="120" t="e">
        <f>VLOOKUP($C86,#REF!,21,0)</f>
        <v>#REF!</v>
      </c>
      <c r="X86" s="118" t="e">
        <f>VLOOKUP($C86,#REF!,22,0)</f>
        <v>#REF!</v>
      </c>
      <c r="Y86" s="120" t="e">
        <f>VLOOKUP($C86,#REF!,23,0)</f>
        <v>#REF!</v>
      </c>
      <c r="Z86" s="118" t="e">
        <f>VLOOKUP($C86,#REF!,24,0)</f>
        <v>#REF!</v>
      </c>
      <c r="AA86" s="119" t="e">
        <f>VLOOKUP($C86,#REF!,25,0)</f>
        <v>#REF!</v>
      </c>
      <c r="AB86" s="120" t="e">
        <f>VLOOKUP($C86,#REF!,26,0)</f>
        <v>#REF!</v>
      </c>
      <c r="AC86" s="119" t="e">
        <f>VLOOKUP($C86,#REF!,27,0)</f>
        <v>#REF!</v>
      </c>
      <c r="AD86" s="4"/>
      <c r="AE86" s="118" t="e">
        <f t="shared" si="0"/>
        <v>#REF!</v>
      </c>
      <c r="AF86" s="121" t="s">
        <v>320</v>
      </c>
      <c r="AG86" s="121" t="s">
        <v>321</v>
      </c>
      <c r="AH86" s="119" t="s">
        <v>322</v>
      </c>
      <c r="AI86" s="4"/>
      <c r="AJ86" s="118" t="s">
        <v>323</v>
      </c>
      <c r="AK86" s="121" t="s">
        <v>324</v>
      </c>
      <c r="AL86" s="121" t="s">
        <v>325</v>
      </c>
      <c r="AM86" s="121" t="s">
        <v>326</v>
      </c>
      <c r="AN86" s="121" t="s">
        <v>326</v>
      </c>
      <c r="AO86" s="119" t="s">
        <v>320</v>
      </c>
      <c r="AP86" s="4"/>
      <c r="AQ86" s="122">
        <v>1</v>
      </c>
      <c r="AR86" s="5"/>
      <c r="AS86" s="118">
        <v>0</v>
      </c>
      <c r="AT86" s="119">
        <v>0</v>
      </c>
      <c r="AU86" s="34"/>
      <c r="AV86" s="118">
        <f t="shared" si="25"/>
        <v>0</v>
      </c>
      <c r="AW86" s="119">
        <f t="shared" si="26"/>
        <v>0</v>
      </c>
      <c r="AX86" s="118">
        <f t="shared" si="3"/>
        <v>0</v>
      </c>
      <c r="AY86" s="119">
        <f t="shared" si="4"/>
        <v>0</v>
      </c>
      <c r="AZ86" s="118">
        <f t="shared" si="5"/>
        <v>0</v>
      </c>
      <c r="BA86" s="119">
        <f t="shared" si="6"/>
        <v>0</v>
      </c>
      <c r="BB86" s="120">
        <f t="shared" si="7"/>
        <v>0</v>
      </c>
      <c r="BC86" s="119">
        <f t="shared" si="8"/>
        <v>0</v>
      </c>
      <c r="BD86" s="34"/>
      <c r="BE86" s="118">
        <f t="shared" si="9"/>
        <v>0</v>
      </c>
      <c r="BF86" s="119">
        <f t="shared" si="10"/>
        <v>0</v>
      </c>
      <c r="BG86" s="118">
        <f t="shared" si="11"/>
        <v>0</v>
      </c>
      <c r="BH86" s="119">
        <f t="shared" si="12"/>
        <v>0</v>
      </c>
      <c r="BI86" s="120">
        <f t="shared" si="13"/>
        <v>0</v>
      </c>
      <c r="BJ86" s="119">
        <f t="shared" si="14"/>
        <v>0</v>
      </c>
      <c r="BK86" s="120">
        <f t="shared" si="15"/>
        <v>0</v>
      </c>
      <c r="BL86" s="119">
        <f t="shared" si="16"/>
        <v>0</v>
      </c>
      <c r="BM86" s="4"/>
      <c r="BN86" s="122">
        <v>0</v>
      </c>
      <c r="BO86" s="117"/>
      <c r="BP86" s="118">
        <v>0</v>
      </c>
      <c r="BQ86" s="119">
        <v>0</v>
      </c>
      <c r="BR86" s="120"/>
      <c r="BS86" s="118">
        <v>0</v>
      </c>
      <c r="BT86" s="119">
        <v>0</v>
      </c>
      <c r="BU86" s="118">
        <v>0</v>
      </c>
      <c r="BV86" s="119">
        <v>0</v>
      </c>
      <c r="BW86" s="118">
        <v>0</v>
      </c>
      <c r="BX86" s="119">
        <v>0</v>
      </c>
      <c r="BY86" s="118">
        <v>0</v>
      </c>
      <c r="BZ86" s="119">
        <v>0</v>
      </c>
      <c r="CA86" s="120"/>
      <c r="CB86" s="118">
        <v>0</v>
      </c>
      <c r="CC86" s="119">
        <v>0</v>
      </c>
      <c r="CD86" s="118">
        <v>0</v>
      </c>
      <c r="CE86" s="119">
        <v>0</v>
      </c>
      <c r="CF86" s="118">
        <v>0</v>
      </c>
      <c r="CG86" s="119">
        <v>0</v>
      </c>
      <c r="CH86" s="118">
        <v>0</v>
      </c>
      <c r="CI86" s="119">
        <v>0</v>
      </c>
      <c r="CJ86" s="4"/>
      <c r="CK86" s="79"/>
      <c r="CL86" s="5"/>
      <c r="CM86" s="39" t="str">
        <f t="shared" si="17"/>
        <v>-</v>
      </c>
      <c r="CN86" s="5"/>
      <c r="CO86" s="39" t="str">
        <f t="shared" si="18"/>
        <v>-</v>
      </c>
      <c r="CP86" s="39" t="str">
        <f t="shared" si="19"/>
        <v>-</v>
      </c>
      <c r="CQ86" s="39" t="str">
        <f t="shared" si="20"/>
        <v>-</v>
      </c>
      <c r="CR86" s="39" t="str">
        <f t="shared" si="20"/>
        <v>-</v>
      </c>
      <c r="CS86" s="5"/>
      <c r="CT86" s="39" t="str">
        <f t="shared" si="21"/>
        <v>-</v>
      </c>
      <c r="CU86" s="39" t="str">
        <f t="shared" si="22"/>
        <v>-</v>
      </c>
      <c r="CV86" s="39" t="str">
        <f t="shared" si="23"/>
        <v>-</v>
      </c>
      <c r="CW86" s="39" t="str">
        <f t="shared" si="24"/>
        <v>-</v>
      </c>
    </row>
    <row r="87" spans="2:101" s="4" customFormat="1" ht="12.75" customHeight="1">
      <c r="B87" s="102" t="s">
        <v>58</v>
      </c>
      <c r="C87" s="103" t="s">
        <v>84</v>
      </c>
      <c r="D87" s="104" t="e">
        <f>VLOOKUP($C87,#REF!,5,0)</f>
        <v>#REF!</v>
      </c>
      <c r="E87" s="109" t="e">
        <f>VLOOKUP($C87,#REF!,6,0)</f>
        <v>#REF!</v>
      </c>
      <c r="F87" s="103" t="e">
        <f>VLOOKUP($C87,#REF!,7,0)</f>
        <v>#REF!</v>
      </c>
      <c r="G87" s="103" t="e">
        <f>VLOOKUP($C87,#REF!,8,0)</f>
        <v>#REF!</v>
      </c>
      <c r="H87" s="110" t="e">
        <f>VLOOKUP($C87,#REF!,9,0)</f>
        <v>#REF!</v>
      </c>
      <c r="I87" s="5"/>
      <c r="J87" s="105" t="e">
        <f>VLOOKUP($C87,#REF!,10,0)</f>
        <v>#REF!</v>
      </c>
      <c r="K87" s="106" t="e">
        <f>VLOOKUP($C87,#REF!,11,0)</f>
        <v>#REF!</v>
      </c>
      <c r="L87" s="34"/>
      <c r="M87" s="105" t="e">
        <f>VLOOKUP($C87,#REF!,12,0)</f>
        <v>#REF!</v>
      </c>
      <c r="N87" s="34" t="e">
        <f>VLOOKUP($C87,#REF!,13,0)</f>
        <v>#REF!</v>
      </c>
      <c r="O87" s="105" t="e">
        <f>VLOOKUP($C87,#REF!,14,0)</f>
        <v>#REF!</v>
      </c>
      <c r="P87" s="34" t="e">
        <f>VLOOKUP($C87,#REF!,15,0)</f>
        <v>#REF!</v>
      </c>
      <c r="Q87" s="105" t="e">
        <f>VLOOKUP($C87,#REF!,16,0)</f>
        <v>#REF!</v>
      </c>
      <c r="R87" s="106" t="e">
        <f>VLOOKUP($C87,#REF!,17,0)</f>
        <v>#REF!</v>
      </c>
      <c r="S87" s="34" t="e">
        <f>VLOOKUP($C87,#REF!,18,0)</f>
        <v>#REF!</v>
      </c>
      <c r="T87" s="106" t="e">
        <f>VLOOKUP($C87,#REF!,19,0)</f>
        <v>#REF!</v>
      </c>
      <c r="U87" s="34"/>
      <c r="V87" s="105" t="e">
        <f>VLOOKUP($C87,#REF!,20,0)</f>
        <v>#REF!</v>
      </c>
      <c r="W87" s="34" t="e">
        <f>VLOOKUP($C87,#REF!,21,0)</f>
        <v>#REF!</v>
      </c>
      <c r="X87" s="105" t="e">
        <f>VLOOKUP($C87,#REF!,22,0)</f>
        <v>#REF!</v>
      </c>
      <c r="Y87" s="34" t="e">
        <f>VLOOKUP($C87,#REF!,23,0)</f>
        <v>#REF!</v>
      </c>
      <c r="Z87" s="105" t="e">
        <f>VLOOKUP($C87,#REF!,24,0)</f>
        <v>#REF!</v>
      </c>
      <c r="AA87" s="106" t="e">
        <f>VLOOKUP($C87,#REF!,25,0)</f>
        <v>#REF!</v>
      </c>
      <c r="AB87" s="34" t="e">
        <f>VLOOKUP($C87,#REF!,26,0)</f>
        <v>#REF!</v>
      </c>
      <c r="AC87" s="106" t="e">
        <f>VLOOKUP($C87,#REF!,27,0)</f>
        <v>#REF!</v>
      </c>
      <c r="AE87" s="105" t="e">
        <f t="shared" si="0"/>
        <v>#REF!</v>
      </c>
      <c r="AF87" s="107" t="s">
        <v>320</v>
      </c>
      <c r="AG87" s="107" t="s">
        <v>321</v>
      </c>
      <c r="AH87" s="106" t="s">
        <v>322</v>
      </c>
      <c r="AJ87" s="105" t="s">
        <v>323</v>
      </c>
      <c r="AK87" s="107" t="s">
        <v>324</v>
      </c>
      <c r="AL87" s="107" t="s">
        <v>325</v>
      </c>
      <c r="AM87" s="107" t="s">
        <v>326</v>
      </c>
      <c r="AN87" s="107" t="s">
        <v>326</v>
      </c>
      <c r="AO87" s="106" t="s">
        <v>320</v>
      </c>
      <c r="AQ87" s="108">
        <v>48</v>
      </c>
      <c r="AR87" s="5"/>
      <c r="AS87" s="105">
        <v>0</v>
      </c>
      <c r="AT87" s="106">
        <v>0</v>
      </c>
      <c r="AU87" s="34"/>
      <c r="AV87" s="105">
        <f t="shared" si="25"/>
        <v>0</v>
      </c>
      <c r="AW87" s="106">
        <f t="shared" si="26"/>
        <v>0</v>
      </c>
      <c r="AX87" s="105">
        <f t="shared" si="3"/>
        <v>0</v>
      </c>
      <c r="AY87" s="106">
        <f t="shared" si="4"/>
        <v>0</v>
      </c>
      <c r="AZ87" s="105">
        <f t="shared" si="5"/>
        <v>0</v>
      </c>
      <c r="BA87" s="106">
        <f t="shared" si="6"/>
        <v>0</v>
      </c>
      <c r="BB87" s="34">
        <f t="shared" si="7"/>
        <v>0</v>
      </c>
      <c r="BC87" s="106">
        <f t="shared" si="8"/>
        <v>0</v>
      </c>
      <c r="BD87" s="34"/>
      <c r="BE87" s="105">
        <f t="shared" si="9"/>
        <v>0</v>
      </c>
      <c r="BF87" s="106">
        <f t="shared" si="10"/>
        <v>0</v>
      </c>
      <c r="BG87" s="105">
        <f t="shared" si="11"/>
        <v>0</v>
      </c>
      <c r="BH87" s="106">
        <f t="shared" si="12"/>
        <v>0</v>
      </c>
      <c r="BI87" s="34">
        <f t="shared" si="13"/>
        <v>0</v>
      </c>
      <c r="BJ87" s="106">
        <f t="shared" si="14"/>
        <v>0</v>
      </c>
      <c r="BK87" s="34">
        <f t="shared" si="15"/>
        <v>0</v>
      </c>
      <c r="BL87" s="106">
        <f t="shared" si="16"/>
        <v>0</v>
      </c>
      <c r="BN87" s="108" t="e">
        <v>#N/A</v>
      </c>
      <c r="BO87" s="5"/>
      <c r="BP87" s="105" t="e">
        <v>#N/A</v>
      </c>
      <c r="BQ87" s="106" t="e">
        <v>#N/A</v>
      </c>
      <c r="BR87" s="34"/>
      <c r="BS87" s="105" t="e">
        <v>#N/A</v>
      </c>
      <c r="BT87" s="106" t="e">
        <v>#N/A</v>
      </c>
      <c r="BU87" s="105" t="e">
        <v>#N/A</v>
      </c>
      <c r="BV87" s="106" t="e">
        <v>#N/A</v>
      </c>
      <c r="BW87" s="105" t="e">
        <v>#N/A</v>
      </c>
      <c r="BX87" s="106" t="e">
        <v>#N/A</v>
      </c>
      <c r="BY87" s="105" t="e">
        <v>#N/A</v>
      </c>
      <c r="BZ87" s="106" t="e">
        <v>#N/A</v>
      </c>
      <c r="CA87" s="34"/>
      <c r="CB87" s="105" t="e">
        <v>#N/A</v>
      </c>
      <c r="CC87" s="106" t="e">
        <v>#N/A</v>
      </c>
      <c r="CD87" s="105" t="e">
        <v>#N/A</v>
      </c>
      <c r="CE87" s="106" t="e">
        <v>#N/A</v>
      </c>
      <c r="CF87" s="105" t="e">
        <v>#N/A</v>
      </c>
      <c r="CG87" s="106" t="e">
        <v>#N/A</v>
      </c>
      <c r="CH87" s="105" t="e">
        <v>#N/A</v>
      </c>
      <c r="CI87" s="106" t="e">
        <v>#N/A</v>
      </c>
      <c r="CK87" s="78"/>
      <c r="CL87" s="5"/>
      <c r="CM87" s="38" t="str">
        <f t="shared" si="17"/>
        <v>-</v>
      </c>
      <c r="CN87" s="5"/>
      <c r="CO87" s="38" t="str">
        <f t="shared" si="18"/>
        <v>-</v>
      </c>
      <c r="CP87" s="38" t="str">
        <f t="shared" si="19"/>
        <v>-</v>
      </c>
      <c r="CQ87" s="38" t="str">
        <f t="shared" si="20"/>
        <v>-</v>
      </c>
      <c r="CR87" s="38" t="str">
        <f t="shared" si="20"/>
        <v>-</v>
      </c>
      <c r="CS87" s="5"/>
      <c r="CT87" s="38" t="str">
        <f t="shared" si="21"/>
        <v>-</v>
      </c>
      <c r="CU87" s="38" t="str">
        <f t="shared" si="22"/>
        <v>-</v>
      </c>
      <c r="CV87" s="38" t="str">
        <f t="shared" si="23"/>
        <v>-</v>
      </c>
      <c r="CW87" s="38" t="str">
        <f t="shared" si="24"/>
        <v>-</v>
      </c>
    </row>
    <row r="88" spans="2:101" s="113" customFormat="1" ht="12.75" customHeight="1">
      <c r="B88" s="99" t="s">
        <v>58</v>
      </c>
      <c r="C88" s="98" t="s">
        <v>250</v>
      </c>
      <c r="D88" s="114" t="e">
        <f>VLOOKUP($C88,#REF!,5,0)</f>
        <v>#REF!</v>
      </c>
      <c r="E88" s="115" t="e">
        <f>VLOOKUP($C88,#REF!,6,0)</f>
        <v>#REF!</v>
      </c>
      <c r="F88" s="98" t="e">
        <f>VLOOKUP($C88,#REF!,7,0)</f>
        <v>#REF!</v>
      </c>
      <c r="G88" s="98" t="e">
        <f>VLOOKUP($C88,#REF!,8,0)</f>
        <v>#REF!</v>
      </c>
      <c r="H88" s="116" t="e">
        <f>VLOOKUP($C88,#REF!,9,0)</f>
        <v>#REF!</v>
      </c>
      <c r="I88" s="5"/>
      <c r="J88" s="118" t="e">
        <f>VLOOKUP($C88,#REF!,10,0)</f>
        <v>#REF!</v>
      </c>
      <c r="K88" s="119" t="e">
        <f>VLOOKUP($C88,#REF!,11,0)</f>
        <v>#REF!</v>
      </c>
      <c r="L88" s="34"/>
      <c r="M88" s="118" t="e">
        <f>VLOOKUP($C88,#REF!,12,0)</f>
        <v>#REF!</v>
      </c>
      <c r="N88" s="120" t="e">
        <f>VLOOKUP($C88,#REF!,13,0)</f>
        <v>#REF!</v>
      </c>
      <c r="O88" s="118" t="e">
        <f>VLOOKUP($C88,#REF!,14,0)</f>
        <v>#REF!</v>
      </c>
      <c r="P88" s="120" t="e">
        <f>VLOOKUP($C88,#REF!,15,0)</f>
        <v>#REF!</v>
      </c>
      <c r="Q88" s="118" t="e">
        <f>VLOOKUP($C88,#REF!,16,0)</f>
        <v>#REF!</v>
      </c>
      <c r="R88" s="119" t="e">
        <f>VLOOKUP($C88,#REF!,17,0)</f>
        <v>#REF!</v>
      </c>
      <c r="S88" s="120" t="e">
        <f>VLOOKUP($C88,#REF!,18,0)</f>
        <v>#REF!</v>
      </c>
      <c r="T88" s="119" t="e">
        <f>VLOOKUP($C88,#REF!,19,0)</f>
        <v>#REF!</v>
      </c>
      <c r="U88" s="34"/>
      <c r="V88" s="118" t="e">
        <f>VLOOKUP($C88,#REF!,20,0)</f>
        <v>#REF!</v>
      </c>
      <c r="W88" s="120" t="e">
        <f>VLOOKUP($C88,#REF!,21,0)</f>
        <v>#REF!</v>
      </c>
      <c r="X88" s="118" t="e">
        <f>VLOOKUP($C88,#REF!,22,0)</f>
        <v>#REF!</v>
      </c>
      <c r="Y88" s="120" t="e">
        <f>VLOOKUP($C88,#REF!,23,0)</f>
        <v>#REF!</v>
      </c>
      <c r="Z88" s="118" t="e">
        <f>VLOOKUP($C88,#REF!,24,0)</f>
        <v>#REF!</v>
      </c>
      <c r="AA88" s="119" t="e">
        <f>VLOOKUP($C88,#REF!,25,0)</f>
        <v>#REF!</v>
      </c>
      <c r="AB88" s="120" t="e">
        <f>VLOOKUP($C88,#REF!,26,0)</f>
        <v>#REF!</v>
      </c>
      <c r="AC88" s="119" t="e">
        <f>VLOOKUP($C88,#REF!,27,0)</f>
        <v>#REF!</v>
      </c>
      <c r="AD88" s="4"/>
      <c r="AE88" s="118" t="e">
        <f t="shared" si="0"/>
        <v>#REF!</v>
      </c>
      <c r="AF88" s="121" t="s">
        <v>320</v>
      </c>
      <c r="AG88" s="121" t="s">
        <v>321</v>
      </c>
      <c r="AH88" s="119" t="s">
        <v>322</v>
      </c>
      <c r="AI88" s="4"/>
      <c r="AJ88" s="118" t="s">
        <v>323</v>
      </c>
      <c r="AK88" s="121" t="s">
        <v>324</v>
      </c>
      <c r="AL88" s="121" t="s">
        <v>325</v>
      </c>
      <c r="AM88" s="121" t="s">
        <v>326</v>
      </c>
      <c r="AN88" s="121" t="s">
        <v>326</v>
      </c>
      <c r="AO88" s="119" t="s">
        <v>320</v>
      </c>
      <c r="AP88" s="4"/>
      <c r="AQ88" s="122">
        <v>0</v>
      </c>
      <c r="AR88" s="5"/>
      <c r="AS88" s="118">
        <v>0</v>
      </c>
      <c r="AT88" s="119">
        <v>0</v>
      </c>
      <c r="AU88" s="34"/>
      <c r="AV88" s="118">
        <f t="shared" si="25"/>
        <v>0</v>
      </c>
      <c r="AW88" s="119">
        <f t="shared" si="26"/>
        <v>0</v>
      </c>
      <c r="AX88" s="118">
        <f t="shared" si="3"/>
        <v>0</v>
      </c>
      <c r="AY88" s="119">
        <f t="shared" si="4"/>
        <v>0</v>
      </c>
      <c r="AZ88" s="118">
        <f t="shared" si="5"/>
        <v>0</v>
      </c>
      <c r="BA88" s="119">
        <f t="shared" si="6"/>
        <v>0</v>
      </c>
      <c r="BB88" s="120">
        <f t="shared" si="7"/>
        <v>0</v>
      </c>
      <c r="BC88" s="119">
        <f t="shared" si="8"/>
        <v>0</v>
      </c>
      <c r="BD88" s="34"/>
      <c r="BE88" s="118">
        <f t="shared" si="9"/>
        <v>0</v>
      </c>
      <c r="BF88" s="119">
        <f t="shared" si="10"/>
        <v>0</v>
      </c>
      <c r="BG88" s="118">
        <f t="shared" si="11"/>
        <v>0</v>
      </c>
      <c r="BH88" s="119">
        <f t="shared" si="12"/>
        <v>0</v>
      </c>
      <c r="BI88" s="120">
        <f t="shared" si="13"/>
        <v>0</v>
      </c>
      <c r="BJ88" s="119">
        <f t="shared" si="14"/>
        <v>0</v>
      </c>
      <c r="BK88" s="120">
        <f t="shared" si="15"/>
        <v>0</v>
      </c>
      <c r="BL88" s="119">
        <f t="shared" si="16"/>
        <v>0</v>
      </c>
      <c r="BM88" s="4"/>
      <c r="BN88" s="122">
        <v>0</v>
      </c>
      <c r="BO88" s="117"/>
      <c r="BP88" s="118">
        <v>0</v>
      </c>
      <c r="BQ88" s="119">
        <v>0</v>
      </c>
      <c r="BR88" s="120"/>
      <c r="BS88" s="118">
        <v>0</v>
      </c>
      <c r="BT88" s="119">
        <v>0</v>
      </c>
      <c r="BU88" s="118">
        <v>0</v>
      </c>
      <c r="BV88" s="119">
        <v>0</v>
      </c>
      <c r="BW88" s="118">
        <v>-40</v>
      </c>
      <c r="BX88" s="119">
        <v>-6</v>
      </c>
      <c r="BY88" s="118">
        <v>-40</v>
      </c>
      <c r="BZ88" s="119">
        <v>-6</v>
      </c>
      <c r="CA88" s="120"/>
      <c r="CB88" s="118">
        <v>0</v>
      </c>
      <c r="CC88" s="119">
        <v>0</v>
      </c>
      <c r="CD88" s="118">
        <v>0</v>
      </c>
      <c r="CE88" s="119">
        <v>0</v>
      </c>
      <c r="CF88" s="118">
        <v>0</v>
      </c>
      <c r="CG88" s="119">
        <v>-8</v>
      </c>
      <c r="CH88" s="118">
        <v>0</v>
      </c>
      <c r="CI88" s="119">
        <v>-8</v>
      </c>
      <c r="CJ88" s="4"/>
      <c r="CK88" s="79"/>
      <c r="CL88" s="5"/>
      <c r="CM88" s="39" t="str">
        <f t="shared" si="17"/>
        <v>-</v>
      </c>
      <c r="CN88" s="5"/>
      <c r="CO88" s="39" t="str">
        <f t="shared" si="18"/>
        <v>-</v>
      </c>
      <c r="CP88" s="39" t="str">
        <f t="shared" si="19"/>
        <v>-</v>
      </c>
      <c r="CQ88" s="39" t="str">
        <f t="shared" si="20"/>
        <v>-</v>
      </c>
      <c r="CR88" s="39" t="str">
        <f t="shared" si="20"/>
        <v>-</v>
      </c>
      <c r="CS88" s="5"/>
      <c r="CT88" s="39" t="str">
        <f t="shared" si="21"/>
        <v>-</v>
      </c>
      <c r="CU88" s="39" t="str">
        <f t="shared" si="22"/>
        <v>-</v>
      </c>
      <c r="CV88" s="39" t="str">
        <f t="shared" si="23"/>
        <v>-</v>
      </c>
      <c r="CW88" s="39" t="str">
        <f t="shared" si="24"/>
        <v>-</v>
      </c>
    </row>
    <row r="89" spans="2:101" s="4" customFormat="1" ht="12.75" customHeight="1">
      <c r="B89" s="102" t="s">
        <v>58</v>
      </c>
      <c r="C89" s="103" t="s">
        <v>253</v>
      </c>
      <c r="D89" s="104" t="e">
        <f>VLOOKUP($C89,#REF!,5,0)</f>
        <v>#REF!</v>
      </c>
      <c r="E89" s="109" t="e">
        <f>VLOOKUP($C89,#REF!,6,0)</f>
        <v>#REF!</v>
      </c>
      <c r="F89" s="103" t="e">
        <f>VLOOKUP($C89,#REF!,7,0)</f>
        <v>#REF!</v>
      </c>
      <c r="G89" s="103" t="e">
        <f>VLOOKUP($C89,#REF!,8,0)</f>
        <v>#REF!</v>
      </c>
      <c r="H89" s="110" t="e">
        <f>VLOOKUP($C89,#REF!,9,0)</f>
        <v>#REF!</v>
      </c>
      <c r="I89" s="5"/>
      <c r="J89" s="105" t="e">
        <f>VLOOKUP($C89,#REF!,10,0)</f>
        <v>#REF!</v>
      </c>
      <c r="K89" s="106" t="e">
        <f>VLOOKUP($C89,#REF!,11,0)</f>
        <v>#REF!</v>
      </c>
      <c r="L89" s="34"/>
      <c r="M89" s="105" t="e">
        <f>VLOOKUP($C89,#REF!,12,0)</f>
        <v>#REF!</v>
      </c>
      <c r="N89" s="34" t="e">
        <f>VLOOKUP($C89,#REF!,13,0)</f>
        <v>#REF!</v>
      </c>
      <c r="O89" s="105" t="e">
        <f>VLOOKUP($C89,#REF!,14,0)</f>
        <v>#REF!</v>
      </c>
      <c r="P89" s="34" t="e">
        <f>VLOOKUP($C89,#REF!,15,0)</f>
        <v>#REF!</v>
      </c>
      <c r="Q89" s="105" t="e">
        <f>VLOOKUP($C89,#REF!,16,0)</f>
        <v>#REF!</v>
      </c>
      <c r="R89" s="106" t="e">
        <f>VLOOKUP($C89,#REF!,17,0)</f>
        <v>#REF!</v>
      </c>
      <c r="S89" s="34" t="e">
        <f>VLOOKUP($C89,#REF!,18,0)</f>
        <v>#REF!</v>
      </c>
      <c r="T89" s="106" t="e">
        <f>VLOOKUP($C89,#REF!,19,0)</f>
        <v>#REF!</v>
      </c>
      <c r="U89" s="34"/>
      <c r="V89" s="105" t="e">
        <f>VLOOKUP($C89,#REF!,20,0)</f>
        <v>#REF!</v>
      </c>
      <c r="W89" s="34" t="e">
        <f>VLOOKUP($C89,#REF!,21,0)</f>
        <v>#REF!</v>
      </c>
      <c r="X89" s="105" t="e">
        <f>VLOOKUP($C89,#REF!,22,0)</f>
        <v>#REF!</v>
      </c>
      <c r="Y89" s="34" t="e">
        <f>VLOOKUP($C89,#REF!,23,0)</f>
        <v>#REF!</v>
      </c>
      <c r="Z89" s="105" t="e">
        <f>VLOOKUP($C89,#REF!,24,0)</f>
        <v>#REF!</v>
      </c>
      <c r="AA89" s="106" t="e">
        <f>VLOOKUP($C89,#REF!,25,0)</f>
        <v>#REF!</v>
      </c>
      <c r="AB89" s="34" t="e">
        <f>VLOOKUP($C89,#REF!,26,0)</f>
        <v>#REF!</v>
      </c>
      <c r="AC89" s="106" t="e">
        <f>VLOOKUP($C89,#REF!,27,0)</f>
        <v>#REF!</v>
      </c>
      <c r="AE89" s="105" t="e">
        <f t="shared" si="0"/>
        <v>#REF!</v>
      </c>
      <c r="AF89" s="107" t="s">
        <v>320</v>
      </c>
      <c r="AG89" s="107" t="s">
        <v>321</v>
      </c>
      <c r="AH89" s="106" t="s">
        <v>322</v>
      </c>
      <c r="AJ89" s="105" t="s">
        <v>323</v>
      </c>
      <c r="AK89" s="107" t="s">
        <v>324</v>
      </c>
      <c r="AL89" s="107" t="s">
        <v>325</v>
      </c>
      <c r="AM89" s="107" t="s">
        <v>326</v>
      </c>
      <c r="AN89" s="107" t="s">
        <v>326</v>
      </c>
      <c r="AO89" s="106" t="s">
        <v>320</v>
      </c>
      <c r="AQ89" s="108">
        <v>-9</v>
      </c>
      <c r="AR89" s="5"/>
      <c r="AS89" s="105">
        <v>0</v>
      </c>
      <c r="AT89" s="106">
        <v>0</v>
      </c>
      <c r="AU89" s="34"/>
      <c r="AV89" s="105">
        <f t="shared" si="25"/>
        <v>0</v>
      </c>
      <c r="AW89" s="106">
        <f t="shared" si="26"/>
        <v>0</v>
      </c>
      <c r="AX89" s="105">
        <f t="shared" si="3"/>
        <v>0</v>
      </c>
      <c r="AY89" s="106">
        <f t="shared" si="4"/>
        <v>0</v>
      </c>
      <c r="AZ89" s="105">
        <f t="shared" si="5"/>
        <v>0</v>
      </c>
      <c r="BA89" s="106">
        <f t="shared" si="6"/>
        <v>0</v>
      </c>
      <c r="BB89" s="34">
        <f t="shared" si="7"/>
        <v>0</v>
      </c>
      <c r="BC89" s="106">
        <f t="shared" si="8"/>
        <v>0</v>
      </c>
      <c r="BD89" s="34"/>
      <c r="BE89" s="105">
        <f t="shared" si="9"/>
        <v>0</v>
      </c>
      <c r="BF89" s="106">
        <f t="shared" si="10"/>
        <v>0</v>
      </c>
      <c r="BG89" s="105">
        <f t="shared" si="11"/>
        <v>0</v>
      </c>
      <c r="BH89" s="106">
        <f t="shared" si="12"/>
        <v>0</v>
      </c>
      <c r="BI89" s="34">
        <f t="shared" si="13"/>
        <v>0</v>
      </c>
      <c r="BJ89" s="106">
        <f t="shared" si="14"/>
        <v>0</v>
      </c>
      <c r="BK89" s="34">
        <f t="shared" si="15"/>
        <v>0</v>
      </c>
      <c r="BL89" s="106">
        <f t="shared" si="16"/>
        <v>0</v>
      </c>
      <c r="BN89" s="108">
        <v>-8.2699999999999818</v>
      </c>
      <c r="BO89" s="5"/>
      <c r="BP89" s="105">
        <v>-8.2699999999999818</v>
      </c>
      <c r="BQ89" s="106">
        <v>0</v>
      </c>
      <c r="BR89" s="34"/>
      <c r="BS89" s="105">
        <v>0</v>
      </c>
      <c r="BT89" s="106">
        <v>0</v>
      </c>
      <c r="BU89" s="105">
        <v>0</v>
      </c>
      <c r="BV89" s="106">
        <v>0</v>
      </c>
      <c r="BW89" s="105">
        <v>0</v>
      </c>
      <c r="BX89" s="106">
        <v>0</v>
      </c>
      <c r="BY89" s="105">
        <v>0</v>
      </c>
      <c r="BZ89" s="106">
        <v>0</v>
      </c>
      <c r="CA89" s="34"/>
      <c r="CB89" s="105">
        <v>0</v>
      </c>
      <c r="CC89" s="106">
        <v>0</v>
      </c>
      <c r="CD89" s="105">
        <v>0</v>
      </c>
      <c r="CE89" s="106">
        <v>0</v>
      </c>
      <c r="CF89" s="105">
        <v>0</v>
      </c>
      <c r="CG89" s="106">
        <v>0</v>
      </c>
      <c r="CH89" s="105">
        <v>0</v>
      </c>
      <c r="CI89" s="106">
        <v>0</v>
      </c>
      <c r="CK89" s="78"/>
      <c r="CL89" s="5"/>
      <c r="CM89" s="38" t="str">
        <f t="shared" si="17"/>
        <v>-</v>
      </c>
      <c r="CN89" s="5"/>
      <c r="CO89" s="38" t="str">
        <f t="shared" si="18"/>
        <v>-</v>
      </c>
      <c r="CP89" s="38" t="str">
        <f t="shared" si="19"/>
        <v>-</v>
      </c>
      <c r="CQ89" s="38" t="str">
        <f t="shared" si="20"/>
        <v>-</v>
      </c>
      <c r="CR89" s="38" t="str">
        <f t="shared" si="20"/>
        <v>-</v>
      </c>
      <c r="CS89" s="5"/>
      <c r="CT89" s="38" t="str">
        <f t="shared" si="21"/>
        <v>-</v>
      </c>
      <c r="CU89" s="38" t="str">
        <f t="shared" si="22"/>
        <v>-</v>
      </c>
      <c r="CV89" s="38" t="str">
        <f t="shared" si="23"/>
        <v>-</v>
      </c>
      <c r="CW89" s="38" t="str">
        <f t="shared" si="24"/>
        <v>-</v>
      </c>
    </row>
    <row r="90" spans="2:101" s="113" customFormat="1" ht="12.75" customHeight="1">
      <c r="B90" s="99" t="s">
        <v>58</v>
      </c>
      <c r="C90" s="98" t="s">
        <v>252</v>
      </c>
      <c r="D90" s="114" t="e">
        <f>VLOOKUP($C90,#REF!,5,0)</f>
        <v>#REF!</v>
      </c>
      <c r="E90" s="115" t="e">
        <f>VLOOKUP($C90,#REF!,6,0)</f>
        <v>#REF!</v>
      </c>
      <c r="F90" s="98" t="e">
        <f>VLOOKUP($C90,#REF!,7,0)</f>
        <v>#REF!</v>
      </c>
      <c r="G90" s="98" t="e">
        <f>VLOOKUP($C90,#REF!,8,0)</f>
        <v>#REF!</v>
      </c>
      <c r="H90" s="116" t="e">
        <f>VLOOKUP($C90,#REF!,9,0)</f>
        <v>#REF!</v>
      </c>
      <c r="I90" s="5"/>
      <c r="J90" s="118" t="e">
        <f>VLOOKUP($C90,#REF!,10,0)</f>
        <v>#REF!</v>
      </c>
      <c r="K90" s="119" t="e">
        <f>VLOOKUP($C90,#REF!,11,0)</f>
        <v>#REF!</v>
      </c>
      <c r="L90" s="34"/>
      <c r="M90" s="118" t="e">
        <f>VLOOKUP($C90,#REF!,12,0)</f>
        <v>#REF!</v>
      </c>
      <c r="N90" s="120" t="e">
        <f>VLOOKUP($C90,#REF!,13,0)</f>
        <v>#REF!</v>
      </c>
      <c r="O90" s="118" t="e">
        <f>VLOOKUP($C90,#REF!,14,0)</f>
        <v>#REF!</v>
      </c>
      <c r="P90" s="120" t="e">
        <f>VLOOKUP($C90,#REF!,15,0)</f>
        <v>#REF!</v>
      </c>
      <c r="Q90" s="118" t="e">
        <f>VLOOKUP($C90,#REF!,16,0)</f>
        <v>#REF!</v>
      </c>
      <c r="R90" s="119" t="e">
        <f>VLOOKUP($C90,#REF!,17,0)</f>
        <v>#REF!</v>
      </c>
      <c r="S90" s="120" t="e">
        <f>VLOOKUP($C90,#REF!,18,0)</f>
        <v>#REF!</v>
      </c>
      <c r="T90" s="119" t="e">
        <f>VLOOKUP($C90,#REF!,19,0)</f>
        <v>#REF!</v>
      </c>
      <c r="U90" s="34"/>
      <c r="V90" s="118" t="e">
        <f>VLOOKUP($C90,#REF!,20,0)</f>
        <v>#REF!</v>
      </c>
      <c r="W90" s="120" t="e">
        <f>VLOOKUP($C90,#REF!,21,0)</f>
        <v>#REF!</v>
      </c>
      <c r="X90" s="118" t="e">
        <f>VLOOKUP($C90,#REF!,22,0)</f>
        <v>#REF!</v>
      </c>
      <c r="Y90" s="120" t="e">
        <f>VLOOKUP($C90,#REF!,23,0)</f>
        <v>#REF!</v>
      </c>
      <c r="Z90" s="118" t="e">
        <f>VLOOKUP($C90,#REF!,24,0)</f>
        <v>#REF!</v>
      </c>
      <c r="AA90" s="119" t="e">
        <f>VLOOKUP($C90,#REF!,25,0)</f>
        <v>#REF!</v>
      </c>
      <c r="AB90" s="120" t="e">
        <f>VLOOKUP($C90,#REF!,26,0)</f>
        <v>#REF!</v>
      </c>
      <c r="AC90" s="119" t="e">
        <f>VLOOKUP($C90,#REF!,27,0)</f>
        <v>#REF!</v>
      </c>
      <c r="AD90" s="4"/>
      <c r="AE90" s="118" t="e">
        <f t="shared" si="0"/>
        <v>#REF!</v>
      </c>
      <c r="AF90" s="121" t="s">
        <v>320</v>
      </c>
      <c r="AG90" s="121" t="s">
        <v>321</v>
      </c>
      <c r="AH90" s="119" t="s">
        <v>322</v>
      </c>
      <c r="AI90" s="4"/>
      <c r="AJ90" s="118" t="s">
        <v>323</v>
      </c>
      <c r="AK90" s="121" t="s">
        <v>324</v>
      </c>
      <c r="AL90" s="121" t="s">
        <v>325</v>
      </c>
      <c r="AM90" s="121" t="s">
        <v>326</v>
      </c>
      <c r="AN90" s="121" t="s">
        <v>326</v>
      </c>
      <c r="AO90" s="119" t="s">
        <v>320</v>
      </c>
      <c r="AP90" s="4"/>
      <c r="AQ90" s="122">
        <v>-1</v>
      </c>
      <c r="AR90" s="5"/>
      <c r="AS90" s="118">
        <v>0</v>
      </c>
      <c r="AT90" s="119">
        <v>0</v>
      </c>
      <c r="AU90" s="34"/>
      <c r="AV90" s="118">
        <f t="shared" si="25"/>
        <v>0</v>
      </c>
      <c r="AW90" s="119">
        <f t="shared" si="26"/>
        <v>0</v>
      </c>
      <c r="AX90" s="118">
        <f t="shared" si="3"/>
        <v>0</v>
      </c>
      <c r="AY90" s="119">
        <f t="shared" si="4"/>
        <v>0</v>
      </c>
      <c r="AZ90" s="118">
        <f t="shared" si="5"/>
        <v>0</v>
      </c>
      <c r="BA90" s="119">
        <f t="shared" si="6"/>
        <v>0</v>
      </c>
      <c r="BB90" s="120">
        <f t="shared" si="7"/>
        <v>0</v>
      </c>
      <c r="BC90" s="119">
        <f t="shared" si="8"/>
        <v>0</v>
      </c>
      <c r="BD90" s="34"/>
      <c r="BE90" s="118">
        <f t="shared" si="9"/>
        <v>0</v>
      </c>
      <c r="BF90" s="119">
        <f t="shared" si="10"/>
        <v>0</v>
      </c>
      <c r="BG90" s="118">
        <f t="shared" si="11"/>
        <v>0</v>
      </c>
      <c r="BH90" s="119">
        <f t="shared" si="12"/>
        <v>0</v>
      </c>
      <c r="BI90" s="120">
        <f t="shared" si="13"/>
        <v>0</v>
      </c>
      <c r="BJ90" s="119">
        <f t="shared" si="14"/>
        <v>0</v>
      </c>
      <c r="BK90" s="120">
        <f t="shared" si="15"/>
        <v>0</v>
      </c>
      <c r="BL90" s="119">
        <f t="shared" si="16"/>
        <v>0</v>
      </c>
      <c r="BM90" s="4"/>
      <c r="BN90" s="122">
        <v>0</v>
      </c>
      <c r="BO90" s="117"/>
      <c r="BP90" s="118">
        <v>0</v>
      </c>
      <c r="BQ90" s="119">
        <v>0</v>
      </c>
      <c r="BR90" s="120"/>
      <c r="BS90" s="118">
        <v>0</v>
      </c>
      <c r="BT90" s="119">
        <v>0</v>
      </c>
      <c r="BU90" s="118">
        <v>0</v>
      </c>
      <c r="BV90" s="119">
        <v>0</v>
      </c>
      <c r="BW90" s="118">
        <v>0</v>
      </c>
      <c r="BX90" s="119">
        <v>0</v>
      </c>
      <c r="BY90" s="118">
        <v>0</v>
      </c>
      <c r="BZ90" s="119">
        <v>0</v>
      </c>
      <c r="CA90" s="120"/>
      <c r="CB90" s="118">
        <v>0</v>
      </c>
      <c r="CC90" s="119">
        <v>0</v>
      </c>
      <c r="CD90" s="118">
        <v>0</v>
      </c>
      <c r="CE90" s="119">
        <v>0</v>
      </c>
      <c r="CF90" s="118">
        <v>0</v>
      </c>
      <c r="CG90" s="119">
        <v>0</v>
      </c>
      <c r="CH90" s="118">
        <v>0</v>
      </c>
      <c r="CI90" s="119">
        <v>0</v>
      </c>
      <c r="CJ90" s="4"/>
      <c r="CK90" s="79"/>
      <c r="CL90" s="5"/>
      <c r="CM90" s="39" t="str">
        <f t="shared" si="17"/>
        <v>-</v>
      </c>
      <c r="CN90" s="5"/>
      <c r="CO90" s="39" t="str">
        <f t="shared" si="18"/>
        <v>-</v>
      </c>
      <c r="CP90" s="39" t="str">
        <f t="shared" si="19"/>
        <v>-</v>
      </c>
      <c r="CQ90" s="39" t="str">
        <f t="shared" si="20"/>
        <v>-</v>
      </c>
      <c r="CR90" s="39" t="str">
        <f t="shared" si="20"/>
        <v>-</v>
      </c>
      <c r="CS90" s="5"/>
      <c r="CT90" s="39" t="str">
        <f t="shared" si="21"/>
        <v>-</v>
      </c>
      <c r="CU90" s="39" t="str">
        <f t="shared" si="22"/>
        <v>-</v>
      </c>
      <c r="CV90" s="39" t="str">
        <f t="shared" si="23"/>
        <v>-</v>
      </c>
      <c r="CW90" s="39" t="str">
        <f t="shared" si="24"/>
        <v>-</v>
      </c>
    </row>
    <row r="91" spans="2:101" s="4" customFormat="1" ht="12.75" customHeight="1">
      <c r="B91" s="102" t="s">
        <v>58</v>
      </c>
      <c r="C91" s="103" t="s">
        <v>130</v>
      </c>
      <c r="D91" s="104" t="e">
        <f>VLOOKUP($C91,#REF!,5,0)</f>
        <v>#REF!</v>
      </c>
      <c r="E91" s="109" t="e">
        <f>VLOOKUP($C91,#REF!,6,0)</f>
        <v>#REF!</v>
      </c>
      <c r="F91" s="103" t="e">
        <f>VLOOKUP($C91,#REF!,7,0)</f>
        <v>#REF!</v>
      </c>
      <c r="G91" s="103" t="e">
        <f>VLOOKUP($C91,#REF!,8,0)</f>
        <v>#REF!</v>
      </c>
      <c r="H91" s="110" t="e">
        <f>VLOOKUP($C91,#REF!,9,0)</f>
        <v>#REF!</v>
      </c>
      <c r="I91" s="5"/>
      <c r="J91" s="105" t="e">
        <f>VLOOKUP($C91,#REF!,10,0)</f>
        <v>#REF!</v>
      </c>
      <c r="K91" s="106" t="e">
        <f>VLOOKUP($C91,#REF!,11,0)</f>
        <v>#REF!</v>
      </c>
      <c r="L91" s="34"/>
      <c r="M91" s="105" t="e">
        <f>VLOOKUP($C91,#REF!,12,0)</f>
        <v>#REF!</v>
      </c>
      <c r="N91" s="34" t="e">
        <f>VLOOKUP($C91,#REF!,13,0)</f>
        <v>#REF!</v>
      </c>
      <c r="O91" s="105" t="e">
        <f>VLOOKUP($C91,#REF!,14,0)</f>
        <v>#REF!</v>
      </c>
      <c r="P91" s="34" t="e">
        <f>VLOOKUP($C91,#REF!,15,0)</f>
        <v>#REF!</v>
      </c>
      <c r="Q91" s="105" t="e">
        <f>VLOOKUP($C91,#REF!,16,0)</f>
        <v>#REF!</v>
      </c>
      <c r="R91" s="106" t="e">
        <f>VLOOKUP($C91,#REF!,17,0)</f>
        <v>#REF!</v>
      </c>
      <c r="S91" s="34" t="e">
        <f>VLOOKUP($C91,#REF!,18,0)</f>
        <v>#REF!</v>
      </c>
      <c r="T91" s="106" t="e">
        <f>VLOOKUP($C91,#REF!,19,0)</f>
        <v>#REF!</v>
      </c>
      <c r="U91" s="34"/>
      <c r="V91" s="105" t="e">
        <f>VLOOKUP($C91,#REF!,20,0)</f>
        <v>#REF!</v>
      </c>
      <c r="W91" s="34" t="e">
        <f>VLOOKUP($C91,#REF!,21,0)</f>
        <v>#REF!</v>
      </c>
      <c r="X91" s="105" t="e">
        <f>VLOOKUP($C91,#REF!,22,0)</f>
        <v>#REF!</v>
      </c>
      <c r="Y91" s="34" t="e">
        <f>VLOOKUP($C91,#REF!,23,0)</f>
        <v>#REF!</v>
      </c>
      <c r="Z91" s="105" t="e">
        <f>VLOOKUP($C91,#REF!,24,0)</f>
        <v>#REF!</v>
      </c>
      <c r="AA91" s="106" t="e">
        <f>VLOOKUP($C91,#REF!,25,0)</f>
        <v>#REF!</v>
      </c>
      <c r="AB91" s="34" t="e">
        <f>VLOOKUP($C91,#REF!,26,0)</f>
        <v>#REF!</v>
      </c>
      <c r="AC91" s="106" t="e">
        <f>VLOOKUP($C91,#REF!,27,0)</f>
        <v>#REF!</v>
      </c>
      <c r="AE91" s="105" t="e">
        <f t="shared" si="0"/>
        <v>#REF!</v>
      </c>
      <c r="AF91" s="107" t="s">
        <v>320</v>
      </c>
      <c r="AG91" s="107" t="s">
        <v>321</v>
      </c>
      <c r="AH91" s="106" t="s">
        <v>322</v>
      </c>
      <c r="AJ91" s="105" t="s">
        <v>323</v>
      </c>
      <c r="AK91" s="107" t="s">
        <v>324</v>
      </c>
      <c r="AL91" s="107" t="s">
        <v>325</v>
      </c>
      <c r="AM91" s="107" t="s">
        <v>326</v>
      </c>
      <c r="AN91" s="107" t="s">
        <v>326</v>
      </c>
      <c r="AO91" s="106" t="s">
        <v>320</v>
      </c>
      <c r="AQ91" s="108"/>
      <c r="AR91" s="5"/>
      <c r="AS91" s="105">
        <v>0</v>
      </c>
      <c r="AT91" s="106">
        <v>0</v>
      </c>
      <c r="AU91" s="34"/>
      <c r="AV91" s="105">
        <f t="shared" si="25"/>
        <v>0</v>
      </c>
      <c r="AW91" s="106">
        <f t="shared" si="26"/>
        <v>0</v>
      </c>
      <c r="AX91" s="105">
        <f t="shared" si="3"/>
        <v>0</v>
      </c>
      <c r="AY91" s="106">
        <f t="shared" si="4"/>
        <v>0</v>
      </c>
      <c r="AZ91" s="105">
        <f t="shared" si="5"/>
        <v>0</v>
      </c>
      <c r="BA91" s="106">
        <f t="shared" si="6"/>
        <v>0</v>
      </c>
      <c r="BB91" s="34">
        <f t="shared" si="7"/>
        <v>0</v>
      </c>
      <c r="BC91" s="106">
        <f t="shared" si="8"/>
        <v>0</v>
      </c>
      <c r="BD91" s="34"/>
      <c r="BE91" s="105">
        <f t="shared" si="9"/>
        <v>0</v>
      </c>
      <c r="BF91" s="106">
        <f t="shared" si="10"/>
        <v>0</v>
      </c>
      <c r="BG91" s="105">
        <f t="shared" si="11"/>
        <v>0</v>
      </c>
      <c r="BH91" s="106">
        <f t="shared" si="12"/>
        <v>0</v>
      </c>
      <c r="BI91" s="34">
        <f t="shared" si="13"/>
        <v>0</v>
      </c>
      <c r="BJ91" s="106">
        <f t="shared" si="14"/>
        <v>0</v>
      </c>
      <c r="BK91" s="34">
        <f t="shared" si="15"/>
        <v>0</v>
      </c>
      <c r="BL91" s="106">
        <f t="shared" si="16"/>
        <v>0</v>
      </c>
      <c r="BN91" s="108"/>
      <c r="BO91" s="5"/>
      <c r="BP91" s="105"/>
      <c r="BQ91" s="106"/>
      <c r="BR91" s="34"/>
      <c r="BS91" s="105"/>
      <c r="BT91" s="106"/>
      <c r="BU91" s="105"/>
      <c r="BV91" s="106"/>
      <c r="BW91" s="105"/>
      <c r="BX91" s="106"/>
      <c r="BY91" s="105"/>
      <c r="BZ91" s="106"/>
      <c r="CA91" s="34"/>
      <c r="CB91" s="105"/>
      <c r="CC91" s="106"/>
      <c r="CD91" s="105"/>
      <c r="CE91" s="106"/>
      <c r="CF91" s="105"/>
      <c r="CG91" s="106"/>
      <c r="CH91" s="105"/>
      <c r="CI91" s="106"/>
      <c r="CK91" s="78"/>
      <c r="CL91" s="5"/>
      <c r="CM91" s="38" t="str">
        <f t="shared" si="17"/>
        <v>-</v>
      </c>
      <c r="CN91" s="5"/>
      <c r="CO91" s="38" t="str">
        <f t="shared" si="18"/>
        <v>-</v>
      </c>
      <c r="CP91" s="38" t="str">
        <f t="shared" si="19"/>
        <v>-</v>
      </c>
      <c r="CQ91" s="38" t="str">
        <f t="shared" si="20"/>
        <v>-</v>
      </c>
      <c r="CR91" s="38" t="str">
        <f t="shared" si="20"/>
        <v>-</v>
      </c>
      <c r="CS91" s="5"/>
      <c r="CT91" s="38" t="str">
        <f t="shared" si="21"/>
        <v>-</v>
      </c>
      <c r="CU91" s="38" t="str">
        <f t="shared" si="22"/>
        <v>-</v>
      </c>
      <c r="CV91" s="38" t="str">
        <f t="shared" si="23"/>
        <v>-</v>
      </c>
      <c r="CW91" s="38" t="str">
        <f t="shared" si="24"/>
        <v>-</v>
      </c>
    </row>
    <row r="92" spans="2:101" s="113" customFormat="1" ht="12.75" customHeight="1">
      <c r="B92" s="99" t="s">
        <v>58</v>
      </c>
      <c r="C92" s="98" t="s">
        <v>131</v>
      </c>
      <c r="D92" s="114" t="e">
        <f>VLOOKUP($C92,#REF!,5,0)</f>
        <v>#REF!</v>
      </c>
      <c r="E92" s="115" t="e">
        <f>VLOOKUP($C92,#REF!,6,0)</f>
        <v>#REF!</v>
      </c>
      <c r="F92" s="98" t="e">
        <f>VLOOKUP($C92,#REF!,7,0)</f>
        <v>#REF!</v>
      </c>
      <c r="G92" s="98" t="e">
        <f>VLOOKUP($C92,#REF!,8,0)</f>
        <v>#REF!</v>
      </c>
      <c r="H92" s="116" t="e">
        <f>VLOOKUP($C92,#REF!,9,0)</f>
        <v>#REF!</v>
      </c>
      <c r="I92" s="5"/>
      <c r="J92" s="118" t="e">
        <f>VLOOKUP($C92,#REF!,10,0)</f>
        <v>#REF!</v>
      </c>
      <c r="K92" s="119" t="e">
        <f>VLOOKUP($C92,#REF!,11,0)</f>
        <v>#REF!</v>
      </c>
      <c r="L92" s="34"/>
      <c r="M92" s="118" t="e">
        <f>VLOOKUP($C92,#REF!,12,0)</f>
        <v>#REF!</v>
      </c>
      <c r="N92" s="120" t="e">
        <f>VLOOKUP($C92,#REF!,13,0)</f>
        <v>#REF!</v>
      </c>
      <c r="O92" s="118" t="e">
        <f>VLOOKUP($C92,#REF!,14,0)</f>
        <v>#REF!</v>
      </c>
      <c r="P92" s="120" t="e">
        <f>VLOOKUP($C92,#REF!,15,0)</f>
        <v>#REF!</v>
      </c>
      <c r="Q92" s="118" t="e">
        <f>VLOOKUP($C92,#REF!,16,0)</f>
        <v>#REF!</v>
      </c>
      <c r="R92" s="119" t="e">
        <f>VLOOKUP($C92,#REF!,17,0)</f>
        <v>#REF!</v>
      </c>
      <c r="S92" s="120" t="e">
        <f>VLOOKUP($C92,#REF!,18,0)</f>
        <v>#REF!</v>
      </c>
      <c r="T92" s="119" t="e">
        <f>VLOOKUP($C92,#REF!,19,0)</f>
        <v>#REF!</v>
      </c>
      <c r="U92" s="34"/>
      <c r="V92" s="118" t="e">
        <f>VLOOKUP($C92,#REF!,20,0)</f>
        <v>#REF!</v>
      </c>
      <c r="W92" s="120" t="e">
        <f>VLOOKUP($C92,#REF!,21,0)</f>
        <v>#REF!</v>
      </c>
      <c r="X92" s="118" t="e">
        <f>VLOOKUP($C92,#REF!,22,0)</f>
        <v>#REF!</v>
      </c>
      <c r="Y92" s="120" t="e">
        <f>VLOOKUP($C92,#REF!,23,0)</f>
        <v>#REF!</v>
      </c>
      <c r="Z92" s="118" t="e">
        <f>VLOOKUP($C92,#REF!,24,0)</f>
        <v>#REF!</v>
      </c>
      <c r="AA92" s="119" t="e">
        <f>VLOOKUP($C92,#REF!,25,0)</f>
        <v>#REF!</v>
      </c>
      <c r="AB92" s="120" t="e">
        <f>VLOOKUP($C92,#REF!,26,0)</f>
        <v>#REF!</v>
      </c>
      <c r="AC92" s="119" t="e">
        <f>VLOOKUP($C92,#REF!,27,0)</f>
        <v>#REF!</v>
      </c>
      <c r="AD92" s="4"/>
      <c r="AE92" s="118" t="e">
        <f t="shared" si="0"/>
        <v>#REF!</v>
      </c>
      <c r="AF92" s="121" t="s">
        <v>320</v>
      </c>
      <c r="AG92" s="121" t="s">
        <v>321</v>
      </c>
      <c r="AH92" s="119" t="s">
        <v>322</v>
      </c>
      <c r="AI92" s="4"/>
      <c r="AJ92" s="118" t="s">
        <v>323</v>
      </c>
      <c r="AK92" s="121" t="s">
        <v>324</v>
      </c>
      <c r="AL92" s="121" t="s">
        <v>325</v>
      </c>
      <c r="AM92" s="121" t="s">
        <v>326</v>
      </c>
      <c r="AN92" s="121" t="s">
        <v>326</v>
      </c>
      <c r="AO92" s="119" t="s">
        <v>320</v>
      </c>
      <c r="AP92" s="4"/>
      <c r="AQ92" s="122">
        <v>74</v>
      </c>
      <c r="AR92" s="5"/>
      <c r="AS92" s="118">
        <v>0</v>
      </c>
      <c r="AT92" s="119">
        <v>0</v>
      </c>
      <c r="AU92" s="34"/>
      <c r="AV92" s="118">
        <f t="shared" si="25"/>
        <v>0</v>
      </c>
      <c r="AW92" s="119">
        <f t="shared" si="26"/>
        <v>0</v>
      </c>
      <c r="AX92" s="118">
        <f t="shared" si="3"/>
        <v>0</v>
      </c>
      <c r="AY92" s="119">
        <f t="shared" si="4"/>
        <v>0</v>
      </c>
      <c r="AZ92" s="118">
        <f t="shared" si="5"/>
        <v>0</v>
      </c>
      <c r="BA92" s="119">
        <f t="shared" si="6"/>
        <v>0</v>
      </c>
      <c r="BB92" s="120">
        <f t="shared" si="7"/>
        <v>0</v>
      </c>
      <c r="BC92" s="119">
        <f t="shared" si="8"/>
        <v>0</v>
      </c>
      <c r="BD92" s="34"/>
      <c r="BE92" s="118">
        <f t="shared" si="9"/>
        <v>0</v>
      </c>
      <c r="BF92" s="119">
        <f t="shared" si="10"/>
        <v>0</v>
      </c>
      <c r="BG92" s="118">
        <f t="shared" si="11"/>
        <v>0</v>
      </c>
      <c r="BH92" s="119">
        <f t="shared" si="12"/>
        <v>0</v>
      </c>
      <c r="BI92" s="120">
        <f t="shared" si="13"/>
        <v>0</v>
      </c>
      <c r="BJ92" s="119">
        <f t="shared" si="14"/>
        <v>0</v>
      </c>
      <c r="BK92" s="120">
        <f t="shared" si="15"/>
        <v>0</v>
      </c>
      <c r="BL92" s="119">
        <f t="shared" si="16"/>
        <v>0</v>
      </c>
      <c r="BM92" s="4"/>
      <c r="BN92" s="122">
        <v>-24.79000000000002</v>
      </c>
      <c r="BO92" s="117"/>
      <c r="BP92" s="118">
        <v>-24.79000000000002</v>
      </c>
      <c r="BQ92" s="119">
        <v>0</v>
      </c>
      <c r="BR92" s="120"/>
      <c r="BS92" s="118">
        <v>0</v>
      </c>
      <c r="BT92" s="119">
        <v>0</v>
      </c>
      <c r="BU92" s="118">
        <v>-39</v>
      </c>
      <c r="BV92" s="119">
        <v>-1</v>
      </c>
      <c r="BW92" s="118">
        <v>0</v>
      </c>
      <c r="BX92" s="119">
        <v>-2</v>
      </c>
      <c r="BY92" s="118">
        <v>0</v>
      </c>
      <c r="BZ92" s="119">
        <v>-2</v>
      </c>
      <c r="CA92" s="120"/>
      <c r="CB92" s="118">
        <v>0</v>
      </c>
      <c r="CC92" s="119">
        <v>0</v>
      </c>
      <c r="CD92" s="118">
        <v>-39</v>
      </c>
      <c r="CE92" s="119">
        <v>-1</v>
      </c>
      <c r="CF92" s="118">
        <v>0</v>
      </c>
      <c r="CG92" s="119">
        <v>-2</v>
      </c>
      <c r="CH92" s="118">
        <v>0</v>
      </c>
      <c r="CI92" s="119">
        <v>-2</v>
      </c>
      <c r="CJ92" s="4"/>
      <c r="CK92" s="79"/>
      <c r="CL92" s="5"/>
      <c r="CM92" s="39" t="str">
        <f t="shared" si="17"/>
        <v>-</v>
      </c>
      <c r="CN92" s="5"/>
      <c r="CO92" s="39" t="str">
        <f t="shared" si="18"/>
        <v>-</v>
      </c>
      <c r="CP92" s="39" t="str">
        <f t="shared" si="19"/>
        <v>-</v>
      </c>
      <c r="CQ92" s="39" t="str">
        <f t="shared" si="20"/>
        <v>-</v>
      </c>
      <c r="CR92" s="39" t="str">
        <f t="shared" si="20"/>
        <v>-</v>
      </c>
      <c r="CS92" s="5"/>
      <c r="CT92" s="39" t="str">
        <f t="shared" si="21"/>
        <v>-</v>
      </c>
      <c r="CU92" s="39" t="str">
        <f t="shared" si="22"/>
        <v>-</v>
      </c>
      <c r="CV92" s="39" t="str">
        <f t="shared" si="23"/>
        <v>-</v>
      </c>
      <c r="CW92" s="39" t="str">
        <f t="shared" si="24"/>
        <v>-</v>
      </c>
    </row>
    <row r="93" spans="2:101" s="4" customFormat="1" ht="12.75" customHeight="1">
      <c r="B93" s="102" t="s">
        <v>58</v>
      </c>
      <c r="C93" s="103" t="s">
        <v>132</v>
      </c>
      <c r="D93" s="104" t="e">
        <f>VLOOKUP($C93,#REF!,5,0)</f>
        <v>#REF!</v>
      </c>
      <c r="E93" s="109" t="e">
        <f>VLOOKUP($C93,#REF!,6,0)</f>
        <v>#REF!</v>
      </c>
      <c r="F93" s="103" t="e">
        <f>VLOOKUP($C93,#REF!,7,0)</f>
        <v>#REF!</v>
      </c>
      <c r="G93" s="103" t="e">
        <f>VLOOKUP($C93,#REF!,8,0)</f>
        <v>#REF!</v>
      </c>
      <c r="H93" s="110" t="e">
        <f>VLOOKUP($C93,#REF!,9,0)</f>
        <v>#REF!</v>
      </c>
      <c r="I93" s="5"/>
      <c r="J93" s="105" t="e">
        <f>VLOOKUP($C93,#REF!,10,0)</f>
        <v>#REF!</v>
      </c>
      <c r="K93" s="106" t="e">
        <f>VLOOKUP($C93,#REF!,11,0)</f>
        <v>#REF!</v>
      </c>
      <c r="L93" s="34"/>
      <c r="M93" s="105" t="e">
        <f>VLOOKUP($C93,#REF!,12,0)</f>
        <v>#REF!</v>
      </c>
      <c r="N93" s="34" t="e">
        <f>VLOOKUP($C93,#REF!,13,0)</f>
        <v>#REF!</v>
      </c>
      <c r="O93" s="105" t="e">
        <f>VLOOKUP($C93,#REF!,14,0)</f>
        <v>#REF!</v>
      </c>
      <c r="P93" s="34" t="e">
        <f>VLOOKUP($C93,#REF!,15,0)</f>
        <v>#REF!</v>
      </c>
      <c r="Q93" s="105" t="e">
        <f>VLOOKUP($C93,#REF!,16,0)</f>
        <v>#REF!</v>
      </c>
      <c r="R93" s="106" t="e">
        <f>VLOOKUP($C93,#REF!,17,0)</f>
        <v>#REF!</v>
      </c>
      <c r="S93" s="34" t="e">
        <f>VLOOKUP($C93,#REF!,18,0)</f>
        <v>#REF!</v>
      </c>
      <c r="T93" s="106" t="e">
        <f>VLOOKUP($C93,#REF!,19,0)</f>
        <v>#REF!</v>
      </c>
      <c r="U93" s="34"/>
      <c r="V93" s="105" t="e">
        <f>VLOOKUP($C93,#REF!,20,0)</f>
        <v>#REF!</v>
      </c>
      <c r="W93" s="34" t="e">
        <f>VLOOKUP($C93,#REF!,21,0)</f>
        <v>#REF!</v>
      </c>
      <c r="X93" s="105" t="e">
        <f>VLOOKUP($C93,#REF!,22,0)</f>
        <v>#REF!</v>
      </c>
      <c r="Y93" s="34" t="e">
        <f>VLOOKUP($C93,#REF!,23,0)</f>
        <v>#REF!</v>
      </c>
      <c r="Z93" s="105" t="e">
        <f>VLOOKUP($C93,#REF!,24,0)</f>
        <v>#REF!</v>
      </c>
      <c r="AA93" s="106" t="e">
        <f>VLOOKUP($C93,#REF!,25,0)</f>
        <v>#REF!</v>
      </c>
      <c r="AB93" s="34" t="e">
        <f>VLOOKUP($C93,#REF!,26,0)</f>
        <v>#REF!</v>
      </c>
      <c r="AC93" s="106" t="e">
        <f>VLOOKUP($C93,#REF!,27,0)</f>
        <v>#REF!</v>
      </c>
      <c r="AE93" s="105" t="e">
        <f t="shared" si="0"/>
        <v>#REF!</v>
      </c>
      <c r="AF93" s="107" t="s">
        <v>320</v>
      </c>
      <c r="AG93" s="107" t="s">
        <v>321</v>
      </c>
      <c r="AH93" s="106" t="s">
        <v>322</v>
      </c>
      <c r="AJ93" s="105" t="s">
        <v>323</v>
      </c>
      <c r="AK93" s="107" t="s">
        <v>324</v>
      </c>
      <c r="AL93" s="107" t="s">
        <v>325</v>
      </c>
      <c r="AM93" s="107" t="s">
        <v>326</v>
      </c>
      <c r="AN93" s="107" t="s">
        <v>326</v>
      </c>
      <c r="AO93" s="106" t="s">
        <v>320</v>
      </c>
      <c r="AQ93" s="108">
        <v>9</v>
      </c>
      <c r="AR93" s="5"/>
      <c r="AS93" s="105">
        <v>0</v>
      </c>
      <c r="AT93" s="106">
        <v>0</v>
      </c>
      <c r="AU93" s="34"/>
      <c r="AV93" s="105">
        <f t="shared" si="25"/>
        <v>0</v>
      </c>
      <c r="AW93" s="106">
        <f t="shared" si="26"/>
        <v>0</v>
      </c>
      <c r="AX93" s="105">
        <f t="shared" si="3"/>
        <v>0</v>
      </c>
      <c r="AY93" s="106">
        <f t="shared" si="4"/>
        <v>0</v>
      </c>
      <c r="AZ93" s="105">
        <f t="shared" si="5"/>
        <v>0</v>
      </c>
      <c r="BA93" s="106">
        <f t="shared" si="6"/>
        <v>0</v>
      </c>
      <c r="BB93" s="34">
        <f t="shared" si="7"/>
        <v>0</v>
      </c>
      <c r="BC93" s="106">
        <f t="shared" si="8"/>
        <v>0</v>
      </c>
      <c r="BD93" s="34"/>
      <c r="BE93" s="105">
        <f t="shared" si="9"/>
        <v>0</v>
      </c>
      <c r="BF93" s="106">
        <f t="shared" si="10"/>
        <v>0</v>
      </c>
      <c r="BG93" s="105">
        <f t="shared" si="11"/>
        <v>0</v>
      </c>
      <c r="BH93" s="106">
        <f t="shared" si="12"/>
        <v>0</v>
      </c>
      <c r="BI93" s="34">
        <f t="shared" si="13"/>
        <v>0</v>
      </c>
      <c r="BJ93" s="106">
        <f t="shared" si="14"/>
        <v>0</v>
      </c>
      <c r="BK93" s="34">
        <f t="shared" si="15"/>
        <v>0</v>
      </c>
      <c r="BL93" s="106">
        <f t="shared" si="16"/>
        <v>0</v>
      </c>
      <c r="BN93" s="108" t="e">
        <v>#N/A</v>
      </c>
      <c r="BO93" s="5"/>
      <c r="BP93" s="105" t="e">
        <v>#N/A</v>
      </c>
      <c r="BQ93" s="106" t="e">
        <v>#N/A</v>
      </c>
      <c r="BR93" s="34"/>
      <c r="BS93" s="105" t="e">
        <v>#N/A</v>
      </c>
      <c r="BT93" s="106" t="e">
        <v>#N/A</v>
      </c>
      <c r="BU93" s="105" t="e">
        <v>#N/A</v>
      </c>
      <c r="BV93" s="106" t="e">
        <v>#N/A</v>
      </c>
      <c r="BW93" s="105" t="e">
        <v>#N/A</v>
      </c>
      <c r="BX93" s="106" t="e">
        <v>#N/A</v>
      </c>
      <c r="BY93" s="105" t="e">
        <v>#N/A</v>
      </c>
      <c r="BZ93" s="106" t="e">
        <v>#N/A</v>
      </c>
      <c r="CA93" s="34"/>
      <c r="CB93" s="105" t="e">
        <v>#N/A</v>
      </c>
      <c r="CC93" s="106" t="e">
        <v>#N/A</v>
      </c>
      <c r="CD93" s="105" t="e">
        <v>#N/A</v>
      </c>
      <c r="CE93" s="106" t="e">
        <v>#N/A</v>
      </c>
      <c r="CF93" s="105" t="e">
        <v>#N/A</v>
      </c>
      <c r="CG93" s="106" t="e">
        <v>#N/A</v>
      </c>
      <c r="CH93" s="105" t="e">
        <v>#N/A</v>
      </c>
      <c r="CI93" s="106" t="e">
        <v>#N/A</v>
      </c>
      <c r="CK93" s="78"/>
      <c r="CL93" s="5"/>
      <c r="CM93" s="38" t="str">
        <f t="shared" si="17"/>
        <v>-</v>
      </c>
      <c r="CN93" s="5"/>
      <c r="CO93" s="38" t="str">
        <f t="shared" si="18"/>
        <v>-</v>
      </c>
      <c r="CP93" s="38" t="str">
        <f t="shared" si="19"/>
        <v>-</v>
      </c>
      <c r="CQ93" s="38" t="str">
        <f t="shared" si="20"/>
        <v>-</v>
      </c>
      <c r="CR93" s="38" t="str">
        <f t="shared" si="20"/>
        <v>-</v>
      </c>
      <c r="CS93" s="5"/>
      <c r="CT93" s="38" t="str">
        <f t="shared" si="21"/>
        <v>-</v>
      </c>
      <c r="CU93" s="38" t="str">
        <f t="shared" si="22"/>
        <v>-</v>
      </c>
      <c r="CV93" s="38" t="str">
        <f t="shared" si="23"/>
        <v>-</v>
      </c>
      <c r="CW93" s="38" t="str">
        <f t="shared" si="24"/>
        <v>-</v>
      </c>
    </row>
    <row r="94" spans="2:101" s="113" customFormat="1" ht="12.75" customHeight="1">
      <c r="B94" s="99" t="s">
        <v>58</v>
      </c>
      <c r="C94" s="98" t="s">
        <v>133</v>
      </c>
      <c r="D94" s="114" t="e">
        <f>VLOOKUP($C94,#REF!,5,0)</f>
        <v>#REF!</v>
      </c>
      <c r="E94" s="115" t="e">
        <f>VLOOKUP($C94,#REF!,6,0)</f>
        <v>#REF!</v>
      </c>
      <c r="F94" s="98" t="e">
        <f>VLOOKUP($C94,#REF!,7,0)</f>
        <v>#REF!</v>
      </c>
      <c r="G94" s="98" t="e">
        <f>VLOOKUP($C94,#REF!,8,0)</f>
        <v>#REF!</v>
      </c>
      <c r="H94" s="116" t="e">
        <f>VLOOKUP($C94,#REF!,9,0)</f>
        <v>#REF!</v>
      </c>
      <c r="I94" s="5"/>
      <c r="J94" s="118" t="e">
        <f>VLOOKUP($C94,#REF!,10,0)</f>
        <v>#REF!</v>
      </c>
      <c r="K94" s="119" t="e">
        <f>VLOOKUP($C94,#REF!,11,0)</f>
        <v>#REF!</v>
      </c>
      <c r="L94" s="34"/>
      <c r="M94" s="118" t="e">
        <f>VLOOKUP($C94,#REF!,12,0)</f>
        <v>#REF!</v>
      </c>
      <c r="N94" s="120" t="e">
        <f>VLOOKUP($C94,#REF!,13,0)</f>
        <v>#REF!</v>
      </c>
      <c r="O94" s="118" t="e">
        <f>VLOOKUP($C94,#REF!,14,0)</f>
        <v>#REF!</v>
      </c>
      <c r="P94" s="120" t="e">
        <f>VLOOKUP($C94,#REF!,15,0)</f>
        <v>#REF!</v>
      </c>
      <c r="Q94" s="118" t="e">
        <f>VLOOKUP($C94,#REF!,16,0)</f>
        <v>#REF!</v>
      </c>
      <c r="R94" s="119" t="e">
        <f>VLOOKUP($C94,#REF!,17,0)</f>
        <v>#REF!</v>
      </c>
      <c r="S94" s="120" t="e">
        <f>VLOOKUP($C94,#REF!,18,0)</f>
        <v>#REF!</v>
      </c>
      <c r="T94" s="119" t="e">
        <f>VLOOKUP($C94,#REF!,19,0)</f>
        <v>#REF!</v>
      </c>
      <c r="U94" s="34"/>
      <c r="V94" s="118" t="e">
        <f>VLOOKUP($C94,#REF!,20,0)</f>
        <v>#REF!</v>
      </c>
      <c r="W94" s="120" t="e">
        <f>VLOOKUP($C94,#REF!,21,0)</f>
        <v>#REF!</v>
      </c>
      <c r="X94" s="118" t="e">
        <f>VLOOKUP($C94,#REF!,22,0)</f>
        <v>#REF!</v>
      </c>
      <c r="Y94" s="120" t="e">
        <f>VLOOKUP($C94,#REF!,23,0)</f>
        <v>#REF!</v>
      </c>
      <c r="Z94" s="118" t="e">
        <f>VLOOKUP($C94,#REF!,24,0)</f>
        <v>#REF!</v>
      </c>
      <c r="AA94" s="119" t="e">
        <f>VLOOKUP($C94,#REF!,25,0)</f>
        <v>#REF!</v>
      </c>
      <c r="AB94" s="120" t="e">
        <f>VLOOKUP($C94,#REF!,26,0)</f>
        <v>#REF!</v>
      </c>
      <c r="AC94" s="119" t="e">
        <f>VLOOKUP($C94,#REF!,27,0)</f>
        <v>#REF!</v>
      </c>
      <c r="AD94" s="4"/>
      <c r="AE94" s="118" t="e">
        <f t="shared" ref="AE94:AE157" si="27">IF(M94="-","-","0,5 GB")</f>
        <v>#REF!</v>
      </c>
      <c r="AF94" s="121" t="s">
        <v>320</v>
      </c>
      <c r="AG94" s="121" t="s">
        <v>321</v>
      </c>
      <c r="AH94" s="119" t="s">
        <v>322</v>
      </c>
      <c r="AI94" s="4"/>
      <c r="AJ94" s="118" t="s">
        <v>323</v>
      </c>
      <c r="AK94" s="121" t="s">
        <v>324</v>
      </c>
      <c r="AL94" s="121" t="s">
        <v>325</v>
      </c>
      <c r="AM94" s="121" t="s">
        <v>326</v>
      </c>
      <c r="AN94" s="121" t="s">
        <v>326</v>
      </c>
      <c r="AO94" s="119" t="s">
        <v>320</v>
      </c>
      <c r="AP94" s="4"/>
      <c r="AQ94" s="122">
        <v>9</v>
      </c>
      <c r="AR94" s="5"/>
      <c r="AS94" s="118">
        <v>0</v>
      </c>
      <c r="AT94" s="119">
        <v>0</v>
      </c>
      <c r="AU94" s="34"/>
      <c r="AV94" s="118">
        <f t="shared" si="25"/>
        <v>0</v>
      </c>
      <c r="AW94" s="119">
        <f t="shared" si="26"/>
        <v>0</v>
      </c>
      <c r="AX94" s="118">
        <f t="shared" ref="AX94:AX157" si="28">IFERROR(ROUND($D94-O94-AY94,0),0)</f>
        <v>0</v>
      </c>
      <c r="AY94" s="119">
        <f t="shared" ref="AY94:AY157" si="29">IFERROR(P94*$G94,0)</f>
        <v>0</v>
      </c>
      <c r="AZ94" s="118">
        <f t="shared" ref="AZ94:AZ157" si="30">IFERROR(ROUND($D94-Q94-BA94,0),0)</f>
        <v>0</v>
      </c>
      <c r="BA94" s="119">
        <f t="shared" ref="BA94:BA157" si="31">IFERROR(R94*$G94,0)</f>
        <v>0</v>
      </c>
      <c r="BB94" s="120">
        <f t="shared" ref="BB94:BB157" si="32">IFERROR(ROUND($D94-S94-BC94,0),0)</f>
        <v>0</v>
      </c>
      <c r="BC94" s="119">
        <f t="shared" ref="BC94:BC157" si="33">IFERROR(T94*$G94,0)</f>
        <v>0</v>
      </c>
      <c r="BD94" s="34"/>
      <c r="BE94" s="118">
        <f t="shared" ref="BE94:BE157" si="34">IFERROR(ROUND($D94-V94-BF94,0),0)</f>
        <v>0</v>
      </c>
      <c r="BF94" s="119">
        <f t="shared" ref="BF94:BF157" si="35">IFERROR(W94*$G94,0)</f>
        <v>0</v>
      </c>
      <c r="BG94" s="118">
        <f t="shared" ref="BG94:BG157" si="36">IFERROR(ROUND($D94-X94-BH94,0),0)</f>
        <v>0</v>
      </c>
      <c r="BH94" s="119">
        <f t="shared" ref="BH94:BH157" si="37">IFERROR(Y94*$G94,0)</f>
        <v>0</v>
      </c>
      <c r="BI94" s="120">
        <f t="shared" ref="BI94:BI157" si="38">IFERROR(ROUND($D94-Z94-BJ94,0),0)</f>
        <v>0</v>
      </c>
      <c r="BJ94" s="119">
        <f t="shared" ref="BJ94:BJ157" si="39">IFERROR(AA94*$G94,0)</f>
        <v>0</v>
      </c>
      <c r="BK94" s="120">
        <f t="shared" ref="BK94:BK157" si="40">IFERROR(ROUND($D94-AB94-BL94,0),0)</f>
        <v>0</v>
      </c>
      <c r="BL94" s="119">
        <f t="shared" ref="BL94:BL157" si="41">IFERROR(AC94*$G94,0)</f>
        <v>0</v>
      </c>
      <c r="BM94" s="4"/>
      <c r="BN94" s="122" t="e">
        <v>#N/A</v>
      </c>
      <c r="BO94" s="117"/>
      <c r="BP94" s="118" t="e">
        <v>#N/A</v>
      </c>
      <c r="BQ94" s="119" t="e">
        <v>#N/A</v>
      </c>
      <c r="BR94" s="120"/>
      <c r="BS94" s="118" t="e">
        <v>#N/A</v>
      </c>
      <c r="BT94" s="119" t="e">
        <v>#N/A</v>
      </c>
      <c r="BU94" s="118" t="e">
        <v>#N/A</v>
      </c>
      <c r="BV94" s="119" t="e">
        <v>#N/A</v>
      </c>
      <c r="BW94" s="118" t="e">
        <v>#N/A</v>
      </c>
      <c r="BX94" s="119" t="e">
        <v>#N/A</v>
      </c>
      <c r="BY94" s="118" t="e">
        <v>#N/A</v>
      </c>
      <c r="BZ94" s="119" t="e">
        <v>#N/A</v>
      </c>
      <c r="CA94" s="120"/>
      <c r="CB94" s="118" t="e">
        <v>#N/A</v>
      </c>
      <c r="CC94" s="119" t="e">
        <v>#N/A</v>
      </c>
      <c r="CD94" s="118" t="e">
        <v>#N/A</v>
      </c>
      <c r="CE94" s="119" t="e">
        <v>#N/A</v>
      </c>
      <c r="CF94" s="118" t="e">
        <v>#N/A</v>
      </c>
      <c r="CG94" s="119" t="e">
        <v>#N/A</v>
      </c>
      <c r="CH94" s="118" t="e">
        <v>#N/A</v>
      </c>
      <c r="CI94" s="119" t="e">
        <v>#N/A</v>
      </c>
      <c r="CJ94" s="4"/>
      <c r="CK94" s="79"/>
      <c r="CL94" s="5"/>
      <c r="CM94" s="39" t="str">
        <f t="shared" ref="CM94:CM157" si="42">IFERROR(+$H94-($J94+$K94*$G94),"-")</f>
        <v>-</v>
      </c>
      <c r="CN94" s="5"/>
      <c r="CO94" s="39" t="str">
        <f t="shared" ref="CO94:CO157" si="43">IFERROR(+$H94-($M94+$N94*$G94),"-")</f>
        <v>-</v>
      </c>
      <c r="CP94" s="39" t="str">
        <f t="shared" ref="CP94:CP157" si="44">IFERROR(+$H94-($O94+$P94*$G94),"-")</f>
        <v>-</v>
      </c>
      <c r="CQ94" s="39" t="str">
        <f t="shared" ref="CQ94:CR125" si="45">IFERROR(+$H94-($Q94+$R94*$G94),"-")</f>
        <v>-</v>
      </c>
      <c r="CR94" s="39" t="str">
        <f t="shared" si="45"/>
        <v>-</v>
      </c>
      <c r="CS94" s="5"/>
      <c r="CT94" s="39" t="str">
        <f t="shared" ref="CT94:CT157" si="46">IFERROR(+$H94-($V94+$W94*$G94),"-")</f>
        <v>-</v>
      </c>
      <c r="CU94" s="39" t="str">
        <f t="shared" ref="CU94:CU157" si="47">IFERROR(+$H94-($X94+$Y94*$G94),"-")</f>
        <v>-</v>
      </c>
      <c r="CV94" s="39" t="str">
        <f t="shared" ref="CV94:CV157" si="48">IFERROR(+$H94-($Z94+$AA94*$G94),"-")</f>
        <v>-</v>
      </c>
      <c r="CW94" s="39" t="str">
        <f t="shared" ref="CW94:CW157" si="49">IFERROR(+$H94-($AB94+$AC94*$G94),"-")</f>
        <v>-</v>
      </c>
    </row>
    <row r="95" spans="2:101" s="4" customFormat="1" ht="12.75" customHeight="1">
      <c r="B95" s="102" t="s">
        <v>58</v>
      </c>
      <c r="C95" s="103" t="s">
        <v>301</v>
      </c>
      <c r="D95" s="104" t="e">
        <f>VLOOKUP($C95,#REF!,5,0)</f>
        <v>#REF!</v>
      </c>
      <c r="E95" s="109" t="e">
        <f>VLOOKUP($C95,#REF!,6,0)</f>
        <v>#REF!</v>
      </c>
      <c r="F95" s="103" t="e">
        <f>VLOOKUP($C95,#REF!,7,0)</f>
        <v>#REF!</v>
      </c>
      <c r="G95" s="103" t="e">
        <f>VLOOKUP($C95,#REF!,8,0)</f>
        <v>#REF!</v>
      </c>
      <c r="H95" s="110" t="e">
        <f>VLOOKUP($C95,#REF!,9,0)</f>
        <v>#REF!</v>
      </c>
      <c r="I95" s="5"/>
      <c r="J95" s="105" t="e">
        <f>VLOOKUP($C95,#REF!,10,0)</f>
        <v>#REF!</v>
      </c>
      <c r="K95" s="106" t="e">
        <f>VLOOKUP($C95,#REF!,11,0)</f>
        <v>#REF!</v>
      </c>
      <c r="L95" s="34"/>
      <c r="M95" s="105" t="e">
        <f>VLOOKUP($C95,#REF!,12,0)</f>
        <v>#REF!</v>
      </c>
      <c r="N95" s="34" t="e">
        <f>VLOOKUP($C95,#REF!,13,0)</f>
        <v>#REF!</v>
      </c>
      <c r="O95" s="105" t="e">
        <f>VLOOKUP($C95,#REF!,14,0)</f>
        <v>#REF!</v>
      </c>
      <c r="P95" s="34" t="e">
        <f>VLOOKUP($C95,#REF!,15,0)</f>
        <v>#REF!</v>
      </c>
      <c r="Q95" s="105" t="e">
        <f>VLOOKUP($C95,#REF!,16,0)</f>
        <v>#REF!</v>
      </c>
      <c r="R95" s="106" t="e">
        <f>VLOOKUP($C95,#REF!,17,0)</f>
        <v>#REF!</v>
      </c>
      <c r="S95" s="34" t="e">
        <f>VLOOKUP($C95,#REF!,18,0)</f>
        <v>#REF!</v>
      </c>
      <c r="T95" s="106" t="e">
        <f>VLOOKUP($C95,#REF!,19,0)</f>
        <v>#REF!</v>
      </c>
      <c r="U95" s="34"/>
      <c r="V95" s="105" t="e">
        <f>VLOOKUP($C95,#REF!,20,0)</f>
        <v>#REF!</v>
      </c>
      <c r="W95" s="34" t="e">
        <f>VLOOKUP($C95,#REF!,21,0)</f>
        <v>#REF!</v>
      </c>
      <c r="X95" s="105" t="e">
        <f>VLOOKUP($C95,#REF!,22,0)</f>
        <v>#REF!</v>
      </c>
      <c r="Y95" s="34" t="e">
        <f>VLOOKUP($C95,#REF!,23,0)</f>
        <v>#REF!</v>
      </c>
      <c r="Z95" s="105" t="e">
        <f>VLOOKUP($C95,#REF!,24,0)</f>
        <v>#REF!</v>
      </c>
      <c r="AA95" s="106" t="e">
        <f>VLOOKUP($C95,#REF!,25,0)</f>
        <v>#REF!</v>
      </c>
      <c r="AB95" s="34" t="e">
        <f>VLOOKUP($C95,#REF!,26,0)</f>
        <v>#REF!</v>
      </c>
      <c r="AC95" s="106" t="e">
        <f>VLOOKUP($C95,#REF!,27,0)</f>
        <v>#REF!</v>
      </c>
      <c r="AE95" s="105" t="e">
        <f t="shared" si="27"/>
        <v>#REF!</v>
      </c>
      <c r="AF95" s="107" t="s">
        <v>320</v>
      </c>
      <c r="AG95" s="107" t="s">
        <v>321</v>
      </c>
      <c r="AH95" s="106" t="s">
        <v>322</v>
      </c>
      <c r="AJ95" s="105" t="s">
        <v>323</v>
      </c>
      <c r="AK95" s="107" t="s">
        <v>324</v>
      </c>
      <c r="AL95" s="107" t="s">
        <v>325</v>
      </c>
      <c r="AM95" s="107" t="s">
        <v>326</v>
      </c>
      <c r="AN95" s="107" t="s">
        <v>326</v>
      </c>
      <c r="AO95" s="106" t="s">
        <v>320</v>
      </c>
      <c r="AQ95" s="108">
        <v>199</v>
      </c>
      <c r="AR95" s="5"/>
      <c r="AS95" s="105">
        <v>0</v>
      </c>
      <c r="AT95" s="106">
        <v>0</v>
      </c>
      <c r="AU95" s="34"/>
      <c r="AV95" s="105">
        <f t="shared" si="25"/>
        <v>0</v>
      </c>
      <c r="AW95" s="106">
        <f t="shared" si="26"/>
        <v>0</v>
      </c>
      <c r="AX95" s="105">
        <f t="shared" si="28"/>
        <v>0</v>
      </c>
      <c r="AY95" s="106">
        <f t="shared" si="29"/>
        <v>0</v>
      </c>
      <c r="AZ95" s="105">
        <f t="shared" si="30"/>
        <v>0</v>
      </c>
      <c r="BA95" s="106">
        <f t="shared" si="31"/>
        <v>0</v>
      </c>
      <c r="BB95" s="34">
        <f t="shared" si="32"/>
        <v>0</v>
      </c>
      <c r="BC95" s="106">
        <f t="shared" si="33"/>
        <v>0</v>
      </c>
      <c r="BD95" s="34"/>
      <c r="BE95" s="105">
        <f t="shared" si="34"/>
        <v>0</v>
      </c>
      <c r="BF95" s="106">
        <f t="shared" si="35"/>
        <v>0</v>
      </c>
      <c r="BG95" s="105">
        <f t="shared" si="36"/>
        <v>0</v>
      </c>
      <c r="BH95" s="106">
        <f t="shared" si="37"/>
        <v>0</v>
      </c>
      <c r="BI95" s="34">
        <f t="shared" si="38"/>
        <v>0</v>
      </c>
      <c r="BJ95" s="106">
        <f t="shared" si="39"/>
        <v>0</v>
      </c>
      <c r="BK95" s="34">
        <f t="shared" si="40"/>
        <v>0</v>
      </c>
      <c r="BL95" s="106">
        <f t="shared" si="41"/>
        <v>0</v>
      </c>
      <c r="BN95" s="108">
        <v>0</v>
      </c>
      <c r="BO95" s="5"/>
      <c r="BP95" s="105">
        <v>0</v>
      </c>
      <c r="BQ95" s="106">
        <v>0</v>
      </c>
      <c r="BR95" s="34"/>
      <c r="BS95" s="105">
        <v>0</v>
      </c>
      <c r="BT95" s="106">
        <v>0</v>
      </c>
      <c r="BU95" s="105">
        <v>0</v>
      </c>
      <c r="BV95" s="106">
        <v>0</v>
      </c>
      <c r="BW95" s="105">
        <v>0</v>
      </c>
      <c r="BX95" s="106">
        <v>0</v>
      </c>
      <c r="BY95" s="105">
        <v>0</v>
      </c>
      <c r="BZ95" s="106">
        <v>0</v>
      </c>
      <c r="CA95" s="34"/>
      <c r="CB95" s="105">
        <v>0</v>
      </c>
      <c r="CC95" s="106">
        <v>0</v>
      </c>
      <c r="CD95" s="105">
        <v>0</v>
      </c>
      <c r="CE95" s="106">
        <v>0</v>
      </c>
      <c r="CF95" s="105">
        <v>0</v>
      </c>
      <c r="CG95" s="106">
        <v>0</v>
      </c>
      <c r="CH95" s="105">
        <v>0</v>
      </c>
      <c r="CI95" s="106">
        <v>0</v>
      </c>
      <c r="CK95" s="78"/>
      <c r="CL95" s="5"/>
      <c r="CM95" s="38" t="str">
        <f t="shared" si="42"/>
        <v>-</v>
      </c>
      <c r="CN95" s="5"/>
      <c r="CO95" s="38" t="str">
        <f t="shared" si="43"/>
        <v>-</v>
      </c>
      <c r="CP95" s="38" t="str">
        <f t="shared" si="44"/>
        <v>-</v>
      </c>
      <c r="CQ95" s="38" t="str">
        <f t="shared" si="45"/>
        <v>-</v>
      </c>
      <c r="CR95" s="38" t="str">
        <f t="shared" si="45"/>
        <v>-</v>
      </c>
      <c r="CS95" s="5"/>
      <c r="CT95" s="38" t="str">
        <f t="shared" si="46"/>
        <v>-</v>
      </c>
      <c r="CU95" s="38" t="str">
        <f t="shared" si="47"/>
        <v>-</v>
      </c>
      <c r="CV95" s="38" t="str">
        <f t="shared" si="48"/>
        <v>-</v>
      </c>
      <c r="CW95" s="38" t="str">
        <f t="shared" si="49"/>
        <v>-</v>
      </c>
    </row>
    <row r="96" spans="2:101" s="113" customFormat="1" ht="12.75" customHeight="1">
      <c r="B96" s="99" t="s">
        <v>58</v>
      </c>
      <c r="C96" s="98" t="s">
        <v>302</v>
      </c>
      <c r="D96" s="114" t="e">
        <f>VLOOKUP($C96,#REF!,5,0)</f>
        <v>#REF!</v>
      </c>
      <c r="E96" s="115" t="e">
        <f>VLOOKUP($C96,#REF!,6,0)</f>
        <v>#REF!</v>
      </c>
      <c r="F96" s="98" t="e">
        <f>VLOOKUP($C96,#REF!,7,0)</f>
        <v>#REF!</v>
      </c>
      <c r="G96" s="98" t="e">
        <f>VLOOKUP($C96,#REF!,8,0)</f>
        <v>#REF!</v>
      </c>
      <c r="H96" s="116" t="e">
        <f>VLOOKUP($C96,#REF!,9,0)</f>
        <v>#REF!</v>
      </c>
      <c r="I96" s="5"/>
      <c r="J96" s="118" t="e">
        <f>VLOOKUP($C96,#REF!,10,0)</f>
        <v>#REF!</v>
      </c>
      <c r="K96" s="119" t="e">
        <f>VLOOKUP($C96,#REF!,11,0)</f>
        <v>#REF!</v>
      </c>
      <c r="L96" s="34"/>
      <c r="M96" s="118" t="e">
        <f>VLOOKUP($C96,#REF!,12,0)</f>
        <v>#REF!</v>
      </c>
      <c r="N96" s="120" t="e">
        <f>VLOOKUP($C96,#REF!,13,0)</f>
        <v>#REF!</v>
      </c>
      <c r="O96" s="118" t="e">
        <f>VLOOKUP($C96,#REF!,14,0)</f>
        <v>#REF!</v>
      </c>
      <c r="P96" s="120" t="e">
        <f>VLOOKUP($C96,#REF!,15,0)</f>
        <v>#REF!</v>
      </c>
      <c r="Q96" s="118" t="e">
        <f>VLOOKUP($C96,#REF!,16,0)</f>
        <v>#REF!</v>
      </c>
      <c r="R96" s="119" t="e">
        <f>VLOOKUP($C96,#REF!,17,0)</f>
        <v>#REF!</v>
      </c>
      <c r="S96" s="120" t="e">
        <f>VLOOKUP($C96,#REF!,18,0)</f>
        <v>#REF!</v>
      </c>
      <c r="T96" s="119" t="e">
        <f>VLOOKUP($C96,#REF!,19,0)</f>
        <v>#REF!</v>
      </c>
      <c r="U96" s="34"/>
      <c r="V96" s="118" t="e">
        <f>VLOOKUP($C96,#REF!,20,0)</f>
        <v>#REF!</v>
      </c>
      <c r="W96" s="120" t="e">
        <f>VLOOKUP($C96,#REF!,21,0)</f>
        <v>#REF!</v>
      </c>
      <c r="X96" s="118" t="e">
        <f>VLOOKUP($C96,#REF!,22,0)</f>
        <v>#REF!</v>
      </c>
      <c r="Y96" s="120" t="e">
        <f>VLOOKUP($C96,#REF!,23,0)</f>
        <v>#REF!</v>
      </c>
      <c r="Z96" s="118" t="e">
        <f>VLOOKUP($C96,#REF!,24,0)</f>
        <v>#REF!</v>
      </c>
      <c r="AA96" s="119" t="e">
        <f>VLOOKUP($C96,#REF!,25,0)</f>
        <v>#REF!</v>
      </c>
      <c r="AB96" s="120" t="e">
        <f>VLOOKUP($C96,#REF!,26,0)</f>
        <v>#REF!</v>
      </c>
      <c r="AC96" s="119" t="e">
        <f>VLOOKUP($C96,#REF!,27,0)</f>
        <v>#REF!</v>
      </c>
      <c r="AD96" s="4"/>
      <c r="AE96" s="118" t="e">
        <f t="shared" si="27"/>
        <v>#REF!</v>
      </c>
      <c r="AF96" s="121" t="s">
        <v>320</v>
      </c>
      <c r="AG96" s="121" t="s">
        <v>321</v>
      </c>
      <c r="AH96" s="119" t="s">
        <v>322</v>
      </c>
      <c r="AI96" s="4"/>
      <c r="AJ96" s="118" t="s">
        <v>323</v>
      </c>
      <c r="AK96" s="121" t="s">
        <v>324</v>
      </c>
      <c r="AL96" s="121" t="s">
        <v>325</v>
      </c>
      <c r="AM96" s="121" t="s">
        <v>326</v>
      </c>
      <c r="AN96" s="121" t="s">
        <v>326</v>
      </c>
      <c r="AO96" s="119" t="s">
        <v>320</v>
      </c>
      <c r="AP96" s="4"/>
      <c r="AQ96" s="122">
        <v>74</v>
      </c>
      <c r="AR96" s="5"/>
      <c r="AS96" s="118">
        <v>0</v>
      </c>
      <c r="AT96" s="119">
        <v>0</v>
      </c>
      <c r="AU96" s="34"/>
      <c r="AV96" s="118">
        <f t="shared" si="25"/>
        <v>0</v>
      </c>
      <c r="AW96" s="119">
        <f t="shared" si="26"/>
        <v>0</v>
      </c>
      <c r="AX96" s="118">
        <f t="shared" si="28"/>
        <v>0</v>
      </c>
      <c r="AY96" s="119">
        <f t="shared" si="29"/>
        <v>0</v>
      </c>
      <c r="AZ96" s="118">
        <f t="shared" si="30"/>
        <v>0</v>
      </c>
      <c r="BA96" s="119">
        <f t="shared" si="31"/>
        <v>0</v>
      </c>
      <c r="BB96" s="120">
        <f t="shared" si="32"/>
        <v>0</v>
      </c>
      <c r="BC96" s="119">
        <f t="shared" si="33"/>
        <v>0</v>
      </c>
      <c r="BD96" s="34"/>
      <c r="BE96" s="118">
        <f t="shared" si="34"/>
        <v>0</v>
      </c>
      <c r="BF96" s="119">
        <f t="shared" si="35"/>
        <v>0</v>
      </c>
      <c r="BG96" s="118">
        <f t="shared" si="36"/>
        <v>0</v>
      </c>
      <c r="BH96" s="119">
        <f t="shared" si="37"/>
        <v>0</v>
      </c>
      <c r="BI96" s="120">
        <f t="shared" si="38"/>
        <v>0</v>
      </c>
      <c r="BJ96" s="119">
        <f t="shared" si="39"/>
        <v>0</v>
      </c>
      <c r="BK96" s="120">
        <f t="shared" si="40"/>
        <v>0</v>
      </c>
      <c r="BL96" s="119">
        <f t="shared" si="41"/>
        <v>0</v>
      </c>
      <c r="BM96" s="4"/>
      <c r="BN96" s="122">
        <v>-16.53</v>
      </c>
      <c r="BO96" s="117"/>
      <c r="BP96" s="118">
        <v>-16.53</v>
      </c>
      <c r="BQ96" s="119">
        <v>0</v>
      </c>
      <c r="BR96" s="120"/>
      <c r="BS96" s="118">
        <v>0</v>
      </c>
      <c r="BT96" s="119">
        <v>0</v>
      </c>
      <c r="BU96" s="118">
        <v>0</v>
      </c>
      <c r="BV96" s="119">
        <v>0</v>
      </c>
      <c r="BW96" s="118">
        <v>0</v>
      </c>
      <c r="BX96" s="119">
        <v>0</v>
      </c>
      <c r="BY96" s="118">
        <v>0</v>
      </c>
      <c r="BZ96" s="119">
        <v>0</v>
      </c>
      <c r="CA96" s="120"/>
      <c r="CB96" s="118">
        <v>0</v>
      </c>
      <c r="CC96" s="119">
        <v>0</v>
      </c>
      <c r="CD96" s="118">
        <v>0</v>
      </c>
      <c r="CE96" s="119">
        <v>0</v>
      </c>
      <c r="CF96" s="118">
        <v>0</v>
      </c>
      <c r="CG96" s="119">
        <v>0</v>
      </c>
      <c r="CH96" s="118">
        <v>0</v>
      </c>
      <c r="CI96" s="119">
        <v>0</v>
      </c>
      <c r="CJ96" s="4"/>
      <c r="CK96" s="79"/>
      <c r="CL96" s="5"/>
      <c r="CM96" s="39" t="str">
        <f t="shared" si="42"/>
        <v>-</v>
      </c>
      <c r="CN96" s="5"/>
      <c r="CO96" s="39" t="str">
        <f t="shared" si="43"/>
        <v>-</v>
      </c>
      <c r="CP96" s="39" t="str">
        <f t="shared" si="44"/>
        <v>-</v>
      </c>
      <c r="CQ96" s="39" t="str">
        <f t="shared" si="45"/>
        <v>-</v>
      </c>
      <c r="CR96" s="39" t="str">
        <f t="shared" si="45"/>
        <v>-</v>
      </c>
      <c r="CS96" s="5"/>
      <c r="CT96" s="39" t="str">
        <f t="shared" si="46"/>
        <v>-</v>
      </c>
      <c r="CU96" s="39" t="str">
        <f t="shared" si="47"/>
        <v>-</v>
      </c>
      <c r="CV96" s="39" t="str">
        <f t="shared" si="48"/>
        <v>-</v>
      </c>
      <c r="CW96" s="39" t="str">
        <f t="shared" si="49"/>
        <v>-</v>
      </c>
    </row>
    <row r="97" spans="2:101" s="4" customFormat="1" ht="12.75" customHeight="1">
      <c r="B97" s="102" t="s">
        <v>58</v>
      </c>
      <c r="C97" s="103" t="s">
        <v>139</v>
      </c>
      <c r="D97" s="104" t="e">
        <f>VLOOKUP($C97,#REF!,5,0)</f>
        <v>#REF!</v>
      </c>
      <c r="E97" s="109" t="e">
        <f>VLOOKUP($C97,#REF!,6,0)</f>
        <v>#REF!</v>
      </c>
      <c r="F97" s="103" t="e">
        <f>VLOOKUP($C97,#REF!,7,0)</f>
        <v>#REF!</v>
      </c>
      <c r="G97" s="103" t="e">
        <f>VLOOKUP($C97,#REF!,8,0)</f>
        <v>#REF!</v>
      </c>
      <c r="H97" s="110" t="e">
        <f>VLOOKUP($C97,#REF!,9,0)</f>
        <v>#REF!</v>
      </c>
      <c r="I97" s="5"/>
      <c r="J97" s="105" t="e">
        <f>VLOOKUP($C97,#REF!,10,0)</f>
        <v>#REF!</v>
      </c>
      <c r="K97" s="106" t="e">
        <f>VLOOKUP($C97,#REF!,11,0)</f>
        <v>#REF!</v>
      </c>
      <c r="L97" s="34"/>
      <c r="M97" s="105" t="e">
        <f>VLOOKUP($C97,#REF!,12,0)</f>
        <v>#REF!</v>
      </c>
      <c r="N97" s="34" t="e">
        <f>VLOOKUP($C97,#REF!,13,0)</f>
        <v>#REF!</v>
      </c>
      <c r="O97" s="105" t="e">
        <f>VLOOKUP($C97,#REF!,14,0)</f>
        <v>#REF!</v>
      </c>
      <c r="P97" s="34" t="e">
        <f>VLOOKUP($C97,#REF!,15,0)</f>
        <v>#REF!</v>
      </c>
      <c r="Q97" s="105" t="e">
        <f>VLOOKUP($C97,#REF!,16,0)</f>
        <v>#REF!</v>
      </c>
      <c r="R97" s="106" t="e">
        <f>VLOOKUP($C97,#REF!,17,0)</f>
        <v>#REF!</v>
      </c>
      <c r="S97" s="34" t="e">
        <f>VLOOKUP($C97,#REF!,18,0)</f>
        <v>#REF!</v>
      </c>
      <c r="T97" s="106" t="e">
        <f>VLOOKUP($C97,#REF!,19,0)</f>
        <v>#REF!</v>
      </c>
      <c r="U97" s="34"/>
      <c r="V97" s="105" t="e">
        <f>VLOOKUP($C97,#REF!,20,0)</f>
        <v>#REF!</v>
      </c>
      <c r="W97" s="34" t="e">
        <f>VLOOKUP($C97,#REF!,21,0)</f>
        <v>#REF!</v>
      </c>
      <c r="X97" s="105" t="e">
        <f>VLOOKUP($C97,#REF!,22,0)</f>
        <v>#REF!</v>
      </c>
      <c r="Y97" s="34" t="e">
        <f>VLOOKUP($C97,#REF!,23,0)</f>
        <v>#REF!</v>
      </c>
      <c r="Z97" s="105" t="e">
        <f>VLOOKUP($C97,#REF!,24,0)</f>
        <v>#REF!</v>
      </c>
      <c r="AA97" s="106" t="e">
        <f>VLOOKUP($C97,#REF!,25,0)</f>
        <v>#REF!</v>
      </c>
      <c r="AB97" s="34" t="e">
        <f>VLOOKUP($C97,#REF!,26,0)</f>
        <v>#REF!</v>
      </c>
      <c r="AC97" s="106" t="e">
        <f>VLOOKUP($C97,#REF!,27,0)</f>
        <v>#REF!</v>
      </c>
      <c r="AE97" s="105" t="e">
        <f t="shared" si="27"/>
        <v>#REF!</v>
      </c>
      <c r="AF97" s="107" t="s">
        <v>320</v>
      </c>
      <c r="AG97" s="107" t="s">
        <v>321</v>
      </c>
      <c r="AH97" s="106" t="s">
        <v>322</v>
      </c>
      <c r="AJ97" s="105" t="s">
        <v>323</v>
      </c>
      <c r="AK97" s="107" t="s">
        <v>324</v>
      </c>
      <c r="AL97" s="107" t="s">
        <v>325</v>
      </c>
      <c r="AM97" s="107" t="s">
        <v>326</v>
      </c>
      <c r="AN97" s="107" t="s">
        <v>326</v>
      </c>
      <c r="AO97" s="106" t="s">
        <v>320</v>
      </c>
      <c r="AQ97" s="108">
        <v>223</v>
      </c>
      <c r="AR97" s="5"/>
      <c r="AS97" s="105">
        <v>0</v>
      </c>
      <c r="AT97" s="106">
        <v>0</v>
      </c>
      <c r="AU97" s="34"/>
      <c r="AV97" s="105">
        <f t="shared" si="25"/>
        <v>0</v>
      </c>
      <c r="AW97" s="106">
        <f t="shared" si="26"/>
        <v>0</v>
      </c>
      <c r="AX97" s="105">
        <f t="shared" si="28"/>
        <v>0</v>
      </c>
      <c r="AY97" s="106">
        <f t="shared" si="29"/>
        <v>0</v>
      </c>
      <c r="AZ97" s="105">
        <f t="shared" si="30"/>
        <v>0</v>
      </c>
      <c r="BA97" s="106">
        <f t="shared" si="31"/>
        <v>0</v>
      </c>
      <c r="BB97" s="34">
        <f t="shared" si="32"/>
        <v>0</v>
      </c>
      <c r="BC97" s="106">
        <f t="shared" si="33"/>
        <v>0</v>
      </c>
      <c r="BD97" s="34"/>
      <c r="BE97" s="105">
        <f t="shared" si="34"/>
        <v>0</v>
      </c>
      <c r="BF97" s="106">
        <f t="shared" si="35"/>
        <v>0</v>
      </c>
      <c r="BG97" s="105">
        <f t="shared" si="36"/>
        <v>0</v>
      </c>
      <c r="BH97" s="106">
        <f t="shared" si="37"/>
        <v>0</v>
      </c>
      <c r="BI97" s="34">
        <f t="shared" si="38"/>
        <v>0</v>
      </c>
      <c r="BJ97" s="106">
        <f t="shared" si="39"/>
        <v>0</v>
      </c>
      <c r="BK97" s="34">
        <f t="shared" si="40"/>
        <v>0</v>
      </c>
      <c r="BL97" s="106">
        <f t="shared" si="41"/>
        <v>0</v>
      </c>
      <c r="BN97" s="108">
        <v>-57.860000000000014</v>
      </c>
      <c r="BO97" s="5"/>
      <c r="BP97" s="105">
        <v>-57.860000000000014</v>
      </c>
      <c r="BQ97" s="106">
        <v>0</v>
      </c>
      <c r="BR97" s="34"/>
      <c r="BS97" s="105">
        <v>0</v>
      </c>
      <c r="BT97" s="106">
        <v>0</v>
      </c>
      <c r="BU97" s="105">
        <v>0</v>
      </c>
      <c r="BV97" s="106">
        <v>0</v>
      </c>
      <c r="BW97" s="105">
        <v>0</v>
      </c>
      <c r="BX97" s="106">
        <v>-1</v>
      </c>
      <c r="BY97" s="105">
        <v>0</v>
      </c>
      <c r="BZ97" s="106">
        <v>-1</v>
      </c>
      <c r="CA97" s="34"/>
      <c r="CB97" s="105">
        <v>0</v>
      </c>
      <c r="CC97" s="106">
        <v>0</v>
      </c>
      <c r="CD97" s="105">
        <v>0</v>
      </c>
      <c r="CE97" s="106">
        <v>0</v>
      </c>
      <c r="CF97" s="105">
        <v>0</v>
      </c>
      <c r="CG97" s="106">
        <v>-1</v>
      </c>
      <c r="CH97" s="105">
        <v>0</v>
      </c>
      <c r="CI97" s="106">
        <v>-1</v>
      </c>
      <c r="CK97" s="78"/>
      <c r="CL97" s="5"/>
      <c r="CM97" s="38" t="str">
        <f t="shared" si="42"/>
        <v>-</v>
      </c>
      <c r="CN97" s="5"/>
      <c r="CO97" s="38" t="str">
        <f t="shared" si="43"/>
        <v>-</v>
      </c>
      <c r="CP97" s="38" t="str">
        <f t="shared" si="44"/>
        <v>-</v>
      </c>
      <c r="CQ97" s="38" t="str">
        <f t="shared" si="45"/>
        <v>-</v>
      </c>
      <c r="CR97" s="38" t="str">
        <f t="shared" si="45"/>
        <v>-</v>
      </c>
      <c r="CS97" s="5"/>
      <c r="CT97" s="38" t="str">
        <f t="shared" si="46"/>
        <v>-</v>
      </c>
      <c r="CU97" s="38" t="str">
        <f t="shared" si="47"/>
        <v>-</v>
      </c>
      <c r="CV97" s="38" t="str">
        <f t="shared" si="48"/>
        <v>-</v>
      </c>
      <c r="CW97" s="38" t="str">
        <f t="shared" si="49"/>
        <v>-</v>
      </c>
    </row>
    <row r="98" spans="2:101" s="113" customFormat="1" ht="12.75" customHeight="1">
      <c r="B98" s="99" t="s">
        <v>58</v>
      </c>
      <c r="C98" s="98" t="s">
        <v>140</v>
      </c>
      <c r="D98" s="114" t="e">
        <f>VLOOKUP($C98,#REF!,5,0)</f>
        <v>#REF!</v>
      </c>
      <c r="E98" s="115" t="e">
        <f>VLOOKUP($C98,#REF!,6,0)</f>
        <v>#REF!</v>
      </c>
      <c r="F98" s="98" t="e">
        <f>VLOOKUP($C98,#REF!,7,0)</f>
        <v>#REF!</v>
      </c>
      <c r="G98" s="98" t="e">
        <f>VLOOKUP($C98,#REF!,8,0)</f>
        <v>#REF!</v>
      </c>
      <c r="H98" s="116" t="e">
        <f>VLOOKUP($C98,#REF!,9,0)</f>
        <v>#REF!</v>
      </c>
      <c r="I98" s="5"/>
      <c r="J98" s="118" t="e">
        <f>VLOOKUP($C98,#REF!,10,0)</f>
        <v>#REF!</v>
      </c>
      <c r="K98" s="119" t="e">
        <f>VLOOKUP($C98,#REF!,11,0)</f>
        <v>#REF!</v>
      </c>
      <c r="L98" s="34"/>
      <c r="M98" s="118" t="e">
        <f>VLOOKUP($C98,#REF!,12,0)</f>
        <v>#REF!</v>
      </c>
      <c r="N98" s="120" t="e">
        <f>VLOOKUP($C98,#REF!,13,0)</f>
        <v>#REF!</v>
      </c>
      <c r="O98" s="118" t="e">
        <f>VLOOKUP($C98,#REF!,14,0)</f>
        <v>#REF!</v>
      </c>
      <c r="P98" s="120" t="e">
        <f>VLOOKUP($C98,#REF!,15,0)</f>
        <v>#REF!</v>
      </c>
      <c r="Q98" s="118" t="e">
        <f>VLOOKUP($C98,#REF!,16,0)</f>
        <v>#REF!</v>
      </c>
      <c r="R98" s="119" t="e">
        <f>VLOOKUP($C98,#REF!,17,0)</f>
        <v>#REF!</v>
      </c>
      <c r="S98" s="120" t="e">
        <f>VLOOKUP($C98,#REF!,18,0)</f>
        <v>#REF!</v>
      </c>
      <c r="T98" s="119" t="e">
        <f>VLOOKUP($C98,#REF!,19,0)</f>
        <v>#REF!</v>
      </c>
      <c r="U98" s="34"/>
      <c r="V98" s="118" t="e">
        <f>VLOOKUP($C98,#REF!,20,0)</f>
        <v>#REF!</v>
      </c>
      <c r="W98" s="120" t="e">
        <f>VLOOKUP($C98,#REF!,21,0)</f>
        <v>#REF!</v>
      </c>
      <c r="X98" s="118" t="e">
        <f>VLOOKUP($C98,#REF!,22,0)</f>
        <v>#REF!</v>
      </c>
      <c r="Y98" s="120" t="e">
        <f>VLOOKUP($C98,#REF!,23,0)</f>
        <v>#REF!</v>
      </c>
      <c r="Z98" s="118" t="e">
        <f>VLOOKUP($C98,#REF!,24,0)</f>
        <v>#REF!</v>
      </c>
      <c r="AA98" s="119" t="e">
        <f>VLOOKUP($C98,#REF!,25,0)</f>
        <v>#REF!</v>
      </c>
      <c r="AB98" s="120" t="e">
        <f>VLOOKUP($C98,#REF!,26,0)</f>
        <v>#REF!</v>
      </c>
      <c r="AC98" s="119" t="e">
        <f>VLOOKUP($C98,#REF!,27,0)</f>
        <v>#REF!</v>
      </c>
      <c r="AD98" s="4"/>
      <c r="AE98" s="118" t="e">
        <f t="shared" si="27"/>
        <v>#REF!</v>
      </c>
      <c r="AF98" s="121" t="s">
        <v>320</v>
      </c>
      <c r="AG98" s="121" t="s">
        <v>321</v>
      </c>
      <c r="AH98" s="119" t="s">
        <v>322</v>
      </c>
      <c r="AI98" s="4"/>
      <c r="AJ98" s="118" t="s">
        <v>323</v>
      </c>
      <c r="AK98" s="121" t="s">
        <v>324</v>
      </c>
      <c r="AL98" s="121" t="s">
        <v>325</v>
      </c>
      <c r="AM98" s="121" t="s">
        <v>326</v>
      </c>
      <c r="AN98" s="121" t="s">
        <v>326</v>
      </c>
      <c r="AO98" s="119" t="s">
        <v>320</v>
      </c>
      <c r="AP98" s="4"/>
      <c r="AQ98" s="122">
        <v>50</v>
      </c>
      <c r="AR98" s="5"/>
      <c r="AS98" s="118">
        <v>0</v>
      </c>
      <c r="AT98" s="119">
        <v>0</v>
      </c>
      <c r="AU98" s="34"/>
      <c r="AV98" s="118">
        <f t="shared" si="25"/>
        <v>0</v>
      </c>
      <c r="AW98" s="119">
        <f t="shared" si="26"/>
        <v>0</v>
      </c>
      <c r="AX98" s="118">
        <f t="shared" si="28"/>
        <v>0</v>
      </c>
      <c r="AY98" s="119">
        <f t="shared" si="29"/>
        <v>0</v>
      </c>
      <c r="AZ98" s="118">
        <f t="shared" si="30"/>
        <v>0</v>
      </c>
      <c r="BA98" s="119">
        <f t="shared" si="31"/>
        <v>0</v>
      </c>
      <c r="BB98" s="120">
        <f t="shared" si="32"/>
        <v>0</v>
      </c>
      <c r="BC98" s="119">
        <f t="shared" si="33"/>
        <v>0</v>
      </c>
      <c r="BD98" s="34"/>
      <c r="BE98" s="118">
        <f t="shared" si="34"/>
        <v>0</v>
      </c>
      <c r="BF98" s="119">
        <f t="shared" si="35"/>
        <v>0</v>
      </c>
      <c r="BG98" s="118">
        <f t="shared" si="36"/>
        <v>0</v>
      </c>
      <c r="BH98" s="119">
        <f t="shared" si="37"/>
        <v>0</v>
      </c>
      <c r="BI98" s="120">
        <f t="shared" si="38"/>
        <v>0</v>
      </c>
      <c r="BJ98" s="119">
        <f t="shared" si="39"/>
        <v>0</v>
      </c>
      <c r="BK98" s="120">
        <f t="shared" si="40"/>
        <v>0</v>
      </c>
      <c r="BL98" s="119">
        <f t="shared" si="41"/>
        <v>0</v>
      </c>
      <c r="BM98" s="4"/>
      <c r="BN98" s="122">
        <v>0</v>
      </c>
      <c r="BO98" s="117"/>
      <c r="BP98" s="118">
        <v>0</v>
      </c>
      <c r="BQ98" s="119">
        <v>0</v>
      </c>
      <c r="BR98" s="120"/>
      <c r="BS98" s="118">
        <v>0</v>
      </c>
      <c r="BT98" s="119">
        <v>0</v>
      </c>
      <c r="BU98" s="118">
        <v>0</v>
      </c>
      <c r="BV98" s="119">
        <v>0</v>
      </c>
      <c r="BW98" s="118">
        <v>0</v>
      </c>
      <c r="BX98" s="119">
        <v>0</v>
      </c>
      <c r="BY98" s="118">
        <v>0</v>
      </c>
      <c r="BZ98" s="119">
        <v>0</v>
      </c>
      <c r="CA98" s="120"/>
      <c r="CB98" s="118">
        <v>0</v>
      </c>
      <c r="CC98" s="119">
        <v>0</v>
      </c>
      <c r="CD98" s="118">
        <v>0</v>
      </c>
      <c r="CE98" s="119">
        <v>0</v>
      </c>
      <c r="CF98" s="118">
        <v>0</v>
      </c>
      <c r="CG98" s="119">
        <v>0</v>
      </c>
      <c r="CH98" s="118">
        <v>0</v>
      </c>
      <c r="CI98" s="119">
        <v>0</v>
      </c>
      <c r="CJ98" s="4"/>
      <c r="CK98" s="79"/>
      <c r="CL98" s="5"/>
      <c r="CM98" s="39" t="str">
        <f t="shared" si="42"/>
        <v>-</v>
      </c>
      <c r="CN98" s="5"/>
      <c r="CO98" s="39" t="str">
        <f t="shared" si="43"/>
        <v>-</v>
      </c>
      <c r="CP98" s="39" t="str">
        <f t="shared" si="44"/>
        <v>-</v>
      </c>
      <c r="CQ98" s="39" t="str">
        <f t="shared" si="45"/>
        <v>-</v>
      </c>
      <c r="CR98" s="39" t="str">
        <f t="shared" si="45"/>
        <v>-</v>
      </c>
      <c r="CS98" s="5"/>
      <c r="CT98" s="39" t="str">
        <f t="shared" si="46"/>
        <v>-</v>
      </c>
      <c r="CU98" s="39" t="str">
        <f t="shared" si="47"/>
        <v>-</v>
      </c>
      <c r="CV98" s="39" t="str">
        <f t="shared" si="48"/>
        <v>-</v>
      </c>
      <c r="CW98" s="39" t="str">
        <f t="shared" si="49"/>
        <v>-</v>
      </c>
    </row>
    <row r="99" spans="2:101" s="4" customFormat="1" ht="12.75" customHeight="1">
      <c r="B99" s="102" t="s">
        <v>58</v>
      </c>
      <c r="C99" s="103" t="s">
        <v>277</v>
      </c>
      <c r="D99" s="104" t="e">
        <f>VLOOKUP($C99,#REF!,5,0)</f>
        <v>#REF!</v>
      </c>
      <c r="E99" s="109" t="e">
        <f>VLOOKUP($C99,#REF!,6,0)</f>
        <v>#REF!</v>
      </c>
      <c r="F99" s="103" t="e">
        <f>VLOOKUP($C99,#REF!,7,0)</f>
        <v>#REF!</v>
      </c>
      <c r="G99" s="103" t="e">
        <f>VLOOKUP($C99,#REF!,8,0)</f>
        <v>#REF!</v>
      </c>
      <c r="H99" s="110" t="e">
        <f>VLOOKUP($C99,#REF!,9,0)</f>
        <v>#REF!</v>
      </c>
      <c r="I99" s="5"/>
      <c r="J99" s="105" t="e">
        <f>VLOOKUP($C99,#REF!,10,0)</f>
        <v>#REF!</v>
      </c>
      <c r="K99" s="106" t="e">
        <f>VLOOKUP($C99,#REF!,11,0)</f>
        <v>#REF!</v>
      </c>
      <c r="L99" s="34"/>
      <c r="M99" s="105" t="e">
        <f>VLOOKUP($C99,#REF!,12,0)</f>
        <v>#REF!</v>
      </c>
      <c r="N99" s="34" t="e">
        <f>VLOOKUP($C99,#REF!,13,0)</f>
        <v>#REF!</v>
      </c>
      <c r="O99" s="105" t="e">
        <f>VLOOKUP($C99,#REF!,14,0)</f>
        <v>#REF!</v>
      </c>
      <c r="P99" s="34" t="e">
        <f>VLOOKUP($C99,#REF!,15,0)</f>
        <v>#REF!</v>
      </c>
      <c r="Q99" s="105" t="e">
        <f>VLOOKUP($C99,#REF!,16,0)</f>
        <v>#REF!</v>
      </c>
      <c r="R99" s="106" t="e">
        <f>VLOOKUP($C99,#REF!,17,0)</f>
        <v>#REF!</v>
      </c>
      <c r="S99" s="34" t="e">
        <f>VLOOKUP($C99,#REF!,18,0)</f>
        <v>#REF!</v>
      </c>
      <c r="T99" s="106" t="e">
        <f>VLOOKUP($C99,#REF!,19,0)</f>
        <v>#REF!</v>
      </c>
      <c r="U99" s="34"/>
      <c r="V99" s="105" t="e">
        <f>VLOOKUP($C99,#REF!,20,0)</f>
        <v>#REF!</v>
      </c>
      <c r="W99" s="34" t="e">
        <f>VLOOKUP($C99,#REF!,21,0)</f>
        <v>#REF!</v>
      </c>
      <c r="X99" s="105" t="e">
        <f>VLOOKUP($C99,#REF!,22,0)</f>
        <v>#REF!</v>
      </c>
      <c r="Y99" s="34" t="e">
        <f>VLOOKUP($C99,#REF!,23,0)</f>
        <v>#REF!</v>
      </c>
      <c r="Z99" s="105" t="e">
        <f>VLOOKUP($C99,#REF!,24,0)</f>
        <v>#REF!</v>
      </c>
      <c r="AA99" s="106" t="e">
        <f>VLOOKUP($C99,#REF!,25,0)</f>
        <v>#REF!</v>
      </c>
      <c r="AB99" s="34" t="e">
        <f>VLOOKUP($C99,#REF!,26,0)</f>
        <v>#REF!</v>
      </c>
      <c r="AC99" s="106" t="e">
        <f>VLOOKUP($C99,#REF!,27,0)</f>
        <v>#REF!</v>
      </c>
      <c r="AE99" s="105" t="e">
        <f t="shared" si="27"/>
        <v>#REF!</v>
      </c>
      <c r="AF99" s="107" t="s">
        <v>320</v>
      </c>
      <c r="AG99" s="107" t="s">
        <v>321</v>
      </c>
      <c r="AH99" s="106" t="s">
        <v>322</v>
      </c>
      <c r="AJ99" s="105" t="s">
        <v>323</v>
      </c>
      <c r="AK99" s="107" t="s">
        <v>324</v>
      </c>
      <c r="AL99" s="107" t="s">
        <v>325</v>
      </c>
      <c r="AM99" s="107" t="s">
        <v>326</v>
      </c>
      <c r="AN99" s="107" t="s">
        <v>326</v>
      </c>
      <c r="AO99" s="106" t="s">
        <v>320</v>
      </c>
      <c r="AQ99" s="108">
        <v>0</v>
      </c>
      <c r="AR99" s="5"/>
      <c r="AS99" s="105">
        <v>0</v>
      </c>
      <c r="AT99" s="106">
        <v>0</v>
      </c>
      <c r="AU99" s="34"/>
      <c r="AV99" s="105">
        <f t="shared" si="25"/>
        <v>0</v>
      </c>
      <c r="AW99" s="106">
        <f t="shared" si="26"/>
        <v>0</v>
      </c>
      <c r="AX99" s="105">
        <f t="shared" si="28"/>
        <v>0</v>
      </c>
      <c r="AY99" s="106">
        <f t="shared" si="29"/>
        <v>0</v>
      </c>
      <c r="AZ99" s="105">
        <f t="shared" si="30"/>
        <v>0</v>
      </c>
      <c r="BA99" s="106">
        <f t="shared" si="31"/>
        <v>0</v>
      </c>
      <c r="BB99" s="34">
        <f t="shared" si="32"/>
        <v>0</v>
      </c>
      <c r="BC99" s="106">
        <f t="shared" si="33"/>
        <v>0</v>
      </c>
      <c r="BD99" s="34"/>
      <c r="BE99" s="105">
        <f t="shared" si="34"/>
        <v>0</v>
      </c>
      <c r="BF99" s="106">
        <f t="shared" si="35"/>
        <v>0</v>
      </c>
      <c r="BG99" s="105">
        <f t="shared" si="36"/>
        <v>0</v>
      </c>
      <c r="BH99" s="106">
        <f t="shared" si="37"/>
        <v>0</v>
      </c>
      <c r="BI99" s="34">
        <f t="shared" si="38"/>
        <v>0</v>
      </c>
      <c r="BJ99" s="106">
        <f t="shared" si="39"/>
        <v>0</v>
      </c>
      <c r="BK99" s="34">
        <f t="shared" si="40"/>
        <v>0</v>
      </c>
      <c r="BL99" s="106">
        <f t="shared" si="41"/>
        <v>0</v>
      </c>
      <c r="BN99" s="108">
        <v>0</v>
      </c>
      <c r="BO99" s="5"/>
      <c r="BP99" s="105">
        <v>0</v>
      </c>
      <c r="BQ99" s="106">
        <v>0</v>
      </c>
      <c r="BR99" s="34"/>
      <c r="BS99" s="105">
        <v>0</v>
      </c>
      <c r="BT99" s="106">
        <v>0</v>
      </c>
      <c r="BU99" s="105">
        <v>0</v>
      </c>
      <c r="BV99" s="106">
        <v>0</v>
      </c>
      <c r="BW99" s="105">
        <v>0</v>
      </c>
      <c r="BX99" s="106">
        <v>0</v>
      </c>
      <c r="BY99" s="105">
        <v>0</v>
      </c>
      <c r="BZ99" s="106">
        <v>0</v>
      </c>
      <c r="CA99" s="34"/>
      <c r="CB99" s="105">
        <v>0</v>
      </c>
      <c r="CC99" s="106">
        <v>0</v>
      </c>
      <c r="CD99" s="105">
        <v>0</v>
      </c>
      <c r="CE99" s="106">
        <v>0</v>
      </c>
      <c r="CF99" s="105">
        <v>0</v>
      </c>
      <c r="CG99" s="106">
        <v>0</v>
      </c>
      <c r="CH99" s="105">
        <v>0</v>
      </c>
      <c r="CI99" s="106">
        <v>0</v>
      </c>
      <c r="CK99" s="78"/>
      <c r="CL99" s="5"/>
      <c r="CM99" s="38" t="str">
        <f t="shared" si="42"/>
        <v>-</v>
      </c>
      <c r="CN99" s="5"/>
      <c r="CO99" s="38" t="str">
        <f t="shared" si="43"/>
        <v>-</v>
      </c>
      <c r="CP99" s="38" t="str">
        <f t="shared" si="44"/>
        <v>-</v>
      </c>
      <c r="CQ99" s="38" t="str">
        <f t="shared" si="45"/>
        <v>-</v>
      </c>
      <c r="CR99" s="38" t="str">
        <f t="shared" si="45"/>
        <v>-</v>
      </c>
      <c r="CS99" s="5"/>
      <c r="CT99" s="38" t="str">
        <f t="shared" si="46"/>
        <v>-</v>
      </c>
      <c r="CU99" s="38" t="str">
        <f t="shared" si="47"/>
        <v>-</v>
      </c>
      <c r="CV99" s="38" t="str">
        <f t="shared" si="48"/>
        <v>-</v>
      </c>
      <c r="CW99" s="38" t="str">
        <f t="shared" si="49"/>
        <v>-</v>
      </c>
    </row>
    <row r="100" spans="2:101" s="113" customFormat="1" ht="12.75" customHeight="1">
      <c r="B100" s="99" t="s">
        <v>58</v>
      </c>
      <c r="C100" s="98" t="s">
        <v>278</v>
      </c>
      <c r="D100" s="114" t="e">
        <f>VLOOKUP($C100,#REF!,5,0)</f>
        <v>#REF!</v>
      </c>
      <c r="E100" s="115" t="e">
        <f>VLOOKUP($C100,#REF!,6,0)</f>
        <v>#REF!</v>
      </c>
      <c r="F100" s="98" t="e">
        <f>VLOOKUP($C100,#REF!,7,0)</f>
        <v>#REF!</v>
      </c>
      <c r="G100" s="98" t="e">
        <f>VLOOKUP($C100,#REF!,8,0)</f>
        <v>#REF!</v>
      </c>
      <c r="H100" s="116" t="e">
        <f>VLOOKUP($C100,#REF!,9,0)</f>
        <v>#REF!</v>
      </c>
      <c r="I100" s="5"/>
      <c r="J100" s="118" t="e">
        <f>VLOOKUP($C100,#REF!,10,0)</f>
        <v>#REF!</v>
      </c>
      <c r="K100" s="119" t="e">
        <f>VLOOKUP($C100,#REF!,11,0)</f>
        <v>#REF!</v>
      </c>
      <c r="L100" s="34"/>
      <c r="M100" s="118" t="e">
        <f>VLOOKUP($C100,#REF!,12,0)</f>
        <v>#REF!</v>
      </c>
      <c r="N100" s="120" t="e">
        <f>VLOOKUP($C100,#REF!,13,0)</f>
        <v>#REF!</v>
      </c>
      <c r="O100" s="118" t="e">
        <f>VLOOKUP($C100,#REF!,14,0)</f>
        <v>#REF!</v>
      </c>
      <c r="P100" s="120" t="e">
        <f>VLOOKUP($C100,#REF!,15,0)</f>
        <v>#REF!</v>
      </c>
      <c r="Q100" s="118" t="e">
        <f>VLOOKUP($C100,#REF!,16,0)</f>
        <v>#REF!</v>
      </c>
      <c r="R100" s="119" t="e">
        <f>VLOOKUP($C100,#REF!,17,0)</f>
        <v>#REF!</v>
      </c>
      <c r="S100" s="120" t="e">
        <f>VLOOKUP($C100,#REF!,18,0)</f>
        <v>#REF!</v>
      </c>
      <c r="T100" s="119" t="e">
        <f>VLOOKUP($C100,#REF!,19,0)</f>
        <v>#REF!</v>
      </c>
      <c r="U100" s="34"/>
      <c r="V100" s="118" t="e">
        <f>VLOOKUP($C100,#REF!,20,0)</f>
        <v>#REF!</v>
      </c>
      <c r="W100" s="120" t="e">
        <f>VLOOKUP($C100,#REF!,21,0)</f>
        <v>#REF!</v>
      </c>
      <c r="X100" s="118" t="e">
        <f>VLOOKUP($C100,#REF!,22,0)</f>
        <v>#REF!</v>
      </c>
      <c r="Y100" s="120" t="e">
        <f>VLOOKUP($C100,#REF!,23,0)</f>
        <v>#REF!</v>
      </c>
      <c r="Z100" s="118" t="e">
        <f>VLOOKUP($C100,#REF!,24,0)</f>
        <v>#REF!</v>
      </c>
      <c r="AA100" s="119" t="e">
        <f>VLOOKUP($C100,#REF!,25,0)</f>
        <v>#REF!</v>
      </c>
      <c r="AB100" s="120" t="e">
        <f>VLOOKUP($C100,#REF!,26,0)</f>
        <v>#REF!</v>
      </c>
      <c r="AC100" s="119" t="e">
        <f>VLOOKUP($C100,#REF!,27,0)</f>
        <v>#REF!</v>
      </c>
      <c r="AD100" s="4"/>
      <c r="AE100" s="118" t="e">
        <f t="shared" si="27"/>
        <v>#REF!</v>
      </c>
      <c r="AF100" s="121" t="s">
        <v>320</v>
      </c>
      <c r="AG100" s="121" t="s">
        <v>321</v>
      </c>
      <c r="AH100" s="119" t="s">
        <v>322</v>
      </c>
      <c r="AI100" s="4"/>
      <c r="AJ100" s="118" t="s">
        <v>323</v>
      </c>
      <c r="AK100" s="121" t="s">
        <v>324</v>
      </c>
      <c r="AL100" s="121" t="s">
        <v>325</v>
      </c>
      <c r="AM100" s="121" t="s">
        <v>326</v>
      </c>
      <c r="AN100" s="121" t="s">
        <v>326</v>
      </c>
      <c r="AO100" s="119" t="s">
        <v>320</v>
      </c>
      <c r="AP100" s="4"/>
      <c r="AQ100" s="122">
        <v>74</v>
      </c>
      <c r="AR100" s="5"/>
      <c r="AS100" s="118">
        <v>0</v>
      </c>
      <c r="AT100" s="119">
        <v>0</v>
      </c>
      <c r="AU100" s="34"/>
      <c r="AV100" s="118">
        <f t="shared" si="25"/>
        <v>0</v>
      </c>
      <c r="AW100" s="119">
        <f t="shared" si="26"/>
        <v>0</v>
      </c>
      <c r="AX100" s="118">
        <f t="shared" si="28"/>
        <v>0</v>
      </c>
      <c r="AY100" s="119">
        <f t="shared" si="29"/>
        <v>0</v>
      </c>
      <c r="AZ100" s="118">
        <f t="shared" si="30"/>
        <v>0</v>
      </c>
      <c r="BA100" s="119">
        <f t="shared" si="31"/>
        <v>0</v>
      </c>
      <c r="BB100" s="120">
        <f t="shared" si="32"/>
        <v>0</v>
      </c>
      <c r="BC100" s="119">
        <f t="shared" si="33"/>
        <v>0</v>
      </c>
      <c r="BD100" s="34"/>
      <c r="BE100" s="118">
        <f t="shared" si="34"/>
        <v>0</v>
      </c>
      <c r="BF100" s="119">
        <f t="shared" si="35"/>
        <v>0</v>
      </c>
      <c r="BG100" s="118">
        <f t="shared" si="36"/>
        <v>0</v>
      </c>
      <c r="BH100" s="119">
        <f t="shared" si="37"/>
        <v>0</v>
      </c>
      <c r="BI100" s="120">
        <f t="shared" si="38"/>
        <v>0</v>
      </c>
      <c r="BJ100" s="119">
        <f t="shared" si="39"/>
        <v>0</v>
      </c>
      <c r="BK100" s="120">
        <f t="shared" si="40"/>
        <v>0</v>
      </c>
      <c r="BL100" s="119">
        <f t="shared" si="41"/>
        <v>0</v>
      </c>
      <c r="BM100" s="4"/>
      <c r="BN100" s="122">
        <v>-8.2700000000000102</v>
      </c>
      <c r="BO100" s="117"/>
      <c r="BP100" s="118">
        <v>-8.2700000000000102</v>
      </c>
      <c r="BQ100" s="119">
        <v>0</v>
      </c>
      <c r="BR100" s="120"/>
      <c r="BS100" s="118">
        <v>0</v>
      </c>
      <c r="BT100" s="119">
        <v>0</v>
      </c>
      <c r="BU100" s="118">
        <v>0</v>
      </c>
      <c r="BV100" s="119">
        <v>0</v>
      </c>
      <c r="BW100" s="118">
        <v>0</v>
      </c>
      <c r="BX100" s="119">
        <v>0</v>
      </c>
      <c r="BY100" s="118">
        <v>0</v>
      </c>
      <c r="BZ100" s="119">
        <v>0</v>
      </c>
      <c r="CA100" s="120"/>
      <c r="CB100" s="118">
        <v>0</v>
      </c>
      <c r="CC100" s="119">
        <v>0</v>
      </c>
      <c r="CD100" s="118">
        <v>0</v>
      </c>
      <c r="CE100" s="119">
        <v>0</v>
      </c>
      <c r="CF100" s="118">
        <v>0</v>
      </c>
      <c r="CG100" s="119">
        <v>0</v>
      </c>
      <c r="CH100" s="118">
        <v>0</v>
      </c>
      <c r="CI100" s="119">
        <v>0</v>
      </c>
      <c r="CJ100" s="4"/>
      <c r="CK100" s="79"/>
      <c r="CL100" s="5"/>
      <c r="CM100" s="39" t="str">
        <f t="shared" si="42"/>
        <v>-</v>
      </c>
      <c r="CN100" s="5"/>
      <c r="CO100" s="39" t="str">
        <f t="shared" si="43"/>
        <v>-</v>
      </c>
      <c r="CP100" s="39" t="str">
        <f t="shared" si="44"/>
        <v>-</v>
      </c>
      <c r="CQ100" s="39" t="str">
        <f t="shared" si="45"/>
        <v>-</v>
      </c>
      <c r="CR100" s="39" t="str">
        <f t="shared" si="45"/>
        <v>-</v>
      </c>
      <c r="CS100" s="5"/>
      <c r="CT100" s="39" t="str">
        <f t="shared" si="46"/>
        <v>-</v>
      </c>
      <c r="CU100" s="39" t="str">
        <f t="shared" si="47"/>
        <v>-</v>
      </c>
      <c r="CV100" s="39" t="str">
        <f t="shared" si="48"/>
        <v>-</v>
      </c>
      <c r="CW100" s="39" t="str">
        <f t="shared" si="49"/>
        <v>-</v>
      </c>
    </row>
    <row r="101" spans="2:101" s="4" customFormat="1" ht="12.75" customHeight="1">
      <c r="B101" s="102" t="s">
        <v>58</v>
      </c>
      <c r="C101" s="103" t="s">
        <v>279</v>
      </c>
      <c r="D101" s="104" t="e">
        <f>VLOOKUP($C101,#REF!,5,0)</f>
        <v>#REF!</v>
      </c>
      <c r="E101" s="109" t="e">
        <f>VLOOKUP($C101,#REF!,6,0)</f>
        <v>#REF!</v>
      </c>
      <c r="F101" s="103" t="e">
        <f>VLOOKUP($C101,#REF!,7,0)</f>
        <v>#REF!</v>
      </c>
      <c r="G101" s="103" t="e">
        <f>VLOOKUP($C101,#REF!,8,0)</f>
        <v>#REF!</v>
      </c>
      <c r="H101" s="110" t="e">
        <f>VLOOKUP($C101,#REF!,9,0)</f>
        <v>#REF!</v>
      </c>
      <c r="I101" s="5"/>
      <c r="J101" s="105" t="e">
        <f>VLOOKUP($C101,#REF!,10,0)</f>
        <v>#REF!</v>
      </c>
      <c r="K101" s="106" t="e">
        <f>VLOOKUP($C101,#REF!,11,0)</f>
        <v>#REF!</v>
      </c>
      <c r="L101" s="34"/>
      <c r="M101" s="105" t="e">
        <f>VLOOKUP($C101,#REF!,12,0)</f>
        <v>#REF!</v>
      </c>
      <c r="N101" s="34" t="e">
        <f>VLOOKUP($C101,#REF!,13,0)</f>
        <v>#REF!</v>
      </c>
      <c r="O101" s="105" t="e">
        <f>VLOOKUP($C101,#REF!,14,0)</f>
        <v>#REF!</v>
      </c>
      <c r="P101" s="34" t="e">
        <f>VLOOKUP($C101,#REF!,15,0)</f>
        <v>#REF!</v>
      </c>
      <c r="Q101" s="105" t="e">
        <f>VLOOKUP($C101,#REF!,16,0)</f>
        <v>#REF!</v>
      </c>
      <c r="R101" s="106" t="e">
        <f>VLOOKUP($C101,#REF!,17,0)</f>
        <v>#REF!</v>
      </c>
      <c r="S101" s="34" t="e">
        <f>VLOOKUP($C101,#REF!,18,0)</f>
        <v>#REF!</v>
      </c>
      <c r="T101" s="106" t="e">
        <f>VLOOKUP($C101,#REF!,19,0)</f>
        <v>#REF!</v>
      </c>
      <c r="U101" s="34"/>
      <c r="V101" s="105" t="e">
        <f>VLOOKUP($C101,#REF!,20,0)</f>
        <v>#REF!</v>
      </c>
      <c r="W101" s="34" t="e">
        <f>VLOOKUP($C101,#REF!,21,0)</f>
        <v>#REF!</v>
      </c>
      <c r="X101" s="105" t="e">
        <f>VLOOKUP($C101,#REF!,22,0)</f>
        <v>#REF!</v>
      </c>
      <c r="Y101" s="34" t="e">
        <f>VLOOKUP($C101,#REF!,23,0)</f>
        <v>#REF!</v>
      </c>
      <c r="Z101" s="105" t="e">
        <f>VLOOKUP($C101,#REF!,24,0)</f>
        <v>#REF!</v>
      </c>
      <c r="AA101" s="106" t="e">
        <f>VLOOKUP($C101,#REF!,25,0)</f>
        <v>#REF!</v>
      </c>
      <c r="AB101" s="34" t="e">
        <f>VLOOKUP($C101,#REF!,26,0)</f>
        <v>#REF!</v>
      </c>
      <c r="AC101" s="106" t="e">
        <f>VLOOKUP($C101,#REF!,27,0)</f>
        <v>#REF!</v>
      </c>
      <c r="AE101" s="105" t="e">
        <f t="shared" si="27"/>
        <v>#REF!</v>
      </c>
      <c r="AF101" s="107" t="s">
        <v>320</v>
      </c>
      <c r="AG101" s="107" t="s">
        <v>321</v>
      </c>
      <c r="AH101" s="106" t="s">
        <v>322</v>
      </c>
      <c r="AJ101" s="105" t="s">
        <v>323</v>
      </c>
      <c r="AK101" s="107" t="s">
        <v>324</v>
      </c>
      <c r="AL101" s="107" t="s">
        <v>325</v>
      </c>
      <c r="AM101" s="107" t="s">
        <v>326</v>
      </c>
      <c r="AN101" s="107" t="s">
        <v>326</v>
      </c>
      <c r="AO101" s="106" t="s">
        <v>320</v>
      </c>
      <c r="AQ101" s="108">
        <v>28</v>
      </c>
      <c r="AR101" s="5"/>
      <c r="AS101" s="105">
        <v>0</v>
      </c>
      <c r="AT101" s="106">
        <v>0</v>
      </c>
      <c r="AU101" s="34"/>
      <c r="AV101" s="105">
        <f t="shared" si="25"/>
        <v>0</v>
      </c>
      <c r="AW101" s="106">
        <f t="shared" si="26"/>
        <v>0</v>
      </c>
      <c r="AX101" s="105">
        <f t="shared" si="28"/>
        <v>0</v>
      </c>
      <c r="AY101" s="106">
        <f t="shared" si="29"/>
        <v>0</v>
      </c>
      <c r="AZ101" s="105">
        <f t="shared" si="30"/>
        <v>0</v>
      </c>
      <c r="BA101" s="106">
        <f t="shared" si="31"/>
        <v>0</v>
      </c>
      <c r="BB101" s="34">
        <f t="shared" si="32"/>
        <v>0</v>
      </c>
      <c r="BC101" s="106">
        <f t="shared" si="33"/>
        <v>0</v>
      </c>
      <c r="BD101" s="34"/>
      <c r="BE101" s="105">
        <f t="shared" si="34"/>
        <v>0</v>
      </c>
      <c r="BF101" s="106">
        <f t="shared" si="35"/>
        <v>0</v>
      </c>
      <c r="BG101" s="105">
        <f t="shared" si="36"/>
        <v>0</v>
      </c>
      <c r="BH101" s="106">
        <f t="shared" si="37"/>
        <v>0</v>
      </c>
      <c r="BI101" s="34">
        <f t="shared" si="38"/>
        <v>0</v>
      </c>
      <c r="BJ101" s="106">
        <f t="shared" si="39"/>
        <v>0</v>
      </c>
      <c r="BK101" s="34">
        <f t="shared" si="40"/>
        <v>0</v>
      </c>
      <c r="BL101" s="106">
        <f t="shared" si="41"/>
        <v>0</v>
      </c>
      <c r="BN101" s="108">
        <v>-3.2999999999999972</v>
      </c>
      <c r="BO101" s="5"/>
      <c r="BP101" s="105">
        <v>-3.2999999999999972</v>
      </c>
      <c r="BQ101" s="106">
        <v>0</v>
      </c>
      <c r="BR101" s="34"/>
      <c r="BS101" s="105">
        <v>0</v>
      </c>
      <c r="BT101" s="106">
        <v>0</v>
      </c>
      <c r="BU101" s="105">
        <v>0</v>
      </c>
      <c r="BV101" s="106">
        <v>0</v>
      </c>
      <c r="BW101" s="105">
        <v>0</v>
      </c>
      <c r="BX101" s="106">
        <v>0</v>
      </c>
      <c r="BY101" s="105">
        <v>0</v>
      </c>
      <c r="BZ101" s="106">
        <v>0</v>
      </c>
      <c r="CA101" s="34"/>
      <c r="CB101" s="105">
        <v>0</v>
      </c>
      <c r="CC101" s="106">
        <v>0</v>
      </c>
      <c r="CD101" s="105">
        <v>0</v>
      </c>
      <c r="CE101" s="106">
        <v>0</v>
      </c>
      <c r="CF101" s="105">
        <v>0</v>
      </c>
      <c r="CG101" s="106">
        <v>0</v>
      </c>
      <c r="CH101" s="105">
        <v>0</v>
      </c>
      <c r="CI101" s="106">
        <v>0</v>
      </c>
      <c r="CK101" s="78"/>
      <c r="CL101" s="5"/>
      <c r="CM101" s="38" t="str">
        <f t="shared" si="42"/>
        <v>-</v>
      </c>
      <c r="CN101" s="5"/>
      <c r="CO101" s="38" t="str">
        <f t="shared" si="43"/>
        <v>-</v>
      </c>
      <c r="CP101" s="38" t="str">
        <f t="shared" si="44"/>
        <v>-</v>
      </c>
      <c r="CQ101" s="38" t="str">
        <f t="shared" si="45"/>
        <v>-</v>
      </c>
      <c r="CR101" s="38" t="str">
        <f t="shared" si="45"/>
        <v>-</v>
      </c>
      <c r="CS101" s="5"/>
      <c r="CT101" s="38" t="str">
        <f t="shared" si="46"/>
        <v>-</v>
      </c>
      <c r="CU101" s="38" t="str">
        <f t="shared" si="47"/>
        <v>-</v>
      </c>
      <c r="CV101" s="38" t="str">
        <f t="shared" si="48"/>
        <v>-</v>
      </c>
      <c r="CW101" s="38" t="str">
        <f t="shared" si="49"/>
        <v>-</v>
      </c>
    </row>
    <row r="102" spans="2:101" s="113" customFormat="1" ht="12.75" customHeight="1">
      <c r="B102" s="99" t="s">
        <v>58</v>
      </c>
      <c r="C102" s="98" t="s">
        <v>280</v>
      </c>
      <c r="D102" s="114" t="e">
        <f>VLOOKUP($C102,#REF!,5,0)</f>
        <v>#REF!</v>
      </c>
      <c r="E102" s="115" t="e">
        <f>VLOOKUP($C102,#REF!,6,0)</f>
        <v>#REF!</v>
      </c>
      <c r="F102" s="98" t="e">
        <f>VLOOKUP($C102,#REF!,7,0)</f>
        <v>#REF!</v>
      </c>
      <c r="G102" s="98" t="e">
        <f>VLOOKUP($C102,#REF!,8,0)</f>
        <v>#REF!</v>
      </c>
      <c r="H102" s="116" t="e">
        <f>VLOOKUP($C102,#REF!,9,0)</f>
        <v>#REF!</v>
      </c>
      <c r="I102" s="5"/>
      <c r="J102" s="118" t="e">
        <f>VLOOKUP($C102,#REF!,10,0)</f>
        <v>#REF!</v>
      </c>
      <c r="K102" s="119" t="e">
        <f>VLOOKUP($C102,#REF!,11,0)</f>
        <v>#REF!</v>
      </c>
      <c r="L102" s="34"/>
      <c r="M102" s="118" t="e">
        <f>VLOOKUP($C102,#REF!,12,0)</f>
        <v>#REF!</v>
      </c>
      <c r="N102" s="120" t="e">
        <f>VLOOKUP($C102,#REF!,13,0)</f>
        <v>#REF!</v>
      </c>
      <c r="O102" s="118" t="e">
        <f>VLOOKUP($C102,#REF!,14,0)</f>
        <v>#REF!</v>
      </c>
      <c r="P102" s="120" t="e">
        <f>VLOOKUP($C102,#REF!,15,0)</f>
        <v>#REF!</v>
      </c>
      <c r="Q102" s="118" t="e">
        <f>VLOOKUP($C102,#REF!,16,0)</f>
        <v>#REF!</v>
      </c>
      <c r="R102" s="119" t="e">
        <f>VLOOKUP($C102,#REF!,17,0)</f>
        <v>#REF!</v>
      </c>
      <c r="S102" s="120" t="e">
        <f>VLOOKUP($C102,#REF!,18,0)</f>
        <v>#REF!</v>
      </c>
      <c r="T102" s="119" t="e">
        <f>VLOOKUP($C102,#REF!,19,0)</f>
        <v>#REF!</v>
      </c>
      <c r="U102" s="34"/>
      <c r="V102" s="118" t="e">
        <f>VLOOKUP($C102,#REF!,20,0)</f>
        <v>#REF!</v>
      </c>
      <c r="W102" s="120" t="e">
        <f>VLOOKUP($C102,#REF!,21,0)</f>
        <v>#REF!</v>
      </c>
      <c r="X102" s="118" t="e">
        <f>VLOOKUP($C102,#REF!,22,0)</f>
        <v>#REF!</v>
      </c>
      <c r="Y102" s="120" t="e">
        <f>VLOOKUP($C102,#REF!,23,0)</f>
        <v>#REF!</v>
      </c>
      <c r="Z102" s="118" t="e">
        <f>VLOOKUP($C102,#REF!,24,0)</f>
        <v>#REF!</v>
      </c>
      <c r="AA102" s="119" t="e">
        <f>VLOOKUP($C102,#REF!,25,0)</f>
        <v>#REF!</v>
      </c>
      <c r="AB102" s="120" t="e">
        <f>VLOOKUP($C102,#REF!,26,0)</f>
        <v>#REF!</v>
      </c>
      <c r="AC102" s="119" t="e">
        <f>VLOOKUP($C102,#REF!,27,0)</f>
        <v>#REF!</v>
      </c>
      <c r="AD102" s="4"/>
      <c r="AE102" s="118" t="e">
        <f t="shared" si="27"/>
        <v>#REF!</v>
      </c>
      <c r="AF102" s="121" t="s">
        <v>320</v>
      </c>
      <c r="AG102" s="121" t="s">
        <v>321</v>
      </c>
      <c r="AH102" s="119" t="s">
        <v>322</v>
      </c>
      <c r="AI102" s="4"/>
      <c r="AJ102" s="118" t="s">
        <v>323</v>
      </c>
      <c r="AK102" s="121" t="s">
        <v>324</v>
      </c>
      <c r="AL102" s="121" t="s">
        <v>325</v>
      </c>
      <c r="AM102" s="121" t="s">
        <v>326</v>
      </c>
      <c r="AN102" s="121" t="s">
        <v>326</v>
      </c>
      <c r="AO102" s="119" t="s">
        <v>320</v>
      </c>
      <c r="AP102" s="4"/>
      <c r="AQ102" s="122">
        <v>26</v>
      </c>
      <c r="AR102" s="5"/>
      <c r="AS102" s="118">
        <v>0</v>
      </c>
      <c r="AT102" s="119">
        <v>0</v>
      </c>
      <c r="AU102" s="34"/>
      <c r="AV102" s="118">
        <f t="shared" si="25"/>
        <v>0</v>
      </c>
      <c r="AW102" s="119">
        <f t="shared" si="26"/>
        <v>0</v>
      </c>
      <c r="AX102" s="118">
        <f t="shared" si="28"/>
        <v>0</v>
      </c>
      <c r="AY102" s="119">
        <f t="shared" si="29"/>
        <v>0</v>
      </c>
      <c r="AZ102" s="118">
        <f t="shared" si="30"/>
        <v>0</v>
      </c>
      <c r="BA102" s="119">
        <f t="shared" si="31"/>
        <v>0</v>
      </c>
      <c r="BB102" s="120">
        <f t="shared" si="32"/>
        <v>0</v>
      </c>
      <c r="BC102" s="119">
        <f t="shared" si="33"/>
        <v>0</v>
      </c>
      <c r="BD102" s="34"/>
      <c r="BE102" s="118">
        <f t="shared" si="34"/>
        <v>0</v>
      </c>
      <c r="BF102" s="119">
        <f t="shared" si="35"/>
        <v>0</v>
      </c>
      <c r="BG102" s="118">
        <f t="shared" si="36"/>
        <v>0</v>
      </c>
      <c r="BH102" s="119">
        <f t="shared" si="37"/>
        <v>0</v>
      </c>
      <c r="BI102" s="120">
        <f t="shared" si="38"/>
        <v>0</v>
      </c>
      <c r="BJ102" s="119">
        <f t="shared" si="39"/>
        <v>0</v>
      </c>
      <c r="BK102" s="120">
        <f t="shared" si="40"/>
        <v>0</v>
      </c>
      <c r="BL102" s="119">
        <f t="shared" si="41"/>
        <v>0</v>
      </c>
      <c r="BM102" s="4"/>
      <c r="BN102" s="122">
        <v>0</v>
      </c>
      <c r="BO102" s="117"/>
      <c r="BP102" s="118">
        <v>0</v>
      </c>
      <c r="BQ102" s="119">
        <v>0</v>
      </c>
      <c r="BR102" s="120"/>
      <c r="BS102" s="118">
        <v>0</v>
      </c>
      <c r="BT102" s="119">
        <v>0</v>
      </c>
      <c r="BU102" s="118">
        <v>0</v>
      </c>
      <c r="BV102" s="119">
        <v>0</v>
      </c>
      <c r="BW102" s="118">
        <v>0</v>
      </c>
      <c r="BX102" s="119">
        <v>0</v>
      </c>
      <c r="BY102" s="118">
        <v>0</v>
      </c>
      <c r="BZ102" s="119">
        <v>0</v>
      </c>
      <c r="CA102" s="120"/>
      <c r="CB102" s="118">
        <v>0</v>
      </c>
      <c r="CC102" s="119">
        <v>0</v>
      </c>
      <c r="CD102" s="118">
        <v>0</v>
      </c>
      <c r="CE102" s="119">
        <v>0</v>
      </c>
      <c r="CF102" s="118">
        <v>0</v>
      </c>
      <c r="CG102" s="119">
        <v>0</v>
      </c>
      <c r="CH102" s="118">
        <v>0</v>
      </c>
      <c r="CI102" s="119">
        <v>0</v>
      </c>
      <c r="CJ102" s="4"/>
      <c r="CK102" s="79"/>
      <c r="CL102" s="5"/>
      <c r="CM102" s="39" t="str">
        <f t="shared" si="42"/>
        <v>-</v>
      </c>
      <c r="CN102" s="5"/>
      <c r="CO102" s="39" t="str">
        <f t="shared" si="43"/>
        <v>-</v>
      </c>
      <c r="CP102" s="39" t="str">
        <f t="shared" si="44"/>
        <v>-</v>
      </c>
      <c r="CQ102" s="39" t="str">
        <f t="shared" si="45"/>
        <v>-</v>
      </c>
      <c r="CR102" s="39" t="str">
        <f t="shared" si="45"/>
        <v>-</v>
      </c>
      <c r="CS102" s="5"/>
      <c r="CT102" s="39" t="str">
        <f t="shared" si="46"/>
        <v>-</v>
      </c>
      <c r="CU102" s="39" t="str">
        <f t="shared" si="47"/>
        <v>-</v>
      </c>
      <c r="CV102" s="39" t="str">
        <f t="shared" si="48"/>
        <v>-</v>
      </c>
      <c r="CW102" s="39" t="str">
        <f t="shared" si="49"/>
        <v>-</v>
      </c>
    </row>
    <row r="103" spans="2:101" s="4" customFormat="1" ht="12.75" customHeight="1">
      <c r="B103" s="102" t="s">
        <v>58</v>
      </c>
      <c r="C103" s="103" t="s">
        <v>281</v>
      </c>
      <c r="D103" s="104" t="e">
        <f>VLOOKUP($C103,#REF!,5,0)</f>
        <v>#REF!</v>
      </c>
      <c r="E103" s="109" t="e">
        <f>VLOOKUP($C103,#REF!,6,0)</f>
        <v>#REF!</v>
      </c>
      <c r="F103" s="103" t="e">
        <f>VLOOKUP($C103,#REF!,7,0)</f>
        <v>#REF!</v>
      </c>
      <c r="G103" s="103" t="e">
        <f>VLOOKUP($C103,#REF!,8,0)</f>
        <v>#REF!</v>
      </c>
      <c r="H103" s="110" t="e">
        <f>VLOOKUP($C103,#REF!,9,0)</f>
        <v>#REF!</v>
      </c>
      <c r="I103" s="5"/>
      <c r="J103" s="105" t="e">
        <f>VLOOKUP($C103,#REF!,10,0)</f>
        <v>#REF!</v>
      </c>
      <c r="K103" s="106" t="e">
        <f>VLOOKUP($C103,#REF!,11,0)</f>
        <v>#REF!</v>
      </c>
      <c r="L103" s="34"/>
      <c r="M103" s="105" t="e">
        <f>VLOOKUP($C103,#REF!,12,0)</f>
        <v>#REF!</v>
      </c>
      <c r="N103" s="34" t="e">
        <f>VLOOKUP($C103,#REF!,13,0)</f>
        <v>#REF!</v>
      </c>
      <c r="O103" s="105" t="e">
        <f>VLOOKUP($C103,#REF!,14,0)</f>
        <v>#REF!</v>
      </c>
      <c r="P103" s="34" t="e">
        <f>VLOOKUP($C103,#REF!,15,0)</f>
        <v>#REF!</v>
      </c>
      <c r="Q103" s="105" t="e">
        <f>VLOOKUP($C103,#REF!,16,0)</f>
        <v>#REF!</v>
      </c>
      <c r="R103" s="106" t="e">
        <f>VLOOKUP($C103,#REF!,17,0)</f>
        <v>#REF!</v>
      </c>
      <c r="S103" s="34" t="e">
        <f>VLOOKUP($C103,#REF!,18,0)</f>
        <v>#REF!</v>
      </c>
      <c r="T103" s="106" t="e">
        <f>VLOOKUP($C103,#REF!,19,0)</f>
        <v>#REF!</v>
      </c>
      <c r="U103" s="34"/>
      <c r="V103" s="105" t="e">
        <f>VLOOKUP($C103,#REF!,20,0)</f>
        <v>#REF!</v>
      </c>
      <c r="W103" s="34" t="e">
        <f>VLOOKUP($C103,#REF!,21,0)</f>
        <v>#REF!</v>
      </c>
      <c r="X103" s="105" t="e">
        <f>VLOOKUP($C103,#REF!,22,0)</f>
        <v>#REF!</v>
      </c>
      <c r="Y103" s="34" t="e">
        <f>VLOOKUP($C103,#REF!,23,0)</f>
        <v>#REF!</v>
      </c>
      <c r="Z103" s="105" t="e">
        <f>VLOOKUP($C103,#REF!,24,0)</f>
        <v>#REF!</v>
      </c>
      <c r="AA103" s="106" t="e">
        <f>VLOOKUP($C103,#REF!,25,0)</f>
        <v>#REF!</v>
      </c>
      <c r="AB103" s="34" t="e">
        <f>VLOOKUP($C103,#REF!,26,0)</f>
        <v>#REF!</v>
      </c>
      <c r="AC103" s="106" t="e">
        <f>VLOOKUP($C103,#REF!,27,0)</f>
        <v>#REF!</v>
      </c>
      <c r="AE103" s="105" t="e">
        <f t="shared" si="27"/>
        <v>#REF!</v>
      </c>
      <c r="AF103" s="107" t="s">
        <v>320</v>
      </c>
      <c r="AG103" s="107" t="s">
        <v>321</v>
      </c>
      <c r="AH103" s="106" t="s">
        <v>322</v>
      </c>
      <c r="AJ103" s="105" t="s">
        <v>323</v>
      </c>
      <c r="AK103" s="107" t="s">
        <v>324</v>
      </c>
      <c r="AL103" s="107" t="s">
        <v>325</v>
      </c>
      <c r="AM103" s="107" t="s">
        <v>326</v>
      </c>
      <c r="AN103" s="107" t="s">
        <v>326</v>
      </c>
      <c r="AO103" s="106" t="s">
        <v>320</v>
      </c>
      <c r="AQ103" s="108">
        <v>29</v>
      </c>
      <c r="AR103" s="5"/>
      <c r="AS103" s="105">
        <v>0</v>
      </c>
      <c r="AT103" s="106">
        <v>0</v>
      </c>
      <c r="AU103" s="34"/>
      <c r="AV103" s="105">
        <f t="shared" si="25"/>
        <v>0</v>
      </c>
      <c r="AW103" s="106">
        <f t="shared" si="26"/>
        <v>0</v>
      </c>
      <c r="AX103" s="105">
        <f t="shared" si="28"/>
        <v>0</v>
      </c>
      <c r="AY103" s="106">
        <f t="shared" si="29"/>
        <v>0</v>
      </c>
      <c r="AZ103" s="105">
        <f t="shared" si="30"/>
        <v>0</v>
      </c>
      <c r="BA103" s="106">
        <f t="shared" si="31"/>
        <v>0</v>
      </c>
      <c r="BB103" s="34">
        <f t="shared" si="32"/>
        <v>0</v>
      </c>
      <c r="BC103" s="106">
        <f t="shared" si="33"/>
        <v>0</v>
      </c>
      <c r="BD103" s="34"/>
      <c r="BE103" s="105">
        <f t="shared" si="34"/>
        <v>0</v>
      </c>
      <c r="BF103" s="106">
        <f t="shared" si="35"/>
        <v>0</v>
      </c>
      <c r="BG103" s="105">
        <f t="shared" si="36"/>
        <v>0</v>
      </c>
      <c r="BH103" s="106">
        <f t="shared" si="37"/>
        <v>0</v>
      </c>
      <c r="BI103" s="34">
        <f t="shared" si="38"/>
        <v>0</v>
      </c>
      <c r="BJ103" s="106">
        <f t="shared" si="39"/>
        <v>0</v>
      </c>
      <c r="BK103" s="34">
        <f t="shared" si="40"/>
        <v>0</v>
      </c>
      <c r="BL103" s="106">
        <f t="shared" si="41"/>
        <v>0</v>
      </c>
      <c r="BN103" s="108">
        <v>-3.3099999999999739</v>
      </c>
      <c r="BO103" s="5"/>
      <c r="BP103" s="105">
        <v>-3.3099999999999739</v>
      </c>
      <c r="BQ103" s="106">
        <v>0</v>
      </c>
      <c r="BR103" s="34"/>
      <c r="BS103" s="105">
        <v>0</v>
      </c>
      <c r="BT103" s="106">
        <v>0</v>
      </c>
      <c r="BU103" s="105">
        <v>0</v>
      </c>
      <c r="BV103" s="106">
        <v>0</v>
      </c>
      <c r="BW103" s="105">
        <v>0</v>
      </c>
      <c r="BX103" s="106">
        <v>0</v>
      </c>
      <c r="BY103" s="105">
        <v>0</v>
      </c>
      <c r="BZ103" s="106">
        <v>0</v>
      </c>
      <c r="CA103" s="34"/>
      <c r="CB103" s="105">
        <v>0</v>
      </c>
      <c r="CC103" s="106">
        <v>0</v>
      </c>
      <c r="CD103" s="105">
        <v>0</v>
      </c>
      <c r="CE103" s="106">
        <v>0</v>
      </c>
      <c r="CF103" s="105">
        <v>0</v>
      </c>
      <c r="CG103" s="106">
        <v>0</v>
      </c>
      <c r="CH103" s="105">
        <v>0</v>
      </c>
      <c r="CI103" s="106">
        <v>0</v>
      </c>
      <c r="CK103" s="78"/>
      <c r="CL103" s="5"/>
      <c r="CM103" s="38" t="str">
        <f t="shared" si="42"/>
        <v>-</v>
      </c>
      <c r="CN103" s="5"/>
      <c r="CO103" s="38" t="str">
        <f t="shared" si="43"/>
        <v>-</v>
      </c>
      <c r="CP103" s="38" t="str">
        <f t="shared" si="44"/>
        <v>-</v>
      </c>
      <c r="CQ103" s="38" t="str">
        <f t="shared" si="45"/>
        <v>-</v>
      </c>
      <c r="CR103" s="38" t="str">
        <f t="shared" si="45"/>
        <v>-</v>
      </c>
      <c r="CS103" s="5"/>
      <c r="CT103" s="38" t="str">
        <f t="shared" si="46"/>
        <v>-</v>
      </c>
      <c r="CU103" s="38" t="str">
        <f t="shared" si="47"/>
        <v>-</v>
      </c>
      <c r="CV103" s="38" t="str">
        <f t="shared" si="48"/>
        <v>-</v>
      </c>
      <c r="CW103" s="38" t="str">
        <f t="shared" si="49"/>
        <v>-</v>
      </c>
    </row>
    <row r="104" spans="2:101" s="113" customFormat="1" ht="12.75" customHeight="1">
      <c r="B104" s="99" t="s">
        <v>58</v>
      </c>
      <c r="C104" s="98" t="s">
        <v>282</v>
      </c>
      <c r="D104" s="114" t="e">
        <f>VLOOKUP($C104,#REF!,5,0)</f>
        <v>#REF!</v>
      </c>
      <c r="E104" s="115" t="e">
        <f>VLOOKUP($C104,#REF!,6,0)</f>
        <v>#REF!</v>
      </c>
      <c r="F104" s="98" t="e">
        <f>VLOOKUP($C104,#REF!,7,0)</f>
        <v>#REF!</v>
      </c>
      <c r="G104" s="98" t="e">
        <f>VLOOKUP($C104,#REF!,8,0)</f>
        <v>#REF!</v>
      </c>
      <c r="H104" s="116" t="e">
        <f>VLOOKUP($C104,#REF!,9,0)</f>
        <v>#REF!</v>
      </c>
      <c r="I104" s="5"/>
      <c r="J104" s="118" t="e">
        <f>VLOOKUP($C104,#REF!,10,0)</f>
        <v>#REF!</v>
      </c>
      <c r="K104" s="119" t="e">
        <f>VLOOKUP($C104,#REF!,11,0)</f>
        <v>#REF!</v>
      </c>
      <c r="L104" s="34"/>
      <c r="M104" s="118" t="e">
        <f>VLOOKUP($C104,#REF!,12,0)</f>
        <v>#REF!</v>
      </c>
      <c r="N104" s="120" t="e">
        <f>VLOOKUP($C104,#REF!,13,0)</f>
        <v>#REF!</v>
      </c>
      <c r="O104" s="118" t="e">
        <f>VLOOKUP($C104,#REF!,14,0)</f>
        <v>#REF!</v>
      </c>
      <c r="P104" s="120" t="e">
        <f>VLOOKUP($C104,#REF!,15,0)</f>
        <v>#REF!</v>
      </c>
      <c r="Q104" s="118" t="e">
        <f>VLOOKUP($C104,#REF!,16,0)</f>
        <v>#REF!</v>
      </c>
      <c r="R104" s="119" t="e">
        <f>VLOOKUP($C104,#REF!,17,0)</f>
        <v>#REF!</v>
      </c>
      <c r="S104" s="120" t="e">
        <f>VLOOKUP($C104,#REF!,18,0)</f>
        <v>#REF!</v>
      </c>
      <c r="T104" s="119" t="e">
        <f>VLOOKUP($C104,#REF!,19,0)</f>
        <v>#REF!</v>
      </c>
      <c r="U104" s="34"/>
      <c r="V104" s="118" t="e">
        <f>VLOOKUP($C104,#REF!,20,0)</f>
        <v>#REF!</v>
      </c>
      <c r="W104" s="120" t="e">
        <f>VLOOKUP($C104,#REF!,21,0)</f>
        <v>#REF!</v>
      </c>
      <c r="X104" s="118" t="e">
        <f>VLOOKUP($C104,#REF!,22,0)</f>
        <v>#REF!</v>
      </c>
      <c r="Y104" s="120" t="e">
        <f>VLOOKUP($C104,#REF!,23,0)</f>
        <v>#REF!</v>
      </c>
      <c r="Z104" s="118" t="e">
        <f>VLOOKUP($C104,#REF!,24,0)</f>
        <v>#REF!</v>
      </c>
      <c r="AA104" s="119" t="e">
        <f>VLOOKUP($C104,#REF!,25,0)</f>
        <v>#REF!</v>
      </c>
      <c r="AB104" s="120" t="e">
        <f>VLOOKUP($C104,#REF!,26,0)</f>
        <v>#REF!</v>
      </c>
      <c r="AC104" s="119" t="e">
        <f>VLOOKUP($C104,#REF!,27,0)</f>
        <v>#REF!</v>
      </c>
      <c r="AD104" s="4"/>
      <c r="AE104" s="118" t="e">
        <f t="shared" si="27"/>
        <v>#REF!</v>
      </c>
      <c r="AF104" s="121" t="s">
        <v>320</v>
      </c>
      <c r="AG104" s="121" t="s">
        <v>321</v>
      </c>
      <c r="AH104" s="119" t="s">
        <v>322</v>
      </c>
      <c r="AI104" s="4"/>
      <c r="AJ104" s="118" t="s">
        <v>323</v>
      </c>
      <c r="AK104" s="121" t="s">
        <v>324</v>
      </c>
      <c r="AL104" s="121" t="s">
        <v>325</v>
      </c>
      <c r="AM104" s="121" t="s">
        <v>326</v>
      </c>
      <c r="AN104" s="121" t="s">
        <v>326</v>
      </c>
      <c r="AO104" s="119" t="s">
        <v>320</v>
      </c>
      <c r="AP104" s="4"/>
      <c r="AQ104" s="122">
        <v>49</v>
      </c>
      <c r="AR104" s="5"/>
      <c r="AS104" s="118">
        <v>0</v>
      </c>
      <c r="AT104" s="119">
        <v>0</v>
      </c>
      <c r="AU104" s="34"/>
      <c r="AV104" s="118">
        <f t="shared" si="25"/>
        <v>0</v>
      </c>
      <c r="AW104" s="119">
        <f t="shared" si="26"/>
        <v>0</v>
      </c>
      <c r="AX104" s="118">
        <f t="shared" si="28"/>
        <v>0</v>
      </c>
      <c r="AY104" s="119">
        <f t="shared" si="29"/>
        <v>0</v>
      </c>
      <c r="AZ104" s="118">
        <f t="shared" si="30"/>
        <v>0</v>
      </c>
      <c r="BA104" s="119">
        <f t="shared" si="31"/>
        <v>0</v>
      </c>
      <c r="BB104" s="120">
        <f t="shared" si="32"/>
        <v>0</v>
      </c>
      <c r="BC104" s="119">
        <f t="shared" si="33"/>
        <v>0</v>
      </c>
      <c r="BD104" s="34"/>
      <c r="BE104" s="118">
        <f t="shared" si="34"/>
        <v>0</v>
      </c>
      <c r="BF104" s="119">
        <f t="shared" si="35"/>
        <v>0</v>
      </c>
      <c r="BG104" s="118">
        <f t="shared" si="36"/>
        <v>0</v>
      </c>
      <c r="BH104" s="119">
        <f t="shared" si="37"/>
        <v>0</v>
      </c>
      <c r="BI104" s="120">
        <f t="shared" si="38"/>
        <v>0</v>
      </c>
      <c r="BJ104" s="119">
        <f t="shared" si="39"/>
        <v>0</v>
      </c>
      <c r="BK104" s="120">
        <f t="shared" si="40"/>
        <v>0</v>
      </c>
      <c r="BL104" s="119">
        <f t="shared" si="41"/>
        <v>0</v>
      </c>
      <c r="BM104" s="4"/>
      <c r="BN104" s="122">
        <v>-16.53</v>
      </c>
      <c r="BO104" s="117"/>
      <c r="BP104" s="118">
        <v>-16.53</v>
      </c>
      <c r="BQ104" s="119">
        <v>0</v>
      </c>
      <c r="BR104" s="120"/>
      <c r="BS104" s="118">
        <v>0</v>
      </c>
      <c r="BT104" s="119">
        <v>0</v>
      </c>
      <c r="BU104" s="118">
        <v>0</v>
      </c>
      <c r="BV104" s="119">
        <v>0</v>
      </c>
      <c r="BW104" s="118">
        <v>0</v>
      </c>
      <c r="BX104" s="119">
        <v>0</v>
      </c>
      <c r="BY104" s="118">
        <v>0</v>
      </c>
      <c r="BZ104" s="119">
        <v>0</v>
      </c>
      <c r="CA104" s="120"/>
      <c r="CB104" s="118">
        <v>0</v>
      </c>
      <c r="CC104" s="119">
        <v>0</v>
      </c>
      <c r="CD104" s="118">
        <v>0</v>
      </c>
      <c r="CE104" s="119">
        <v>0</v>
      </c>
      <c r="CF104" s="118">
        <v>0</v>
      </c>
      <c r="CG104" s="119">
        <v>0</v>
      </c>
      <c r="CH104" s="118">
        <v>0</v>
      </c>
      <c r="CI104" s="119">
        <v>0</v>
      </c>
      <c r="CJ104" s="4"/>
      <c r="CK104" s="79"/>
      <c r="CL104" s="5"/>
      <c r="CM104" s="39" t="str">
        <f t="shared" si="42"/>
        <v>-</v>
      </c>
      <c r="CN104" s="5"/>
      <c r="CO104" s="39" t="str">
        <f t="shared" si="43"/>
        <v>-</v>
      </c>
      <c r="CP104" s="39" t="str">
        <f t="shared" si="44"/>
        <v>-</v>
      </c>
      <c r="CQ104" s="39" t="str">
        <f t="shared" si="45"/>
        <v>-</v>
      </c>
      <c r="CR104" s="39" t="str">
        <f t="shared" si="45"/>
        <v>-</v>
      </c>
      <c r="CS104" s="5"/>
      <c r="CT104" s="39" t="str">
        <f t="shared" si="46"/>
        <v>-</v>
      </c>
      <c r="CU104" s="39" t="str">
        <f t="shared" si="47"/>
        <v>-</v>
      </c>
      <c r="CV104" s="39" t="str">
        <f t="shared" si="48"/>
        <v>-</v>
      </c>
      <c r="CW104" s="39" t="str">
        <f t="shared" si="49"/>
        <v>-</v>
      </c>
    </row>
    <row r="105" spans="2:101" s="4" customFormat="1" ht="12.75" customHeight="1">
      <c r="B105" s="102" t="s">
        <v>58</v>
      </c>
      <c r="C105" s="103" t="s">
        <v>283</v>
      </c>
      <c r="D105" s="104" t="e">
        <f>VLOOKUP($C105,#REF!,5,0)</f>
        <v>#REF!</v>
      </c>
      <c r="E105" s="109" t="e">
        <f>VLOOKUP($C105,#REF!,6,0)</f>
        <v>#REF!</v>
      </c>
      <c r="F105" s="103" t="e">
        <f>VLOOKUP($C105,#REF!,7,0)</f>
        <v>#REF!</v>
      </c>
      <c r="G105" s="103" t="e">
        <f>VLOOKUP($C105,#REF!,8,0)</f>
        <v>#REF!</v>
      </c>
      <c r="H105" s="110" t="e">
        <f>VLOOKUP($C105,#REF!,9,0)</f>
        <v>#REF!</v>
      </c>
      <c r="I105" s="5"/>
      <c r="J105" s="105" t="e">
        <f>VLOOKUP($C105,#REF!,10,0)</f>
        <v>#REF!</v>
      </c>
      <c r="K105" s="106" t="e">
        <f>VLOOKUP($C105,#REF!,11,0)</f>
        <v>#REF!</v>
      </c>
      <c r="L105" s="34"/>
      <c r="M105" s="105" t="e">
        <f>VLOOKUP($C105,#REF!,12,0)</f>
        <v>#REF!</v>
      </c>
      <c r="N105" s="34" t="e">
        <f>VLOOKUP($C105,#REF!,13,0)</f>
        <v>#REF!</v>
      </c>
      <c r="O105" s="105" t="e">
        <f>VLOOKUP($C105,#REF!,14,0)</f>
        <v>#REF!</v>
      </c>
      <c r="P105" s="34" t="e">
        <f>VLOOKUP($C105,#REF!,15,0)</f>
        <v>#REF!</v>
      </c>
      <c r="Q105" s="105" t="e">
        <f>VLOOKUP($C105,#REF!,16,0)</f>
        <v>#REF!</v>
      </c>
      <c r="R105" s="106" t="e">
        <f>VLOOKUP($C105,#REF!,17,0)</f>
        <v>#REF!</v>
      </c>
      <c r="S105" s="34" t="e">
        <f>VLOOKUP($C105,#REF!,18,0)</f>
        <v>#REF!</v>
      </c>
      <c r="T105" s="106" t="e">
        <f>VLOOKUP($C105,#REF!,19,0)</f>
        <v>#REF!</v>
      </c>
      <c r="U105" s="34"/>
      <c r="V105" s="105" t="e">
        <f>VLOOKUP($C105,#REF!,20,0)</f>
        <v>#REF!</v>
      </c>
      <c r="W105" s="34" t="e">
        <f>VLOOKUP($C105,#REF!,21,0)</f>
        <v>#REF!</v>
      </c>
      <c r="X105" s="105" t="e">
        <f>VLOOKUP($C105,#REF!,22,0)</f>
        <v>#REF!</v>
      </c>
      <c r="Y105" s="34" t="e">
        <f>VLOOKUP($C105,#REF!,23,0)</f>
        <v>#REF!</v>
      </c>
      <c r="Z105" s="105" t="e">
        <f>VLOOKUP($C105,#REF!,24,0)</f>
        <v>#REF!</v>
      </c>
      <c r="AA105" s="106" t="e">
        <f>VLOOKUP($C105,#REF!,25,0)</f>
        <v>#REF!</v>
      </c>
      <c r="AB105" s="34" t="e">
        <f>VLOOKUP($C105,#REF!,26,0)</f>
        <v>#REF!</v>
      </c>
      <c r="AC105" s="106" t="e">
        <f>VLOOKUP($C105,#REF!,27,0)</f>
        <v>#REF!</v>
      </c>
      <c r="AE105" s="105" t="e">
        <f t="shared" si="27"/>
        <v>#REF!</v>
      </c>
      <c r="AF105" s="107" t="s">
        <v>320</v>
      </c>
      <c r="AG105" s="107" t="s">
        <v>321</v>
      </c>
      <c r="AH105" s="106" t="s">
        <v>322</v>
      </c>
      <c r="AJ105" s="105" t="s">
        <v>323</v>
      </c>
      <c r="AK105" s="107" t="s">
        <v>324</v>
      </c>
      <c r="AL105" s="107" t="s">
        <v>325</v>
      </c>
      <c r="AM105" s="107" t="s">
        <v>326</v>
      </c>
      <c r="AN105" s="107" t="s">
        <v>326</v>
      </c>
      <c r="AO105" s="106" t="s">
        <v>320</v>
      </c>
      <c r="AQ105" s="108">
        <v>17</v>
      </c>
      <c r="AR105" s="5"/>
      <c r="AS105" s="105">
        <v>0</v>
      </c>
      <c r="AT105" s="106">
        <v>0</v>
      </c>
      <c r="AU105" s="34"/>
      <c r="AV105" s="105">
        <f t="shared" si="25"/>
        <v>0</v>
      </c>
      <c r="AW105" s="106">
        <f t="shared" si="26"/>
        <v>0</v>
      </c>
      <c r="AX105" s="105">
        <f t="shared" si="28"/>
        <v>0</v>
      </c>
      <c r="AY105" s="106">
        <f t="shared" si="29"/>
        <v>0</v>
      </c>
      <c r="AZ105" s="105">
        <f t="shared" si="30"/>
        <v>0</v>
      </c>
      <c r="BA105" s="106">
        <f t="shared" si="31"/>
        <v>0</v>
      </c>
      <c r="BB105" s="34">
        <f t="shared" si="32"/>
        <v>0</v>
      </c>
      <c r="BC105" s="106">
        <f t="shared" si="33"/>
        <v>0</v>
      </c>
      <c r="BD105" s="34"/>
      <c r="BE105" s="105">
        <f t="shared" si="34"/>
        <v>0</v>
      </c>
      <c r="BF105" s="106">
        <f t="shared" si="35"/>
        <v>0</v>
      </c>
      <c r="BG105" s="105">
        <f t="shared" si="36"/>
        <v>0</v>
      </c>
      <c r="BH105" s="106">
        <f t="shared" si="37"/>
        <v>0</v>
      </c>
      <c r="BI105" s="34">
        <f t="shared" si="38"/>
        <v>0</v>
      </c>
      <c r="BJ105" s="106">
        <f t="shared" si="39"/>
        <v>0</v>
      </c>
      <c r="BK105" s="34">
        <f t="shared" si="40"/>
        <v>0</v>
      </c>
      <c r="BL105" s="106">
        <f t="shared" si="41"/>
        <v>0</v>
      </c>
      <c r="BN105" s="108">
        <v>0</v>
      </c>
      <c r="BO105" s="5"/>
      <c r="BP105" s="105">
        <v>0</v>
      </c>
      <c r="BQ105" s="106">
        <v>0</v>
      </c>
      <c r="BR105" s="34"/>
      <c r="BS105" s="105">
        <v>0</v>
      </c>
      <c r="BT105" s="106">
        <v>0</v>
      </c>
      <c r="BU105" s="105">
        <v>0</v>
      </c>
      <c r="BV105" s="106">
        <v>0</v>
      </c>
      <c r="BW105" s="105">
        <v>0</v>
      </c>
      <c r="BX105" s="106">
        <v>0</v>
      </c>
      <c r="BY105" s="105">
        <v>0</v>
      </c>
      <c r="BZ105" s="106">
        <v>0</v>
      </c>
      <c r="CA105" s="34"/>
      <c r="CB105" s="105">
        <v>0</v>
      </c>
      <c r="CC105" s="106">
        <v>0</v>
      </c>
      <c r="CD105" s="105">
        <v>0</v>
      </c>
      <c r="CE105" s="106">
        <v>0</v>
      </c>
      <c r="CF105" s="105">
        <v>0</v>
      </c>
      <c r="CG105" s="106">
        <v>0</v>
      </c>
      <c r="CH105" s="105">
        <v>0</v>
      </c>
      <c r="CI105" s="106">
        <v>0</v>
      </c>
      <c r="CK105" s="78"/>
      <c r="CL105" s="5"/>
      <c r="CM105" s="38" t="str">
        <f t="shared" si="42"/>
        <v>-</v>
      </c>
      <c r="CN105" s="5"/>
      <c r="CO105" s="38" t="str">
        <f t="shared" si="43"/>
        <v>-</v>
      </c>
      <c r="CP105" s="38" t="str">
        <f t="shared" si="44"/>
        <v>-</v>
      </c>
      <c r="CQ105" s="38" t="str">
        <f t="shared" si="45"/>
        <v>-</v>
      </c>
      <c r="CR105" s="38" t="str">
        <f t="shared" si="45"/>
        <v>-</v>
      </c>
      <c r="CS105" s="5"/>
      <c r="CT105" s="38" t="str">
        <f t="shared" si="46"/>
        <v>-</v>
      </c>
      <c r="CU105" s="38" t="str">
        <f t="shared" si="47"/>
        <v>-</v>
      </c>
      <c r="CV105" s="38" t="str">
        <f t="shared" si="48"/>
        <v>-</v>
      </c>
      <c r="CW105" s="38" t="str">
        <f t="shared" si="49"/>
        <v>-</v>
      </c>
    </row>
    <row r="106" spans="2:101" s="113" customFormat="1" ht="12.75" customHeight="1">
      <c r="B106" s="99" t="s">
        <v>58</v>
      </c>
      <c r="C106" s="98" t="s">
        <v>284</v>
      </c>
      <c r="D106" s="114" t="e">
        <f>VLOOKUP($C106,#REF!,5,0)</f>
        <v>#REF!</v>
      </c>
      <c r="E106" s="115" t="e">
        <f>VLOOKUP($C106,#REF!,6,0)</f>
        <v>#REF!</v>
      </c>
      <c r="F106" s="98" t="e">
        <f>VLOOKUP($C106,#REF!,7,0)</f>
        <v>#REF!</v>
      </c>
      <c r="G106" s="98" t="e">
        <f>VLOOKUP($C106,#REF!,8,0)</f>
        <v>#REF!</v>
      </c>
      <c r="H106" s="116" t="e">
        <f>VLOOKUP($C106,#REF!,9,0)</f>
        <v>#REF!</v>
      </c>
      <c r="I106" s="5"/>
      <c r="J106" s="118" t="e">
        <f>VLOOKUP($C106,#REF!,10,0)</f>
        <v>#REF!</v>
      </c>
      <c r="K106" s="119" t="e">
        <f>VLOOKUP($C106,#REF!,11,0)</f>
        <v>#REF!</v>
      </c>
      <c r="L106" s="34"/>
      <c r="M106" s="118" t="e">
        <f>VLOOKUP($C106,#REF!,12,0)</f>
        <v>#REF!</v>
      </c>
      <c r="N106" s="120" t="e">
        <f>VLOOKUP($C106,#REF!,13,0)</f>
        <v>#REF!</v>
      </c>
      <c r="O106" s="118" t="e">
        <f>VLOOKUP($C106,#REF!,14,0)</f>
        <v>#REF!</v>
      </c>
      <c r="P106" s="120" t="e">
        <f>VLOOKUP($C106,#REF!,15,0)</f>
        <v>#REF!</v>
      </c>
      <c r="Q106" s="118" t="e">
        <f>VLOOKUP($C106,#REF!,16,0)</f>
        <v>#REF!</v>
      </c>
      <c r="R106" s="119" t="e">
        <f>VLOOKUP($C106,#REF!,17,0)</f>
        <v>#REF!</v>
      </c>
      <c r="S106" s="120" t="e">
        <f>VLOOKUP($C106,#REF!,18,0)</f>
        <v>#REF!</v>
      </c>
      <c r="T106" s="119" t="e">
        <f>VLOOKUP($C106,#REF!,19,0)</f>
        <v>#REF!</v>
      </c>
      <c r="U106" s="34"/>
      <c r="V106" s="118" t="e">
        <f>VLOOKUP($C106,#REF!,20,0)</f>
        <v>#REF!</v>
      </c>
      <c r="W106" s="120" t="e">
        <f>VLOOKUP($C106,#REF!,21,0)</f>
        <v>#REF!</v>
      </c>
      <c r="X106" s="118" t="e">
        <f>VLOOKUP($C106,#REF!,22,0)</f>
        <v>#REF!</v>
      </c>
      <c r="Y106" s="120" t="e">
        <f>VLOOKUP($C106,#REF!,23,0)</f>
        <v>#REF!</v>
      </c>
      <c r="Z106" s="118" t="e">
        <f>VLOOKUP($C106,#REF!,24,0)</f>
        <v>#REF!</v>
      </c>
      <c r="AA106" s="119" t="e">
        <f>VLOOKUP($C106,#REF!,25,0)</f>
        <v>#REF!</v>
      </c>
      <c r="AB106" s="120" t="e">
        <f>VLOOKUP($C106,#REF!,26,0)</f>
        <v>#REF!</v>
      </c>
      <c r="AC106" s="119" t="e">
        <f>VLOOKUP($C106,#REF!,27,0)</f>
        <v>#REF!</v>
      </c>
      <c r="AD106" s="4"/>
      <c r="AE106" s="118" t="e">
        <f t="shared" si="27"/>
        <v>#REF!</v>
      </c>
      <c r="AF106" s="121" t="s">
        <v>320</v>
      </c>
      <c r="AG106" s="121" t="s">
        <v>321</v>
      </c>
      <c r="AH106" s="119" t="s">
        <v>322</v>
      </c>
      <c r="AI106" s="4"/>
      <c r="AJ106" s="118" t="s">
        <v>323</v>
      </c>
      <c r="AK106" s="121" t="s">
        <v>324</v>
      </c>
      <c r="AL106" s="121" t="s">
        <v>325</v>
      </c>
      <c r="AM106" s="121" t="s">
        <v>326</v>
      </c>
      <c r="AN106" s="121" t="s">
        <v>326</v>
      </c>
      <c r="AO106" s="119" t="s">
        <v>320</v>
      </c>
      <c r="AP106" s="4"/>
      <c r="AQ106" s="122">
        <v>17</v>
      </c>
      <c r="AR106" s="5"/>
      <c r="AS106" s="118">
        <v>0</v>
      </c>
      <c r="AT106" s="119">
        <v>0</v>
      </c>
      <c r="AU106" s="34"/>
      <c r="AV106" s="118">
        <f t="shared" si="25"/>
        <v>0</v>
      </c>
      <c r="AW106" s="119">
        <f t="shared" si="26"/>
        <v>0</v>
      </c>
      <c r="AX106" s="118">
        <f t="shared" si="28"/>
        <v>0</v>
      </c>
      <c r="AY106" s="119">
        <f t="shared" si="29"/>
        <v>0</v>
      </c>
      <c r="AZ106" s="118">
        <f t="shared" si="30"/>
        <v>0</v>
      </c>
      <c r="BA106" s="119">
        <f t="shared" si="31"/>
        <v>0</v>
      </c>
      <c r="BB106" s="120">
        <f t="shared" si="32"/>
        <v>0</v>
      </c>
      <c r="BC106" s="119">
        <f t="shared" si="33"/>
        <v>0</v>
      </c>
      <c r="BD106" s="34"/>
      <c r="BE106" s="118">
        <f t="shared" si="34"/>
        <v>0</v>
      </c>
      <c r="BF106" s="119">
        <f t="shared" si="35"/>
        <v>0</v>
      </c>
      <c r="BG106" s="118">
        <f t="shared" si="36"/>
        <v>0</v>
      </c>
      <c r="BH106" s="119">
        <f t="shared" si="37"/>
        <v>0</v>
      </c>
      <c r="BI106" s="120">
        <f t="shared" si="38"/>
        <v>0</v>
      </c>
      <c r="BJ106" s="119">
        <f t="shared" si="39"/>
        <v>0</v>
      </c>
      <c r="BK106" s="120">
        <f t="shared" si="40"/>
        <v>0</v>
      </c>
      <c r="BL106" s="119">
        <f t="shared" si="41"/>
        <v>0</v>
      </c>
      <c r="BM106" s="4"/>
      <c r="BN106" s="122">
        <v>0</v>
      </c>
      <c r="BO106" s="117"/>
      <c r="BP106" s="118">
        <v>0</v>
      </c>
      <c r="BQ106" s="119">
        <v>0</v>
      </c>
      <c r="BR106" s="120"/>
      <c r="BS106" s="118">
        <v>0</v>
      </c>
      <c r="BT106" s="119">
        <v>0</v>
      </c>
      <c r="BU106" s="118">
        <v>0</v>
      </c>
      <c r="BV106" s="119">
        <v>0</v>
      </c>
      <c r="BW106" s="118">
        <v>0</v>
      </c>
      <c r="BX106" s="119">
        <v>0</v>
      </c>
      <c r="BY106" s="118">
        <v>0</v>
      </c>
      <c r="BZ106" s="119">
        <v>0</v>
      </c>
      <c r="CA106" s="120"/>
      <c r="CB106" s="118">
        <v>0</v>
      </c>
      <c r="CC106" s="119">
        <v>0</v>
      </c>
      <c r="CD106" s="118">
        <v>0</v>
      </c>
      <c r="CE106" s="119">
        <v>0</v>
      </c>
      <c r="CF106" s="118">
        <v>0</v>
      </c>
      <c r="CG106" s="119">
        <v>0</v>
      </c>
      <c r="CH106" s="118">
        <v>0</v>
      </c>
      <c r="CI106" s="119">
        <v>0</v>
      </c>
      <c r="CJ106" s="4"/>
      <c r="CK106" s="79"/>
      <c r="CL106" s="5"/>
      <c r="CM106" s="39" t="str">
        <f t="shared" si="42"/>
        <v>-</v>
      </c>
      <c r="CN106" s="5"/>
      <c r="CO106" s="39" t="str">
        <f t="shared" si="43"/>
        <v>-</v>
      </c>
      <c r="CP106" s="39" t="str">
        <f t="shared" si="44"/>
        <v>-</v>
      </c>
      <c r="CQ106" s="39" t="str">
        <f t="shared" si="45"/>
        <v>-</v>
      </c>
      <c r="CR106" s="39" t="str">
        <f t="shared" si="45"/>
        <v>-</v>
      </c>
      <c r="CS106" s="5"/>
      <c r="CT106" s="39" t="str">
        <f t="shared" si="46"/>
        <v>-</v>
      </c>
      <c r="CU106" s="39" t="str">
        <f t="shared" si="47"/>
        <v>-</v>
      </c>
      <c r="CV106" s="39" t="str">
        <f t="shared" si="48"/>
        <v>-</v>
      </c>
      <c r="CW106" s="39" t="str">
        <f t="shared" si="49"/>
        <v>-</v>
      </c>
    </row>
    <row r="107" spans="2:101" s="4" customFormat="1" ht="12.75" customHeight="1">
      <c r="B107" s="102" t="s">
        <v>58</v>
      </c>
      <c r="C107" s="103" t="s">
        <v>285</v>
      </c>
      <c r="D107" s="104" t="e">
        <f>VLOOKUP($C107,#REF!,5,0)</f>
        <v>#REF!</v>
      </c>
      <c r="E107" s="109" t="e">
        <f>VLOOKUP($C107,#REF!,6,0)</f>
        <v>#REF!</v>
      </c>
      <c r="F107" s="103" t="e">
        <f>VLOOKUP($C107,#REF!,7,0)</f>
        <v>#REF!</v>
      </c>
      <c r="G107" s="103" t="e">
        <f>VLOOKUP($C107,#REF!,8,0)</f>
        <v>#REF!</v>
      </c>
      <c r="H107" s="110" t="e">
        <f>VLOOKUP($C107,#REF!,9,0)</f>
        <v>#REF!</v>
      </c>
      <c r="I107" s="5"/>
      <c r="J107" s="105" t="e">
        <f>VLOOKUP($C107,#REF!,10,0)</f>
        <v>#REF!</v>
      </c>
      <c r="K107" s="106" t="e">
        <f>VLOOKUP($C107,#REF!,11,0)</f>
        <v>#REF!</v>
      </c>
      <c r="L107" s="34"/>
      <c r="M107" s="105" t="e">
        <f>VLOOKUP($C107,#REF!,12,0)</f>
        <v>#REF!</v>
      </c>
      <c r="N107" s="34" t="e">
        <f>VLOOKUP($C107,#REF!,13,0)</f>
        <v>#REF!</v>
      </c>
      <c r="O107" s="105" t="e">
        <f>VLOOKUP($C107,#REF!,14,0)</f>
        <v>#REF!</v>
      </c>
      <c r="P107" s="34" t="e">
        <f>VLOOKUP($C107,#REF!,15,0)</f>
        <v>#REF!</v>
      </c>
      <c r="Q107" s="105" t="e">
        <f>VLOOKUP($C107,#REF!,16,0)</f>
        <v>#REF!</v>
      </c>
      <c r="R107" s="106" t="e">
        <f>VLOOKUP($C107,#REF!,17,0)</f>
        <v>#REF!</v>
      </c>
      <c r="S107" s="34" t="e">
        <f>VLOOKUP($C107,#REF!,18,0)</f>
        <v>#REF!</v>
      </c>
      <c r="T107" s="106" t="e">
        <f>VLOOKUP($C107,#REF!,19,0)</f>
        <v>#REF!</v>
      </c>
      <c r="U107" s="34"/>
      <c r="V107" s="105" t="e">
        <f>VLOOKUP($C107,#REF!,20,0)</f>
        <v>#REF!</v>
      </c>
      <c r="W107" s="34" t="e">
        <f>VLOOKUP($C107,#REF!,21,0)</f>
        <v>#REF!</v>
      </c>
      <c r="X107" s="105" t="e">
        <f>VLOOKUP($C107,#REF!,22,0)</f>
        <v>#REF!</v>
      </c>
      <c r="Y107" s="34" t="e">
        <f>VLOOKUP($C107,#REF!,23,0)</f>
        <v>#REF!</v>
      </c>
      <c r="Z107" s="105" t="e">
        <f>VLOOKUP($C107,#REF!,24,0)</f>
        <v>#REF!</v>
      </c>
      <c r="AA107" s="106" t="e">
        <f>VLOOKUP($C107,#REF!,25,0)</f>
        <v>#REF!</v>
      </c>
      <c r="AB107" s="34" t="e">
        <f>VLOOKUP($C107,#REF!,26,0)</f>
        <v>#REF!</v>
      </c>
      <c r="AC107" s="106" t="e">
        <f>VLOOKUP($C107,#REF!,27,0)</f>
        <v>#REF!</v>
      </c>
      <c r="AE107" s="105" t="e">
        <f t="shared" si="27"/>
        <v>#REF!</v>
      </c>
      <c r="AF107" s="107" t="s">
        <v>320</v>
      </c>
      <c r="AG107" s="107" t="s">
        <v>321</v>
      </c>
      <c r="AH107" s="106" t="s">
        <v>322</v>
      </c>
      <c r="AJ107" s="105" t="s">
        <v>323</v>
      </c>
      <c r="AK107" s="107" t="s">
        <v>324</v>
      </c>
      <c r="AL107" s="107" t="s">
        <v>325</v>
      </c>
      <c r="AM107" s="107" t="s">
        <v>326</v>
      </c>
      <c r="AN107" s="107" t="s">
        <v>326</v>
      </c>
      <c r="AO107" s="106" t="s">
        <v>320</v>
      </c>
      <c r="AQ107" s="108">
        <v>50</v>
      </c>
      <c r="AR107" s="5"/>
      <c r="AS107" s="105">
        <v>0</v>
      </c>
      <c r="AT107" s="106">
        <v>0</v>
      </c>
      <c r="AU107" s="34"/>
      <c r="AV107" s="105">
        <f t="shared" si="25"/>
        <v>0</v>
      </c>
      <c r="AW107" s="106">
        <f t="shared" si="26"/>
        <v>0</v>
      </c>
      <c r="AX107" s="105">
        <f t="shared" si="28"/>
        <v>0</v>
      </c>
      <c r="AY107" s="106">
        <f t="shared" si="29"/>
        <v>0</v>
      </c>
      <c r="AZ107" s="105">
        <f t="shared" si="30"/>
        <v>0</v>
      </c>
      <c r="BA107" s="106">
        <f t="shared" si="31"/>
        <v>0</v>
      </c>
      <c r="BB107" s="34">
        <f t="shared" si="32"/>
        <v>0</v>
      </c>
      <c r="BC107" s="106">
        <f t="shared" si="33"/>
        <v>0</v>
      </c>
      <c r="BD107" s="34"/>
      <c r="BE107" s="105">
        <f t="shared" si="34"/>
        <v>0</v>
      </c>
      <c r="BF107" s="106">
        <f t="shared" si="35"/>
        <v>0</v>
      </c>
      <c r="BG107" s="105">
        <f t="shared" si="36"/>
        <v>0</v>
      </c>
      <c r="BH107" s="106">
        <f t="shared" si="37"/>
        <v>0</v>
      </c>
      <c r="BI107" s="34">
        <f t="shared" si="38"/>
        <v>0</v>
      </c>
      <c r="BJ107" s="106">
        <f t="shared" si="39"/>
        <v>0</v>
      </c>
      <c r="BK107" s="34">
        <f t="shared" si="40"/>
        <v>0</v>
      </c>
      <c r="BL107" s="106">
        <f t="shared" si="41"/>
        <v>0</v>
      </c>
      <c r="BN107" s="108">
        <v>0</v>
      </c>
      <c r="BO107" s="5"/>
      <c r="BP107" s="105">
        <v>0</v>
      </c>
      <c r="BQ107" s="106">
        <v>0</v>
      </c>
      <c r="BR107" s="34"/>
      <c r="BS107" s="105">
        <v>0</v>
      </c>
      <c r="BT107" s="106">
        <v>0</v>
      </c>
      <c r="BU107" s="105">
        <v>0</v>
      </c>
      <c r="BV107" s="106">
        <v>0</v>
      </c>
      <c r="BW107" s="105">
        <v>0</v>
      </c>
      <c r="BX107" s="106">
        <v>0</v>
      </c>
      <c r="BY107" s="105">
        <v>0</v>
      </c>
      <c r="BZ107" s="106">
        <v>0</v>
      </c>
      <c r="CA107" s="34"/>
      <c r="CB107" s="105">
        <v>0</v>
      </c>
      <c r="CC107" s="106">
        <v>0</v>
      </c>
      <c r="CD107" s="105">
        <v>0</v>
      </c>
      <c r="CE107" s="106">
        <v>0</v>
      </c>
      <c r="CF107" s="105">
        <v>0</v>
      </c>
      <c r="CG107" s="106">
        <v>0</v>
      </c>
      <c r="CH107" s="105">
        <v>0</v>
      </c>
      <c r="CI107" s="106">
        <v>0</v>
      </c>
      <c r="CK107" s="78"/>
      <c r="CL107" s="5"/>
      <c r="CM107" s="38" t="str">
        <f t="shared" si="42"/>
        <v>-</v>
      </c>
      <c r="CN107" s="5"/>
      <c r="CO107" s="38" t="str">
        <f t="shared" si="43"/>
        <v>-</v>
      </c>
      <c r="CP107" s="38" t="str">
        <f t="shared" si="44"/>
        <v>-</v>
      </c>
      <c r="CQ107" s="38" t="str">
        <f t="shared" si="45"/>
        <v>-</v>
      </c>
      <c r="CR107" s="38" t="str">
        <f t="shared" si="45"/>
        <v>-</v>
      </c>
      <c r="CS107" s="5"/>
      <c r="CT107" s="38" t="str">
        <f t="shared" si="46"/>
        <v>-</v>
      </c>
      <c r="CU107" s="38" t="str">
        <f t="shared" si="47"/>
        <v>-</v>
      </c>
      <c r="CV107" s="38" t="str">
        <f t="shared" si="48"/>
        <v>-</v>
      </c>
      <c r="CW107" s="38" t="str">
        <f t="shared" si="49"/>
        <v>-</v>
      </c>
    </row>
    <row r="108" spans="2:101" s="113" customFormat="1" ht="12.75" customHeight="1">
      <c r="B108" s="99" t="s">
        <v>225</v>
      </c>
      <c r="C108" s="98" t="s">
        <v>241</v>
      </c>
      <c r="D108" s="114" t="e">
        <f>VLOOKUP($C108,#REF!,5,0)</f>
        <v>#REF!</v>
      </c>
      <c r="E108" s="115" t="e">
        <f>VLOOKUP($C108,#REF!,6,0)</f>
        <v>#REF!</v>
      </c>
      <c r="F108" s="98" t="e">
        <f>VLOOKUP($C108,#REF!,7,0)</f>
        <v>#REF!</v>
      </c>
      <c r="G108" s="98" t="e">
        <f>VLOOKUP($C108,#REF!,8,0)</f>
        <v>#REF!</v>
      </c>
      <c r="H108" s="116" t="e">
        <f>VLOOKUP($C108,#REF!,9,0)</f>
        <v>#REF!</v>
      </c>
      <c r="I108" s="5"/>
      <c r="J108" s="118" t="e">
        <f>VLOOKUP($C108,#REF!,10,0)</f>
        <v>#REF!</v>
      </c>
      <c r="K108" s="119" t="e">
        <f>VLOOKUP($C108,#REF!,11,0)</f>
        <v>#REF!</v>
      </c>
      <c r="L108" s="34"/>
      <c r="M108" s="118" t="e">
        <f>VLOOKUP($C108,#REF!,12,0)</f>
        <v>#REF!</v>
      </c>
      <c r="N108" s="120" t="e">
        <f>VLOOKUP($C108,#REF!,13,0)</f>
        <v>#REF!</v>
      </c>
      <c r="O108" s="118" t="e">
        <f>VLOOKUP($C108,#REF!,14,0)</f>
        <v>#REF!</v>
      </c>
      <c r="P108" s="120" t="e">
        <f>VLOOKUP($C108,#REF!,15,0)</f>
        <v>#REF!</v>
      </c>
      <c r="Q108" s="118" t="e">
        <f>VLOOKUP($C108,#REF!,16,0)</f>
        <v>#REF!</v>
      </c>
      <c r="R108" s="119" t="e">
        <f>VLOOKUP($C108,#REF!,17,0)</f>
        <v>#REF!</v>
      </c>
      <c r="S108" s="120" t="e">
        <f>VLOOKUP($C108,#REF!,18,0)</f>
        <v>#REF!</v>
      </c>
      <c r="T108" s="119" t="e">
        <f>VLOOKUP($C108,#REF!,19,0)</f>
        <v>#REF!</v>
      </c>
      <c r="U108" s="34"/>
      <c r="V108" s="118" t="e">
        <f>VLOOKUP($C108,#REF!,20,0)</f>
        <v>#REF!</v>
      </c>
      <c r="W108" s="120" t="e">
        <f>VLOOKUP($C108,#REF!,21,0)</f>
        <v>#REF!</v>
      </c>
      <c r="X108" s="118" t="e">
        <f>VLOOKUP($C108,#REF!,22,0)</f>
        <v>#REF!</v>
      </c>
      <c r="Y108" s="120" t="e">
        <f>VLOOKUP($C108,#REF!,23,0)</f>
        <v>#REF!</v>
      </c>
      <c r="Z108" s="118" t="e">
        <f>VLOOKUP($C108,#REF!,24,0)</f>
        <v>#REF!</v>
      </c>
      <c r="AA108" s="119" t="e">
        <f>VLOOKUP($C108,#REF!,25,0)</f>
        <v>#REF!</v>
      </c>
      <c r="AB108" s="120" t="e">
        <f>VLOOKUP($C108,#REF!,26,0)</f>
        <v>#REF!</v>
      </c>
      <c r="AC108" s="119" t="e">
        <f>VLOOKUP($C108,#REF!,27,0)</f>
        <v>#REF!</v>
      </c>
      <c r="AD108" s="4"/>
      <c r="AE108" s="118" t="e">
        <f t="shared" si="27"/>
        <v>#REF!</v>
      </c>
      <c r="AF108" s="121" t="s">
        <v>320</v>
      </c>
      <c r="AG108" s="121" t="s">
        <v>321</v>
      </c>
      <c r="AH108" s="119" t="s">
        <v>322</v>
      </c>
      <c r="AI108" s="4"/>
      <c r="AJ108" s="118" t="s">
        <v>323</v>
      </c>
      <c r="AK108" s="121" t="s">
        <v>324</v>
      </c>
      <c r="AL108" s="121" t="s">
        <v>325</v>
      </c>
      <c r="AM108" s="121" t="s">
        <v>326</v>
      </c>
      <c r="AN108" s="121" t="s">
        <v>326</v>
      </c>
      <c r="AO108" s="119" t="s">
        <v>320</v>
      </c>
      <c r="AP108" s="4"/>
      <c r="AQ108" s="122">
        <v>17</v>
      </c>
      <c r="AR108" s="5"/>
      <c r="AS108" s="118">
        <v>0</v>
      </c>
      <c r="AT108" s="119">
        <v>0</v>
      </c>
      <c r="AU108" s="34"/>
      <c r="AV108" s="118">
        <f t="shared" si="25"/>
        <v>0</v>
      </c>
      <c r="AW108" s="119">
        <f t="shared" si="26"/>
        <v>0</v>
      </c>
      <c r="AX108" s="118">
        <f t="shared" si="28"/>
        <v>0</v>
      </c>
      <c r="AY108" s="119">
        <f t="shared" si="29"/>
        <v>0</v>
      </c>
      <c r="AZ108" s="118">
        <f t="shared" si="30"/>
        <v>0</v>
      </c>
      <c r="BA108" s="119">
        <f t="shared" si="31"/>
        <v>0</v>
      </c>
      <c r="BB108" s="120">
        <f t="shared" si="32"/>
        <v>0</v>
      </c>
      <c r="BC108" s="119">
        <f t="shared" si="33"/>
        <v>0</v>
      </c>
      <c r="BD108" s="34"/>
      <c r="BE108" s="118">
        <f t="shared" si="34"/>
        <v>0</v>
      </c>
      <c r="BF108" s="119">
        <f t="shared" si="35"/>
        <v>0</v>
      </c>
      <c r="BG108" s="118">
        <f t="shared" si="36"/>
        <v>0</v>
      </c>
      <c r="BH108" s="119">
        <f t="shared" si="37"/>
        <v>0</v>
      </c>
      <c r="BI108" s="120">
        <f t="shared" si="38"/>
        <v>0</v>
      </c>
      <c r="BJ108" s="119">
        <f t="shared" si="39"/>
        <v>0</v>
      </c>
      <c r="BK108" s="120">
        <f t="shared" si="40"/>
        <v>0</v>
      </c>
      <c r="BL108" s="119">
        <f t="shared" si="41"/>
        <v>0</v>
      </c>
      <c r="BM108" s="4"/>
      <c r="BN108" s="122">
        <v>0</v>
      </c>
      <c r="BO108" s="117"/>
      <c r="BP108" s="118">
        <v>0</v>
      </c>
      <c r="BQ108" s="119">
        <v>0</v>
      </c>
      <c r="BR108" s="120"/>
      <c r="BS108" s="118">
        <v>0</v>
      </c>
      <c r="BT108" s="119">
        <v>0</v>
      </c>
      <c r="BU108" s="118">
        <v>0</v>
      </c>
      <c r="BV108" s="119">
        <v>0</v>
      </c>
      <c r="BW108" s="118">
        <v>0</v>
      </c>
      <c r="BX108" s="119">
        <v>0</v>
      </c>
      <c r="BY108" s="118">
        <v>0</v>
      </c>
      <c r="BZ108" s="119">
        <v>0</v>
      </c>
      <c r="CA108" s="120"/>
      <c r="CB108" s="118">
        <v>0</v>
      </c>
      <c r="CC108" s="119">
        <v>0</v>
      </c>
      <c r="CD108" s="118">
        <v>0</v>
      </c>
      <c r="CE108" s="119">
        <v>0</v>
      </c>
      <c r="CF108" s="118">
        <v>0</v>
      </c>
      <c r="CG108" s="119">
        <v>0</v>
      </c>
      <c r="CH108" s="118">
        <v>0</v>
      </c>
      <c r="CI108" s="119">
        <v>0</v>
      </c>
      <c r="CJ108" s="4"/>
      <c r="CK108" s="79"/>
      <c r="CL108" s="5"/>
      <c r="CM108" s="39" t="str">
        <f t="shared" si="42"/>
        <v>-</v>
      </c>
      <c r="CN108" s="5"/>
      <c r="CO108" s="39" t="str">
        <f t="shared" si="43"/>
        <v>-</v>
      </c>
      <c r="CP108" s="39" t="str">
        <f t="shared" si="44"/>
        <v>-</v>
      </c>
      <c r="CQ108" s="39" t="str">
        <f t="shared" si="45"/>
        <v>-</v>
      </c>
      <c r="CR108" s="39" t="str">
        <f t="shared" si="45"/>
        <v>-</v>
      </c>
      <c r="CS108" s="5"/>
      <c r="CT108" s="39" t="str">
        <f t="shared" si="46"/>
        <v>-</v>
      </c>
      <c r="CU108" s="39" t="str">
        <f t="shared" si="47"/>
        <v>-</v>
      </c>
      <c r="CV108" s="39" t="str">
        <f t="shared" si="48"/>
        <v>-</v>
      </c>
      <c r="CW108" s="39" t="str">
        <f t="shared" si="49"/>
        <v>-</v>
      </c>
    </row>
    <row r="109" spans="2:101" s="4" customFormat="1" ht="12.75" customHeight="1">
      <c r="B109" s="102" t="s">
        <v>225</v>
      </c>
      <c r="C109" s="103" t="s">
        <v>286</v>
      </c>
      <c r="D109" s="104" t="e">
        <f>VLOOKUP($C109,#REF!,5,0)</f>
        <v>#REF!</v>
      </c>
      <c r="E109" s="109" t="e">
        <f>VLOOKUP($C109,#REF!,6,0)</f>
        <v>#REF!</v>
      </c>
      <c r="F109" s="103" t="e">
        <f>VLOOKUP($C109,#REF!,7,0)</f>
        <v>#REF!</v>
      </c>
      <c r="G109" s="103" t="e">
        <f>VLOOKUP($C109,#REF!,8,0)</f>
        <v>#REF!</v>
      </c>
      <c r="H109" s="110" t="e">
        <f>VLOOKUP($C109,#REF!,9,0)</f>
        <v>#REF!</v>
      </c>
      <c r="I109" s="5"/>
      <c r="J109" s="105" t="e">
        <f>VLOOKUP($C109,#REF!,10,0)</f>
        <v>#REF!</v>
      </c>
      <c r="K109" s="106" t="e">
        <f>VLOOKUP($C109,#REF!,11,0)</f>
        <v>#REF!</v>
      </c>
      <c r="L109" s="34"/>
      <c r="M109" s="105" t="e">
        <f>VLOOKUP($C109,#REF!,12,0)</f>
        <v>#REF!</v>
      </c>
      <c r="N109" s="34" t="e">
        <f>VLOOKUP($C109,#REF!,13,0)</f>
        <v>#REF!</v>
      </c>
      <c r="O109" s="105" t="e">
        <f>VLOOKUP($C109,#REF!,14,0)</f>
        <v>#REF!</v>
      </c>
      <c r="P109" s="34" t="e">
        <f>VLOOKUP($C109,#REF!,15,0)</f>
        <v>#REF!</v>
      </c>
      <c r="Q109" s="105" t="e">
        <f>VLOOKUP($C109,#REF!,16,0)</f>
        <v>#REF!</v>
      </c>
      <c r="R109" s="106" t="e">
        <f>VLOOKUP($C109,#REF!,17,0)</f>
        <v>#REF!</v>
      </c>
      <c r="S109" s="34" t="e">
        <f>VLOOKUP($C109,#REF!,18,0)</f>
        <v>#REF!</v>
      </c>
      <c r="T109" s="106" t="e">
        <f>VLOOKUP($C109,#REF!,19,0)</f>
        <v>#REF!</v>
      </c>
      <c r="U109" s="34"/>
      <c r="V109" s="105" t="e">
        <f>VLOOKUP($C109,#REF!,20,0)</f>
        <v>#REF!</v>
      </c>
      <c r="W109" s="34" t="e">
        <f>VLOOKUP($C109,#REF!,21,0)</f>
        <v>#REF!</v>
      </c>
      <c r="X109" s="105" t="e">
        <f>VLOOKUP($C109,#REF!,22,0)</f>
        <v>#REF!</v>
      </c>
      <c r="Y109" s="34" t="e">
        <f>VLOOKUP($C109,#REF!,23,0)</f>
        <v>#REF!</v>
      </c>
      <c r="Z109" s="105" t="e">
        <f>VLOOKUP($C109,#REF!,24,0)</f>
        <v>#REF!</v>
      </c>
      <c r="AA109" s="106" t="e">
        <f>VLOOKUP($C109,#REF!,25,0)</f>
        <v>#REF!</v>
      </c>
      <c r="AB109" s="34" t="e">
        <f>VLOOKUP($C109,#REF!,26,0)</f>
        <v>#REF!</v>
      </c>
      <c r="AC109" s="106" t="e">
        <f>VLOOKUP($C109,#REF!,27,0)</f>
        <v>#REF!</v>
      </c>
      <c r="AE109" s="105" t="e">
        <f t="shared" si="27"/>
        <v>#REF!</v>
      </c>
      <c r="AF109" s="107" t="s">
        <v>320</v>
      </c>
      <c r="AG109" s="107" t="s">
        <v>321</v>
      </c>
      <c r="AH109" s="106" t="s">
        <v>322</v>
      </c>
      <c r="AJ109" s="105" t="s">
        <v>323</v>
      </c>
      <c r="AK109" s="107" t="s">
        <v>324</v>
      </c>
      <c r="AL109" s="107" t="s">
        <v>325</v>
      </c>
      <c r="AM109" s="107" t="s">
        <v>326</v>
      </c>
      <c r="AN109" s="107" t="s">
        <v>326</v>
      </c>
      <c r="AO109" s="106" t="s">
        <v>320</v>
      </c>
      <c r="AQ109" s="108">
        <v>-4</v>
      </c>
      <c r="AR109" s="5"/>
      <c r="AS109" s="105">
        <v>0</v>
      </c>
      <c r="AT109" s="106">
        <v>0</v>
      </c>
      <c r="AU109" s="34"/>
      <c r="AV109" s="105">
        <f t="shared" si="25"/>
        <v>0</v>
      </c>
      <c r="AW109" s="106">
        <f t="shared" si="26"/>
        <v>0</v>
      </c>
      <c r="AX109" s="105">
        <f t="shared" si="28"/>
        <v>0</v>
      </c>
      <c r="AY109" s="106">
        <f t="shared" si="29"/>
        <v>0</v>
      </c>
      <c r="AZ109" s="105">
        <f t="shared" si="30"/>
        <v>0</v>
      </c>
      <c r="BA109" s="106">
        <f t="shared" si="31"/>
        <v>0</v>
      </c>
      <c r="BB109" s="34">
        <f t="shared" si="32"/>
        <v>0</v>
      </c>
      <c r="BC109" s="106">
        <f t="shared" si="33"/>
        <v>0</v>
      </c>
      <c r="BD109" s="34"/>
      <c r="BE109" s="105">
        <f t="shared" si="34"/>
        <v>0</v>
      </c>
      <c r="BF109" s="106">
        <f t="shared" si="35"/>
        <v>0</v>
      </c>
      <c r="BG109" s="105">
        <f t="shared" si="36"/>
        <v>0</v>
      </c>
      <c r="BH109" s="106">
        <f t="shared" si="37"/>
        <v>0</v>
      </c>
      <c r="BI109" s="34">
        <f t="shared" si="38"/>
        <v>0</v>
      </c>
      <c r="BJ109" s="106">
        <f t="shared" si="39"/>
        <v>0</v>
      </c>
      <c r="BK109" s="34">
        <f t="shared" si="40"/>
        <v>0</v>
      </c>
      <c r="BL109" s="106">
        <f t="shared" si="41"/>
        <v>0</v>
      </c>
      <c r="BN109" s="108">
        <v>0</v>
      </c>
      <c r="BO109" s="5"/>
      <c r="BP109" s="105">
        <v>0</v>
      </c>
      <c r="BQ109" s="106">
        <v>0</v>
      </c>
      <c r="BR109" s="34"/>
      <c r="BS109" s="105">
        <v>0</v>
      </c>
      <c r="BT109" s="106">
        <v>0</v>
      </c>
      <c r="BU109" s="105">
        <v>0</v>
      </c>
      <c r="BV109" s="106">
        <v>0</v>
      </c>
      <c r="BW109" s="105">
        <v>0</v>
      </c>
      <c r="BX109" s="106">
        <v>0</v>
      </c>
      <c r="BY109" s="105">
        <v>0</v>
      </c>
      <c r="BZ109" s="106">
        <v>0</v>
      </c>
      <c r="CA109" s="34"/>
      <c r="CB109" s="105">
        <v>0</v>
      </c>
      <c r="CC109" s="106">
        <v>0</v>
      </c>
      <c r="CD109" s="105">
        <v>0</v>
      </c>
      <c r="CE109" s="106">
        <v>0</v>
      </c>
      <c r="CF109" s="105">
        <v>0</v>
      </c>
      <c r="CG109" s="106">
        <v>0</v>
      </c>
      <c r="CH109" s="105">
        <v>0</v>
      </c>
      <c r="CI109" s="106">
        <v>0</v>
      </c>
      <c r="CK109" s="78"/>
      <c r="CL109" s="5"/>
      <c r="CM109" s="38" t="str">
        <f t="shared" si="42"/>
        <v>-</v>
      </c>
      <c r="CN109" s="5"/>
      <c r="CO109" s="38" t="str">
        <f t="shared" si="43"/>
        <v>-</v>
      </c>
      <c r="CP109" s="38" t="str">
        <f t="shared" si="44"/>
        <v>-</v>
      </c>
      <c r="CQ109" s="38" t="str">
        <f t="shared" si="45"/>
        <v>-</v>
      </c>
      <c r="CR109" s="38" t="str">
        <f t="shared" si="45"/>
        <v>-</v>
      </c>
      <c r="CS109" s="5"/>
      <c r="CT109" s="38" t="str">
        <f t="shared" si="46"/>
        <v>-</v>
      </c>
      <c r="CU109" s="38" t="str">
        <f t="shared" si="47"/>
        <v>-</v>
      </c>
      <c r="CV109" s="38" t="str">
        <f t="shared" si="48"/>
        <v>-</v>
      </c>
      <c r="CW109" s="38" t="str">
        <f t="shared" si="49"/>
        <v>-</v>
      </c>
    </row>
    <row r="110" spans="2:101" s="113" customFormat="1" ht="12.75" customHeight="1">
      <c r="B110" s="99" t="s">
        <v>225</v>
      </c>
      <c r="C110" s="98" t="s">
        <v>303</v>
      </c>
      <c r="D110" s="114" t="e">
        <f>VLOOKUP($C110,#REF!,5,0)</f>
        <v>#REF!</v>
      </c>
      <c r="E110" s="115" t="e">
        <f>VLOOKUP($C110,#REF!,6,0)</f>
        <v>#REF!</v>
      </c>
      <c r="F110" s="98" t="e">
        <f>VLOOKUP($C110,#REF!,7,0)</f>
        <v>#REF!</v>
      </c>
      <c r="G110" s="98" t="e">
        <f>VLOOKUP($C110,#REF!,8,0)</f>
        <v>#REF!</v>
      </c>
      <c r="H110" s="116" t="e">
        <f>VLOOKUP($C110,#REF!,9,0)</f>
        <v>#REF!</v>
      </c>
      <c r="I110" s="5"/>
      <c r="J110" s="118" t="e">
        <f>VLOOKUP($C110,#REF!,10,0)</f>
        <v>#REF!</v>
      </c>
      <c r="K110" s="119" t="e">
        <f>VLOOKUP($C110,#REF!,11,0)</f>
        <v>#REF!</v>
      </c>
      <c r="L110" s="34"/>
      <c r="M110" s="118" t="e">
        <f>VLOOKUP($C110,#REF!,12,0)</f>
        <v>#REF!</v>
      </c>
      <c r="N110" s="120" t="e">
        <f>VLOOKUP($C110,#REF!,13,0)</f>
        <v>#REF!</v>
      </c>
      <c r="O110" s="118" t="e">
        <f>VLOOKUP($C110,#REF!,14,0)</f>
        <v>#REF!</v>
      </c>
      <c r="P110" s="120" t="e">
        <f>VLOOKUP($C110,#REF!,15,0)</f>
        <v>#REF!</v>
      </c>
      <c r="Q110" s="118" t="e">
        <f>VLOOKUP($C110,#REF!,16,0)</f>
        <v>#REF!</v>
      </c>
      <c r="R110" s="119" t="e">
        <f>VLOOKUP($C110,#REF!,17,0)</f>
        <v>#REF!</v>
      </c>
      <c r="S110" s="120" t="e">
        <f>VLOOKUP($C110,#REF!,18,0)</f>
        <v>#REF!</v>
      </c>
      <c r="T110" s="119" t="e">
        <f>VLOOKUP($C110,#REF!,19,0)</f>
        <v>#REF!</v>
      </c>
      <c r="U110" s="34"/>
      <c r="V110" s="118" t="e">
        <f>VLOOKUP($C110,#REF!,20,0)</f>
        <v>#REF!</v>
      </c>
      <c r="W110" s="120" t="e">
        <f>VLOOKUP($C110,#REF!,21,0)</f>
        <v>#REF!</v>
      </c>
      <c r="X110" s="118" t="e">
        <f>VLOOKUP($C110,#REF!,22,0)</f>
        <v>#REF!</v>
      </c>
      <c r="Y110" s="120" t="e">
        <f>VLOOKUP($C110,#REF!,23,0)</f>
        <v>#REF!</v>
      </c>
      <c r="Z110" s="118" t="e">
        <f>VLOOKUP($C110,#REF!,24,0)</f>
        <v>#REF!</v>
      </c>
      <c r="AA110" s="119" t="e">
        <f>VLOOKUP($C110,#REF!,25,0)</f>
        <v>#REF!</v>
      </c>
      <c r="AB110" s="120" t="e">
        <f>VLOOKUP($C110,#REF!,26,0)</f>
        <v>#REF!</v>
      </c>
      <c r="AC110" s="119" t="e">
        <f>VLOOKUP($C110,#REF!,27,0)</f>
        <v>#REF!</v>
      </c>
      <c r="AD110" s="4"/>
      <c r="AE110" s="118" t="e">
        <f t="shared" si="27"/>
        <v>#REF!</v>
      </c>
      <c r="AF110" s="121" t="s">
        <v>320</v>
      </c>
      <c r="AG110" s="121" t="s">
        <v>321</v>
      </c>
      <c r="AH110" s="119" t="s">
        <v>322</v>
      </c>
      <c r="AI110" s="4"/>
      <c r="AJ110" s="118" t="s">
        <v>323</v>
      </c>
      <c r="AK110" s="121" t="s">
        <v>324</v>
      </c>
      <c r="AL110" s="121" t="s">
        <v>325</v>
      </c>
      <c r="AM110" s="121" t="s">
        <v>326</v>
      </c>
      <c r="AN110" s="121" t="s">
        <v>326</v>
      </c>
      <c r="AO110" s="119" t="s">
        <v>320</v>
      </c>
      <c r="AP110" s="4"/>
      <c r="AQ110" s="122">
        <v>0</v>
      </c>
      <c r="AR110" s="5"/>
      <c r="AS110" s="118">
        <v>0</v>
      </c>
      <c r="AT110" s="119">
        <v>0</v>
      </c>
      <c r="AU110" s="34"/>
      <c r="AV110" s="118">
        <f t="shared" si="25"/>
        <v>0</v>
      </c>
      <c r="AW110" s="119">
        <f t="shared" si="26"/>
        <v>0</v>
      </c>
      <c r="AX110" s="118">
        <f t="shared" si="28"/>
        <v>0</v>
      </c>
      <c r="AY110" s="119">
        <f t="shared" si="29"/>
        <v>0</v>
      </c>
      <c r="AZ110" s="118">
        <f t="shared" si="30"/>
        <v>0</v>
      </c>
      <c r="BA110" s="119">
        <f t="shared" si="31"/>
        <v>0</v>
      </c>
      <c r="BB110" s="120">
        <f t="shared" si="32"/>
        <v>0</v>
      </c>
      <c r="BC110" s="119">
        <f t="shared" si="33"/>
        <v>0</v>
      </c>
      <c r="BD110" s="34"/>
      <c r="BE110" s="118">
        <f t="shared" si="34"/>
        <v>0</v>
      </c>
      <c r="BF110" s="119">
        <f t="shared" si="35"/>
        <v>0</v>
      </c>
      <c r="BG110" s="118">
        <f t="shared" si="36"/>
        <v>0</v>
      </c>
      <c r="BH110" s="119">
        <f t="shared" si="37"/>
        <v>0</v>
      </c>
      <c r="BI110" s="120">
        <f t="shared" si="38"/>
        <v>0</v>
      </c>
      <c r="BJ110" s="119">
        <f t="shared" si="39"/>
        <v>0</v>
      </c>
      <c r="BK110" s="120">
        <f t="shared" si="40"/>
        <v>0</v>
      </c>
      <c r="BL110" s="119">
        <f t="shared" si="41"/>
        <v>0</v>
      </c>
      <c r="BM110" s="4"/>
      <c r="BN110" s="122">
        <v>0</v>
      </c>
      <c r="BO110" s="117"/>
      <c r="BP110" s="118">
        <v>0</v>
      </c>
      <c r="BQ110" s="119">
        <v>0</v>
      </c>
      <c r="BR110" s="120"/>
      <c r="BS110" s="118">
        <v>0</v>
      </c>
      <c r="BT110" s="119">
        <v>0</v>
      </c>
      <c r="BU110" s="118">
        <v>0</v>
      </c>
      <c r="BV110" s="119">
        <v>0</v>
      </c>
      <c r="BW110" s="118">
        <v>0</v>
      </c>
      <c r="BX110" s="119">
        <v>0</v>
      </c>
      <c r="BY110" s="118">
        <v>0</v>
      </c>
      <c r="BZ110" s="119">
        <v>0</v>
      </c>
      <c r="CA110" s="120"/>
      <c r="CB110" s="118">
        <v>0</v>
      </c>
      <c r="CC110" s="119">
        <v>0</v>
      </c>
      <c r="CD110" s="118">
        <v>0</v>
      </c>
      <c r="CE110" s="119">
        <v>0</v>
      </c>
      <c r="CF110" s="118">
        <v>0</v>
      </c>
      <c r="CG110" s="119">
        <v>0</v>
      </c>
      <c r="CH110" s="118">
        <v>0</v>
      </c>
      <c r="CI110" s="119">
        <v>0</v>
      </c>
      <c r="CJ110" s="4"/>
      <c r="CK110" s="79"/>
      <c r="CL110" s="5"/>
      <c r="CM110" s="39" t="str">
        <f t="shared" si="42"/>
        <v>-</v>
      </c>
      <c r="CN110" s="5"/>
      <c r="CO110" s="39" t="str">
        <f t="shared" si="43"/>
        <v>-</v>
      </c>
      <c r="CP110" s="39" t="str">
        <f t="shared" si="44"/>
        <v>-</v>
      </c>
      <c r="CQ110" s="39" t="str">
        <f t="shared" si="45"/>
        <v>-</v>
      </c>
      <c r="CR110" s="39" t="str">
        <f t="shared" si="45"/>
        <v>-</v>
      </c>
      <c r="CS110" s="5"/>
      <c r="CT110" s="39" t="str">
        <f t="shared" si="46"/>
        <v>-</v>
      </c>
      <c r="CU110" s="39" t="str">
        <f t="shared" si="47"/>
        <v>-</v>
      </c>
      <c r="CV110" s="39" t="str">
        <f t="shared" si="48"/>
        <v>-</v>
      </c>
      <c r="CW110" s="39" t="str">
        <f t="shared" si="49"/>
        <v>-</v>
      </c>
    </row>
    <row r="111" spans="2:101" s="4" customFormat="1" ht="12.75" customHeight="1">
      <c r="B111" s="102" t="s">
        <v>225</v>
      </c>
      <c r="C111" s="103" t="s">
        <v>216</v>
      </c>
      <c r="D111" s="104" t="e">
        <f>VLOOKUP($C111,#REF!,5,0)</f>
        <v>#REF!</v>
      </c>
      <c r="E111" s="109" t="e">
        <f>VLOOKUP($C111,#REF!,6,0)</f>
        <v>#REF!</v>
      </c>
      <c r="F111" s="103" t="e">
        <f>VLOOKUP($C111,#REF!,7,0)</f>
        <v>#REF!</v>
      </c>
      <c r="G111" s="103" t="e">
        <f>VLOOKUP($C111,#REF!,8,0)</f>
        <v>#REF!</v>
      </c>
      <c r="H111" s="110" t="e">
        <f>VLOOKUP($C111,#REF!,9,0)</f>
        <v>#REF!</v>
      </c>
      <c r="I111" s="5"/>
      <c r="J111" s="105" t="e">
        <f>VLOOKUP($C111,#REF!,10,0)</f>
        <v>#REF!</v>
      </c>
      <c r="K111" s="106" t="e">
        <f>VLOOKUP($C111,#REF!,11,0)</f>
        <v>#REF!</v>
      </c>
      <c r="L111" s="34"/>
      <c r="M111" s="105" t="e">
        <f>VLOOKUP($C111,#REF!,12,0)</f>
        <v>#REF!</v>
      </c>
      <c r="N111" s="34" t="e">
        <f>VLOOKUP($C111,#REF!,13,0)</f>
        <v>#REF!</v>
      </c>
      <c r="O111" s="105" t="e">
        <f>VLOOKUP($C111,#REF!,14,0)</f>
        <v>#REF!</v>
      </c>
      <c r="P111" s="34" t="e">
        <f>VLOOKUP($C111,#REF!,15,0)</f>
        <v>#REF!</v>
      </c>
      <c r="Q111" s="105" t="e">
        <f>VLOOKUP($C111,#REF!,16,0)</f>
        <v>#REF!</v>
      </c>
      <c r="R111" s="106" t="e">
        <f>VLOOKUP($C111,#REF!,17,0)</f>
        <v>#REF!</v>
      </c>
      <c r="S111" s="34" t="e">
        <f>VLOOKUP($C111,#REF!,18,0)</f>
        <v>#REF!</v>
      </c>
      <c r="T111" s="106" t="e">
        <f>VLOOKUP($C111,#REF!,19,0)</f>
        <v>#REF!</v>
      </c>
      <c r="U111" s="34"/>
      <c r="V111" s="105" t="e">
        <f>VLOOKUP($C111,#REF!,20,0)</f>
        <v>#REF!</v>
      </c>
      <c r="W111" s="34" t="e">
        <f>VLOOKUP($C111,#REF!,21,0)</f>
        <v>#REF!</v>
      </c>
      <c r="X111" s="105" t="e">
        <f>VLOOKUP($C111,#REF!,22,0)</f>
        <v>#REF!</v>
      </c>
      <c r="Y111" s="34" t="e">
        <f>VLOOKUP($C111,#REF!,23,0)</f>
        <v>#REF!</v>
      </c>
      <c r="Z111" s="105" t="e">
        <f>VLOOKUP($C111,#REF!,24,0)</f>
        <v>#REF!</v>
      </c>
      <c r="AA111" s="106" t="e">
        <f>VLOOKUP($C111,#REF!,25,0)</f>
        <v>#REF!</v>
      </c>
      <c r="AB111" s="34" t="e">
        <f>VLOOKUP($C111,#REF!,26,0)</f>
        <v>#REF!</v>
      </c>
      <c r="AC111" s="106" t="e">
        <f>VLOOKUP($C111,#REF!,27,0)</f>
        <v>#REF!</v>
      </c>
      <c r="AE111" s="105" t="e">
        <f t="shared" si="27"/>
        <v>#REF!</v>
      </c>
      <c r="AF111" s="107" t="s">
        <v>320</v>
      </c>
      <c r="AG111" s="107" t="s">
        <v>321</v>
      </c>
      <c r="AH111" s="106" t="s">
        <v>322</v>
      </c>
      <c r="AJ111" s="105" t="s">
        <v>323</v>
      </c>
      <c r="AK111" s="107" t="s">
        <v>324</v>
      </c>
      <c r="AL111" s="107" t="s">
        <v>325</v>
      </c>
      <c r="AM111" s="107" t="s">
        <v>326</v>
      </c>
      <c r="AN111" s="107" t="s">
        <v>326</v>
      </c>
      <c r="AO111" s="106" t="s">
        <v>320</v>
      </c>
      <c r="AQ111" s="108">
        <v>0</v>
      </c>
      <c r="AR111" s="5"/>
      <c r="AS111" s="105">
        <v>0</v>
      </c>
      <c r="AT111" s="106">
        <v>0</v>
      </c>
      <c r="AU111" s="34"/>
      <c r="AV111" s="105">
        <f t="shared" si="25"/>
        <v>0</v>
      </c>
      <c r="AW111" s="106">
        <f t="shared" si="26"/>
        <v>0</v>
      </c>
      <c r="AX111" s="105">
        <f t="shared" si="28"/>
        <v>0</v>
      </c>
      <c r="AY111" s="106">
        <f t="shared" si="29"/>
        <v>0</v>
      </c>
      <c r="AZ111" s="105">
        <f t="shared" si="30"/>
        <v>0</v>
      </c>
      <c r="BA111" s="106">
        <f t="shared" si="31"/>
        <v>0</v>
      </c>
      <c r="BB111" s="34">
        <f t="shared" si="32"/>
        <v>0</v>
      </c>
      <c r="BC111" s="106">
        <f t="shared" si="33"/>
        <v>0</v>
      </c>
      <c r="BD111" s="34"/>
      <c r="BE111" s="105">
        <f t="shared" si="34"/>
        <v>0</v>
      </c>
      <c r="BF111" s="106">
        <f t="shared" si="35"/>
        <v>0</v>
      </c>
      <c r="BG111" s="105">
        <f t="shared" si="36"/>
        <v>0</v>
      </c>
      <c r="BH111" s="106">
        <f t="shared" si="37"/>
        <v>0</v>
      </c>
      <c r="BI111" s="34">
        <f t="shared" si="38"/>
        <v>0</v>
      </c>
      <c r="BJ111" s="106">
        <f t="shared" si="39"/>
        <v>0</v>
      </c>
      <c r="BK111" s="34">
        <f t="shared" si="40"/>
        <v>0</v>
      </c>
      <c r="BL111" s="106">
        <f t="shared" si="41"/>
        <v>0</v>
      </c>
      <c r="BN111" s="108">
        <v>0</v>
      </c>
      <c r="BO111" s="5"/>
      <c r="BP111" s="105">
        <v>0</v>
      </c>
      <c r="BQ111" s="106">
        <v>0</v>
      </c>
      <c r="BR111" s="34"/>
      <c r="BS111" s="105">
        <v>0</v>
      </c>
      <c r="BT111" s="106">
        <v>0</v>
      </c>
      <c r="BU111" s="105">
        <v>0</v>
      </c>
      <c r="BV111" s="106">
        <v>0</v>
      </c>
      <c r="BW111" s="105">
        <v>0</v>
      </c>
      <c r="BX111" s="106">
        <v>0</v>
      </c>
      <c r="BY111" s="105">
        <v>0</v>
      </c>
      <c r="BZ111" s="106">
        <v>0</v>
      </c>
      <c r="CA111" s="34"/>
      <c r="CB111" s="105">
        <v>0</v>
      </c>
      <c r="CC111" s="106">
        <v>0</v>
      </c>
      <c r="CD111" s="105">
        <v>0</v>
      </c>
      <c r="CE111" s="106">
        <v>0</v>
      </c>
      <c r="CF111" s="105">
        <v>0</v>
      </c>
      <c r="CG111" s="106">
        <v>0</v>
      </c>
      <c r="CH111" s="105">
        <v>0</v>
      </c>
      <c r="CI111" s="106">
        <v>0</v>
      </c>
      <c r="CK111" s="78"/>
      <c r="CL111" s="5"/>
      <c r="CM111" s="38" t="str">
        <f t="shared" si="42"/>
        <v>-</v>
      </c>
      <c r="CN111" s="5"/>
      <c r="CO111" s="38" t="str">
        <f t="shared" si="43"/>
        <v>-</v>
      </c>
      <c r="CP111" s="38" t="str">
        <f t="shared" si="44"/>
        <v>-</v>
      </c>
      <c r="CQ111" s="38" t="str">
        <f t="shared" si="45"/>
        <v>-</v>
      </c>
      <c r="CR111" s="38" t="str">
        <f t="shared" si="45"/>
        <v>-</v>
      </c>
      <c r="CS111" s="5"/>
      <c r="CT111" s="38" t="str">
        <f t="shared" si="46"/>
        <v>-</v>
      </c>
      <c r="CU111" s="38" t="str">
        <f t="shared" si="47"/>
        <v>-</v>
      </c>
      <c r="CV111" s="38" t="str">
        <f t="shared" si="48"/>
        <v>-</v>
      </c>
      <c r="CW111" s="38" t="str">
        <f t="shared" si="49"/>
        <v>-</v>
      </c>
    </row>
    <row r="112" spans="2:101" s="113" customFormat="1" ht="12.75" customHeight="1">
      <c r="B112" s="99" t="s">
        <v>225</v>
      </c>
      <c r="C112" s="98" t="s">
        <v>294</v>
      </c>
      <c r="D112" s="114" t="e">
        <f>VLOOKUP($C112,#REF!,5,0)</f>
        <v>#REF!</v>
      </c>
      <c r="E112" s="115" t="e">
        <f>VLOOKUP($C112,#REF!,6,0)</f>
        <v>#REF!</v>
      </c>
      <c r="F112" s="98" t="e">
        <f>VLOOKUP($C112,#REF!,7,0)</f>
        <v>#REF!</v>
      </c>
      <c r="G112" s="98" t="e">
        <f>VLOOKUP($C112,#REF!,8,0)</f>
        <v>#REF!</v>
      </c>
      <c r="H112" s="116" t="e">
        <f>VLOOKUP($C112,#REF!,9,0)</f>
        <v>#REF!</v>
      </c>
      <c r="I112" s="5"/>
      <c r="J112" s="118" t="e">
        <f>VLOOKUP($C112,#REF!,10,0)</f>
        <v>#REF!</v>
      </c>
      <c r="K112" s="119" t="e">
        <f>VLOOKUP($C112,#REF!,11,0)</f>
        <v>#REF!</v>
      </c>
      <c r="L112" s="34"/>
      <c r="M112" s="118" t="e">
        <f>VLOOKUP($C112,#REF!,12,0)</f>
        <v>#REF!</v>
      </c>
      <c r="N112" s="120" t="e">
        <f>VLOOKUP($C112,#REF!,13,0)</f>
        <v>#REF!</v>
      </c>
      <c r="O112" s="118" t="e">
        <f>VLOOKUP($C112,#REF!,14,0)</f>
        <v>#REF!</v>
      </c>
      <c r="P112" s="120" t="e">
        <f>VLOOKUP($C112,#REF!,15,0)</f>
        <v>#REF!</v>
      </c>
      <c r="Q112" s="118" t="e">
        <f>VLOOKUP($C112,#REF!,16,0)</f>
        <v>#REF!</v>
      </c>
      <c r="R112" s="119" t="e">
        <f>VLOOKUP($C112,#REF!,17,0)</f>
        <v>#REF!</v>
      </c>
      <c r="S112" s="120" t="e">
        <f>VLOOKUP($C112,#REF!,18,0)</f>
        <v>#REF!</v>
      </c>
      <c r="T112" s="119" t="e">
        <f>VLOOKUP($C112,#REF!,19,0)</f>
        <v>#REF!</v>
      </c>
      <c r="U112" s="34"/>
      <c r="V112" s="118" t="e">
        <f>VLOOKUP($C112,#REF!,20,0)</f>
        <v>#REF!</v>
      </c>
      <c r="W112" s="120" t="e">
        <f>VLOOKUP($C112,#REF!,21,0)</f>
        <v>#REF!</v>
      </c>
      <c r="X112" s="118" t="e">
        <f>VLOOKUP($C112,#REF!,22,0)</f>
        <v>#REF!</v>
      </c>
      <c r="Y112" s="120" t="e">
        <f>VLOOKUP($C112,#REF!,23,0)</f>
        <v>#REF!</v>
      </c>
      <c r="Z112" s="118" t="e">
        <f>VLOOKUP($C112,#REF!,24,0)</f>
        <v>#REF!</v>
      </c>
      <c r="AA112" s="119" t="e">
        <f>VLOOKUP($C112,#REF!,25,0)</f>
        <v>#REF!</v>
      </c>
      <c r="AB112" s="120" t="e">
        <f>VLOOKUP($C112,#REF!,26,0)</f>
        <v>#REF!</v>
      </c>
      <c r="AC112" s="119" t="e">
        <f>VLOOKUP($C112,#REF!,27,0)</f>
        <v>#REF!</v>
      </c>
      <c r="AD112" s="4"/>
      <c r="AE112" s="118" t="e">
        <f t="shared" si="27"/>
        <v>#REF!</v>
      </c>
      <c r="AF112" s="121" t="s">
        <v>320</v>
      </c>
      <c r="AG112" s="121" t="s">
        <v>321</v>
      </c>
      <c r="AH112" s="119" t="s">
        <v>322</v>
      </c>
      <c r="AI112" s="4"/>
      <c r="AJ112" s="118" t="s">
        <v>323</v>
      </c>
      <c r="AK112" s="121" t="s">
        <v>324</v>
      </c>
      <c r="AL112" s="121" t="s">
        <v>325</v>
      </c>
      <c r="AM112" s="121" t="s">
        <v>326</v>
      </c>
      <c r="AN112" s="121" t="s">
        <v>326</v>
      </c>
      <c r="AO112" s="119" t="s">
        <v>320</v>
      </c>
      <c r="AP112" s="4"/>
      <c r="AQ112" s="122">
        <v>234</v>
      </c>
      <c r="AR112" s="5"/>
      <c r="AS112" s="118">
        <v>0</v>
      </c>
      <c r="AT112" s="119">
        <v>0</v>
      </c>
      <c r="AU112" s="34"/>
      <c r="AV112" s="118">
        <f t="shared" si="25"/>
        <v>0</v>
      </c>
      <c r="AW112" s="119">
        <f t="shared" si="26"/>
        <v>0</v>
      </c>
      <c r="AX112" s="118">
        <f t="shared" si="28"/>
        <v>0</v>
      </c>
      <c r="AY112" s="119">
        <f t="shared" si="29"/>
        <v>0</v>
      </c>
      <c r="AZ112" s="118">
        <f t="shared" si="30"/>
        <v>0</v>
      </c>
      <c r="BA112" s="119">
        <f t="shared" si="31"/>
        <v>0</v>
      </c>
      <c r="BB112" s="120">
        <f t="shared" si="32"/>
        <v>0</v>
      </c>
      <c r="BC112" s="119">
        <f t="shared" si="33"/>
        <v>0</v>
      </c>
      <c r="BD112" s="34"/>
      <c r="BE112" s="118">
        <f t="shared" si="34"/>
        <v>0</v>
      </c>
      <c r="BF112" s="119">
        <f t="shared" si="35"/>
        <v>0</v>
      </c>
      <c r="BG112" s="118">
        <f t="shared" si="36"/>
        <v>0</v>
      </c>
      <c r="BH112" s="119">
        <f t="shared" si="37"/>
        <v>0</v>
      </c>
      <c r="BI112" s="120">
        <f t="shared" si="38"/>
        <v>0</v>
      </c>
      <c r="BJ112" s="119">
        <f t="shared" si="39"/>
        <v>0</v>
      </c>
      <c r="BK112" s="120">
        <f t="shared" si="40"/>
        <v>0</v>
      </c>
      <c r="BL112" s="119">
        <f t="shared" si="41"/>
        <v>0</v>
      </c>
      <c r="BM112" s="4"/>
      <c r="BN112" s="122">
        <v>-33.06</v>
      </c>
      <c r="BO112" s="117"/>
      <c r="BP112" s="118">
        <v>-33.06</v>
      </c>
      <c r="BQ112" s="119">
        <v>0</v>
      </c>
      <c r="BR112" s="120"/>
      <c r="BS112" s="118">
        <v>0</v>
      </c>
      <c r="BT112" s="119">
        <v>0</v>
      </c>
      <c r="BU112" s="118">
        <v>0</v>
      </c>
      <c r="BV112" s="119">
        <v>0</v>
      </c>
      <c r="BW112" s="118">
        <v>0</v>
      </c>
      <c r="BX112" s="119">
        <v>0</v>
      </c>
      <c r="BY112" s="118">
        <v>0</v>
      </c>
      <c r="BZ112" s="119">
        <v>0</v>
      </c>
      <c r="CA112" s="120"/>
      <c r="CB112" s="118">
        <v>0</v>
      </c>
      <c r="CC112" s="119">
        <v>0</v>
      </c>
      <c r="CD112" s="118">
        <v>0</v>
      </c>
      <c r="CE112" s="119">
        <v>0</v>
      </c>
      <c r="CF112" s="118">
        <v>0</v>
      </c>
      <c r="CG112" s="119">
        <v>0</v>
      </c>
      <c r="CH112" s="118">
        <v>0</v>
      </c>
      <c r="CI112" s="119">
        <v>0</v>
      </c>
      <c r="CJ112" s="4"/>
      <c r="CK112" s="79"/>
      <c r="CL112" s="5"/>
      <c r="CM112" s="39" t="str">
        <f t="shared" si="42"/>
        <v>-</v>
      </c>
      <c r="CN112" s="5"/>
      <c r="CO112" s="39" t="str">
        <f t="shared" si="43"/>
        <v>-</v>
      </c>
      <c r="CP112" s="39" t="str">
        <f t="shared" si="44"/>
        <v>-</v>
      </c>
      <c r="CQ112" s="39" t="str">
        <f t="shared" si="45"/>
        <v>-</v>
      </c>
      <c r="CR112" s="39" t="str">
        <f t="shared" si="45"/>
        <v>-</v>
      </c>
      <c r="CS112" s="5"/>
      <c r="CT112" s="39" t="str">
        <f t="shared" si="46"/>
        <v>-</v>
      </c>
      <c r="CU112" s="39" t="str">
        <f t="shared" si="47"/>
        <v>-</v>
      </c>
      <c r="CV112" s="39" t="str">
        <f t="shared" si="48"/>
        <v>-</v>
      </c>
      <c r="CW112" s="39" t="str">
        <f t="shared" si="49"/>
        <v>-</v>
      </c>
    </row>
    <row r="113" spans="2:101" s="4" customFormat="1" ht="12.75" customHeight="1">
      <c r="B113" s="102" t="s">
        <v>59</v>
      </c>
      <c r="C113" s="103" t="s">
        <v>256</v>
      </c>
      <c r="D113" s="104" t="e">
        <f>VLOOKUP($C113,#REF!,5,0)</f>
        <v>#REF!</v>
      </c>
      <c r="E113" s="109" t="e">
        <f>VLOOKUP($C113,#REF!,6,0)</f>
        <v>#REF!</v>
      </c>
      <c r="F113" s="103" t="e">
        <f>VLOOKUP($C113,#REF!,7,0)</f>
        <v>#REF!</v>
      </c>
      <c r="G113" s="103" t="e">
        <f>VLOOKUP($C113,#REF!,8,0)</f>
        <v>#REF!</v>
      </c>
      <c r="H113" s="110" t="e">
        <f>VLOOKUP($C113,#REF!,9,0)</f>
        <v>#REF!</v>
      </c>
      <c r="I113" s="5"/>
      <c r="J113" s="105" t="e">
        <f>VLOOKUP($C113,#REF!,10,0)</f>
        <v>#REF!</v>
      </c>
      <c r="K113" s="106" t="e">
        <f>VLOOKUP($C113,#REF!,11,0)</f>
        <v>#REF!</v>
      </c>
      <c r="L113" s="34"/>
      <c r="M113" s="105" t="e">
        <f>VLOOKUP($C113,#REF!,12,0)</f>
        <v>#REF!</v>
      </c>
      <c r="N113" s="34" t="e">
        <f>VLOOKUP($C113,#REF!,13,0)</f>
        <v>#REF!</v>
      </c>
      <c r="O113" s="105" t="e">
        <f>VLOOKUP($C113,#REF!,14,0)</f>
        <v>#REF!</v>
      </c>
      <c r="P113" s="34" t="e">
        <f>VLOOKUP($C113,#REF!,15,0)</f>
        <v>#REF!</v>
      </c>
      <c r="Q113" s="105" t="e">
        <f>VLOOKUP($C113,#REF!,16,0)</f>
        <v>#REF!</v>
      </c>
      <c r="R113" s="106" t="e">
        <f>VLOOKUP($C113,#REF!,17,0)</f>
        <v>#REF!</v>
      </c>
      <c r="S113" s="34" t="e">
        <f>VLOOKUP($C113,#REF!,18,0)</f>
        <v>#REF!</v>
      </c>
      <c r="T113" s="106" t="e">
        <f>VLOOKUP($C113,#REF!,19,0)</f>
        <v>#REF!</v>
      </c>
      <c r="U113" s="34"/>
      <c r="V113" s="105" t="e">
        <f>VLOOKUP($C113,#REF!,20,0)</f>
        <v>#REF!</v>
      </c>
      <c r="W113" s="34" t="e">
        <f>VLOOKUP($C113,#REF!,21,0)</f>
        <v>#REF!</v>
      </c>
      <c r="X113" s="105" t="e">
        <f>VLOOKUP($C113,#REF!,22,0)</f>
        <v>#REF!</v>
      </c>
      <c r="Y113" s="34" t="e">
        <f>VLOOKUP($C113,#REF!,23,0)</f>
        <v>#REF!</v>
      </c>
      <c r="Z113" s="105" t="e">
        <f>VLOOKUP($C113,#REF!,24,0)</f>
        <v>#REF!</v>
      </c>
      <c r="AA113" s="106" t="e">
        <f>VLOOKUP($C113,#REF!,25,0)</f>
        <v>#REF!</v>
      </c>
      <c r="AB113" s="34" t="e">
        <f>VLOOKUP($C113,#REF!,26,0)</f>
        <v>#REF!</v>
      </c>
      <c r="AC113" s="106" t="e">
        <f>VLOOKUP($C113,#REF!,27,0)</f>
        <v>#REF!</v>
      </c>
      <c r="AE113" s="105" t="e">
        <f t="shared" si="27"/>
        <v>#REF!</v>
      </c>
      <c r="AF113" s="107" t="s">
        <v>320</v>
      </c>
      <c r="AG113" s="107" t="s">
        <v>321</v>
      </c>
      <c r="AH113" s="106" t="s">
        <v>322</v>
      </c>
      <c r="AJ113" s="105" t="s">
        <v>323</v>
      </c>
      <c r="AK113" s="107" t="s">
        <v>324</v>
      </c>
      <c r="AL113" s="107" t="s">
        <v>325</v>
      </c>
      <c r="AM113" s="107" t="s">
        <v>326</v>
      </c>
      <c r="AN113" s="107" t="s">
        <v>326</v>
      </c>
      <c r="AO113" s="106" t="s">
        <v>320</v>
      </c>
      <c r="AQ113" s="108">
        <v>45</v>
      </c>
      <c r="AR113" s="5"/>
      <c r="AS113" s="105">
        <v>0</v>
      </c>
      <c r="AT113" s="106">
        <v>0</v>
      </c>
      <c r="AU113" s="34"/>
      <c r="AV113" s="105">
        <f t="shared" si="25"/>
        <v>0</v>
      </c>
      <c r="AW113" s="106">
        <f t="shared" si="26"/>
        <v>0</v>
      </c>
      <c r="AX113" s="105">
        <f t="shared" si="28"/>
        <v>0</v>
      </c>
      <c r="AY113" s="106">
        <f t="shared" si="29"/>
        <v>0</v>
      </c>
      <c r="AZ113" s="105">
        <f t="shared" si="30"/>
        <v>0</v>
      </c>
      <c r="BA113" s="106">
        <f t="shared" si="31"/>
        <v>0</v>
      </c>
      <c r="BB113" s="34">
        <f t="shared" si="32"/>
        <v>0</v>
      </c>
      <c r="BC113" s="106">
        <f t="shared" si="33"/>
        <v>0</v>
      </c>
      <c r="BD113" s="34"/>
      <c r="BE113" s="105">
        <f t="shared" si="34"/>
        <v>0</v>
      </c>
      <c r="BF113" s="106">
        <f t="shared" si="35"/>
        <v>0</v>
      </c>
      <c r="BG113" s="105">
        <f t="shared" si="36"/>
        <v>0</v>
      </c>
      <c r="BH113" s="106">
        <f t="shared" si="37"/>
        <v>0</v>
      </c>
      <c r="BI113" s="34">
        <f t="shared" si="38"/>
        <v>0</v>
      </c>
      <c r="BJ113" s="106">
        <f t="shared" si="39"/>
        <v>0</v>
      </c>
      <c r="BK113" s="34">
        <f t="shared" si="40"/>
        <v>0</v>
      </c>
      <c r="BL113" s="106">
        <f t="shared" si="41"/>
        <v>0</v>
      </c>
      <c r="BN113" s="108">
        <v>-13.21999999999997</v>
      </c>
      <c r="BO113" s="5"/>
      <c r="BP113" s="105">
        <v>-13.21999999999997</v>
      </c>
      <c r="BQ113" s="106">
        <v>0</v>
      </c>
      <c r="BR113" s="34"/>
      <c r="BS113" s="105">
        <v>0</v>
      </c>
      <c r="BT113" s="106">
        <v>0</v>
      </c>
      <c r="BU113" s="105">
        <v>0</v>
      </c>
      <c r="BV113" s="106">
        <v>0</v>
      </c>
      <c r="BW113" s="105">
        <v>0</v>
      </c>
      <c r="BX113" s="106">
        <v>0</v>
      </c>
      <c r="BY113" s="105">
        <v>0</v>
      </c>
      <c r="BZ113" s="106">
        <v>0</v>
      </c>
      <c r="CA113" s="34"/>
      <c r="CB113" s="105">
        <v>0</v>
      </c>
      <c r="CC113" s="106">
        <v>0</v>
      </c>
      <c r="CD113" s="105">
        <v>0</v>
      </c>
      <c r="CE113" s="106">
        <v>0</v>
      </c>
      <c r="CF113" s="105">
        <v>0</v>
      </c>
      <c r="CG113" s="106">
        <v>0</v>
      </c>
      <c r="CH113" s="105">
        <v>0</v>
      </c>
      <c r="CI113" s="106">
        <v>0</v>
      </c>
      <c r="CK113" s="78"/>
      <c r="CL113" s="5"/>
      <c r="CM113" s="38" t="str">
        <f t="shared" si="42"/>
        <v>-</v>
      </c>
      <c r="CN113" s="5"/>
      <c r="CO113" s="38" t="str">
        <f t="shared" si="43"/>
        <v>-</v>
      </c>
      <c r="CP113" s="38" t="str">
        <f t="shared" si="44"/>
        <v>-</v>
      </c>
      <c r="CQ113" s="38" t="str">
        <f t="shared" si="45"/>
        <v>-</v>
      </c>
      <c r="CR113" s="38" t="str">
        <f t="shared" si="45"/>
        <v>-</v>
      </c>
      <c r="CS113" s="5"/>
      <c r="CT113" s="38" t="str">
        <f t="shared" si="46"/>
        <v>-</v>
      </c>
      <c r="CU113" s="38" t="str">
        <f t="shared" si="47"/>
        <v>-</v>
      </c>
      <c r="CV113" s="38" t="str">
        <f t="shared" si="48"/>
        <v>-</v>
      </c>
      <c r="CW113" s="38" t="str">
        <f t="shared" si="49"/>
        <v>-</v>
      </c>
    </row>
    <row r="114" spans="2:101" s="113" customFormat="1" ht="12.75" customHeight="1">
      <c r="B114" s="99" t="s">
        <v>59</v>
      </c>
      <c r="C114" s="98" t="s">
        <v>295</v>
      </c>
      <c r="D114" s="114" t="e">
        <f>VLOOKUP($C114,#REF!,5,0)</f>
        <v>#REF!</v>
      </c>
      <c r="E114" s="115" t="e">
        <f>VLOOKUP($C114,#REF!,6,0)</f>
        <v>#REF!</v>
      </c>
      <c r="F114" s="98" t="e">
        <f>VLOOKUP($C114,#REF!,7,0)</f>
        <v>#REF!</v>
      </c>
      <c r="G114" s="98" t="e">
        <f>VLOOKUP($C114,#REF!,8,0)</f>
        <v>#REF!</v>
      </c>
      <c r="H114" s="116" t="e">
        <f>VLOOKUP($C114,#REF!,9,0)</f>
        <v>#REF!</v>
      </c>
      <c r="I114" s="5"/>
      <c r="J114" s="118" t="e">
        <f>VLOOKUP($C114,#REF!,10,0)</f>
        <v>#REF!</v>
      </c>
      <c r="K114" s="119" t="e">
        <f>VLOOKUP($C114,#REF!,11,0)</f>
        <v>#REF!</v>
      </c>
      <c r="L114" s="34"/>
      <c r="M114" s="118" t="e">
        <f>VLOOKUP($C114,#REF!,12,0)</f>
        <v>#REF!</v>
      </c>
      <c r="N114" s="120" t="e">
        <f>VLOOKUP($C114,#REF!,13,0)</f>
        <v>#REF!</v>
      </c>
      <c r="O114" s="118" t="e">
        <f>VLOOKUP($C114,#REF!,14,0)</f>
        <v>#REF!</v>
      </c>
      <c r="P114" s="120" t="e">
        <f>VLOOKUP($C114,#REF!,15,0)</f>
        <v>#REF!</v>
      </c>
      <c r="Q114" s="118" t="e">
        <f>VLOOKUP($C114,#REF!,16,0)</f>
        <v>#REF!</v>
      </c>
      <c r="R114" s="119" t="e">
        <f>VLOOKUP($C114,#REF!,17,0)</f>
        <v>#REF!</v>
      </c>
      <c r="S114" s="120" t="e">
        <f>VLOOKUP($C114,#REF!,18,0)</f>
        <v>#REF!</v>
      </c>
      <c r="T114" s="119" t="e">
        <f>VLOOKUP($C114,#REF!,19,0)</f>
        <v>#REF!</v>
      </c>
      <c r="U114" s="34"/>
      <c r="V114" s="118" t="e">
        <f>VLOOKUP($C114,#REF!,20,0)</f>
        <v>#REF!</v>
      </c>
      <c r="W114" s="120" t="e">
        <f>VLOOKUP($C114,#REF!,21,0)</f>
        <v>#REF!</v>
      </c>
      <c r="X114" s="118" t="e">
        <f>VLOOKUP($C114,#REF!,22,0)</f>
        <v>#REF!</v>
      </c>
      <c r="Y114" s="120" t="e">
        <f>VLOOKUP($C114,#REF!,23,0)</f>
        <v>#REF!</v>
      </c>
      <c r="Z114" s="118" t="e">
        <f>VLOOKUP($C114,#REF!,24,0)</f>
        <v>#REF!</v>
      </c>
      <c r="AA114" s="119" t="e">
        <f>VLOOKUP($C114,#REF!,25,0)</f>
        <v>#REF!</v>
      </c>
      <c r="AB114" s="120" t="e">
        <f>VLOOKUP($C114,#REF!,26,0)</f>
        <v>#REF!</v>
      </c>
      <c r="AC114" s="119" t="e">
        <f>VLOOKUP($C114,#REF!,27,0)</f>
        <v>#REF!</v>
      </c>
      <c r="AD114" s="4"/>
      <c r="AE114" s="118" t="e">
        <f t="shared" si="27"/>
        <v>#REF!</v>
      </c>
      <c r="AF114" s="121" t="s">
        <v>320</v>
      </c>
      <c r="AG114" s="121" t="s">
        <v>321</v>
      </c>
      <c r="AH114" s="119" t="s">
        <v>322</v>
      </c>
      <c r="AI114" s="4"/>
      <c r="AJ114" s="118" t="s">
        <v>323</v>
      </c>
      <c r="AK114" s="121" t="s">
        <v>324</v>
      </c>
      <c r="AL114" s="121" t="s">
        <v>325</v>
      </c>
      <c r="AM114" s="121" t="s">
        <v>326</v>
      </c>
      <c r="AN114" s="121" t="s">
        <v>326</v>
      </c>
      <c r="AO114" s="119" t="s">
        <v>320</v>
      </c>
      <c r="AP114" s="4"/>
      <c r="AQ114" s="122">
        <v>21</v>
      </c>
      <c r="AR114" s="5"/>
      <c r="AS114" s="118">
        <v>0</v>
      </c>
      <c r="AT114" s="119">
        <v>0</v>
      </c>
      <c r="AU114" s="34"/>
      <c r="AV114" s="118">
        <f t="shared" ref="AV114:AV177" si="50">IFERROR(ROUND($D114-M114-AW114,0),0)</f>
        <v>0</v>
      </c>
      <c r="AW114" s="119">
        <f t="shared" ref="AW114:AW177" si="51">IFERROR(N114*$G114,0)</f>
        <v>0</v>
      </c>
      <c r="AX114" s="118">
        <f t="shared" si="28"/>
        <v>0</v>
      </c>
      <c r="AY114" s="119">
        <f t="shared" si="29"/>
        <v>0</v>
      </c>
      <c r="AZ114" s="118">
        <f t="shared" si="30"/>
        <v>0</v>
      </c>
      <c r="BA114" s="119">
        <f t="shared" si="31"/>
        <v>0</v>
      </c>
      <c r="BB114" s="120">
        <f t="shared" si="32"/>
        <v>0</v>
      </c>
      <c r="BC114" s="119">
        <f t="shared" si="33"/>
        <v>0</v>
      </c>
      <c r="BD114" s="34"/>
      <c r="BE114" s="118">
        <f t="shared" si="34"/>
        <v>0</v>
      </c>
      <c r="BF114" s="119">
        <f t="shared" si="35"/>
        <v>0</v>
      </c>
      <c r="BG114" s="118">
        <f t="shared" si="36"/>
        <v>0</v>
      </c>
      <c r="BH114" s="119">
        <f t="shared" si="37"/>
        <v>0</v>
      </c>
      <c r="BI114" s="120">
        <f t="shared" si="38"/>
        <v>0</v>
      </c>
      <c r="BJ114" s="119">
        <f t="shared" si="39"/>
        <v>0</v>
      </c>
      <c r="BK114" s="120">
        <f t="shared" si="40"/>
        <v>0</v>
      </c>
      <c r="BL114" s="119">
        <f t="shared" si="41"/>
        <v>0</v>
      </c>
      <c r="BM114" s="4"/>
      <c r="BN114" s="122">
        <v>0</v>
      </c>
      <c r="BO114" s="117"/>
      <c r="BP114" s="118">
        <v>0</v>
      </c>
      <c r="BQ114" s="119">
        <v>0</v>
      </c>
      <c r="BR114" s="120"/>
      <c r="BS114" s="118">
        <v>0</v>
      </c>
      <c r="BT114" s="119">
        <v>0</v>
      </c>
      <c r="BU114" s="118">
        <v>0</v>
      </c>
      <c r="BV114" s="119">
        <v>0</v>
      </c>
      <c r="BW114" s="118">
        <v>0</v>
      </c>
      <c r="BX114" s="119">
        <v>0</v>
      </c>
      <c r="BY114" s="118">
        <v>0</v>
      </c>
      <c r="BZ114" s="119">
        <v>0</v>
      </c>
      <c r="CA114" s="120"/>
      <c r="CB114" s="118">
        <v>0</v>
      </c>
      <c r="CC114" s="119">
        <v>0</v>
      </c>
      <c r="CD114" s="118">
        <v>0</v>
      </c>
      <c r="CE114" s="119">
        <v>0</v>
      </c>
      <c r="CF114" s="118">
        <v>0</v>
      </c>
      <c r="CG114" s="119">
        <v>0</v>
      </c>
      <c r="CH114" s="118">
        <v>0</v>
      </c>
      <c r="CI114" s="119">
        <v>0</v>
      </c>
      <c r="CJ114" s="4"/>
      <c r="CK114" s="79"/>
      <c r="CL114" s="5"/>
      <c r="CM114" s="39" t="str">
        <f t="shared" si="42"/>
        <v>-</v>
      </c>
      <c r="CN114" s="5"/>
      <c r="CO114" s="39" t="str">
        <f t="shared" si="43"/>
        <v>-</v>
      </c>
      <c r="CP114" s="39" t="str">
        <f t="shared" si="44"/>
        <v>-</v>
      </c>
      <c r="CQ114" s="39" t="str">
        <f t="shared" si="45"/>
        <v>-</v>
      </c>
      <c r="CR114" s="39" t="str">
        <f t="shared" si="45"/>
        <v>-</v>
      </c>
      <c r="CS114" s="5"/>
      <c r="CT114" s="39" t="str">
        <f t="shared" si="46"/>
        <v>-</v>
      </c>
      <c r="CU114" s="39" t="str">
        <f t="shared" si="47"/>
        <v>-</v>
      </c>
      <c r="CV114" s="39" t="str">
        <f t="shared" si="48"/>
        <v>-</v>
      </c>
      <c r="CW114" s="39" t="str">
        <f t="shared" si="49"/>
        <v>-</v>
      </c>
    </row>
    <row r="115" spans="2:101" s="4" customFormat="1" ht="12.75" customHeight="1">
      <c r="B115" s="102" t="s">
        <v>59</v>
      </c>
      <c r="C115" s="103" t="s">
        <v>311</v>
      </c>
      <c r="D115" s="104" t="e">
        <f>VLOOKUP($C115,#REF!,5,0)</f>
        <v>#REF!</v>
      </c>
      <c r="E115" s="109" t="e">
        <f>VLOOKUP($C115,#REF!,6,0)</f>
        <v>#REF!</v>
      </c>
      <c r="F115" s="103" t="e">
        <f>VLOOKUP($C115,#REF!,7,0)</f>
        <v>#REF!</v>
      </c>
      <c r="G115" s="103" t="e">
        <f>VLOOKUP($C115,#REF!,8,0)</f>
        <v>#REF!</v>
      </c>
      <c r="H115" s="110" t="e">
        <f>VLOOKUP($C115,#REF!,9,0)</f>
        <v>#REF!</v>
      </c>
      <c r="I115" s="5"/>
      <c r="J115" s="105" t="e">
        <f>VLOOKUP($C115,#REF!,10,0)</f>
        <v>#REF!</v>
      </c>
      <c r="K115" s="106" t="e">
        <f>VLOOKUP($C115,#REF!,11,0)</f>
        <v>#REF!</v>
      </c>
      <c r="L115" s="34"/>
      <c r="M115" s="105" t="e">
        <f>VLOOKUP($C115,#REF!,12,0)</f>
        <v>#REF!</v>
      </c>
      <c r="N115" s="34" t="e">
        <f>VLOOKUP($C115,#REF!,13,0)</f>
        <v>#REF!</v>
      </c>
      <c r="O115" s="105" t="e">
        <f>VLOOKUP($C115,#REF!,14,0)</f>
        <v>#REF!</v>
      </c>
      <c r="P115" s="34" t="e">
        <f>VLOOKUP($C115,#REF!,15,0)</f>
        <v>#REF!</v>
      </c>
      <c r="Q115" s="105" t="e">
        <f>VLOOKUP($C115,#REF!,16,0)</f>
        <v>#REF!</v>
      </c>
      <c r="R115" s="106" t="e">
        <f>VLOOKUP($C115,#REF!,17,0)</f>
        <v>#REF!</v>
      </c>
      <c r="S115" s="34" t="e">
        <f>VLOOKUP($C115,#REF!,18,0)</f>
        <v>#REF!</v>
      </c>
      <c r="T115" s="106" t="e">
        <f>VLOOKUP($C115,#REF!,19,0)</f>
        <v>#REF!</v>
      </c>
      <c r="U115" s="34"/>
      <c r="V115" s="105" t="e">
        <f>VLOOKUP($C115,#REF!,20,0)</f>
        <v>#REF!</v>
      </c>
      <c r="W115" s="34" t="e">
        <f>VLOOKUP($C115,#REF!,21,0)</f>
        <v>#REF!</v>
      </c>
      <c r="X115" s="105" t="e">
        <f>VLOOKUP($C115,#REF!,22,0)</f>
        <v>#REF!</v>
      </c>
      <c r="Y115" s="34" t="e">
        <f>VLOOKUP($C115,#REF!,23,0)</f>
        <v>#REF!</v>
      </c>
      <c r="Z115" s="105" t="e">
        <f>VLOOKUP($C115,#REF!,24,0)</f>
        <v>#REF!</v>
      </c>
      <c r="AA115" s="106" t="e">
        <f>VLOOKUP($C115,#REF!,25,0)</f>
        <v>#REF!</v>
      </c>
      <c r="AB115" s="34" t="e">
        <f>VLOOKUP($C115,#REF!,26,0)</f>
        <v>#REF!</v>
      </c>
      <c r="AC115" s="106" t="e">
        <f>VLOOKUP($C115,#REF!,27,0)</f>
        <v>#REF!</v>
      </c>
      <c r="AE115" s="105" t="e">
        <f t="shared" si="27"/>
        <v>#REF!</v>
      </c>
      <c r="AF115" s="107" t="s">
        <v>320</v>
      </c>
      <c r="AG115" s="107" t="s">
        <v>321</v>
      </c>
      <c r="AH115" s="106" t="s">
        <v>322</v>
      </c>
      <c r="AJ115" s="105" t="s">
        <v>323</v>
      </c>
      <c r="AK115" s="107" t="s">
        <v>324</v>
      </c>
      <c r="AL115" s="107" t="s">
        <v>325</v>
      </c>
      <c r="AM115" s="107" t="s">
        <v>326</v>
      </c>
      <c r="AN115" s="107" t="s">
        <v>326</v>
      </c>
      <c r="AO115" s="106" t="s">
        <v>320</v>
      </c>
      <c r="AQ115" s="108">
        <v>186</v>
      </c>
      <c r="AR115" s="5"/>
      <c r="AS115" s="105">
        <v>0</v>
      </c>
      <c r="AT115" s="106">
        <v>0</v>
      </c>
      <c r="AU115" s="34"/>
      <c r="AV115" s="105">
        <f t="shared" si="50"/>
        <v>0</v>
      </c>
      <c r="AW115" s="106">
        <f t="shared" si="51"/>
        <v>0</v>
      </c>
      <c r="AX115" s="105">
        <f t="shared" si="28"/>
        <v>0</v>
      </c>
      <c r="AY115" s="106">
        <f t="shared" si="29"/>
        <v>0</v>
      </c>
      <c r="AZ115" s="105">
        <f t="shared" si="30"/>
        <v>0</v>
      </c>
      <c r="BA115" s="106">
        <f t="shared" si="31"/>
        <v>0</v>
      </c>
      <c r="BB115" s="34">
        <f t="shared" si="32"/>
        <v>0</v>
      </c>
      <c r="BC115" s="106">
        <f t="shared" si="33"/>
        <v>0</v>
      </c>
      <c r="BD115" s="34"/>
      <c r="BE115" s="105">
        <f t="shared" si="34"/>
        <v>0</v>
      </c>
      <c r="BF115" s="106">
        <f t="shared" si="35"/>
        <v>0</v>
      </c>
      <c r="BG115" s="105">
        <f t="shared" si="36"/>
        <v>0</v>
      </c>
      <c r="BH115" s="106">
        <f t="shared" si="37"/>
        <v>0</v>
      </c>
      <c r="BI115" s="34">
        <f t="shared" si="38"/>
        <v>0</v>
      </c>
      <c r="BJ115" s="106">
        <f t="shared" si="39"/>
        <v>0</v>
      </c>
      <c r="BK115" s="34">
        <f t="shared" si="40"/>
        <v>0</v>
      </c>
      <c r="BL115" s="106">
        <f t="shared" si="41"/>
        <v>0</v>
      </c>
      <c r="BN115" s="108">
        <v>-8.2599999999999909</v>
      </c>
      <c r="BO115" s="5"/>
      <c r="BP115" s="105">
        <v>-8.2599999999999909</v>
      </c>
      <c r="BQ115" s="106">
        <v>0</v>
      </c>
      <c r="BR115" s="34"/>
      <c r="BS115" s="105">
        <v>0</v>
      </c>
      <c r="BT115" s="106">
        <v>0</v>
      </c>
      <c r="BU115" s="105">
        <v>0</v>
      </c>
      <c r="BV115" s="106">
        <v>0</v>
      </c>
      <c r="BW115" s="105">
        <v>0</v>
      </c>
      <c r="BX115" s="106">
        <v>-2</v>
      </c>
      <c r="BY115" s="105">
        <v>0</v>
      </c>
      <c r="BZ115" s="106">
        <v>-2</v>
      </c>
      <c r="CA115" s="34"/>
      <c r="CB115" s="105">
        <v>0</v>
      </c>
      <c r="CC115" s="106">
        <v>0</v>
      </c>
      <c r="CD115" s="105">
        <v>0</v>
      </c>
      <c r="CE115" s="106">
        <v>0</v>
      </c>
      <c r="CF115" s="105">
        <v>0</v>
      </c>
      <c r="CG115" s="106">
        <v>-2</v>
      </c>
      <c r="CH115" s="105">
        <v>0</v>
      </c>
      <c r="CI115" s="106">
        <v>-2</v>
      </c>
      <c r="CK115" s="78"/>
      <c r="CL115" s="5"/>
      <c r="CM115" s="38" t="str">
        <f t="shared" si="42"/>
        <v>-</v>
      </c>
      <c r="CN115" s="5"/>
      <c r="CO115" s="38" t="str">
        <f t="shared" si="43"/>
        <v>-</v>
      </c>
      <c r="CP115" s="38" t="str">
        <f t="shared" si="44"/>
        <v>-</v>
      </c>
      <c r="CQ115" s="38" t="str">
        <f t="shared" si="45"/>
        <v>-</v>
      </c>
      <c r="CR115" s="38" t="str">
        <f t="shared" si="45"/>
        <v>-</v>
      </c>
      <c r="CS115" s="5"/>
      <c r="CT115" s="38" t="str">
        <f t="shared" si="46"/>
        <v>-</v>
      </c>
      <c r="CU115" s="38" t="str">
        <f t="shared" si="47"/>
        <v>-</v>
      </c>
      <c r="CV115" s="38" t="str">
        <f t="shared" si="48"/>
        <v>-</v>
      </c>
      <c r="CW115" s="38" t="str">
        <f t="shared" si="49"/>
        <v>-</v>
      </c>
    </row>
    <row r="116" spans="2:101" s="113" customFormat="1" ht="12.75" customHeight="1">
      <c r="B116" s="99" t="s">
        <v>59</v>
      </c>
      <c r="C116" s="98" t="s">
        <v>257</v>
      </c>
      <c r="D116" s="114" t="e">
        <f>VLOOKUP($C116,#REF!,5,0)</f>
        <v>#REF!</v>
      </c>
      <c r="E116" s="115" t="e">
        <f>VLOOKUP($C116,#REF!,6,0)</f>
        <v>#REF!</v>
      </c>
      <c r="F116" s="98" t="e">
        <f>VLOOKUP($C116,#REF!,7,0)</f>
        <v>#REF!</v>
      </c>
      <c r="G116" s="98" t="e">
        <f>VLOOKUP($C116,#REF!,8,0)</f>
        <v>#REF!</v>
      </c>
      <c r="H116" s="116" t="e">
        <f>VLOOKUP($C116,#REF!,9,0)</f>
        <v>#REF!</v>
      </c>
      <c r="I116" s="5"/>
      <c r="J116" s="118" t="e">
        <f>VLOOKUP($C116,#REF!,10,0)</f>
        <v>#REF!</v>
      </c>
      <c r="K116" s="119" t="e">
        <f>VLOOKUP($C116,#REF!,11,0)</f>
        <v>#REF!</v>
      </c>
      <c r="L116" s="34"/>
      <c r="M116" s="118" t="e">
        <f>VLOOKUP($C116,#REF!,12,0)</f>
        <v>#REF!</v>
      </c>
      <c r="N116" s="120" t="e">
        <f>VLOOKUP($C116,#REF!,13,0)</f>
        <v>#REF!</v>
      </c>
      <c r="O116" s="118" t="e">
        <f>VLOOKUP($C116,#REF!,14,0)</f>
        <v>#REF!</v>
      </c>
      <c r="P116" s="120" t="e">
        <f>VLOOKUP($C116,#REF!,15,0)</f>
        <v>#REF!</v>
      </c>
      <c r="Q116" s="118" t="e">
        <f>VLOOKUP($C116,#REF!,16,0)</f>
        <v>#REF!</v>
      </c>
      <c r="R116" s="119" t="e">
        <f>VLOOKUP($C116,#REF!,17,0)</f>
        <v>#REF!</v>
      </c>
      <c r="S116" s="120" t="e">
        <f>VLOOKUP($C116,#REF!,18,0)</f>
        <v>#REF!</v>
      </c>
      <c r="T116" s="119" t="e">
        <f>VLOOKUP($C116,#REF!,19,0)</f>
        <v>#REF!</v>
      </c>
      <c r="U116" s="34"/>
      <c r="V116" s="118" t="e">
        <f>VLOOKUP($C116,#REF!,20,0)</f>
        <v>#REF!</v>
      </c>
      <c r="W116" s="120" t="e">
        <f>VLOOKUP($C116,#REF!,21,0)</f>
        <v>#REF!</v>
      </c>
      <c r="X116" s="118" t="e">
        <f>VLOOKUP($C116,#REF!,22,0)</f>
        <v>#REF!</v>
      </c>
      <c r="Y116" s="120" t="e">
        <f>VLOOKUP($C116,#REF!,23,0)</f>
        <v>#REF!</v>
      </c>
      <c r="Z116" s="118" t="e">
        <f>VLOOKUP($C116,#REF!,24,0)</f>
        <v>#REF!</v>
      </c>
      <c r="AA116" s="119" t="e">
        <f>VLOOKUP($C116,#REF!,25,0)</f>
        <v>#REF!</v>
      </c>
      <c r="AB116" s="120" t="e">
        <f>VLOOKUP($C116,#REF!,26,0)</f>
        <v>#REF!</v>
      </c>
      <c r="AC116" s="119" t="e">
        <f>VLOOKUP($C116,#REF!,27,0)</f>
        <v>#REF!</v>
      </c>
      <c r="AD116" s="4"/>
      <c r="AE116" s="118" t="e">
        <f t="shared" si="27"/>
        <v>#REF!</v>
      </c>
      <c r="AF116" s="121" t="s">
        <v>320</v>
      </c>
      <c r="AG116" s="121" t="s">
        <v>321</v>
      </c>
      <c r="AH116" s="119" t="s">
        <v>322</v>
      </c>
      <c r="AI116" s="4"/>
      <c r="AJ116" s="118" t="s">
        <v>323</v>
      </c>
      <c r="AK116" s="121" t="s">
        <v>324</v>
      </c>
      <c r="AL116" s="121" t="s">
        <v>325</v>
      </c>
      <c r="AM116" s="121" t="s">
        <v>326</v>
      </c>
      <c r="AN116" s="121" t="s">
        <v>326</v>
      </c>
      <c r="AO116" s="119" t="s">
        <v>320</v>
      </c>
      <c r="AP116" s="4"/>
      <c r="AQ116" s="122">
        <v>101</v>
      </c>
      <c r="AR116" s="5"/>
      <c r="AS116" s="118">
        <v>0</v>
      </c>
      <c r="AT116" s="119">
        <v>0</v>
      </c>
      <c r="AU116" s="34"/>
      <c r="AV116" s="118">
        <f t="shared" si="50"/>
        <v>0</v>
      </c>
      <c r="AW116" s="119">
        <f t="shared" si="51"/>
        <v>0</v>
      </c>
      <c r="AX116" s="118">
        <f t="shared" si="28"/>
        <v>0</v>
      </c>
      <c r="AY116" s="119">
        <f t="shared" si="29"/>
        <v>0</v>
      </c>
      <c r="AZ116" s="118">
        <f t="shared" si="30"/>
        <v>0</v>
      </c>
      <c r="BA116" s="119">
        <f t="shared" si="31"/>
        <v>0</v>
      </c>
      <c r="BB116" s="120">
        <f t="shared" si="32"/>
        <v>0</v>
      </c>
      <c r="BC116" s="119">
        <f t="shared" si="33"/>
        <v>0</v>
      </c>
      <c r="BD116" s="34"/>
      <c r="BE116" s="118">
        <f t="shared" si="34"/>
        <v>0</v>
      </c>
      <c r="BF116" s="119">
        <f t="shared" si="35"/>
        <v>0</v>
      </c>
      <c r="BG116" s="118">
        <f t="shared" si="36"/>
        <v>0</v>
      </c>
      <c r="BH116" s="119">
        <f t="shared" si="37"/>
        <v>0</v>
      </c>
      <c r="BI116" s="120">
        <f t="shared" si="38"/>
        <v>0</v>
      </c>
      <c r="BJ116" s="119">
        <f t="shared" si="39"/>
        <v>0</v>
      </c>
      <c r="BK116" s="120">
        <f t="shared" si="40"/>
        <v>0</v>
      </c>
      <c r="BL116" s="119">
        <f t="shared" si="41"/>
        <v>0</v>
      </c>
      <c r="BM116" s="4"/>
      <c r="BN116" s="122">
        <v>-18.180000000000007</v>
      </c>
      <c r="BO116" s="117"/>
      <c r="BP116" s="118">
        <v>-18.180000000000007</v>
      </c>
      <c r="BQ116" s="119">
        <v>0</v>
      </c>
      <c r="BR116" s="120"/>
      <c r="BS116" s="118">
        <v>0</v>
      </c>
      <c r="BT116" s="119">
        <v>0</v>
      </c>
      <c r="BU116" s="118">
        <v>0</v>
      </c>
      <c r="BV116" s="119">
        <v>0</v>
      </c>
      <c r="BW116" s="118">
        <v>0</v>
      </c>
      <c r="BX116" s="119">
        <v>0</v>
      </c>
      <c r="BY116" s="118">
        <v>0</v>
      </c>
      <c r="BZ116" s="119">
        <v>0</v>
      </c>
      <c r="CA116" s="120"/>
      <c r="CB116" s="118">
        <v>0</v>
      </c>
      <c r="CC116" s="119">
        <v>0</v>
      </c>
      <c r="CD116" s="118">
        <v>0</v>
      </c>
      <c r="CE116" s="119">
        <v>0</v>
      </c>
      <c r="CF116" s="118">
        <v>0</v>
      </c>
      <c r="CG116" s="119">
        <v>0</v>
      </c>
      <c r="CH116" s="118">
        <v>0</v>
      </c>
      <c r="CI116" s="119">
        <v>0</v>
      </c>
      <c r="CJ116" s="4"/>
      <c r="CK116" s="79"/>
      <c r="CL116" s="5"/>
      <c r="CM116" s="39" t="str">
        <f t="shared" si="42"/>
        <v>-</v>
      </c>
      <c r="CN116" s="5"/>
      <c r="CO116" s="39" t="str">
        <f t="shared" si="43"/>
        <v>-</v>
      </c>
      <c r="CP116" s="39" t="str">
        <f t="shared" si="44"/>
        <v>-</v>
      </c>
      <c r="CQ116" s="39" t="str">
        <f t="shared" si="45"/>
        <v>-</v>
      </c>
      <c r="CR116" s="39" t="str">
        <f t="shared" si="45"/>
        <v>-</v>
      </c>
      <c r="CS116" s="5"/>
      <c r="CT116" s="39" t="str">
        <f t="shared" si="46"/>
        <v>-</v>
      </c>
      <c r="CU116" s="39" t="str">
        <f t="shared" si="47"/>
        <v>-</v>
      </c>
      <c r="CV116" s="39" t="str">
        <f t="shared" si="48"/>
        <v>-</v>
      </c>
      <c r="CW116" s="39" t="str">
        <f t="shared" si="49"/>
        <v>-</v>
      </c>
    </row>
    <row r="117" spans="2:101" s="4" customFormat="1" ht="12.75" customHeight="1">
      <c r="B117" s="102" t="s">
        <v>59</v>
      </c>
      <c r="C117" s="103" t="s">
        <v>90</v>
      </c>
      <c r="D117" s="104" t="e">
        <f>VLOOKUP($C117,#REF!,5,0)</f>
        <v>#REF!</v>
      </c>
      <c r="E117" s="109" t="e">
        <f>VLOOKUP($C117,#REF!,6,0)</f>
        <v>#REF!</v>
      </c>
      <c r="F117" s="103" t="e">
        <f>VLOOKUP($C117,#REF!,7,0)</f>
        <v>#REF!</v>
      </c>
      <c r="G117" s="103" t="e">
        <f>VLOOKUP($C117,#REF!,8,0)</f>
        <v>#REF!</v>
      </c>
      <c r="H117" s="110" t="e">
        <f>VLOOKUP($C117,#REF!,9,0)</f>
        <v>#REF!</v>
      </c>
      <c r="I117" s="5"/>
      <c r="J117" s="105" t="e">
        <f>VLOOKUP($C117,#REF!,10,0)</f>
        <v>#REF!</v>
      </c>
      <c r="K117" s="106" t="e">
        <f>VLOOKUP($C117,#REF!,11,0)</f>
        <v>#REF!</v>
      </c>
      <c r="L117" s="34"/>
      <c r="M117" s="105" t="e">
        <f>VLOOKUP($C117,#REF!,12,0)</f>
        <v>#REF!</v>
      </c>
      <c r="N117" s="34" t="e">
        <f>VLOOKUP($C117,#REF!,13,0)</f>
        <v>#REF!</v>
      </c>
      <c r="O117" s="105" t="e">
        <f>VLOOKUP($C117,#REF!,14,0)</f>
        <v>#REF!</v>
      </c>
      <c r="P117" s="34" t="e">
        <f>VLOOKUP($C117,#REF!,15,0)</f>
        <v>#REF!</v>
      </c>
      <c r="Q117" s="105" t="e">
        <f>VLOOKUP($C117,#REF!,16,0)</f>
        <v>#REF!</v>
      </c>
      <c r="R117" s="106" t="e">
        <f>VLOOKUP($C117,#REF!,17,0)</f>
        <v>#REF!</v>
      </c>
      <c r="S117" s="34" t="e">
        <f>VLOOKUP($C117,#REF!,18,0)</f>
        <v>#REF!</v>
      </c>
      <c r="T117" s="106" t="e">
        <f>VLOOKUP($C117,#REF!,19,0)</f>
        <v>#REF!</v>
      </c>
      <c r="U117" s="34"/>
      <c r="V117" s="105" t="e">
        <f>VLOOKUP($C117,#REF!,20,0)</f>
        <v>#REF!</v>
      </c>
      <c r="W117" s="34" t="e">
        <f>VLOOKUP($C117,#REF!,21,0)</f>
        <v>#REF!</v>
      </c>
      <c r="X117" s="105" t="e">
        <f>VLOOKUP($C117,#REF!,22,0)</f>
        <v>#REF!</v>
      </c>
      <c r="Y117" s="34" t="e">
        <f>VLOOKUP($C117,#REF!,23,0)</f>
        <v>#REF!</v>
      </c>
      <c r="Z117" s="105" t="e">
        <f>VLOOKUP($C117,#REF!,24,0)</f>
        <v>#REF!</v>
      </c>
      <c r="AA117" s="106" t="e">
        <f>VLOOKUP($C117,#REF!,25,0)</f>
        <v>#REF!</v>
      </c>
      <c r="AB117" s="34" t="e">
        <f>VLOOKUP($C117,#REF!,26,0)</f>
        <v>#REF!</v>
      </c>
      <c r="AC117" s="106" t="e">
        <f>VLOOKUP($C117,#REF!,27,0)</f>
        <v>#REF!</v>
      </c>
      <c r="AE117" s="105" t="e">
        <f t="shared" si="27"/>
        <v>#REF!</v>
      </c>
      <c r="AF117" s="107" t="s">
        <v>320</v>
      </c>
      <c r="AG117" s="107" t="s">
        <v>321</v>
      </c>
      <c r="AH117" s="106" t="s">
        <v>322</v>
      </c>
      <c r="AJ117" s="105" t="s">
        <v>323</v>
      </c>
      <c r="AK117" s="107" t="s">
        <v>324</v>
      </c>
      <c r="AL117" s="107" t="s">
        <v>325</v>
      </c>
      <c r="AM117" s="107" t="s">
        <v>326</v>
      </c>
      <c r="AN117" s="107" t="s">
        <v>326</v>
      </c>
      <c r="AO117" s="106" t="s">
        <v>320</v>
      </c>
      <c r="AQ117" s="108">
        <v>-66</v>
      </c>
      <c r="AR117" s="5"/>
      <c r="AS117" s="105">
        <v>0</v>
      </c>
      <c r="AT117" s="106">
        <v>0</v>
      </c>
      <c r="AU117" s="34"/>
      <c r="AV117" s="105">
        <f t="shared" si="50"/>
        <v>0</v>
      </c>
      <c r="AW117" s="106">
        <f t="shared" si="51"/>
        <v>0</v>
      </c>
      <c r="AX117" s="105">
        <f t="shared" si="28"/>
        <v>0</v>
      </c>
      <c r="AY117" s="106">
        <f t="shared" si="29"/>
        <v>0</v>
      </c>
      <c r="AZ117" s="105">
        <f t="shared" si="30"/>
        <v>0</v>
      </c>
      <c r="BA117" s="106">
        <f t="shared" si="31"/>
        <v>0</v>
      </c>
      <c r="BB117" s="34">
        <f t="shared" si="32"/>
        <v>0</v>
      </c>
      <c r="BC117" s="106">
        <f t="shared" si="33"/>
        <v>0</v>
      </c>
      <c r="BD117" s="34"/>
      <c r="BE117" s="105">
        <f t="shared" si="34"/>
        <v>0</v>
      </c>
      <c r="BF117" s="106">
        <f t="shared" si="35"/>
        <v>0</v>
      </c>
      <c r="BG117" s="105">
        <f t="shared" si="36"/>
        <v>0</v>
      </c>
      <c r="BH117" s="106">
        <f t="shared" si="37"/>
        <v>0</v>
      </c>
      <c r="BI117" s="34">
        <f t="shared" si="38"/>
        <v>0</v>
      </c>
      <c r="BJ117" s="106">
        <f t="shared" si="39"/>
        <v>0</v>
      </c>
      <c r="BK117" s="34">
        <f t="shared" si="40"/>
        <v>0</v>
      </c>
      <c r="BL117" s="106">
        <f t="shared" si="41"/>
        <v>0</v>
      </c>
      <c r="BN117" s="108">
        <v>0</v>
      </c>
      <c r="BO117" s="5"/>
      <c r="BP117" s="105">
        <v>0</v>
      </c>
      <c r="BQ117" s="106">
        <v>0</v>
      </c>
      <c r="BR117" s="34"/>
      <c r="BS117" s="105">
        <v>0</v>
      </c>
      <c r="BT117" s="106">
        <v>0</v>
      </c>
      <c r="BU117" s="105">
        <v>0</v>
      </c>
      <c r="BV117" s="106">
        <v>0</v>
      </c>
      <c r="BW117" s="105">
        <v>0</v>
      </c>
      <c r="BX117" s="106">
        <v>0</v>
      </c>
      <c r="BY117" s="105">
        <v>0</v>
      </c>
      <c r="BZ117" s="106">
        <v>0</v>
      </c>
      <c r="CA117" s="34"/>
      <c r="CB117" s="105">
        <v>0</v>
      </c>
      <c r="CC117" s="106">
        <v>0</v>
      </c>
      <c r="CD117" s="105">
        <v>0</v>
      </c>
      <c r="CE117" s="106">
        <v>0</v>
      </c>
      <c r="CF117" s="105">
        <v>0</v>
      </c>
      <c r="CG117" s="106">
        <v>0</v>
      </c>
      <c r="CH117" s="105">
        <v>0</v>
      </c>
      <c r="CI117" s="106">
        <v>0</v>
      </c>
      <c r="CK117" s="78"/>
      <c r="CL117" s="5"/>
      <c r="CM117" s="38" t="str">
        <f t="shared" si="42"/>
        <v>-</v>
      </c>
      <c r="CN117" s="5"/>
      <c r="CO117" s="38" t="str">
        <f t="shared" si="43"/>
        <v>-</v>
      </c>
      <c r="CP117" s="38" t="str">
        <f t="shared" si="44"/>
        <v>-</v>
      </c>
      <c r="CQ117" s="38" t="str">
        <f t="shared" si="45"/>
        <v>-</v>
      </c>
      <c r="CR117" s="38" t="str">
        <f t="shared" si="45"/>
        <v>-</v>
      </c>
      <c r="CS117" s="5"/>
      <c r="CT117" s="38" t="str">
        <f t="shared" si="46"/>
        <v>-</v>
      </c>
      <c r="CU117" s="38" t="str">
        <f t="shared" si="47"/>
        <v>-</v>
      </c>
      <c r="CV117" s="38" t="str">
        <f t="shared" si="48"/>
        <v>-</v>
      </c>
      <c r="CW117" s="38" t="str">
        <f t="shared" si="49"/>
        <v>-</v>
      </c>
    </row>
    <row r="118" spans="2:101" s="113" customFormat="1" ht="12.75" customHeight="1">
      <c r="B118" s="99" t="s">
        <v>59</v>
      </c>
      <c r="C118" s="98" t="s">
        <v>111</v>
      </c>
      <c r="D118" s="114" t="e">
        <f>VLOOKUP($C118,#REF!,5,0)</f>
        <v>#REF!</v>
      </c>
      <c r="E118" s="115" t="e">
        <f>VLOOKUP($C118,#REF!,6,0)</f>
        <v>#REF!</v>
      </c>
      <c r="F118" s="98" t="e">
        <f>VLOOKUP($C118,#REF!,7,0)</f>
        <v>#REF!</v>
      </c>
      <c r="G118" s="98" t="e">
        <f>VLOOKUP($C118,#REF!,8,0)</f>
        <v>#REF!</v>
      </c>
      <c r="H118" s="116" t="e">
        <f>VLOOKUP($C118,#REF!,9,0)</f>
        <v>#REF!</v>
      </c>
      <c r="I118" s="5"/>
      <c r="J118" s="118" t="e">
        <f>VLOOKUP($C118,#REF!,10,0)</f>
        <v>#REF!</v>
      </c>
      <c r="K118" s="119" t="e">
        <f>VLOOKUP($C118,#REF!,11,0)</f>
        <v>#REF!</v>
      </c>
      <c r="L118" s="34"/>
      <c r="M118" s="118" t="e">
        <f>VLOOKUP($C118,#REF!,12,0)</f>
        <v>#REF!</v>
      </c>
      <c r="N118" s="120" t="e">
        <f>VLOOKUP($C118,#REF!,13,0)</f>
        <v>#REF!</v>
      </c>
      <c r="O118" s="118" t="e">
        <f>VLOOKUP($C118,#REF!,14,0)</f>
        <v>#REF!</v>
      </c>
      <c r="P118" s="120" t="e">
        <f>VLOOKUP($C118,#REF!,15,0)</f>
        <v>#REF!</v>
      </c>
      <c r="Q118" s="118" t="e">
        <f>VLOOKUP($C118,#REF!,16,0)</f>
        <v>#REF!</v>
      </c>
      <c r="R118" s="119" t="e">
        <f>VLOOKUP($C118,#REF!,17,0)</f>
        <v>#REF!</v>
      </c>
      <c r="S118" s="120" t="e">
        <f>VLOOKUP($C118,#REF!,18,0)</f>
        <v>#REF!</v>
      </c>
      <c r="T118" s="119" t="e">
        <f>VLOOKUP($C118,#REF!,19,0)</f>
        <v>#REF!</v>
      </c>
      <c r="U118" s="34"/>
      <c r="V118" s="118" t="e">
        <f>VLOOKUP($C118,#REF!,20,0)</f>
        <v>#REF!</v>
      </c>
      <c r="W118" s="120" t="e">
        <f>VLOOKUP($C118,#REF!,21,0)</f>
        <v>#REF!</v>
      </c>
      <c r="X118" s="118" t="e">
        <f>VLOOKUP($C118,#REF!,22,0)</f>
        <v>#REF!</v>
      </c>
      <c r="Y118" s="120" t="e">
        <f>VLOOKUP($C118,#REF!,23,0)</f>
        <v>#REF!</v>
      </c>
      <c r="Z118" s="118" t="e">
        <f>VLOOKUP($C118,#REF!,24,0)</f>
        <v>#REF!</v>
      </c>
      <c r="AA118" s="119" t="e">
        <f>VLOOKUP($C118,#REF!,25,0)</f>
        <v>#REF!</v>
      </c>
      <c r="AB118" s="120" t="e">
        <f>VLOOKUP($C118,#REF!,26,0)</f>
        <v>#REF!</v>
      </c>
      <c r="AC118" s="119" t="e">
        <f>VLOOKUP($C118,#REF!,27,0)</f>
        <v>#REF!</v>
      </c>
      <c r="AD118" s="4"/>
      <c r="AE118" s="118" t="e">
        <f t="shared" si="27"/>
        <v>#REF!</v>
      </c>
      <c r="AF118" s="121" t="s">
        <v>320</v>
      </c>
      <c r="AG118" s="121" t="s">
        <v>321</v>
      </c>
      <c r="AH118" s="119" t="s">
        <v>322</v>
      </c>
      <c r="AI118" s="4"/>
      <c r="AJ118" s="118" t="s">
        <v>323</v>
      </c>
      <c r="AK118" s="121" t="s">
        <v>324</v>
      </c>
      <c r="AL118" s="121" t="s">
        <v>325</v>
      </c>
      <c r="AM118" s="121" t="s">
        <v>326</v>
      </c>
      <c r="AN118" s="121" t="s">
        <v>326</v>
      </c>
      <c r="AO118" s="119" t="s">
        <v>320</v>
      </c>
      <c r="AP118" s="4"/>
      <c r="AQ118" s="122">
        <v>110</v>
      </c>
      <c r="AR118" s="5"/>
      <c r="AS118" s="118">
        <v>0</v>
      </c>
      <c r="AT118" s="119">
        <v>0</v>
      </c>
      <c r="AU118" s="34"/>
      <c r="AV118" s="118">
        <f t="shared" si="50"/>
        <v>0</v>
      </c>
      <c r="AW118" s="119">
        <f t="shared" si="51"/>
        <v>0</v>
      </c>
      <c r="AX118" s="118">
        <f t="shared" si="28"/>
        <v>0</v>
      </c>
      <c r="AY118" s="119">
        <f t="shared" si="29"/>
        <v>0</v>
      </c>
      <c r="AZ118" s="118">
        <f t="shared" si="30"/>
        <v>0</v>
      </c>
      <c r="BA118" s="119">
        <f t="shared" si="31"/>
        <v>0</v>
      </c>
      <c r="BB118" s="120">
        <f t="shared" si="32"/>
        <v>0</v>
      </c>
      <c r="BC118" s="119">
        <f t="shared" si="33"/>
        <v>0</v>
      </c>
      <c r="BD118" s="34"/>
      <c r="BE118" s="118">
        <f t="shared" si="34"/>
        <v>0</v>
      </c>
      <c r="BF118" s="119">
        <f t="shared" si="35"/>
        <v>0</v>
      </c>
      <c r="BG118" s="118">
        <f t="shared" si="36"/>
        <v>0</v>
      </c>
      <c r="BH118" s="119">
        <f t="shared" si="37"/>
        <v>0</v>
      </c>
      <c r="BI118" s="120">
        <f t="shared" si="38"/>
        <v>0</v>
      </c>
      <c r="BJ118" s="119">
        <f t="shared" si="39"/>
        <v>0</v>
      </c>
      <c r="BK118" s="120">
        <f t="shared" si="40"/>
        <v>0</v>
      </c>
      <c r="BL118" s="119">
        <f t="shared" si="41"/>
        <v>0</v>
      </c>
      <c r="BM118" s="4"/>
      <c r="BN118" s="122">
        <v>0</v>
      </c>
      <c r="BO118" s="117"/>
      <c r="BP118" s="118">
        <v>0</v>
      </c>
      <c r="BQ118" s="119">
        <v>0</v>
      </c>
      <c r="BR118" s="120"/>
      <c r="BS118" s="118">
        <v>0</v>
      </c>
      <c r="BT118" s="119">
        <v>0</v>
      </c>
      <c r="BU118" s="118">
        <v>0</v>
      </c>
      <c r="BV118" s="119">
        <v>0</v>
      </c>
      <c r="BW118" s="118">
        <v>0</v>
      </c>
      <c r="BX118" s="119">
        <v>0</v>
      </c>
      <c r="BY118" s="118">
        <v>0</v>
      </c>
      <c r="BZ118" s="119">
        <v>0</v>
      </c>
      <c r="CA118" s="120"/>
      <c r="CB118" s="118">
        <v>0</v>
      </c>
      <c r="CC118" s="119">
        <v>0</v>
      </c>
      <c r="CD118" s="118">
        <v>0</v>
      </c>
      <c r="CE118" s="119">
        <v>0</v>
      </c>
      <c r="CF118" s="118">
        <v>0</v>
      </c>
      <c r="CG118" s="119">
        <v>0</v>
      </c>
      <c r="CH118" s="118">
        <v>0</v>
      </c>
      <c r="CI118" s="119">
        <v>0</v>
      </c>
      <c r="CJ118" s="4"/>
      <c r="CK118" s="79"/>
      <c r="CL118" s="5"/>
      <c r="CM118" s="39" t="str">
        <f t="shared" si="42"/>
        <v>-</v>
      </c>
      <c r="CN118" s="5"/>
      <c r="CO118" s="39" t="str">
        <f t="shared" si="43"/>
        <v>-</v>
      </c>
      <c r="CP118" s="39" t="str">
        <f t="shared" si="44"/>
        <v>-</v>
      </c>
      <c r="CQ118" s="39" t="str">
        <f t="shared" si="45"/>
        <v>-</v>
      </c>
      <c r="CR118" s="39" t="str">
        <f t="shared" si="45"/>
        <v>-</v>
      </c>
      <c r="CS118" s="5"/>
      <c r="CT118" s="39" t="str">
        <f t="shared" si="46"/>
        <v>-</v>
      </c>
      <c r="CU118" s="39" t="str">
        <f t="shared" si="47"/>
        <v>-</v>
      </c>
      <c r="CV118" s="39" t="str">
        <f t="shared" si="48"/>
        <v>-</v>
      </c>
      <c r="CW118" s="39" t="str">
        <f t="shared" si="49"/>
        <v>-</v>
      </c>
    </row>
    <row r="119" spans="2:101" s="4" customFormat="1" ht="12.75" customHeight="1">
      <c r="B119" s="102" t="s">
        <v>59</v>
      </c>
      <c r="C119" s="103" t="s">
        <v>258</v>
      </c>
      <c r="D119" s="104" t="e">
        <f>VLOOKUP($C119,#REF!,5,0)</f>
        <v>#REF!</v>
      </c>
      <c r="E119" s="109" t="e">
        <f>VLOOKUP($C119,#REF!,6,0)</f>
        <v>#REF!</v>
      </c>
      <c r="F119" s="103" t="e">
        <f>VLOOKUP($C119,#REF!,7,0)</f>
        <v>#REF!</v>
      </c>
      <c r="G119" s="103" t="e">
        <f>VLOOKUP($C119,#REF!,8,0)</f>
        <v>#REF!</v>
      </c>
      <c r="H119" s="110" t="e">
        <f>VLOOKUP($C119,#REF!,9,0)</f>
        <v>#REF!</v>
      </c>
      <c r="I119" s="5"/>
      <c r="J119" s="105" t="e">
        <f>VLOOKUP($C119,#REF!,10,0)</f>
        <v>#REF!</v>
      </c>
      <c r="K119" s="106" t="e">
        <f>VLOOKUP($C119,#REF!,11,0)</f>
        <v>#REF!</v>
      </c>
      <c r="L119" s="34"/>
      <c r="M119" s="105" t="e">
        <f>VLOOKUP($C119,#REF!,12,0)</f>
        <v>#REF!</v>
      </c>
      <c r="N119" s="34" t="e">
        <f>VLOOKUP($C119,#REF!,13,0)</f>
        <v>#REF!</v>
      </c>
      <c r="O119" s="105" t="e">
        <f>VLOOKUP($C119,#REF!,14,0)</f>
        <v>#REF!</v>
      </c>
      <c r="P119" s="34" t="e">
        <f>VLOOKUP($C119,#REF!,15,0)</f>
        <v>#REF!</v>
      </c>
      <c r="Q119" s="105" t="e">
        <f>VLOOKUP($C119,#REF!,16,0)</f>
        <v>#REF!</v>
      </c>
      <c r="R119" s="106" t="e">
        <f>VLOOKUP($C119,#REF!,17,0)</f>
        <v>#REF!</v>
      </c>
      <c r="S119" s="34" t="e">
        <f>VLOOKUP($C119,#REF!,18,0)</f>
        <v>#REF!</v>
      </c>
      <c r="T119" s="106" t="e">
        <f>VLOOKUP($C119,#REF!,19,0)</f>
        <v>#REF!</v>
      </c>
      <c r="U119" s="34"/>
      <c r="V119" s="105" t="e">
        <f>VLOOKUP($C119,#REF!,20,0)</f>
        <v>#REF!</v>
      </c>
      <c r="W119" s="34" t="e">
        <f>VLOOKUP($C119,#REF!,21,0)</f>
        <v>#REF!</v>
      </c>
      <c r="X119" s="105" t="e">
        <f>VLOOKUP($C119,#REF!,22,0)</f>
        <v>#REF!</v>
      </c>
      <c r="Y119" s="34" t="e">
        <f>VLOOKUP($C119,#REF!,23,0)</f>
        <v>#REF!</v>
      </c>
      <c r="Z119" s="105" t="e">
        <f>VLOOKUP($C119,#REF!,24,0)</f>
        <v>#REF!</v>
      </c>
      <c r="AA119" s="106" t="e">
        <f>VLOOKUP($C119,#REF!,25,0)</f>
        <v>#REF!</v>
      </c>
      <c r="AB119" s="34" t="e">
        <f>VLOOKUP($C119,#REF!,26,0)</f>
        <v>#REF!</v>
      </c>
      <c r="AC119" s="106" t="e">
        <f>VLOOKUP($C119,#REF!,27,0)</f>
        <v>#REF!</v>
      </c>
      <c r="AE119" s="105" t="e">
        <f t="shared" si="27"/>
        <v>#REF!</v>
      </c>
      <c r="AF119" s="107" t="s">
        <v>320</v>
      </c>
      <c r="AG119" s="107" t="s">
        <v>321</v>
      </c>
      <c r="AH119" s="106" t="s">
        <v>322</v>
      </c>
      <c r="AJ119" s="105" t="s">
        <v>323</v>
      </c>
      <c r="AK119" s="107" t="s">
        <v>324</v>
      </c>
      <c r="AL119" s="107" t="s">
        <v>325</v>
      </c>
      <c r="AM119" s="107" t="s">
        <v>326</v>
      </c>
      <c r="AN119" s="107" t="s">
        <v>326</v>
      </c>
      <c r="AO119" s="106" t="s">
        <v>320</v>
      </c>
      <c r="AQ119" s="108">
        <v>99</v>
      </c>
      <c r="AR119" s="5"/>
      <c r="AS119" s="105">
        <v>0</v>
      </c>
      <c r="AT119" s="106">
        <v>0</v>
      </c>
      <c r="AU119" s="34"/>
      <c r="AV119" s="105">
        <f t="shared" si="50"/>
        <v>0</v>
      </c>
      <c r="AW119" s="106">
        <f t="shared" si="51"/>
        <v>0</v>
      </c>
      <c r="AX119" s="105">
        <f t="shared" si="28"/>
        <v>0</v>
      </c>
      <c r="AY119" s="106">
        <f t="shared" si="29"/>
        <v>0</v>
      </c>
      <c r="AZ119" s="105">
        <f t="shared" si="30"/>
        <v>0</v>
      </c>
      <c r="BA119" s="106">
        <f t="shared" si="31"/>
        <v>0</v>
      </c>
      <c r="BB119" s="34">
        <f t="shared" si="32"/>
        <v>0</v>
      </c>
      <c r="BC119" s="106">
        <f t="shared" si="33"/>
        <v>0</v>
      </c>
      <c r="BD119" s="34"/>
      <c r="BE119" s="105">
        <f t="shared" si="34"/>
        <v>0</v>
      </c>
      <c r="BF119" s="106">
        <f t="shared" si="35"/>
        <v>0</v>
      </c>
      <c r="BG119" s="105">
        <f t="shared" si="36"/>
        <v>0</v>
      </c>
      <c r="BH119" s="106">
        <f t="shared" si="37"/>
        <v>0</v>
      </c>
      <c r="BI119" s="34">
        <f t="shared" si="38"/>
        <v>0</v>
      </c>
      <c r="BJ119" s="106">
        <f t="shared" si="39"/>
        <v>0</v>
      </c>
      <c r="BK119" s="34">
        <f t="shared" si="40"/>
        <v>0</v>
      </c>
      <c r="BL119" s="106">
        <f t="shared" si="41"/>
        <v>0</v>
      </c>
      <c r="BN119" s="108">
        <v>0</v>
      </c>
      <c r="BO119" s="5"/>
      <c r="BP119" s="105">
        <v>0</v>
      </c>
      <c r="BQ119" s="106">
        <v>0</v>
      </c>
      <c r="BR119" s="34"/>
      <c r="BS119" s="105">
        <v>0</v>
      </c>
      <c r="BT119" s="106">
        <v>0</v>
      </c>
      <c r="BU119" s="105">
        <v>0</v>
      </c>
      <c r="BV119" s="106">
        <v>0</v>
      </c>
      <c r="BW119" s="105">
        <v>0</v>
      </c>
      <c r="BX119" s="106">
        <v>0</v>
      </c>
      <c r="BY119" s="105">
        <v>0</v>
      </c>
      <c r="BZ119" s="106">
        <v>0</v>
      </c>
      <c r="CA119" s="34"/>
      <c r="CB119" s="105">
        <v>0</v>
      </c>
      <c r="CC119" s="106">
        <v>0</v>
      </c>
      <c r="CD119" s="105">
        <v>0</v>
      </c>
      <c r="CE119" s="106">
        <v>0</v>
      </c>
      <c r="CF119" s="105">
        <v>0</v>
      </c>
      <c r="CG119" s="106">
        <v>0</v>
      </c>
      <c r="CH119" s="105">
        <v>0</v>
      </c>
      <c r="CI119" s="106">
        <v>0</v>
      </c>
      <c r="CK119" s="78"/>
      <c r="CL119" s="5"/>
      <c r="CM119" s="38" t="str">
        <f t="shared" si="42"/>
        <v>-</v>
      </c>
      <c r="CN119" s="5"/>
      <c r="CO119" s="38" t="str">
        <f t="shared" si="43"/>
        <v>-</v>
      </c>
      <c r="CP119" s="38" t="str">
        <f t="shared" si="44"/>
        <v>-</v>
      </c>
      <c r="CQ119" s="38" t="str">
        <f t="shared" si="45"/>
        <v>-</v>
      </c>
      <c r="CR119" s="38" t="str">
        <f t="shared" si="45"/>
        <v>-</v>
      </c>
      <c r="CS119" s="5"/>
      <c r="CT119" s="38" t="str">
        <f t="shared" si="46"/>
        <v>-</v>
      </c>
      <c r="CU119" s="38" t="str">
        <f t="shared" si="47"/>
        <v>-</v>
      </c>
      <c r="CV119" s="38" t="str">
        <f t="shared" si="48"/>
        <v>-</v>
      </c>
      <c r="CW119" s="38" t="str">
        <f t="shared" si="49"/>
        <v>-</v>
      </c>
    </row>
    <row r="120" spans="2:101" s="113" customFormat="1" ht="12.75" customHeight="1">
      <c r="B120" s="99" t="s">
        <v>59</v>
      </c>
      <c r="C120" s="98" t="s">
        <v>126</v>
      </c>
      <c r="D120" s="114" t="e">
        <f>VLOOKUP($C120,#REF!,5,0)</f>
        <v>#REF!</v>
      </c>
      <c r="E120" s="115" t="e">
        <f>VLOOKUP($C120,#REF!,6,0)</f>
        <v>#REF!</v>
      </c>
      <c r="F120" s="98" t="e">
        <f>VLOOKUP($C120,#REF!,7,0)</f>
        <v>#REF!</v>
      </c>
      <c r="G120" s="98" t="e">
        <f>VLOOKUP($C120,#REF!,8,0)</f>
        <v>#REF!</v>
      </c>
      <c r="H120" s="116" t="e">
        <f>VLOOKUP($C120,#REF!,9,0)</f>
        <v>#REF!</v>
      </c>
      <c r="I120" s="5"/>
      <c r="J120" s="118" t="e">
        <f>VLOOKUP($C120,#REF!,10,0)</f>
        <v>#REF!</v>
      </c>
      <c r="K120" s="119" t="e">
        <f>VLOOKUP($C120,#REF!,11,0)</f>
        <v>#REF!</v>
      </c>
      <c r="L120" s="34"/>
      <c r="M120" s="118" t="e">
        <f>VLOOKUP($C120,#REF!,12,0)</f>
        <v>#REF!</v>
      </c>
      <c r="N120" s="120" t="e">
        <f>VLOOKUP($C120,#REF!,13,0)</f>
        <v>#REF!</v>
      </c>
      <c r="O120" s="118" t="e">
        <f>VLOOKUP($C120,#REF!,14,0)</f>
        <v>#REF!</v>
      </c>
      <c r="P120" s="120" t="e">
        <f>VLOOKUP($C120,#REF!,15,0)</f>
        <v>#REF!</v>
      </c>
      <c r="Q120" s="118" t="e">
        <f>VLOOKUP($C120,#REF!,16,0)</f>
        <v>#REF!</v>
      </c>
      <c r="R120" s="119" t="e">
        <f>VLOOKUP($C120,#REF!,17,0)</f>
        <v>#REF!</v>
      </c>
      <c r="S120" s="120" t="e">
        <f>VLOOKUP($C120,#REF!,18,0)</f>
        <v>#REF!</v>
      </c>
      <c r="T120" s="119" t="e">
        <f>VLOOKUP($C120,#REF!,19,0)</f>
        <v>#REF!</v>
      </c>
      <c r="U120" s="34"/>
      <c r="V120" s="118" t="e">
        <f>VLOOKUP($C120,#REF!,20,0)</f>
        <v>#REF!</v>
      </c>
      <c r="W120" s="120" t="e">
        <f>VLOOKUP($C120,#REF!,21,0)</f>
        <v>#REF!</v>
      </c>
      <c r="X120" s="118" t="e">
        <f>VLOOKUP($C120,#REF!,22,0)</f>
        <v>#REF!</v>
      </c>
      <c r="Y120" s="120" t="e">
        <f>VLOOKUP($C120,#REF!,23,0)</f>
        <v>#REF!</v>
      </c>
      <c r="Z120" s="118" t="e">
        <f>VLOOKUP($C120,#REF!,24,0)</f>
        <v>#REF!</v>
      </c>
      <c r="AA120" s="119" t="e">
        <f>VLOOKUP($C120,#REF!,25,0)</f>
        <v>#REF!</v>
      </c>
      <c r="AB120" s="120" t="e">
        <f>VLOOKUP($C120,#REF!,26,0)</f>
        <v>#REF!</v>
      </c>
      <c r="AC120" s="119" t="e">
        <f>VLOOKUP($C120,#REF!,27,0)</f>
        <v>#REF!</v>
      </c>
      <c r="AD120" s="4"/>
      <c r="AE120" s="118" t="e">
        <f t="shared" si="27"/>
        <v>#REF!</v>
      </c>
      <c r="AF120" s="121" t="s">
        <v>320</v>
      </c>
      <c r="AG120" s="121" t="s">
        <v>321</v>
      </c>
      <c r="AH120" s="119" t="s">
        <v>322</v>
      </c>
      <c r="AI120" s="4"/>
      <c r="AJ120" s="118" t="s">
        <v>323</v>
      </c>
      <c r="AK120" s="121" t="s">
        <v>324</v>
      </c>
      <c r="AL120" s="121" t="s">
        <v>325</v>
      </c>
      <c r="AM120" s="121" t="s">
        <v>326</v>
      </c>
      <c r="AN120" s="121" t="s">
        <v>326</v>
      </c>
      <c r="AO120" s="119" t="s">
        <v>320</v>
      </c>
      <c r="AP120" s="4"/>
      <c r="AQ120" s="122">
        <v>95</v>
      </c>
      <c r="AR120" s="5"/>
      <c r="AS120" s="118">
        <v>0</v>
      </c>
      <c r="AT120" s="119">
        <v>0</v>
      </c>
      <c r="AU120" s="34"/>
      <c r="AV120" s="118">
        <f t="shared" si="50"/>
        <v>0</v>
      </c>
      <c r="AW120" s="119">
        <f t="shared" si="51"/>
        <v>0</v>
      </c>
      <c r="AX120" s="118">
        <f t="shared" si="28"/>
        <v>0</v>
      </c>
      <c r="AY120" s="119">
        <f t="shared" si="29"/>
        <v>0</v>
      </c>
      <c r="AZ120" s="118">
        <f t="shared" si="30"/>
        <v>0</v>
      </c>
      <c r="BA120" s="119">
        <f t="shared" si="31"/>
        <v>0</v>
      </c>
      <c r="BB120" s="120">
        <f t="shared" si="32"/>
        <v>0</v>
      </c>
      <c r="BC120" s="119">
        <f t="shared" si="33"/>
        <v>0</v>
      </c>
      <c r="BD120" s="34"/>
      <c r="BE120" s="118">
        <f t="shared" si="34"/>
        <v>0</v>
      </c>
      <c r="BF120" s="119">
        <f t="shared" si="35"/>
        <v>0</v>
      </c>
      <c r="BG120" s="118">
        <f t="shared" si="36"/>
        <v>0</v>
      </c>
      <c r="BH120" s="119">
        <f t="shared" si="37"/>
        <v>0</v>
      </c>
      <c r="BI120" s="120">
        <f t="shared" si="38"/>
        <v>0</v>
      </c>
      <c r="BJ120" s="119">
        <f t="shared" si="39"/>
        <v>0</v>
      </c>
      <c r="BK120" s="120">
        <f t="shared" si="40"/>
        <v>0</v>
      </c>
      <c r="BL120" s="119">
        <f t="shared" si="41"/>
        <v>0</v>
      </c>
      <c r="BM120" s="4"/>
      <c r="BN120" s="122">
        <v>0</v>
      </c>
      <c r="BO120" s="117"/>
      <c r="BP120" s="118">
        <v>0</v>
      </c>
      <c r="BQ120" s="119">
        <v>0</v>
      </c>
      <c r="BR120" s="120"/>
      <c r="BS120" s="118">
        <v>0</v>
      </c>
      <c r="BT120" s="119">
        <v>0</v>
      </c>
      <c r="BU120" s="118">
        <v>0</v>
      </c>
      <c r="BV120" s="119">
        <v>0</v>
      </c>
      <c r="BW120" s="118">
        <v>0</v>
      </c>
      <c r="BX120" s="119">
        <v>0</v>
      </c>
      <c r="BY120" s="118">
        <v>0</v>
      </c>
      <c r="BZ120" s="119">
        <v>0</v>
      </c>
      <c r="CA120" s="120"/>
      <c r="CB120" s="118">
        <v>0</v>
      </c>
      <c r="CC120" s="119">
        <v>0</v>
      </c>
      <c r="CD120" s="118">
        <v>0</v>
      </c>
      <c r="CE120" s="119">
        <v>0</v>
      </c>
      <c r="CF120" s="118">
        <v>0</v>
      </c>
      <c r="CG120" s="119">
        <v>0</v>
      </c>
      <c r="CH120" s="118">
        <v>0</v>
      </c>
      <c r="CI120" s="119">
        <v>0</v>
      </c>
      <c r="CJ120" s="4"/>
      <c r="CK120" s="79"/>
      <c r="CL120" s="5"/>
      <c r="CM120" s="39" t="str">
        <f t="shared" si="42"/>
        <v>-</v>
      </c>
      <c r="CN120" s="5"/>
      <c r="CO120" s="39" t="str">
        <f t="shared" si="43"/>
        <v>-</v>
      </c>
      <c r="CP120" s="39" t="str">
        <f t="shared" si="44"/>
        <v>-</v>
      </c>
      <c r="CQ120" s="39" t="str">
        <f t="shared" si="45"/>
        <v>-</v>
      </c>
      <c r="CR120" s="39" t="str">
        <f t="shared" si="45"/>
        <v>-</v>
      </c>
      <c r="CS120" s="5"/>
      <c r="CT120" s="39" t="str">
        <f t="shared" si="46"/>
        <v>-</v>
      </c>
      <c r="CU120" s="39" t="str">
        <f t="shared" si="47"/>
        <v>-</v>
      </c>
      <c r="CV120" s="39" t="str">
        <f t="shared" si="48"/>
        <v>-</v>
      </c>
      <c r="CW120" s="39" t="str">
        <f t="shared" si="49"/>
        <v>-</v>
      </c>
    </row>
    <row r="121" spans="2:101" s="4" customFormat="1" ht="12.75" customHeight="1">
      <c r="B121" s="102" t="s">
        <v>59</v>
      </c>
      <c r="C121" s="103" t="s">
        <v>242</v>
      </c>
      <c r="D121" s="104" t="e">
        <f>VLOOKUP($C121,#REF!,5,0)</f>
        <v>#REF!</v>
      </c>
      <c r="E121" s="109" t="e">
        <f>VLOOKUP($C121,#REF!,6,0)</f>
        <v>#REF!</v>
      </c>
      <c r="F121" s="103" t="e">
        <f>VLOOKUP($C121,#REF!,7,0)</f>
        <v>#REF!</v>
      </c>
      <c r="G121" s="103" t="e">
        <f>VLOOKUP($C121,#REF!,8,0)</f>
        <v>#REF!</v>
      </c>
      <c r="H121" s="110" t="e">
        <f>VLOOKUP($C121,#REF!,9,0)</f>
        <v>#REF!</v>
      </c>
      <c r="I121" s="5"/>
      <c r="J121" s="105" t="e">
        <f>VLOOKUP($C121,#REF!,10,0)</f>
        <v>#REF!</v>
      </c>
      <c r="K121" s="106" t="e">
        <f>VLOOKUP($C121,#REF!,11,0)</f>
        <v>#REF!</v>
      </c>
      <c r="L121" s="34"/>
      <c r="M121" s="105" t="e">
        <f>VLOOKUP($C121,#REF!,12,0)</f>
        <v>#REF!</v>
      </c>
      <c r="N121" s="34" t="e">
        <f>VLOOKUP($C121,#REF!,13,0)</f>
        <v>#REF!</v>
      </c>
      <c r="O121" s="105" t="e">
        <f>VLOOKUP($C121,#REF!,14,0)</f>
        <v>#REF!</v>
      </c>
      <c r="P121" s="34" t="e">
        <f>VLOOKUP($C121,#REF!,15,0)</f>
        <v>#REF!</v>
      </c>
      <c r="Q121" s="105" t="e">
        <f>VLOOKUP($C121,#REF!,16,0)</f>
        <v>#REF!</v>
      </c>
      <c r="R121" s="106" t="e">
        <f>VLOOKUP($C121,#REF!,17,0)</f>
        <v>#REF!</v>
      </c>
      <c r="S121" s="34" t="e">
        <f>VLOOKUP($C121,#REF!,18,0)</f>
        <v>#REF!</v>
      </c>
      <c r="T121" s="106" t="e">
        <f>VLOOKUP($C121,#REF!,19,0)</f>
        <v>#REF!</v>
      </c>
      <c r="U121" s="34"/>
      <c r="V121" s="105" t="e">
        <f>VLOOKUP($C121,#REF!,20,0)</f>
        <v>#REF!</v>
      </c>
      <c r="W121" s="34" t="e">
        <f>VLOOKUP($C121,#REF!,21,0)</f>
        <v>#REF!</v>
      </c>
      <c r="X121" s="105" t="e">
        <f>VLOOKUP($C121,#REF!,22,0)</f>
        <v>#REF!</v>
      </c>
      <c r="Y121" s="34" t="e">
        <f>VLOOKUP($C121,#REF!,23,0)</f>
        <v>#REF!</v>
      </c>
      <c r="Z121" s="105" t="e">
        <f>VLOOKUP($C121,#REF!,24,0)</f>
        <v>#REF!</v>
      </c>
      <c r="AA121" s="106" t="e">
        <f>VLOOKUP($C121,#REF!,25,0)</f>
        <v>#REF!</v>
      </c>
      <c r="AB121" s="34" t="e">
        <f>VLOOKUP($C121,#REF!,26,0)</f>
        <v>#REF!</v>
      </c>
      <c r="AC121" s="106" t="e">
        <f>VLOOKUP($C121,#REF!,27,0)</f>
        <v>#REF!</v>
      </c>
      <c r="AE121" s="105" t="e">
        <f t="shared" si="27"/>
        <v>#REF!</v>
      </c>
      <c r="AF121" s="107" t="s">
        <v>320</v>
      </c>
      <c r="AG121" s="107" t="s">
        <v>321</v>
      </c>
      <c r="AH121" s="106" t="s">
        <v>322</v>
      </c>
      <c r="AJ121" s="105" t="s">
        <v>323</v>
      </c>
      <c r="AK121" s="107" t="s">
        <v>324</v>
      </c>
      <c r="AL121" s="107" t="s">
        <v>325</v>
      </c>
      <c r="AM121" s="107" t="s">
        <v>326</v>
      </c>
      <c r="AN121" s="107" t="s">
        <v>326</v>
      </c>
      <c r="AO121" s="106" t="s">
        <v>320</v>
      </c>
      <c r="AQ121" s="108">
        <v>124</v>
      </c>
      <c r="AR121" s="5"/>
      <c r="AS121" s="105">
        <v>0</v>
      </c>
      <c r="AT121" s="106">
        <v>0</v>
      </c>
      <c r="AU121" s="34"/>
      <c r="AV121" s="105">
        <f t="shared" si="50"/>
        <v>0</v>
      </c>
      <c r="AW121" s="106">
        <f t="shared" si="51"/>
        <v>0</v>
      </c>
      <c r="AX121" s="105">
        <f t="shared" si="28"/>
        <v>0</v>
      </c>
      <c r="AY121" s="106">
        <f t="shared" si="29"/>
        <v>0</v>
      </c>
      <c r="AZ121" s="105">
        <f t="shared" si="30"/>
        <v>0</v>
      </c>
      <c r="BA121" s="106">
        <f t="shared" si="31"/>
        <v>0</v>
      </c>
      <c r="BB121" s="34">
        <f t="shared" si="32"/>
        <v>0</v>
      </c>
      <c r="BC121" s="106">
        <f t="shared" si="33"/>
        <v>0</v>
      </c>
      <c r="BD121" s="34"/>
      <c r="BE121" s="105">
        <f t="shared" si="34"/>
        <v>0</v>
      </c>
      <c r="BF121" s="106">
        <f t="shared" si="35"/>
        <v>0</v>
      </c>
      <c r="BG121" s="105">
        <f t="shared" si="36"/>
        <v>0</v>
      </c>
      <c r="BH121" s="106">
        <f t="shared" si="37"/>
        <v>0</v>
      </c>
      <c r="BI121" s="34">
        <f t="shared" si="38"/>
        <v>0</v>
      </c>
      <c r="BJ121" s="106">
        <f t="shared" si="39"/>
        <v>0</v>
      </c>
      <c r="BK121" s="34">
        <f t="shared" si="40"/>
        <v>0</v>
      </c>
      <c r="BL121" s="106">
        <f t="shared" si="41"/>
        <v>0</v>
      </c>
      <c r="BN121" s="108">
        <v>-24.800000000000068</v>
      </c>
      <c r="BO121" s="5"/>
      <c r="BP121" s="105">
        <v>-24.800000000000068</v>
      </c>
      <c r="BQ121" s="106">
        <v>0</v>
      </c>
      <c r="BR121" s="34"/>
      <c r="BS121" s="105">
        <v>0</v>
      </c>
      <c r="BT121" s="106">
        <v>0</v>
      </c>
      <c r="BU121" s="105">
        <v>0</v>
      </c>
      <c r="BV121" s="106">
        <v>0</v>
      </c>
      <c r="BW121" s="105">
        <v>0</v>
      </c>
      <c r="BX121" s="106">
        <v>0</v>
      </c>
      <c r="BY121" s="105">
        <v>0</v>
      </c>
      <c r="BZ121" s="106">
        <v>0</v>
      </c>
      <c r="CA121" s="34"/>
      <c r="CB121" s="105">
        <v>0</v>
      </c>
      <c r="CC121" s="106">
        <v>0</v>
      </c>
      <c r="CD121" s="105">
        <v>0</v>
      </c>
      <c r="CE121" s="106">
        <v>0</v>
      </c>
      <c r="CF121" s="105">
        <v>0</v>
      </c>
      <c r="CG121" s="106">
        <v>0</v>
      </c>
      <c r="CH121" s="105">
        <v>0</v>
      </c>
      <c r="CI121" s="106">
        <v>0</v>
      </c>
      <c r="CK121" s="78"/>
      <c r="CL121" s="5"/>
      <c r="CM121" s="38" t="str">
        <f t="shared" si="42"/>
        <v>-</v>
      </c>
      <c r="CN121" s="5"/>
      <c r="CO121" s="38" t="str">
        <f t="shared" si="43"/>
        <v>-</v>
      </c>
      <c r="CP121" s="38" t="str">
        <f t="shared" si="44"/>
        <v>-</v>
      </c>
      <c r="CQ121" s="38" t="str">
        <f t="shared" si="45"/>
        <v>-</v>
      </c>
      <c r="CR121" s="38" t="str">
        <f t="shared" si="45"/>
        <v>-</v>
      </c>
      <c r="CS121" s="5"/>
      <c r="CT121" s="38" t="str">
        <f t="shared" si="46"/>
        <v>-</v>
      </c>
      <c r="CU121" s="38" t="str">
        <f t="shared" si="47"/>
        <v>-</v>
      </c>
      <c r="CV121" s="38" t="str">
        <f t="shared" si="48"/>
        <v>-</v>
      </c>
      <c r="CW121" s="38" t="str">
        <f t="shared" si="49"/>
        <v>-</v>
      </c>
    </row>
    <row r="122" spans="2:101" s="113" customFormat="1" ht="12.75" customHeight="1">
      <c r="B122" s="100" t="s">
        <v>60</v>
      </c>
      <c r="C122" s="101" t="s">
        <v>368</v>
      </c>
      <c r="D122" s="114" t="e">
        <f>VLOOKUP($C122,#REF!,5,0)</f>
        <v>#REF!</v>
      </c>
      <c r="E122" s="115" t="e">
        <f>VLOOKUP($C122,#REF!,6,0)</f>
        <v>#REF!</v>
      </c>
      <c r="F122" s="98" t="e">
        <f>VLOOKUP($C122,#REF!,7,0)</f>
        <v>#REF!</v>
      </c>
      <c r="G122" s="98" t="e">
        <f>VLOOKUP($C122,#REF!,8,0)</f>
        <v>#REF!</v>
      </c>
      <c r="H122" s="116" t="e">
        <f>VLOOKUP($C122,#REF!,9,0)</f>
        <v>#REF!</v>
      </c>
      <c r="I122" s="5"/>
      <c r="J122" s="118" t="e">
        <f>VLOOKUP($C122,#REF!,10,0)</f>
        <v>#REF!</v>
      </c>
      <c r="K122" s="119" t="e">
        <f>VLOOKUP($C122,#REF!,11,0)</f>
        <v>#REF!</v>
      </c>
      <c r="L122" s="34"/>
      <c r="M122" s="118" t="e">
        <f>VLOOKUP($C122,#REF!,12,0)</f>
        <v>#REF!</v>
      </c>
      <c r="N122" s="120" t="e">
        <f>VLOOKUP($C122,#REF!,13,0)</f>
        <v>#REF!</v>
      </c>
      <c r="O122" s="118" t="e">
        <f>VLOOKUP($C122,#REF!,14,0)</f>
        <v>#REF!</v>
      </c>
      <c r="P122" s="120" t="e">
        <f>VLOOKUP($C122,#REF!,15,0)</f>
        <v>#REF!</v>
      </c>
      <c r="Q122" s="118" t="e">
        <f>VLOOKUP($C122,#REF!,16,0)</f>
        <v>#REF!</v>
      </c>
      <c r="R122" s="119" t="e">
        <f>VLOOKUP($C122,#REF!,17,0)</f>
        <v>#REF!</v>
      </c>
      <c r="S122" s="120" t="e">
        <f>VLOOKUP($C122,#REF!,18,0)</f>
        <v>#REF!</v>
      </c>
      <c r="T122" s="119" t="e">
        <f>VLOOKUP($C122,#REF!,19,0)</f>
        <v>#REF!</v>
      </c>
      <c r="U122" s="34"/>
      <c r="V122" s="118" t="e">
        <f>VLOOKUP($C122,#REF!,20,0)</f>
        <v>#REF!</v>
      </c>
      <c r="W122" s="120" t="e">
        <f>VLOOKUP($C122,#REF!,21,0)</f>
        <v>#REF!</v>
      </c>
      <c r="X122" s="118" t="e">
        <f>VLOOKUP($C122,#REF!,22,0)</f>
        <v>#REF!</v>
      </c>
      <c r="Y122" s="120" t="e">
        <f>VLOOKUP($C122,#REF!,23,0)</f>
        <v>#REF!</v>
      </c>
      <c r="Z122" s="118" t="e">
        <f>VLOOKUP($C122,#REF!,24,0)</f>
        <v>#REF!</v>
      </c>
      <c r="AA122" s="119" t="e">
        <f>VLOOKUP($C122,#REF!,25,0)</f>
        <v>#REF!</v>
      </c>
      <c r="AB122" s="120" t="e">
        <f>VLOOKUP($C122,#REF!,26,0)</f>
        <v>#REF!</v>
      </c>
      <c r="AC122" s="119" t="e">
        <f>VLOOKUP($C122,#REF!,27,0)</f>
        <v>#REF!</v>
      </c>
      <c r="AD122" s="4"/>
      <c r="AE122" s="118" t="e">
        <f t="shared" si="27"/>
        <v>#REF!</v>
      </c>
      <c r="AF122" s="121" t="s">
        <v>320</v>
      </c>
      <c r="AG122" s="121" t="s">
        <v>321</v>
      </c>
      <c r="AH122" s="119" t="s">
        <v>322</v>
      </c>
      <c r="AI122" s="4"/>
      <c r="AJ122" s="118" t="s">
        <v>323</v>
      </c>
      <c r="AK122" s="121" t="s">
        <v>324</v>
      </c>
      <c r="AL122" s="121" t="s">
        <v>325</v>
      </c>
      <c r="AM122" s="121" t="s">
        <v>326</v>
      </c>
      <c r="AN122" s="121" t="s">
        <v>326</v>
      </c>
      <c r="AO122" s="119" t="s">
        <v>320</v>
      </c>
      <c r="AP122" s="4"/>
      <c r="AQ122" s="122">
        <v>99</v>
      </c>
      <c r="AR122" s="5"/>
      <c r="AS122" s="118">
        <v>0</v>
      </c>
      <c r="AT122" s="119">
        <v>0</v>
      </c>
      <c r="AU122" s="34"/>
      <c r="AV122" s="118">
        <f t="shared" si="50"/>
        <v>0</v>
      </c>
      <c r="AW122" s="119">
        <f t="shared" si="51"/>
        <v>0</v>
      </c>
      <c r="AX122" s="118">
        <f t="shared" si="28"/>
        <v>0</v>
      </c>
      <c r="AY122" s="119">
        <f t="shared" si="29"/>
        <v>0</v>
      </c>
      <c r="AZ122" s="118">
        <f t="shared" si="30"/>
        <v>0</v>
      </c>
      <c r="BA122" s="119">
        <f t="shared" si="31"/>
        <v>0</v>
      </c>
      <c r="BB122" s="120">
        <f t="shared" si="32"/>
        <v>0</v>
      </c>
      <c r="BC122" s="119">
        <f t="shared" si="33"/>
        <v>0</v>
      </c>
      <c r="BD122" s="34"/>
      <c r="BE122" s="118">
        <f t="shared" si="34"/>
        <v>0</v>
      </c>
      <c r="BF122" s="119">
        <f t="shared" si="35"/>
        <v>0</v>
      </c>
      <c r="BG122" s="118">
        <f t="shared" si="36"/>
        <v>0</v>
      </c>
      <c r="BH122" s="119">
        <f t="shared" si="37"/>
        <v>0</v>
      </c>
      <c r="BI122" s="120">
        <f t="shared" si="38"/>
        <v>0</v>
      </c>
      <c r="BJ122" s="119">
        <f t="shared" si="39"/>
        <v>0</v>
      </c>
      <c r="BK122" s="120">
        <f t="shared" si="40"/>
        <v>0</v>
      </c>
      <c r="BL122" s="119">
        <f t="shared" si="41"/>
        <v>0</v>
      </c>
      <c r="BM122" s="4"/>
      <c r="BN122" s="122">
        <v>0</v>
      </c>
      <c r="BO122" s="117"/>
      <c r="BP122" s="118">
        <v>0</v>
      </c>
      <c r="BQ122" s="119">
        <v>0</v>
      </c>
      <c r="BR122" s="120"/>
      <c r="BS122" s="118">
        <v>0</v>
      </c>
      <c r="BT122" s="119">
        <v>0</v>
      </c>
      <c r="BU122" s="118">
        <v>0</v>
      </c>
      <c r="BV122" s="119">
        <v>0</v>
      </c>
      <c r="BW122" s="118">
        <v>0</v>
      </c>
      <c r="BX122" s="119">
        <v>0</v>
      </c>
      <c r="BY122" s="118">
        <v>0</v>
      </c>
      <c r="BZ122" s="119">
        <v>0</v>
      </c>
      <c r="CA122" s="120"/>
      <c r="CB122" s="118">
        <v>0</v>
      </c>
      <c r="CC122" s="119">
        <v>0</v>
      </c>
      <c r="CD122" s="118">
        <v>0</v>
      </c>
      <c r="CE122" s="119">
        <v>0</v>
      </c>
      <c r="CF122" s="118">
        <v>0</v>
      </c>
      <c r="CG122" s="119">
        <v>0</v>
      </c>
      <c r="CH122" s="118">
        <v>0</v>
      </c>
      <c r="CI122" s="119">
        <v>0</v>
      </c>
      <c r="CJ122" s="4"/>
      <c r="CK122" s="79"/>
      <c r="CL122" s="5"/>
      <c r="CM122" s="39" t="str">
        <f t="shared" si="42"/>
        <v>-</v>
      </c>
      <c r="CN122" s="5"/>
      <c r="CO122" s="39" t="str">
        <f t="shared" si="43"/>
        <v>-</v>
      </c>
      <c r="CP122" s="39" t="str">
        <f t="shared" si="44"/>
        <v>-</v>
      </c>
      <c r="CQ122" s="39" t="str">
        <f t="shared" si="45"/>
        <v>-</v>
      </c>
      <c r="CR122" s="39" t="str">
        <f t="shared" si="45"/>
        <v>-</v>
      </c>
      <c r="CS122" s="5"/>
      <c r="CT122" s="39" t="str">
        <f t="shared" si="46"/>
        <v>-</v>
      </c>
      <c r="CU122" s="39" t="str">
        <f t="shared" si="47"/>
        <v>-</v>
      </c>
      <c r="CV122" s="39" t="str">
        <f t="shared" si="48"/>
        <v>-</v>
      </c>
      <c r="CW122" s="39" t="str">
        <f t="shared" si="49"/>
        <v>-</v>
      </c>
    </row>
    <row r="123" spans="2:101" s="4" customFormat="1" ht="12.75" customHeight="1">
      <c r="B123" s="102" t="s">
        <v>59</v>
      </c>
      <c r="C123" s="103" t="s">
        <v>198</v>
      </c>
      <c r="D123" s="104" t="e">
        <f>VLOOKUP($C123,#REF!,5,0)</f>
        <v>#REF!</v>
      </c>
      <c r="E123" s="109" t="e">
        <f>VLOOKUP($C123,#REF!,6,0)</f>
        <v>#REF!</v>
      </c>
      <c r="F123" s="103" t="e">
        <f>VLOOKUP($C123,#REF!,7,0)</f>
        <v>#REF!</v>
      </c>
      <c r="G123" s="103" t="e">
        <f>VLOOKUP($C123,#REF!,8,0)</f>
        <v>#REF!</v>
      </c>
      <c r="H123" s="110" t="e">
        <f>VLOOKUP($C123,#REF!,9,0)</f>
        <v>#REF!</v>
      </c>
      <c r="I123" s="5"/>
      <c r="J123" s="105" t="e">
        <f>VLOOKUP($C123,#REF!,10,0)</f>
        <v>#REF!</v>
      </c>
      <c r="K123" s="106" t="e">
        <f>VLOOKUP($C123,#REF!,11,0)</f>
        <v>#REF!</v>
      </c>
      <c r="L123" s="34"/>
      <c r="M123" s="105" t="e">
        <f>VLOOKUP($C123,#REF!,12,0)</f>
        <v>#REF!</v>
      </c>
      <c r="N123" s="34" t="e">
        <f>VLOOKUP($C123,#REF!,13,0)</f>
        <v>#REF!</v>
      </c>
      <c r="O123" s="105" t="e">
        <f>VLOOKUP($C123,#REF!,14,0)</f>
        <v>#REF!</v>
      </c>
      <c r="P123" s="34" t="e">
        <f>VLOOKUP($C123,#REF!,15,0)</f>
        <v>#REF!</v>
      </c>
      <c r="Q123" s="105" t="e">
        <f>VLOOKUP($C123,#REF!,16,0)</f>
        <v>#REF!</v>
      </c>
      <c r="R123" s="106" t="e">
        <f>VLOOKUP($C123,#REF!,17,0)</f>
        <v>#REF!</v>
      </c>
      <c r="S123" s="34" t="e">
        <f>VLOOKUP($C123,#REF!,18,0)</f>
        <v>#REF!</v>
      </c>
      <c r="T123" s="106" t="e">
        <f>VLOOKUP($C123,#REF!,19,0)</f>
        <v>#REF!</v>
      </c>
      <c r="U123" s="34"/>
      <c r="V123" s="105" t="e">
        <f>VLOOKUP($C123,#REF!,20,0)</f>
        <v>#REF!</v>
      </c>
      <c r="W123" s="34" t="e">
        <f>VLOOKUP($C123,#REF!,21,0)</f>
        <v>#REF!</v>
      </c>
      <c r="X123" s="105" t="e">
        <f>VLOOKUP($C123,#REF!,22,0)</f>
        <v>#REF!</v>
      </c>
      <c r="Y123" s="34" t="e">
        <f>VLOOKUP($C123,#REF!,23,0)</f>
        <v>#REF!</v>
      </c>
      <c r="Z123" s="105" t="e">
        <f>VLOOKUP($C123,#REF!,24,0)</f>
        <v>#REF!</v>
      </c>
      <c r="AA123" s="106" t="e">
        <f>VLOOKUP($C123,#REF!,25,0)</f>
        <v>#REF!</v>
      </c>
      <c r="AB123" s="34" t="e">
        <f>VLOOKUP($C123,#REF!,26,0)</f>
        <v>#REF!</v>
      </c>
      <c r="AC123" s="106" t="e">
        <f>VLOOKUP($C123,#REF!,27,0)</f>
        <v>#REF!</v>
      </c>
      <c r="AE123" s="105" t="e">
        <f t="shared" si="27"/>
        <v>#REF!</v>
      </c>
      <c r="AF123" s="107" t="s">
        <v>320</v>
      </c>
      <c r="AG123" s="107" t="s">
        <v>321</v>
      </c>
      <c r="AH123" s="106" t="s">
        <v>322</v>
      </c>
      <c r="AJ123" s="105" t="s">
        <v>323</v>
      </c>
      <c r="AK123" s="107" t="s">
        <v>324</v>
      </c>
      <c r="AL123" s="107" t="s">
        <v>325</v>
      </c>
      <c r="AM123" s="107" t="s">
        <v>326</v>
      </c>
      <c r="AN123" s="107" t="s">
        <v>326</v>
      </c>
      <c r="AO123" s="106" t="s">
        <v>320</v>
      </c>
      <c r="AQ123" s="108">
        <v>124</v>
      </c>
      <c r="AR123" s="5"/>
      <c r="AS123" s="105">
        <v>0</v>
      </c>
      <c r="AT123" s="106">
        <v>0</v>
      </c>
      <c r="AU123" s="34"/>
      <c r="AV123" s="105">
        <f t="shared" si="50"/>
        <v>0</v>
      </c>
      <c r="AW123" s="106">
        <f t="shared" si="51"/>
        <v>0</v>
      </c>
      <c r="AX123" s="105">
        <f t="shared" si="28"/>
        <v>0</v>
      </c>
      <c r="AY123" s="106">
        <f t="shared" si="29"/>
        <v>0</v>
      </c>
      <c r="AZ123" s="105">
        <f t="shared" si="30"/>
        <v>0</v>
      </c>
      <c r="BA123" s="106">
        <f t="shared" si="31"/>
        <v>0</v>
      </c>
      <c r="BB123" s="34">
        <f t="shared" si="32"/>
        <v>0</v>
      </c>
      <c r="BC123" s="106">
        <f t="shared" si="33"/>
        <v>0</v>
      </c>
      <c r="BD123" s="34"/>
      <c r="BE123" s="105">
        <f t="shared" si="34"/>
        <v>0</v>
      </c>
      <c r="BF123" s="106">
        <f t="shared" si="35"/>
        <v>0</v>
      </c>
      <c r="BG123" s="105">
        <f t="shared" si="36"/>
        <v>0</v>
      </c>
      <c r="BH123" s="106">
        <f t="shared" si="37"/>
        <v>0</v>
      </c>
      <c r="BI123" s="34">
        <f t="shared" si="38"/>
        <v>0</v>
      </c>
      <c r="BJ123" s="106">
        <f t="shared" si="39"/>
        <v>0</v>
      </c>
      <c r="BK123" s="34">
        <f t="shared" si="40"/>
        <v>0</v>
      </c>
      <c r="BL123" s="106">
        <f t="shared" si="41"/>
        <v>0</v>
      </c>
      <c r="BN123" s="108">
        <v>0</v>
      </c>
      <c r="BO123" s="5"/>
      <c r="BP123" s="105">
        <v>0</v>
      </c>
      <c r="BQ123" s="106">
        <v>0</v>
      </c>
      <c r="BR123" s="34"/>
      <c r="BS123" s="105">
        <v>0</v>
      </c>
      <c r="BT123" s="106">
        <v>0</v>
      </c>
      <c r="BU123" s="105">
        <v>0</v>
      </c>
      <c r="BV123" s="106">
        <v>0</v>
      </c>
      <c r="BW123" s="105">
        <v>0</v>
      </c>
      <c r="BX123" s="106">
        <v>0</v>
      </c>
      <c r="BY123" s="105">
        <v>0</v>
      </c>
      <c r="BZ123" s="106">
        <v>0</v>
      </c>
      <c r="CA123" s="34"/>
      <c r="CB123" s="105">
        <v>0</v>
      </c>
      <c r="CC123" s="106">
        <v>0</v>
      </c>
      <c r="CD123" s="105">
        <v>0</v>
      </c>
      <c r="CE123" s="106">
        <v>0</v>
      </c>
      <c r="CF123" s="105">
        <v>0</v>
      </c>
      <c r="CG123" s="106">
        <v>0</v>
      </c>
      <c r="CH123" s="105">
        <v>0</v>
      </c>
      <c r="CI123" s="106">
        <v>0</v>
      </c>
      <c r="CK123" s="78"/>
      <c r="CL123" s="5"/>
      <c r="CM123" s="38" t="str">
        <f t="shared" si="42"/>
        <v>-</v>
      </c>
      <c r="CN123" s="5"/>
      <c r="CO123" s="38" t="str">
        <f t="shared" si="43"/>
        <v>-</v>
      </c>
      <c r="CP123" s="38" t="str">
        <f t="shared" si="44"/>
        <v>-</v>
      </c>
      <c r="CQ123" s="38" t="str">
        <f t="shared" si="45"/>
        <v>-</v>
      </c>
      <c r="CR123" s="38" t="str">
        <f t="shared" si="45"/>
        <v>-</v>
      </c>
      <c r="CS123" s="5"/>
      <c r="CT123" s="38" t="str">
        <f t="shared" si="46"/>
        <v>-</v>
      </c>
      <c r="CU123" s="38" t="str">
        <f t="shared" si="47"/>
        <v>-</v>
      </c>
      <c r="CV123" s="38" t="str">
        <f t="shared" si="48"/>
        <v>-</v>
      </c>
      <c r="CW123" s="38" t="str">
        <f t="shared" si="49"/>
        <v>-</v>
      </c>
    </row>
    <row r="124" spans="2:101" s="113" customFormat="1" ht="12.75" customHeight="1">
      <c r="B124" s="99" t="s">
        <v>59</v>
      </c>
      <c r="C124" s="98" t="s">
        <v>77</v>
      </c>
      <c r="D124" s="114" t="e">
        <f>VLOOKUP($C124,#REF!,5,0)</f>
        <v>#REF!</v>
      </c>
      <c r="E124" s="115" t="e">
        <f>VLOOKUP($C124,#REF!,6,0)</f>
        <v>#REF!</v>
      </c>
      <c r="F124" s="98" t="e">
        <f>VLOOKUP($C124,#REF!,7,0)</f>
        <v>#REF!</v>
      </c>
      <c r="G124" s="98" t="e">
        <f>VLOOKUP($C124,#REF!,8,0)</f>
        <v>#REF!</v>
      </c>
      <c r="H124" s="116" t="e">
        <f>VLOOKUP($C124,#REF!,9,0)</f>
        <v>#REF!</v>
      </c>
      <c r="I124" s="5"/>
      <c r="J124" s="118" t="e">
        <f>VLOOKUP($C124,#REF!,10,0)</f>
        <v>#REF!</v>
      </c>
      <c r="K124" s="119" t="e">
        <f>VLOOKUP($C124,#REF!,11,0)</f>
        <v>#REF!</v>
      </c>
      <c r="L124" s="34"/>
      <c r="M124" s="118" t="e">
        <f>VLOOKUP($C124,#REF!,12,0)</f>
        <v>#REF!</v>
      </c>
      <c r="N124" s="120" t="e">
        <f>VLOOKUP($C124,#REF!,13,0)</f>
        <v>#REF!</v>
      </c>
      <c r="O124" s="118" t="e">
        <f>VLOOKUP($C124,#REF!,14,0)</f>
        <v>#REF!</v>
      </c>
      <c r="P124" s="120" t="e">
        <f>VLOOKUP($C124,#REF!,15,0)</f>
        <v>#REF!</v>
      </c>
      <c r="Q124" s="118" t="e">
        <f>VLOOKUP($C124,#REF!,16,0)</f>
        <v>#REF!</v>
      </c>
      <c r="R124" s="119" t="e">
        <f>VLOOKUP($C124,#REF!,17,0)</f>
        <v>#REF!</v>
      </c>
      <c r="S124" s="120" t="e">
        <f>VLOOKUP($C124,#REF!,18,0)</f>
        <v>#REF!</v>
      </c>
      <c r="T124" s="119" t="e">
        <f>VLOOKUP($C124,#REF!,19,0)</f>
        <v>#REF!</v>
      </c>
      <c r="U124" s="34"/>
      <c r="V124" s="118" t="e">
        <f>VLOOKUP($C124,#REF!,20,0)</f>
        <v>#REF!</v>
      </c>
      <c r="W124" s="120" t="e">
        <f>VLOOKUP($C124,#REF!,21,0)</f>
        <v>#REF!</v>
      </c>
      <c r="X124" s="118" t="e">
        <f>VLOOKUP($C124,#REF!,22,0)</f>
        <v>#REF!</v>
      </c>
      <c r="Y124" s="120" t="e">
        <f>VLOOKUP($C124,#REF!,23,0)</f>
        <v>#REF!</v>
      </c>
      <c r="Z124" s="118" t="e">
        <f>VLOOKUP($C124,#REF!,24,0)</f>
        <v>#REF!</v>
      </c>
      <c r="AA124" s="119" t="e">
        <f>VLOOKUP($C124,#REF!,25,0)</f>
        <v>#REF!</v>
      </c>
      <c r="AB124" s="120" t="e">
        <f>VLOOKUP($C124,#REF!,26,0)</f>
        <v>#REF!</v>
      </c>
      <c r="AC124" s="119" t="e">
        <f>VLOOKUP($C124,#REF!,27,0)</f>
        <v>#REF!</v>
      </c>
      <c r="AD124" s="4"/>
      <c r="AE124" s="118" t="e">
        <f t="shared" si="27"/>
        <v>#REF!</v>
      </c>
      <c r="AF124" s="121" t="s">
        <v>320</v>
      </c>
      <c r="AG124" s="121" t="s">
        <v>321</v>
      </c>
      <c r="AH124" s="119" t="s">
        <v>322</v>
      </c>
      <c r="AI124" s="4"/>
      <c r="AJ124" s="118" t="s">
        <v>323</v>
      </c>
      <c r="AK124" s="121" t="s">
        <v>324</v>
      </c>
      <c r="AL124" s="121" t="s">
        <v>325</v>
      </c>
      <c r="AM124" s="121" t="s">
        <v>326</v>
      </c>
      <c r="AN124" s="121" t="s">
        <v>326</v>
      </c>
      <c r="AO124" s="119" t="s">
        <v>320</v>
      </c>
      <c r="AP124" s="4"/>
      <c r="AQ124" s="122">
        <v>157</v>
      </c>
      <c r="AR124" s="5"/>
      <c r="AS124" s="118">
        <v>0</v>
      </c>
      <c r="AT124" s="119">
        <v>0</v>
      </c>
      <c r="AU124" s="34"/>
      <c r="AV124" s="118">
        <f t="shared" si="50"/>
        <v>0</v>
      </c>
      <c r="AW124" s="119">
        <f t="shared" si="51"/>
        <v>0</v>
      </c>
      <c r="AX124" s="118">
        <f t="shared" si="28"/>
        <v>0</v>
      </c>
      <c r="AY124" s="119">
        <f t="shared" si="29"/>
        <v>0</v>
      </c>
      <c r="AZ124" s="118">
        <f t="shared" si="30"/>
        <v>0</v>
      </c>
      <c r="BA124" s="119">
        <f t="shared" si="31"/>
        <v>0</v>
      </c>
      <c r="BB124" s="120">
        <f t="shared" si="32"/>
        <v>0</v>
      </c>
      <c r="BC124" s="119">
        <f t="shared" si="33"/>
        <v>0</v>
      </c>
      <c r="BD124" s="34"/>
      <c r="BE124" s="118">
        <f t="shared" si="34"/>
        <v>0</v>
      </c>
      <c r="BF124" s="119">
        <f t="shared" si="35"/>
        <v>0</v>
      </c>
      <c r="BG124" s="118">
        <f t="shared" si="36"/>
        <v>0</v>
      </c>
      <c r="BH124" s="119">
        <f t="shared" si="37"/>
        <v>0</v>
      </c>
      <c r="BI124" s="120">
        <f t="shared" si="38"/>
        <v>0</v>
      </c>
      <c r="BJ124" s="119">
        <f t="shared" si="39"/>
        <v>0</v>
      </c>
      <c r="BK124" s="120">
        <f t="shared" si="40"/>
        <v>0</v>
      </c>
      <c r="BL124" s="119">
        <f t="shared" si="41"/>
        <v>0</v>
      </c>
      <c r="BM124" s="4"/>
      <c r="BN124" s="122">
        <v>-16.529999999999973</v>
      </c>
      <c r="BO124" s="117"/>
      <c r="BP124" s="118">
        <v>-16.529999999999973</v>
      </c>
      <c r="BQ124" s="119">
        <v>0</v>
      </c>
      <c r="BR124" s="120"/>
      <c r="BS124" s="118">
        <v>0</v>
      </c>
      <c r="BT124" s="119">
        <v>0</v>
      </c>
      <c r="BU124" s="118">
        <v>0</v>
      </c>
      <c r="BV124" s="119">
        <v>0</v>
      </c>
      <c r="BW124" s="118">
        <v>0</v>
      </c>
      <c r="BX124" s="119">
        <v>0</v>
      </c>
      <c r="BY124" s="118">
        <v>0</v>
      </c>
      <c r="BZ124" s="119">
        <v>0</v>
      </c>
      <c r="CA124" s="120"/>
      <c r="CB124" s="118">
        <v>0</v>
      </c>
      <c r="CC124" s="119">
        <v>0</v>
      </c>
      <c r="CD124" s="118">
        <v>0</v>
      </c>
      <c r="CE124" s="119">
        <v>0</v>
      </c>
      <c r="CF124" s="118">
        <v>0</v>
      </c>
      <c r="CG124" s="119">
        <v>0</v>
      </c>
      <c r="CH124" s="118">
        <v>0</v>
      </c>
      <c r="CI124" s="119">
        <v>0</v>
      </c>
      <c r="CJ124" s="4"/>
      <c r="CK124" s="79"/>
      <c r="CL124" s="5"/>
      <c r="CM124" s="39" t="str">
        <f t="shared" si="42"/>
        <v>-</v>
      </c>
      <c r="CN124" s="5"/>
      <c r="CO124" s="39" t="str">
        <f t="shared" si="43"/>
        <v>-</v>
      </c>
      <c r="CP124" s="39" t="str">
        <f t="shared" si="44"/>
        <v>-</v>
      </c>
      <c r="CQ124" s="39" t="str">
        <f t="shared" si="45"/>
        <v>-</v>
      </c>
      <c r="CR124" s="39" t="str">
        <f t="shared" si="45"/>
        <v>-</v>
      </c>
      <c r="CS124" s="5"/>
      <c r="CT124" s="39" t="str">
        <f t="shared" si="46"/>
        <v>-</v>
      </c>
      <c r="CU124" s="39" t="str">
        <f t="shared" si="47"/>
        <v>-</v>
      </c>
      <c r="CV124" s="39" t="str">
        <f t="shared" si="48"/>
        <v>-</v>
      </c>
      <c r="CW124" s="39" t="str">
        <f t="shared" si="49"/>
        <v>-</v>
      </c>
    </row>
    <row r="125" spans="2:101" s="4" customFormat="1" ht="12.75" customHeight="1">
      <c r="B125" s="102" t="s">
        <v>59</v>
      </c>
      <c r="C125" s="103" t="s">
        <v>78</v>
      </c>
      <c r="D125" s="104" t="e">
        <f>VLOOKUP($C125,#REF!,5,0)</f>
        <v>#REF!</v>
      </c>
      <c r="E125" s="109" t="e">
        <f>VLOOKUP($C125,#REF!,6,0)</f>
        <v>#REF!</v>
      </c>
      <c r="F125" s="103" t="e">
        <f>VLOOKUP($C125,#REF!,7,0)</f>
        <v>#REF!</v>
      </c>
      <c r="G125" s="103" t="e">
        <f>VLOOKUP($C125,#REF!,8,0)</f>
        <v>#REF!</v>
      </c>
      <c r="H125" s="110" t="e">
        <f>VLOOKUP($C125,#REF!,9,0)</f>
        <v>#REF!</v>
      </c>
      <c r="I125" s="5"/>
      <c r="J125" s="105" t="e">
        <f>VLOOKUP($C125,#REF!,10,0)</f>
        <v>#REF!</v>
      </c>
      <c r="K125" s="106" t="e">
        <f>VLOOKUP($C125,#REF!,11,0)</f>
        <v>#REF!</v>
      </c>
      <c r="L125" s="34"/>
      <c r="M125" s="105" t="e">
        <f>VLOOKUP($C125,#REF!,12,0)</f>
        <v>#REF!</v>
      </c>
      <c r="N125" s="34" t="e">
        <f>VLOOKUP($C125,#REF!,13,0)</f>
        <v>#REF!</v>
      </c>
      <c r="O125" s="105" t="e">
        <f>VLOOKUP($C125,#REF!,14,0)</f>
        <v>#REF!</v>
      </c>
      <c r="P125" s="34" t="e">
        <f>VLOOKUP($C125,#REF!,15,0)</f>
        <v>#REF!</v>
      </c>
      <c r="Q125" s="105" t="e">
        <f>VLOOKUP($C125,#REF!,16,0)</f>
        <v>#REF!</v>
      </c>
      <c r="R125" s="106" t="e">
        <f>VLOOKUP($C125,#REF!,17,0)</f>
        <v>#REF!</v>
      </c>
      <c r="S125" s="34" t="e">
        <f>VLOOKUP($C125,#REF!,18,0)</f>
        <v>#REF!</v>
      </c>
      <c r="T125" s="106" t="e">
        <f>VLOOKUP($C125,#REF!,19,0)</f>
        <v>#REF!</v>
      </c>
      <c r="U125" s="34"/>
      <c r="V125" s="105" t="e">
        <f>VLOOKUP($C125,#REF!,20,0)</f>
        <v>#REF!</v>
      </c>
      <c r="W125" s="34" t="e">
        <f>VLOOKUP($C125,#REF!,21,0)</f>
        <v>#REF!</v>
      </c>
      <c r="X125" s="105" t="e">
        <f>VLOOKUP($C125,#REF!,22,0)</f>
        <v>#REF!</v>
      </c>
      <c r="Y125" s="34" t="e">
        <f>VLOOKUP($C125,#REF!,23,0)</f>
        <v>#REF!</v>
      </c>
      <c r="Z125" s="105" t="e">
        <f>VLOOKUP($C125,#REF!,24,0)</f>
        <v>#REF!</v>
      </c>
      <c r="AA125" s="106" t="e">
        <f>VLOOKUP($C125,#REF!,25,0)</f>
        <v>#REF!</v>
      </c>
      <c r="AB125" s="34" t="e">
        <f>VLOOKUP($C125,#REF!,26,0)</f>
        <v>#REF!</v>
      </c>
      <c r="AC125" s="106" t="e">
        <f>VLOOKUP($C125,#REF!,27,0)</f>
        <v>#REF!</v>
      </c>
      <c r="AE125" s="105" t="e">
        <f t="shared" si="27"/>
        <v>#REF!</v>
      </c>
      <c r="AF125" s="107" t="s">
        <v>320</v>
      </c>
      <c r="AG125" s="107" t="s">
        <v>321</v>
      </c>
      <c r="AH125" s="106" t="s">
        <v>322</v>
      </c>
      <c r="AJ125" s="105" t="s">
        <v>323</v>
      </c>
      <c r="AK125" s="107" t="s">
        <v>324</v>
      </c>
      <c r="AL125" s="107" t="s">
        <v>325</v>
      </c>
      <c r="AM125" s="107" t="s">
        <v>326</v>
      </c>
      <c r="AN125" s="107" t="s">
        <v>326</v>
      </c>
      <c r="AO125" s="106" t="s">
        <v>320</v>
      </c>
      <c r="AQ125" s="108">
        <v>132</v>
      </c>
      <c r="AR125" s="5"/>
      <c r="AS125" s="105">
        <v>0</v>
      </c>
      <c r="AT125" s="106">
        <v>0</v>
      </c>
      <c r="AU125" s="34"/>
      <c r="AV125" s="105">
        <f t="shared" si="50"/>
        <v>0</v>
      </c>
      <c r="AW125" s="106">
        <f t="shared" si="51"/>
        <v>0</v>
      </c>
      <c r="AX125" s="105">
        <f t="shared" si="28"/>
        <v>0</v>
      </c>
      <c r="AY125" s="106">
        <f t="shared" si="29"/>
        <v>0</v>
      </c>
      <c r="AZ125" s="105">
        <f t="shared" si="30"/>
        <v>0</v>
      </c>
      <c r="BA125" s="106">
        <f t="shared" si="31"/>
        <v>0</v>
      </c>
      <c r="BB125" s="34">
        <f t="shared" si="32"/>
        <v>0</v>
      </c>
      <c r="BC125" s="106">
        <f t="shared" si="33"/>
        <v>0</v>
      </c>
      <c r="BD125" s="34"/>
      <c r="BE125" s="105">
        <f t="shared" si="34"/>
        <v>0</v>
      </c>
      <c r="BF125" s="106">
        <f t="shared" si="35"/>
        <v>0</v>
      </c>
      <c r="BG125" s="105">
        <f t="shared" si="36"/>
        <v>0</v>
      </c>
      <c r="BH125" s="106">
        <f t="shared" si="37"/>
        <v>0</v>
      </c>
      <c r="BI125" s="34">
        <f t="shared" si="38"/>
        <v>0</v>
      </c>
      <c r="BJ125" s="106">
        <f t="shared" si="39"/>
        <v>0</v>
      </c>
      <c r="BK125" s="34">
        <f t="shared" si="40"/>
        <v>0</v>
      </c>
      <c r="BL125" s="106">
        <f t="shared" si="41"/>
        <v>0</v>
      </c>
      <c r="BN125" s="108">
        <v>0</v>
      </c>
      <c r="BO125" s="5"/>
      <c r="BP125" s="105">
        <v>0</v>
      </c>
      <c r="BQ125" s="106">
        <v>0</v>
      </c>
      <c r="BR125" s="34"/>
      <c r="BS125" s="105">
        <v>0</v>
      </c>
      <c r="BT125" s="106">
        <v>0</v>
      </c>
      <c r="BU125" s="105">
        <v>0</v>
      </c>
      <c r="BV125" s="106">
        <v>0</v>
      </c>
      <c r="BW125" s="105">
        <v>0</v>
      </c>
      <c r="BX125" s="106">
        <v>0</v>
      </c>
      <c r="BY125" s="105">
        <v>0</v>
      </c>
      <c r="BZ125" s="106">
        <v>0</v>
      </c>
      <c r="CA125" s="34"/>
      <c r="CB125" s="105">
        <v>0</v>
      </c>
      <c r="CC125" s="106">
        <v>0</v>
      </c>
      <c r="CD125" s="105">
        <v>0</v>
      </c>
      <c r="CE125" s="106">
        <v>0</v>
      </c>
      <c r="CF125" s="105">
        <v>0</v>
      </c>
      <c r="CG125" s="106">
        <v>0</v>
      </c>
      <c r="CH125" s="105">
        <v>0</v>
      </c>
      <c r="CI125" s="106">
        <v>0</v>
      </c>
      <c r="CK125" s="78"/>
      <c r="CL125" s="5"/>
      <c r="CM125" s="38" t="str">
        <f t="shared" si="42"/>
        <v>-</v>
      </c>
      <c r="CN125" s="5"/>
      <c r="CO125" s="38" t="str">
        <f t="shared" si="43"/>
        <v>-</v>
      </c>
      <c r="CP125" s="38" t="str">
        <f t="shared" si="44"/>
        <v>-</v>
      </c>
      <c r="CQ125" s="38" t="str">
        <f t="shared" si="45"/>
        <v>-</v>
      </c>
      <c r="CR125" s="38" t="str">
        <f t="shared" si="45"/>
        <v>-</v>
      </c>
      <c r="CS125" s="5"/>
      <c r="CT125" s="38" t="str">
        <f t="shared" si="46"/>
        <v>-</v>
      </c>
      <c r="CU125" s="38" t="str">
        <f t="shared" si="47"/>
        <v>-</v>
      </c>
      <c r="CV125" s="38" t="str">
        <f t="shared" si="48"/>
        <v>-</v>
      </c>
      <c r="CW125" s="38" t="str">
        <f t="shared" si="49"/>
        <v>-</v>
      </c>
    </row>
    <row r="126" spans="2:101" s="113" customFormat="1" ht="12.75" customHeight="1">
      <c r="B126" s="99" t="s">
        <v>59</v>
      </c>
      <c r="C126" s="98" t="s">
        <v>134</v>
      </c>
      <c r="D126" s="114" t="e">
        <f>VLOOKUP($C126,#REF!,5,0)</f>
        <v>#REF!</v>
      </c>
      <c r="E126" s="115" t="e">
        <f>VLOOKUP($C126,#REF!,6,0)</f>
        <v>#REF!</v>
      </c>
      <c r="F126" s="98" t="e">
        <f>VLOOKUP($C126,#REF!,7,0)</f>
        <v>#REF!</v>
      </c>
      <c r="G126" s="98" t="e">
        <f>VLOOKUP($C126,#REF!,8,0)</f>
        <v>#REF!</v>
      </c>
      <c r="H126" s="116" t="e">
        <f>VLOOKUP($C126,#REF!,9,0)</f>
        <v>#REF!</v>
      </c>
      <c r="I126" s="5"/>
      <c r="J126" s="118" t="e">
        <f>VLOOKUP($C126,#REF!,10,0)</f>
        <v>#REF!</v>
      </c>
      <c r="K126" s="119" t="e">
        <f>VLOOKUP($C126,#REF!,11,0)</f>
        <v>#REF!</v>
      </c>
      <c r="L126" s="34"/>
      <c r="M126" s="118" t="e">
        <f>VLOOKUP($C126,#REF!,12,0)</f>
        <v>#REF!</v>
      </c>
      <c r="N126" s="120" t="e">
        <f>VLOOKUP($C126,#REF!,13,0)</f>
        <v>#REF!</v>
      </c>
      <c r="O126" s="118" t="e">
        <f>VLOOKUP($C126,#REF!,14,0)</f>
        <v>#REF!</v>
      </c>
      <c r="P126" s="120" t="e">
        <f>VLOOKUP($C126,#REF!,15,0)</f>
        <v>#REF!</v>
      </c>
      <c r="Q126" s="118" t="e">
        <f>VLOOKUP($C126,#REF!,16,0)</f>
        <v>#REF!</v>
      </c>
      <c r="R126" s="119" t="e">
        <f>VLOOKUP($C126,#REF!,17,0)</f>
        <v>#REF!</v>
      </c>
      <c r="S126" s="120" t="e">
        <f>VLOOKUP($C126,#REF!,18,0)</f>
        <v>#REF!</v>
      </c>
      <c r="T126" s="119" t="e">
        <f>VLOOKUP($C126,#REF!,19,0)</f>
        <v>#REF!</v>
      </c>
      <c r="U126" s="34"/>
      <c r="V126" s="118" t="e">
        <f>VLOOKUP($C126,#REF!,20,0)</f>
        <v>#REF!</v>
      </c>
      <c r="W126" s="120" t="e">
        <f>VLOOKUP($C126,#REF!,21,0)</f>
        <v>#REF!</v>
      </c>
      <c r="X126" s="118" t="e">
        <f>VLOOKUP($C126,#REF!,22,0)</f>
        <v>#REF!</v>
      </c>
      <c r="Y126" s="120" t="e">
        <f>VLOOKUP($C126,#REF!,23,0)</f>
        <v>#REF!</v>
      </c>
      <c r="Z126" s="118" t="e">
        <f>VLOOKUP($C126,#REF!,24,0)</f>
        <v>#REF!</v>
      </c>
      <c r="AA126" s="119" t="e">
        <f>VLOOKUP($C126,#REF!,25,0)</f>
        <v>#REF!</v>
      </c>
      <c r="AB126" s="120" t="e">
        <f>VLOOKUP($C126,#REF!,26,0)</f>
        <v>#REF!</v>
      </c>
      <c r="AC126" s="119" t="e">
        <f>VLOOKUP($C126,#REF!,27,0)</f>
        <v>#REF!</v>
      </c>
      <c r="AD126" s="4"/>
      <c r="AE126" s="118" t="e">
        <f t="shared" si="27"/>
        <v>#REF!</v>
      </c>
      <c r="AF126" s="121" t="s">
        <v>320</v>
      </c>
      <c r="AG126" s="121" t="s">
        <v>321</v>
      </c>
      <c r="AH126" s="119" t="s">
        <v>322</v>
      </c>
      <c r="AI126" s="4"/>
      <c r="AJ126" s="118" t="s">
        <v>323</v>
      </c>
      <c r="AK126" s="121" t="s">
        <v>324</v>
      </c>
      <c r="AL126" s="121" t="s">
        <v>325</v>
      </c>
      <c r="AM126" s="121" t="s">
        <v>326</v>
      </c>
      <c r="AN126" s="121" t="s">
        <v>326</v>
      </c>
      <c r="AO126" s="119" t="s">
        <v>320</v>
      </c>
      <c r="AP126" s="4"/>
      <c r="AQ126" s="122">
        <v>107</v>
      </c>
      <c r="AR126" s="5"/>
      <c r="AS126" s="118">
        <v>0</v>
      </c>
      <c r="AT126" s="119">
        <v>0</v>
      </c>
      <c r="AU126" s="34"/>
      <c r="AV126" s="118">
        <f t="shared" si="50"/>
        <v>0</v>
      </c>
      <c r="AW126" s="119">
        <f t="shared" si="51"/>
        <v>0</v>
      </c>
      <c r="AX126" s="118">
        <f t="shared" si="28"/>
        <v>0</v>
      </c>
      <c r="AY126" s="119">
        <f t="shared" si="29"/>
        <v>0</v>
      </c>
      <c r="AZ126" s="118">
        <f t="shared" si="30"/>
        <v>0</v>
      </c>
      <c r="BA126" s="119">
        <f t="shared" si="31"/>
        <v>0</v>
      </c>
      <c r="BB126" s="120">
        <f t="shared" si="32"/>
        <v>0</v>
      </c>
      <c r="BC126" s="119">
        <f t="shared" si="33"/>
        <v>0</v>
      </c>
      <c r="BD126" s="34"/>
      <c r="BE126" s="118">
        <f t="shared" si="34"/>
        <v>0</v>
      </c>
      <c r="BF126" s="119">
        <f t="shared" si="35"/>
        <v>0</v>
      </c>
      <c r="BG126" s="118">
        <f t="shared" si="36"/>
        <v>0</v>
      </c>
      <c r="BH126" s="119">
        <f t="shared" si="37"/>
        <v>0</v>
      </c>
      <c r="BI126" s="120">
        <f t="shared" si="38"/>
        <v>0</v>
      </c>
      <c r="BJ126" s="119">
        <f t="shared" si="39"/>
        <v>0</v>
      </c>
      <c r="BK126" s="120">
        <f t="shared" si="40"/>
        <v>0</v>
      </c>
      <c r="BL126" s="119">
        <f t="shared" si="41"/>
        <v>0</v>
      </c>
      <c r="BM126" s="4"/>
      <c r="BN126" s="122">
        <v>0</v>
      </c>
      <c r="BO126" s="117"/>
      <c r="BP126" s="118">
        <v>0</v>
      </c>
      <c r="BQ126" s="119">
        <v>0</v>
      </c>
      <c r="BR126" s="120"/>
      <c r="BS126" s="118">
        <v>0</v>
      </c>
      <c r="BT126" s="119">
        <v>0</v>
      </c>
      <c r="BU126" s="118">
        <v>0</v>
      </c>
      <c r="BV126" s="119">
        <v>0</v>
      </c>
      <c r="BW126" s="118">
        <v>0</v>
      </c>
      <c r="BX126" s="119">
        <v>0</v>
      </c>
      <c r="BY126" s="118">
        <v>0</v>
      </c>
      <c r="BZ126" s="119">
        <v>0</v>
      </c>
      <c r="CA126" s="120"/>
      <c r="CB126" s="118">
        <v>0</v>
      </c>
      <c r="CC126" s="119">
        <v>0</v>
      </c>
      <c r="CD126" s="118">
        <v>0</v>
      </c>
      <c r="CE126" s="119">
        <v>0</v>
      </c>
      <c r="CF126" s="118">
        <v>0</v>
      </c>
      <c r="CG126" s="119">
        <v>0</v>
      </c>
      <c r="CH126" s="118">
        <v>0</v>
      </c>
      <c r="CI126" s="119">
        <v>0</v>
      </c>
      <c r="CJ126" s="4"/>
      <c r="CK126" s="79"/>
      <c r="CL126" s="5"/>
      <c r="CM126" s="39" t="str">
        <f t="shared" si="42"/>
        <v>-</v>
      </c>
      <c r="CN126" s="5"/>
      <c r="CO126" s="39" t="str">
        <f t="shared" si="43"/>
        <v>-</v>
      </c>
      <c r="CP126" s="39" t="str">
        <f t="shared" si="44"/>
        <v>-</v>
      </c>
      <c r="CQ126" s="39" t="str">
        <f t="shared" ref="CQ126:CR157" si="52">IFERROR(+$H126-($Q126+$R126*$G126),"-")</f>
        <v>-</v>
      </c>
      <c r="CR126" s="39" t="str">
        <f t="shared" si="52"/>
        <v>-</v>
      </c>
      <c r="CS126" s="5"/>
      <c r="CT126" s="39" t="str">
        <f t="shared" si="46"/>
        <v>-</v>
      </c>
      <c r="CU126" s="39" t="str">
        <f t="shared" si="47"/>
        <v>-</v>
      </c>
      <c r="CV126" s="39" t="str">
        <f t="shared" si="48"/>
        <v>-</v>
      </c>
      <c r="CW126" s="39" t="str">
        <f t="shared" si="49"/>
        <v>-</v>
      </c>
    </row>
    <row r="127" spans="2:101" s="4" customFormat="1" ht="12.75" customHeight="1">
      <c r="B127" s="102" t="s">
        <v>59</v>
      </c>
      <c r="C127" s="103" t="s">
        <v>217</v>
      </c>
      <c r="D127" s="104" t="e">
        <f>VLOOKUP($C127,#REF!,5,0)</f>
        <v>#REF!</v>
      </c>
      <c r="E127" s="109" t="e">
        <f>VLOOKUP($C127,#REF!,6,0)</f>
        <v>#REF!</v>
      </c>
      <c r="F127" s="103" t="e">
        <f>VLOOKUP($C127,#REF!,7,0)</f>
        <v>#REF!</v>
      </c>
      <c r="G127" s="103" t="e">
        <f>VLOOKUP($C127,#REF!,8,0)</f>
        <v>#REF!</v>
      </c>
      <c r="H127" s="110" t="e">
        <f>VLOOKUP($C127,#REF!,9,0)</f>
        <v>#REF!</v>
      </c>
      <c r="I127" s="5"/>
      <c r="J127" s="105" t="e">
        <f>VLOOKUP($C127,#REF!,10,0)</f>
        <v>#REF!</v>
      </c>
      <c r="K127" s="106" t="e">
        <f>VLOOKUP($C127,#REF!,11,0)</f>
        <v>#REF!</v>
      </c>
      <c r="L127" s="34"/>
      <c r="M127" s="105" t="e">
        <f>VLOOKUP($C127,#REF!,12,0)</f>
        <v>#REF!</v>
      </c>
      <c r="N127" s="34" t="e">
        <f>VLOOKUP($C127,#REF!,13,0)</f>
        <v>#REF!</v>
      </c>
      <c r="O127" s="105" t="e">
        <f>VLOOKUP($C127,#REF!,14,0)</f>
        <v>#REF!</v>
      </c>
      <c r="P127" s="34" t="e">
        <f>VLOOKUP($C127,#REF!,15,0)</f>
        <v>#REF!</v>
      </c>
      <c r="Q127" s="105" t="e">
        <f>VLOOKUP($C127,#REF!,16,0)</f>
        <v>#REF!</v>
      </c>
      <c r="R127" s="106" t="e">
        <f>VLOOKUP($C127,#REF!,17,0)</f>
        <v>#REF!</v>
      </c>
      <c r="S127" s="34" t="e">
        <f>VLOOKUP($C127,#REF!,18,0)</f>
        <v>#REF!</v>
      </c>
      <c r="T127" s="106" t="e">
        <f>VLOOKUP($C127,#REF!,19,0)</f>
        <v>#REF!</v>
      </c>
      <c r="U127" s="34"/>
      <c r="V127" s="105" t="e">
        <f>VLOOKUP($C127,#REF!,20,0)</f>
        <v>#REF!</v>
      </c>
      <c r="W127" s="34" t="e">
        <f>VLOOKUP($C127,#REF!,21,0)</f>
        <v>#REF!</v>
      </c>
      <c r="X127" s="105" t="e">
        <f>VLOOKUP($C127,#REF!,22,0)</f>
        <v>#REF!</v>
      </c>
      <c r="Y127" s="34" t="e">
        <f>VLOOKUP($C127,#REF!,23,0)</f>
        <v>#REF!</v>
      </c>
      <c r="Z127" s="105" t="e">
        <f>VLOOKUP($C127,#REF!,24,0)</f>
        <v>#REF!</v>
      </c>
      <c r="AA127" s="106" t="e">
        <f>VLOOKUP($C127,#REF!,25,0)</f>
        <v>#REF!</v>
      </c>
      <c r="AB127" s="34" t="e">
        <f>VLOOKUP($C127,#REF!,26,0)</f>
        <v>#REF!</v>
      </c>
      <c r="AC127" s="106" t="e">
        <f>VLOOKUP($C127,#REF!,27,0)</f>
        <v>#REF!</v>
      </c>
      <c r="AE127" s="105" t="e">
        <f t="shared" si="27"/>
        <v>#REF!</v>
      </c>
      <c r="AF127" s="107" t="s">
        <v>320</v>
      </c>
      <c r="AG127" s="107" t="s">
        <v>321</v>
      </c>
      <c r="AH127" s="106" t="s">
        <v>322</v>
      </c>
      <c r="AJ127" s="105" t="s">
        <v>323</v>
      </c>
      <c r="AK127" s="107" t="s">
        <v>324</v>
      </c>
      <c r="AL127" s="107" t="s">
        <v>325</v>
      </c>
      <c r="AM127" s="107" t="s">
        <v>326</v>
      </c>
      <c r="AN127" s="107" t="s">
        <v>326</v>
      </c>
      <c r="AO127" s="106" t="s">
        <v>320</v>
      </c>
      <c r="AQ127" s="108">
        <v>1</v>
      </c>
      <c r="AR127" s="5"/>
      <c r="AS127" s="105">
        <v>0</v>
      </c>
      <c r="AT127" s="106">
        <v>0</v>
      </c>
      <c r="AU127" s="34"/>
      <c r="AV127" s="105">
        <f t="shared" si="50"/>
        <v>0</v>
      </c>
      <c r="AW127" s="106">
        <f t="shared" si="51"/>
        <v>0</v>
      </c>
      <c r="AX127" s="105">
        <f t="shared" si="28"/>
        <v>0</v>
      </c>
      <c r="AY127" s="106">
        <f t="shared" si="29"/>
        <v>0</v>
      </c>
      <c r="AZ127" s="105">
        <f t="shared" si="30"/>
        <v>0</v>
      </c>
      <c r="BA127" s="106">
        <f t="shared" si="31"/>
        <v>0</v>
      </c>
      <c r="BB127" s="34">
        <f t="shared" si="32"/>
        <v>0</v>
      </c>
      <c r="BC127" s="106">
        <f t="shared" si="33"/>
        <v>0</v>
      </c>
      <c r="BD127" s="34"/>
      <c r="BE127" s="105">
        <f t="shared" si="34"/>
        <v>0</v>
      </c>
      <c r="BF127" s="106">
        <f t="shared" si="35"/>
        <v>0</v>
      </c>
      <c r="BG127" s="105">
        <f t="shared" si="36"/>
        <v>0</v>
      </c>
      <c r="BH127" s="106">
        <f t="shared" si="37"/>
        <v>0</v>
      </c>
      <c r="BI127" s="34">
        <f t="shared" si="38"/>
        <v>0</v>
      </c>
      <c r="BJ127" s="106">
        <f t="shared" si="39"/>
        <v>0</v>
      </c>
      <c r="BK127" s="34">
        <f t="shared" si="40"/>
        <v>0</v>
      </c>
      <c r="BL127" s="106">
        <f t="shared" si="41"/>
        <v>0</v>
      </c>
      <c r="BN127" s="108">
        <v>0</v>
      </c>
      <c r="BO127" s="5"/>
      <c r="BP127" s="105">
        <v>0</v>
      </c>
      <c r="BQ127" s="106">
        <v>0</v>
      </c>
      <c r="BR127" s="34"/>
      <c r="BS127" s="105">
        <v>0</v>
      </c>
      <c r="BT127" s="106">
        <v>0</v>
      </c>
      <c r="BU127" s="105">
        <v>0</v>
      </c>
      <c r="BV127" s="106">
        <v>0</v>
      </c>
      <c r="BW127" s="105">
        <v>0</v>
      </c>
      <c r="BX127" s="106">
        <v>-1</v>
      </c>
      <c r="BY127" s="105">
        <v>0</v>
      </c>
      <c r="BZ127" s="106">
        <v>-1</v>
      </c>
      <c r="CA127" s="34"/>
      <c r="CB127" s="105">
        <v>0</v>
      </c>
      <c r="CC127" s="106">
        <v>0</v>
      </c>
      <c r="CD127" s="105">
        <v>0</v>
      </c>
      <c r="CE127" s="106">
        <v>0</v>
      </c>
      <c r="CF127" s="105">
        <v>0</v>
      </c>
      <c r="CG127" s="106">
        <v>-1</v>
      </c>
      <c r="CH127" s="105">
        <v>0</v>
      </c>
      <c r="CI127" s="106">
        <v>-1</v>
      </c>
      <c r="CK127" s="78"/>
      <c r="CL127" s="5"/>
      <c r="CM127" s="38" t="str">
        <f t="shared" si="42"/>
        <v>-</v>
      </c>
      <c r="CN127" s="5"/>
      <c r="CO127" s="38" t="str">
        <f t="shared" si="43"/>
        <v>-</v>
      </c>
      <c r="CP127" s="38" t="str">
        <f t="shared" si="44"/>
        <v>-</v>
      </c>
      <c r="CQ127" s="38" t="str">
        <f t="shared" si="52"/>
        <v>-</v>
      </c>
      <c r="CR127" s="38" t="str">
        <f t="shared" si="52"/>
        <v>-</v>
      </c>
      <c r="CS127" s="5"/>
      <c r="CT127" s="38" t="str">
        <f t="shared" si="46"/>
        <v>-</v>
      </c>
      <c r="CU127" s="38" t="str">
        <f t="shared" si="47"/>
        <v>-</v>
      </c>
      <c r="CV127" s="38" t="str">
        <f t="shared" si="48"/>
        <v>-</v>
      </c>
      <c r="CW127" s="38" t="str">
        <f t="shared" si="49"/>
        <v>-</v>
      </c>
    </row>
    <row r="128" spans="2:101" s="113" customFormat="1" ht="12.75" customHeight="1">
      <c r="B128" s="99" t="s">
        <v>59</v>
      </c>
      <c r="C128" s="98" t="s">
        <v>190</v>
      </c>
      <c r="D128" s="114" t="e">
        <f>VLOOKUP($C128,#REF!,5,0)</f>
        <v>#REF!</v>
      </c>
      <c r="E128" s="115" t="e">
        <f>VLOOKUP($C128,#REF!,6,0)</f>
        <v>#REF!</v>
      </c>
      <c r="F128" s="98" t="e">
        <f>VLOOKUP($C128,#REF!,7,0)</f>
        <v>#REF!</v>
      </c>
      <c r="G128" s="98" t="e">
        <f>VLOOKUP($C128,#REF!,8,0)</f>
        <v>#REF!</v>
      </c>
      <c r="H128" s="116" t="e">
        <f>VLOOKUP($C128,#REF!,9,0)</f>
        <v>#REF!</v>
      </c>
      <c r="I128" s="5"/>
      <c r="J128" s="118" t="e">
        <f>VLOOKUP($C128,#REF!,10,0)</f>
        <v>#REF!</v>
      </c>
      <c r="K128" s="119" t="e">
        <f>VLOOKUP($C128,#REF!,11,0)</f>
        <v>#REF!</v>
      </c>
      <c r="L128" s="34"/>
      <c r="M128" s="118" t="e">
        <f>VLOOKUP($C128,#REF!,12,0)</f>
        <v>#REF!</v>
      </c>
      <c r="N128" s="120" t="e">
        <f>VLOOKUP($C128,#REF!,13,0)</f>
        <v>#REF!</v>
      </c>
      <c r="O128" s="118" t="e">
        <f>VLOOKUP($C128,#REF!,14,0)</f>
        <v>#REF!</v>
      </c>
      <c r="P128" s="120" t="e">
        <f>VLOOKUP($C128,#REF!,15,0)</f>
        <v>#REF!</v>
      </c>
      <c r="Q128" s="118" t="e">
        <f>VLOOKUP($C128,#REF!,16,0)</f>
        <v>#REF!</v>
      </c>
      <c r="R128" s="119" t="e">
        <f>VLOOKUP($C128,#REF!,17,0)</f>
        <v>#REF!</v>
      </c>
      <c r="S128" s="120" t="e">
        <f>VLOOKUP($C128,#REF!,18,0)</f>
        <v>#REF!</v>
      </c>
      <c r="T128" s="119" t="e">
        <f>VLOOKUP($C128,#REF!,19,0)</f>
        <v>#REF!</v>
      </c>
      <c r="U128" s="34"/>
      <c r="V128" s="118" t="e">
        <f>VLOOKUP($C128,#REF!,20,0)</f>
        <v>#REF!</v>
      </c>
      <c r="W128" s="120" t="e">
        <f>VLOOKUP($C128,#REF!,21,0)</f>
        <v>#REF!</v>
      </c>
      <c r="X128" s="118" t="e">
        <f>VLOOKUP($C128,#REF!,22,0)</f>
        <v>#REF!</v>
      </c>
      <c r="Y128" s="120" t="e">
        <f>VLOOKUP($C128,#REF!,23,0)</f>
        <v>#REF!</v>
      </c>
      <c r="Z128" s="118" t="e">
        <f>VLOOKUP($C128,#REF!,24,0)</f>
        <v>#REF!</v>
      </c>
      <c r="AA128" s="119" t="e">
        <f>VLOOKUP($C128,#REF!,25,0)</f>
        <v>#REF!</v>
      </c>
      <c r="AB128" s="120" t="e">
        <f>VLOOKUP($C128,#REF!,26,0)</f>
        <v>#REF!</v>
      </c>
      <c r="AC128" s="119" t="e">
        <f>VLOOKUP($C128,#REF!,27,0)</f>
        <v>#REF!</v>
      </c>
      <c r="AD128" s="4"/>
      <c r="AE128" s="118" t="e">
        <f t="shared" si="27"/>
        <v>#REF!</v>
      </c>
      <c r="AF128" s="121" t="s">
        <v>320</v>
      </c>
      <c r="AG128" s="121" t="s">
        <v>321</v>
      </c>
      <c r="AH128" s="119" t="s">
        <v>322</v>
      </c>
      <c r="AI128" s="4"/>
      <c r="AJ128" s="118" t="s">
        <v>323</v>
      </c>
      <c r="AK128" s="121" t="s">
        <v>324</v>
      </c>
      <c r="AL128" s="121" t="s">
        <v>325</v>
      </c>
      <c r="AM128" s="121" t="s">
        <v>326</v>
      </c>
      <c r="AN128" s="121" t="s">
        <v>326</v>
      </c>
      <c r="AO128" s="119" t="s">
        <v>320</v>
      </c>
      <c r="AP128" s="4"/>
      <c r="AQ128" s="122">
        <v>1</v>
      </c>
      <c r="AR128" s="5"/>
      <c r="AS128" s="118">
        <v>0</v>
      </c>
      <c r="AT128" s="119">
        <v>0</v>
      </c>
      <c r="AU128" s="34"/>
      <c r="AV128" s="118">
        <f t="shared" si="50"/>
        <v>0</v>
      </c>
      <c r="AW128" s="119">
        <f t="shared" si="51"/>
        <v>0</v>
      </c>
      <c r="AX128" s="118">
        <f t="shared" si="28"/>
        <v>0</v>
      </c>
      <c r="AY128" s="119">
        <f t="shared" si="29"/>
        <v>0</v>
      </c>
      <c r="AZ128" s="118">
        <f t="shared" si="30"/>
        <v>0</v>
      </c>
      <c r="BA128" s="119">
        <f t="shared" si="31"/>
        <v>0</v>
      </c>
      <c r="BB128" s="120">
        <f t="shared" si="32"/>
        <v>0</v>
      </c>
      <c r="BC128" s="119">
        <f t="shared" si="33"/>
        <v>0</v>
      </c>
      <c r="BD128" s="34"/>
      <c r="BE128" s="118">
        <f t="shared" si="34"/>
        <v>0</v>
      </c>
      <c r="BF128" s="119">
        <f t="shared" si="35"/>
        <v>0</v>
      </c>
      <c r="BG128" s="118">
        <f t="shared" si="36"/>
        <v>0</v>
      </c>
      <c r="BH128" s="119">
        <f t="shared" si="37"/>
        <v>0</v>
      </c>
      <c r="BI128" s="120">
        <f t="shared" si="38"/>
        <v>0</v>
      </c>
      <c r="BJ128" s="119">
        <f t="shared" si="39"/>
        <v>0</v>
      </c>
      <c r="BK128" s="120">
        <f t="shared" si="40"/>
        <v>0</v>
      </c>
      <c r="BL128" s="119">
        <f t="shared" si="41"/>
        <v>0</v>
      </c>
      <c r="BM128" s="4"/>
      <c r="BN128" s="122">
        <v>0</v>
      </c>
      <c r="BO128" s="117"/>
      <c r="BP128" s="118">
        <v>0</v>
      </c>
      <c r="BQ128" s="119">
        <v>0</v>
      </c>
      <c r="BR128" s="120"/>
      <c r="BS128" s="118">
        <v>0</v>
      </c>
      <c r="BT128" s="119">
        <v>0</v>
      </c>
      <c r="BU128" s="118">
        <v>0</v>
      </c>
      <c r="BV128" s="119">
        <v>0</v>
      </c>
      <c r="BW128" s="118">
        <v>0</v>
      </c>
      <c r="BX128" s="119">
        <v>-1</v>
      </c>
      <c r="BY128" s="118">
        <v>0</v>
      </c>
      <c r="BZ128" s="119">
        <v>-1</v>
      </c>
      <c r="CA128" s="120"/>
      <c r="CB128" s="118">
        <v>0</v>
      </c>
      <c r="CC128" s="119">
        <v>0</v>
      </c>
      <c r="CD128" s="118">
        <v>0</v>
      </c>
      <c r="CE128" s="119">
        <v>0</v>
      </c>
      <c r="CF128" s="118">
        <v>0</v>
      </c>
      <c r="CG128" s="119">
        <v>-1</v>
      </c>
      <c r="CH128" s="118">
        <v>0</v>
      </c>
      <c r="CI128" s="119">
        <v>-1</v>
      </c>
      <c r="CJ128" s="4"/>
      <c r="CK128" s="79"/>
      <c r="CL128" s="5"/>
      <c r="CM128" s="39" t="str">
        <f t="shared" si="42"/>
        <v>-</v>
      </c>
      <c r="CN128" s="5"/>
      <c r="CO128" s="39" t="str">
        <f t="shared" si="43"/>
        <v>-</v>
      </c>
      <c r="CP128" s="39" t="str">
        <f t="shared" si="44"/>
        <v>-</v>
      </c>
      <c r="CQ128" s="39" t="str">
        <f t="shared" si="52"/>
        <v>-</v>
      </c>
      <c r="CR128" s="39" t="str">
        <f t="shared" si="52"/>
        <v>-</v>
      </c>
      <c r="CS128" s="5"/>
      <c r="CT128" s="39" t="str">
        <f t="shared" si="46"/>
        <v>-</v>
      </c>
      <c r="CU128" s="39" t="str">
        <f t="shared" si="47"/>
        <v>-</v>
      </c>
      <c r="CV128" s="39" t="str">
        <f t="shared" si="48"/>
        <v>-</v>
      </c>
      <c r="CW128" s="39" t="str">
        <f t="shared" si="49"/>
        <v>-</v>
      </c>
    </row>
    <row r="129" spans="2:101" s="4" customFormat="1" ht="12.75" customHeight="1">
      <c r="B129" s="102" t="s">
        <v>59</v>
      </c>
      <c r="C129" s="103" t="s">
        <v>191</v>
      </c>
      <c r="D129" s="104" t="e">
        <f>VLOOKUP($C129,#REF!,5,0)</f>
        <v>#REF!</v>
      </c>
      <c r="E129" s="109" t="e">
        <f>VLOOKUP($C129,#REF!,6,0)</f>
        <v>#REF!</v>
      </c>
      <c r="F129" s="103" t="e">
        <f>VLOOKUP($C129,#REF!,7,0)</f>
        <v>#REF!</v>
      </c>
      <c r="G129" s="103" t="e">
        <f>VLOOKUP($C129,#REF!,8,0)</f>
        <v>#REF!</v>
      </c>
      <c r="H129" s="110" t="e">
        <f>VLOOKUP($C129,#REF!,9,0)</f>
        <v>#REF!</v>
      </c>
      <c r="I129" s="5"/>
      <c r="J129" s="105" t="e">
        <f>VLOOKUP($C129,#REF!,10,0)</f>
        <v>#REF!</v>
      </c>
      <c r="K129" s="106" t="e">
        <f>VLOOKUP($C129,#REF!,11,0)</f>
        <v>#REF!</v>
      </c>
      <c r="L129" s="34"/>
      <c r="M129" s="105" t="e">
        <f>VLOOKUP($C129,#REF!,12,0)</f>
        <v>#REF!</v>
      </c>
      <c r="N129" s="34" t="e">
        <f>VLOOKUP($C129,#REF!,13,0)</f>
        <v>#REF!</v>
      </c>
      <c r="O129" s="105" t="e">
        <f>VLOOKUP($C129,#REF!,14,0)</f>
        <v>#REF!</v>
      </c>
      <c r="P129" s="34" t="e">
        <f>VLOOKUP($C129,#REF!,15,0)</f>
        <v>#REF!</v>
      </c>
      <c r="Q129" s="105" t="e">
        <f>VLOOKUP($C129,#REF!,16,0)</f>
        <v>#REF!</v>
      </c>
      <c r="R129" s="106" t="e">
        <f>VLOOKUP($C129,#REF!,17,0)</f>
        <v>#REF!</v>
      </c>
      <c r="S129" s="34" t="e">
        <f>VLOOKUP($C129,#REF!,18,0)</f>
        <v>#REF!</v>
      </c>
      <c r="T129" s="106" t="e">
        <f>VLOOKUP($C129,#REF!,19,0)</f>
        <v>#REF!</v>
      </c>
      <c r="U129" s="34"/>
      <c r="V129" s="105" t="e">
        <f>VLOOKUP($C129,#REF!,20,0)</f>
        <v>#REF!</v>
      </c>
      <c r="W129" s="34" t="e">
        <f>VLOOKUP($C129,#REF!,21,0)</f>
        <v>#REF!</v>
      </c>
      <c r="X129" s="105" t="e">
        <f>VLOOKUP($C129,#REF!,22,0)</f>
        <v>#REF!</v>
      </c>
      <c r="Y129" s="34" t="e">
        <f>VLOOKUP($C129,#REF!,23,0)</f>
        <v>#REF!</v>
      </c>
      <c r="Z129" s="105" t="e">
        <f>VLOOKUP($C129,#REF!,24,0)</f>
        <v>#REF!</v>
      </c>
      <c r="AA129" s="106" t="e">
        <f>VLOOKUP($C129,#REF!,25,0)</f>
        <v>#REF!</v>
      </c>
      <c r="AB129" s="34" t="e">
        <f>VLOOKUP($C129,#REF!,26,0)</f>
        <v>#REF!</v>
      </c>
      <c r="AC129" s="106" t="e">
        <f>VLOOKUP($C129,#REF!,27,0)</f>
        <v>#REF!</v>
      </c>
      <c r="AE129" s="105" t="e">
        <f t="shared" si="27"/>
        <v>#REF!</v>
      </c>
      <c r="AF129" s="107" t="s">
        <v>320</v>
      </c>
      <c r="AG129" s="107" t="s">
        <v>321</v>
      </c>
      <c r="AH129" s="106" t="s">
        <v>322</v>
      </c>
      <c r="AJ129" s="105" t="s">
        <v>323</v>
      </c>
      <c r="AK129" s="107" t="s">
        <v>324</v>
      </c>
      <c r="AL129" s="107" t="s">
        <v>325</v>
      </c>
      <c r="AM129" s="107" t="s">
        <v>326</v>
      </c>
      <c r="AN129" s="107" t="s">
        <v>326</v>
      </c>
      <c r="AO129" s="106" t="s">
        <v>320</v>
      </c>
      <c r="AQ129" s="108">
        <v>0</v>
      </c>
      <c r="AR129" s="5"/>
      <c r="AS129" s="105">
        <v>0</v>
      </c>
      <c r="AT129" s="106">
        <v>0</v>
      </c>
      <c r="AU129" s="34"/>
      <c r="AV129" s="105">
        <f t="shared" si="50"/>
        <v>0</v>
      </c>
      <c r="AW129" s="106">
        <f t="shared" si="51"/>
        <v>0</v>
      </c>
      <c r="AX129" s="105">
        <f t="shared" si="28"/>
        <v>0</v>
      </c>
      <c r="AY129" s="106">
        <f t="shared" si="29"/>
        <v>0</v>
      </c>
      <c r="AZ129" s="105">
        <f t="shared" si="30"/>
        <v>0</v>
      </c>
      <c r="BA129" s="106">
        <f t="shared" si="31"/>
        <v>0</v>
      </c>
      <c r="BB129" s="34">
        <f t="shared" si="32"/>
        <v>0</v>
      </c>
      <c r="BC129" s="106">
        <f t="shared" si="33"/>
        <v>0</v>
      </c>
      <c r="BD129" s="34"/>
      <c r="BE129" s="105">
        <f t="shared" si="34"/>
        <v>0</v>
      </c>
      <c r="BF129" s="106">
        <f t="shared" si="35"/>
        <v>0</v>
      </c>
      <c r="BG129" s="105">
        <f t="shared" si="36"/>
        <v>0</v>
      </c>
      <c r="BH129" s="106">
        <f t="shared" si="37"/>
        <v>0</v>
      </c>
      <c r="BI129" s="34">
        <f t="shared" si="38"/>
        <v>0</v>
      </c>
      <c r="BJ129" s="106">
        <f t="shared" si="39"/>
        <v>0</v>
      </c>
      <c r="BK129" s="34">
        <f t="shared" si="40"/>
        <v>0</v>
      </c>
      <c r="BL129" s="106">
        <f t="shared" si="41"/>
        <v>0</v>
      </c>
      <c r="BN129" s="108">
        <v>0</v>
      </c>
      <c r="BO129" s="5"/>
      <c r="BP129" s="105">
        <v>0</v>
      </c>
      <c r="BQ129" s="106">
        <v>0</v>
      </c>
      <c r="BR129" s="34"/>
      <c r="BS129" s="105">
        <v>0</v>
      </c>
      <c r="BT129" s="106">
        <v>0</v>
      </c>
      <c r="BU129" s="105">
        <v>0</v>
      </c>
      <c r="BV129" s="106">
        <v>0</v>
      </c>
      <c r="BW129" s="105">
        <v>0</v>
      </c>
      <c r="BX129" s="106">
        <v>-1</v>
      </c>
      <c r="BY129" s="105">
        <v>0</v>
      </c>
      <c r="BZ129" s="106">
        <v>-1</v>
      </c>
      <c r="CA129" s="34"/>
      <c r="CB129" s="105">
        <v>0</v>
      </c>
      <c r="CC129" s="106">
        <v>0</v>
      </c>
      <c r="CD129" s="105">
        <v>0</v>
      </c>
      <c r="CE129" s="106">
        <v>0</v>
      </c>
      <c r="CF129" s="105">
        <v>0</v>
      </c>
      <c r="CG129" s="106">
        <v>-1</v>
      </c>
      <c r="CH129" s="105">
        <v>0</v>
      </c>
      <c r="CI129" s="106">
        <v>-1</v>
      </c>
      <c r="CK129" s="78"/>
      <c r="CL129" s="5"/>
      <c r="CM129" s="38" t="str">
        <f t="shared" si="42"/>
        <v>-</v>
      </c>
      <c r="CN129" s="5"/>
      <c r="CO129" s="38" t="str">
        <f t="shared" si="43"/>
        <v>-</v>
      </c>
      <c r="CP129" s="38" t="str">
        <f t="shared" si="44"/>
        <v>-</v>
      </c>
      <c r="CQ129" s="38" t="str">
        <f t="shared" si="52"/>
        <v>-</v>
      </c>
      <c r="CR129" s="38" t="str">
        <f t="shared" si="52"/>
        <v>-</v>
      </c>
      <c r="CS129" s="5"/>
      <c r="CT129" s="38" t="str">
        <f t="shared" si="46"/>
        <v>-</v>
      </c>
      <c r="CU129" s="38" t="str">
        <f t="shared" si="47"/>
        <v>-</v>
      </c>
      <c r="CV129" s="38" t="str">
        <f t="shared" si="48"/>
        <v>-</v>
      </c>
      <c r="CW129" s="38" t="str">
        <f t="shared" si="49"/>
        <v>-</v>
      </c>
    </row>
    <row r="130" spans="2:101" s="113" customFormat="1" ht="12.75" customHeight="1">
      <c r="B130" s="99" t="s">
        <v>112</v>
      </c>
      <c r="C130" s="98" t="s">
        <v>369</v>
      </c>
      <c r="D130" s="114" t="e">
        <f>VLOOKUP($C130,#REF!,5,0)</f>
        <v>#REF!</v>
      </c>
      <c r="E130" s="115" t="e">
        <f>VLOOKUP($C130,#REF!,6,0)</f>
        <v>#REF!</v>
      </c>
      <c r="F130" s="98" t="e">
        <f>VLOOKUP($C130,#REF!,7,0)</f>
        <v>#REF!</v>
      </c>
      <c r="G130" s="98" t="e">
        <f>VLOOKUP($C130,#REF!,8,0)</f>
        <v>#REF!</v>
      </c>
      <c r="H130" s="116" t="e">
        <f>VLOOKUP($C130,#REF!,9,0)</f>
        <v>#REF!</v>
      </c>
      <c r="I130" s="5"/>
      <c r="J130" s="118" t="e">
        <f>VLOOKUP($C130,#REF!,10,0)</f>
        <v>#REF!</v>
      </c>
      <c r="K130" s="119" t="e">
        <f>VLOOKUP($C130,#REF!,11,0)</f>
        <v>#REF!</v>
      </c>
      <c r="L130" s="34"/>
      <c r="M130" s="118" t="e">
        <f>VLOOKUP($C130,#REF!,12,0)</f>
        <v>#REF!</v>
      </c>
      <c r="N130" s="120" t="e">
        <f>VLOOKUP($C130,#REF!,13,0)</f>
        <v>#REF!</v>
      </c>
      <c r="O130" s="118" t="e">
        <f>VLOOKUP($C130,#REF!,14,0)</f>
        <v>#REF!</v>
      </c>
      <c r="P130" s="120" t="e">
        <f>VLOOKUP($C130,#REF!,15,0)</f>
        <v>#REF!</v>
      </c>
      <c r="Q130" s="118" t="e">
        <f>VLOOKUP($C130,#REF!,16,0)</f>
        <v>#REF!</v>
      </c>
      <c r="R130" s="119" t="e">
        <f>VLOOKUP($C130,#REF!,17,0)</f>
        <v>#REF!</v>
      </c>
      <c r="S130" s="120" t="e">
        <f>VLOOKUP($C130,#REF!,18,0)</f>
        <v>#REF!</v>
      </c>
      <c r="T130" s="119" t="e">
        <f>VLOOKUP($C130,#REF!,19,0)</f>
        <v>#REF!</v>
      </c>
      <c r="U130" s="34"/>
      <c r="V130" s="118" t="e">
        <f>VLOOKUP($C130,#REF!,20,0)</f>
        <v>#REF!</v>
      </c>
      <c r="W130" s="120" t="e">
        <f>VLOOKUP($C130,#REF!,21,0)</f>
        <v>#REF!</v>
      </c>
      <c r="X130" s="118" t="e">
        <f>VLOOKUP($C130,#REF!,22,0)</f>
        <v>#REF!</v>
      </c>
      <c r="Y130" s="120" t="e">
        <f>VLOOKUP($C130,#REF!,23,0)</f>
        <v>#REF!</v>
      </c>
      <c r="Z130" s="118" t="e">
        <f>VLOOKUP($C130,#REF!,24,0)</f>
        <v>#REF!</v>
      </c>
      <c r="AA130" s="119" t="e">
        <f>VLOOKUP($C130,#REF!,25,0)</f>
        <v>#REF!</v>
      </c>
      <c r="AB130" s="120" t="e">
        <f>VLOOKUP($C130,#REF!,26,0)</f>
        <v>#REF!</v>
      </c>
      <c r="AC130" s="119" t="e">
        <f>VLOOKUP($C130,#REF!,27,0)</f>
        <v>#REF!</v>
      </c>
      <c r="AD130" s="4"/>
      <c r="AE130" s="118" t="e">
        <f t="shared" si="27"/>
        <v>#REF!</v>
      </c>
      <c r="AF130" s="121" t="s">
        <v>320</v>
      </c>
      <c r="AG130" s="121" t="s">
        <v>321</v>
      </c>
      <c r="AH130" s="119" t="s">
        <v>322</v>
      </c>
      <c r="AI130" s="4"/>
      <c r="AJ130" s="118" t="s">
        <v>323</v>
      </c>
      <c r="AK130" s="121" t="s">
        <v>324</v>
      </c>
      <c r="AL130" s="121" t="s">
        <v>325</v>
      </c>
      <c r="AM130" s="121" t="s">
        <v>326</v>
      </c>
      <c r="AN130" s="121" t="s">
        <v>326</v>
      </c>
      <c r="AO130" s="119" t="s">
        <v>320</v>
      </c>
      <c r="AP130" s="4"/>
      <c r="AQ130" s="122">
        <v>25</v>
      </c>
      <c r="AR130" s="5"/>
      <c r="AS130" s="118">
        <v>0</v>
      </c>
      <c r="AT130" s="119">
        <v>0</v>
      </c>
      <c r="AU130" s="34"/>
      <c r="AV130" s="118">
        <f t="shared" si="50"/>
        <v>0</v>
      </c>
      <c r="AW130" s="119">
        <f t="shared" si="51"/>
        <v>0</v>
      </c>
      <c r="AX130" s="118">
        <f t="shared" si="28"/>
        <v>0</v>
      </c>
      <c r="AY130" s="119">
        <f t="shared" si="29"/>
        <v>0</v>
      </c>
      <c r="AZ130" s="118">
        <f t="shared" si="30"/>
        <v>0</v>
      </c>
      <c r="BA130" s="119">
        <f t="shared" si="31"/>
        <v>0</v>
      </c>
      <c r="BB130" s="120">
        <f t="shared" si="32"/>
        <v>0</v>
      </c>
      <c r="BC130" s="119">
        <f t="shared" si="33"/>
        <v>0</v>
      </c>
      <c r="BD130" s="34"/>
      <c r="BE130" s="118">
        <f t="shared" si="34"/>
        <v>0</v>
      </c>
      <c r="BF130" s="119">
        <f t="shared" si="35"/>
        <v>0</v>
      </c>
      <c r="BG130" s="118">
        <f t="shared" si="36"/>
        <v>0</v>
      </c>
      <c r="BH130" s="119">
        <f t="shared" si="37"/>
        <v>0</v>
      </c>
      <c r="BI130" s="120">
        <f t="shared" si="38"/>
        <v>0</v>
      </c>
      <c r="BJ130" s="119">
        <f t="shared" si="39"/>
        <v>0</v>
      </c>
      <c r="BK130" s="120">
        <f t="shared" si="40"/>
        <v>0</v>
      </c>
      <c r="BL130" s="119">
        <f t="shared" si="41"/>
        <v>0</v>
      </c>
      <c r="BM130" s="4"/>
      <c r="BN130" s="122">
        <v>0</v>
      </c>
      <c r="BO130" s="117"/>
      <c r="BP130" s="118">
        <v>0</v>
      </c>
      <c r="BQ130" s="119">
        <v>0</v>
      </c>
      <c r="BR130" s="120"/>
      <c r="BS130" s="118">
        <v>0</v>
      </c>
      <c r="BT130" s="119">
        <v>0</v>
      </c>
      <c r="BU130" s="118">
        <v>0</v>
      </c>
      <c r="BV130" s="119">
        <v>0</v>
      </c>
      <c r="BW130" s="118">
        <v>0</v>
      </c>
      <c r="BX130" s="119">
        <v>0</v>
      </c>
      <c r="BY130" s="118">
        <v>0</v>
      </c>
      <c r="BZ130" s="119">
        <v>0</v>
      </c>
      <c r="CA130" s="120"/>
      <c r="CB130" s="118">
        <v>0</v>
      </c>
      <c r="CC130" s="119">
        <v>0</v>
      </c>
      <c r="CD130" s="118">
        <v>0</v>
      </c>
      <c r="CE130" s="119">
        <v>0</v>
      </c>
      <c r="CF130" s="118">
        <v>0</v>
      </c>
      <c r="CG130" s="119">
        <v>0</v>
      </c>
      <c r="CH130" s="118">
        <v>0</v>
      </c>
      <c r="CI130" s="119">
        <v>0</v>
      </c>
      <c r="CJ130" s="4"/>
      <c r="CK130" s="79"/>
      <c r="CL130" s="5"/>
      <c r="CM130" s="39" t="str">
        <f t="shared" si="42"/>
        <v>-</v>
      </c>
      <c r="CN130" s="5"/>
      <c r="CO130" s="39" t="str">
        <f t="shared" si="43"/>
        <v>-</v>
      </c>
      <c r="CP130" s="39" t="str">
        <f t="shared" si="44"/>
        <v>-</v>
      </c>
      <c r="CQ130" s="39" t="str">
        <f t="shared" si="52"/>
        <v>-</v>
      </c>
      <c r="CR130" s="39" t="str">
        <f t="shared" si="52"/>
        <v>-</v>
      </c>
      <c r="CS130" s="5"/>
      <c r="CT130" s="39" t="str">
        <f t="shared" si="46"/>
        <v>-</v>
      </c>
      <c r="CU130" s="39" t="str">
        <f t="shared" si="47"/>
        <v>-</v>
      </c>
      <c r="CV130" s="39" t="str">
        <f t="shared" si="48"/>
        <v>-</v>
      </c>
      <c r="CW130" s="39" t="str">
        <f t="shared" si="49"/>
        <v>-</v>
      </c>
    </row>
    <row r="131" spans="2:101" s="4" customFormat="1" ht="12.75" customHeight="1">
      <c r="B131" s="102" t="s">
        <v>110</v>
      </c>
      <c r="C131" s="103" t="s">
        <v>243</v>
      </c>
      <c r="D131" s="104" t="e">
        <f>VLOOKUP($C131,#REF!,5,0)</f>
        <v>#REF!</v>
      </c>
      <c r="E131" s="109" t="e">
        <f>VLOOKUP($C131,#REF!,6,0)</f>
        <v>#REF!</v>
      </c>
      <c r="F131" s="103" t="e">
        <f>VLOOKUP($C131,#REF!,7,0)</f>
        <v>#REF!</v>
      </c>
      <c r="G131" s="103" t="e">
        <f>VLOOKUP($C131,#REF!,8,0)</f>
        <v>#REF!</v>
      </c>
      <c r="H131" s="110" t="e">
        <f>VLOOKUP($C131,#REF!,9,0)</f>
        <v>#REF!</v>
      </c>
      <c r="I131" s="5"/>
      <c r="J131" s="105" t="e">
        <f>VLOOKUP($C131,#REF!,10,0)</f>
        <v>#REF!</v>
      </c>
      <c r="K131" s="106" t="e">
        <f>VLOOKUP($C131,#REF!,11,0)</f>
        <v>#REF!</v>
      </c>
      <c r="L131" s="34"/>
      <c r="M131" s="105" t="e">
        <f>VLOOKUP($C131,#REF!,12,0)</f>
        <v>#REF!</v>
      </c>
      <c r="N131" s="34" t="e">
        <f>VLOOKUP($C131,#REF!,13,0)</f>
        <v>#REF!</v>
      </c>
      <c r="O131" s="105" t="e">
        <f>VLOOKUP($C131,#REF!,14,0)</f>
        <v>#REF!</v>
      </c>
      <c r="P131" s="34" t="e">
        <f>VLOOKUP($C131,#REF!,15,0)</f>
        <v>#REF!</v>
      </c>
      <c r="Q131" s="105" t="e">
        <f>VLOOKUP($C131,#REF!,16,0)</f>
        <v>#REF!</v>
      </c>
      <c r="R131" s="106" t="e">
        <f>VLOOKUP($C131,#REF!,17,0)</f>
        <v>#REF!</v>
      </c>
      <c r="S131" s="34" t="e">
        <f>VLOOKUP($C131,#REF!,18,0)</f>
        <v>#REF!</v>
      </c>
      <c r="T131" s="106" t="e">
        <f>VLOOKUP($C131,#REF!,19,0)</f>
        <v>#REF!</v>
      </c>
      <c r="U131" s="34"/>
      <c r="V131" s="105" t="e">
        <f>VLOOKUP($C131,#REF!,20,0)</f>
        <v>#REF!</v>
      </c>
      <c r="W131" s="34" t="e">
        <f>VLOOKUP($C131,#REF!,21,0)</f>
        <v>#REF!</v>
      </c>
      <c r="X131" s="105" t="e">
        <f>VLOOKUP($C131,#REF!,22,0)</f>
        <v>#REF!</v>
      </c>
      <c r="Y131" s="34" t="e">
        <f>VLOOKUP($C131,#REF!,23,0)</f>
        <v>#REF!</v>
      </c>
      <c r="Z131" s="105" t="e">
        <f>VLOOKUP($C131,#REF!,24,0)</f>
        <v>#REF!</v>
      </c>
      <c r="AA131" s="106" t="e">
        <f>VLOOKUP($C131,#REF!,25,0)</f>
        <v>#REF!</v>
      </c>
      <c r="AB131" s="34" t="e">
        <f>VLOOKUP($C131,#REF!,26,0)</f>
        <v>#REF!</v>
      </c>
      <c r="AC131" s="106" t="e">
        <f>VLOOKUP($C131,#REF!,27,0)</f>
        <v>#REF!</v>
      </c>
      <c r="AE131" s="105" t="e">
        <f t="shared" si="27"/>
        <v>#REF!</v>
      </c>
      <c r="AF131" s="107" t="s">
        <v>320</v>
      </c>
      <c r="AG131" s="107" t="s">
        <v>321</v>
      </c>
      <c r="AH131" s="106" t="s">
        <v>322</v>
      </c>
      <c r="AJ131" s="105" t="s">
        <v>323</v>
      </c>
      <c r="AK131" s="107" t="s">
        <v>324</v>
      </c>
      <c r="AL131" s="107" t="s">
        <v>325</v>
      </c>
      <c r="AM131" s="107" t="s">
        <v>326</v>
      </c>
      <c r="AN131" s="107" t="s">
        <v>326</v>
      </c>
      <c r="AO131" s="106" t="s">
        <v>320</v>
      </c>
      <c r="AQ131" s="108">
        <v>50</v>
      </c>
      <c r="AR131" s="5"/>
      <c r="AS131" s="105">
        <v>0</v>
      </c>
      <c r="AT131" s="106">
        <v>0</v>
      </c>
      <c r="AU131" s="34"/>
      <c r="AV131" s="105">
        <f t="shared" si="50"/>
        <v>0</v>
      </c>
      <c r="AW131" s="106">
        <f t="shared" si="51"/>
        <v>0</v>
      </c>
      <c r="AX131" s="105">
        <f t="shared" si="28"/>
        <v>0</v>
      </c>
      <c r="AY131" s="106">
        <f t="shared" si="29"/>
        <v>0</v>
      </c>
      <c r="AZ131" s="105">
        <f t="shared" si="30"/>
        <v>0</v>
      </c>
      <c r="BA131" s="106">
        <f t="shared" si="31"/>
        <v>0</v>
      </c>
      <c r="BB131" s="34">
        <f t="shared" si="32"/>
        <v>0</v>
      </c>
      <c r="BC131" s="106">
        <f t="shared" si="33"/>
        <v>0</v>
      </c>
      <c r="BD131" s="34"/>
      <c r="BE131" s="105">
        <f t="shared" si="34"/>
        <v>0</v>
      </c>
      <c r="BF131" s="106">
        <f t="shared" si="35"/>
        <v>0</v>
      </c>
      <c r="BG131" s="105">
        <f t="shared" si="36"/>
        <v>0</v>
      </c>
      <c r="BH131" s="106">
        <f t="shared" si="37"/>
        <v>0</v>
      </c>
      <c r="BI131" s="34">
        <f t="shared" si="38"/>
        <v>0</v>
      </c>
      <c r="BJ131" s="106">
        <f t="shared" si="39"/>
        <v>0</v>
      </c>
      <c r="BK131" s="34">
        <f t="shared" si="40"/>
        <v>0</v>
      </c>
      <c r="BL131" s="106">
        <f t="shared" si="41"/>
        <v>0</v>
      </c>
      <c r="BN131" s="108">
        <v>0</v>
      </c>
      <c r="BO131" s="5"/>
      <c r="BP131" s="105">
        <v>0</v>
      </c>
      <c r="BQ131" s="106">
        <v>0</v>
      </c>
      <c r="BR131" s="34"/>
      <c r="BS131" s="105">
        <v>0</v>
      </c>
      <c r="BT131" s="106">
        <v>0</v>
      </c>
      <c r="BU131" s="105">
        <v>0</v>
      </c>
      <c r="BV131" s="106">
        <v>0</v>
      </c>
      <c r="BW131" s="105">
        <v>0</v>
      </c>
      <c r="BX131" s="106">
        <v>0</v>
      </c>
      <c r="BY131" s="105">
        <v>0</v>
      </c>
      <c r="BZ131" s="106">
        <v>0</v>
      </c>
      <c r="CA131" s="34"/>
      <c r="CB131" s="105">
        <v>0</v>
      </c>
      <c r="CC131" s="106">
        <v>0</v>
      </c>
      <c r="CD131" s="105">
        <v>0</v>
      </c>
      <c r="CE131" s="106">
        <v>0</v>
      </c>
      <c r="CF131" s="105">
        <v>0</v>
      </c>
      <c r="CG131" s="106">
        <v>0</v>
      </c>
      <c r="CH131" s="105">
        <v>0</v>
      </c>
      <c r="CI131" s="106">
        <v>0</v>
      </c>
      <c r="CK131" s="78"/>
      <c r="CL131" s="5"/>
      <c r="CM131" s="38" t="str">
        <f t="shared" si="42"/>
        <v>-</v>
      </c>
      <c r="CN131" s="5"/>
      <c r="CO131" s="38" t="str">
        <f t="shared" si="43"/>
        <v>-</v>
      </c>
      <c r="CP131" s="38" t="str">
        <f t="shared" si="44"/>
        <v>-</v>
      </c>
      <c r="CQ131" s="38" t="str">
        <f t="shared" si="52"/>
        <v>-</v>
      </c>
      <c r="CR131" s="38" t="str">
        <f t="shared" si="52"/>
        <v>-</v>
      </c>
      <c r="CS131" s="5"/>
      <c r="CT131" s="38" t="str">
        <f t="shared" si="46"/>
        <v>-</v>
      </c>
      <c r="CU131" s="38" t="str">
        <f t="shared" si="47"/>
        <v>-</v>
      </c>
      <c r="CV131" s="38" t="str">
        <f t="shared" si="48"/>
        <v>-</v>
      </c>
      <c r="CW131" s="38" t="str">
        <f t="shared" si="49"/>
        <v>-</v>
      </c>
    </row>
    <row r="132" spans="2:101" s="113" customFormat="1" ht="12.75" customHeight="1">
      <c r="B132" s="99" t="s">
        <v>110</v>
      </c>
      <c r="C132" s="98" t="s">
        <v>141</v>
      </c>
      <c r="D132" s="114" t="e">
        <f>VLOOKUP($C132,#REF!,5,0)</f>
        <v>#REF!</v>
      </c>
      <c r="E132" s="115" t="e">
        <f>VLOOKUP($C132,#REF!,6,0)</f>
        <v>#REF!</v>
      </c>
      <c r="F132" s="98" t="e">
        <f>VLOOKUP($C132,#REF!,7,0)</f>
        <v>#REF!</v>
      </c>
      <c r="G132" s="98" t="e">
        <f>VLOOKUP($C132,#REF!,8,0)</f>
        <v>#REF!</v>
      </c>
      <c r="H132" s="116" t="e">
        <f>VLOOKUP($C132,#REF!,9,0)</f>
        <v>#REF!</v>
      </c>
      <c r="I132" s="5"/>
      <c r="J132" s="118" t="e">
        <f>VLOOKUP($C132,#REF!,10,0)</f>
        <v>#REF!</v>
      </c>
      <c r="K132" s="119" t="e">
        <f>VLOOKUP($C132,#REF!,11,0)</f>
        <v>#REF!</v>
      </c>
      <c r="L132" s="34"/>
      <c r="M132" s="118" t="e">
        <f>VLOOKUP($C132,#REF!,12,0)</f>
        <v>#REF!</v>
      </c>
      <c r="N132" s="120" t="e">
        <f>VLOOKUP($C132,#REF!,13,0)</f>
        <v>#REF!</v>
      </c>
      <c r="O132" s="118" t="e">
        <f>VLOOKUP($C132,#REF!,14,0)</f>
        <v>#REF!</v>
      </c>
      <c r="P132" s="120" t="e">
        <f>VLOOKUP($C132,#REF!,15,0)</f>
        <v>#REF!</v>
      </c>
      <c r="Q132" s="118" t="e">
        <f>VLOOKUP($C132,#REF!,16,0)</f>
        <v>#REF!</v>
      </c>
      <c r="R132" s="119" t="e">
        <f>VLOOKUP($C132,#REF!,17,0)</f>
        <v>#REF!</v>
      </c>
      <c r="S132" s="120" t="e">
        <f>VLOOKUP($C132,#REF!,18,0)</f>
        <v>#REF!</v>
      </c>
      <c r="T132" s="119" t="e">
        <f>VLOOKUP($C132,#REF!,19,0)</f>
        <v>#REF!</v>
      </c>
      <c r="U132" s="34"/>
      <c r="V132" s="118" t="e">
        <f>VLOOKUP($C132,#REF!,20,0)</f>
        <v>#REF!</v>
      </c>
      <c r="W132" s="120" t="e">
        <f>VLOOKUP($C132,#REF!,21,0)</f>
        <v>#REF!</v>
      </c>
      <c r="X132" s="118" t="e">
        <f>VLOOKUP($C132,#REF!,22,0)</f>
        <v>#REF!</v>
      </c>
      <c r="Y132" s="120" t="e">
        <f>VLOOKUP($C132,#REF!,23,0)</f>
        <v>#REF!</v>
      </c>
      <c r="Z132" s="118" t="e">
        <f>VLOOKUP($C132,#REF!,24,0)</f>
        <v>#REF!</v>
      </c>
      <c r="AA132" s="119" t="e">
        <f>VLOOKUP($C132,#REF!,25,0)</f>
        <v>#REF!</v>
      </c>
      <c r="AB132" s="120" t="e">
        <f>VLOOKUP($C132,#REF!,26,0)</f>
        <v>#REF!</v>
      </c>
      <c r="AC132" s="119" t="e">
        <f>VLOOKUP($C132,#REF!,27,0)</f>
        <v>#REF!</v>
      </c>
      <c r="AD132" s="4"/>
      <c r="AE132" s="118" t="e">
        <f t="shared" si="27"/>
        <v>#REF!</v>
      </c>
      <c r="AF132" s="121" t="s">
        <v>320</v>
      </c>
      <c r="AG132" s="121" t="s">
        <v>321</v>
      </c>
      <c r="AH132" s="119" t="s">
        <v>322</v>
      </c>
      <c r="AI132" s="4"/>
      <c r="AJ132" s="118" t="s">
        <v>323</v>
      </c>
      <c r="AK132" s="121" t="s">
        <v>324</v>
      </c>
      <c r="AL132" s="121" t="s">
        <v>325</v>
      </c>
      <c r="AM132" s="121" t="s">
        <v>326</v>
      </c>
      <c r="AN132" s="121" t="s">
        <v>326</v>
      </c>
      <c r="AO132" s="119" t="s">
        <v>320</v>
      </c>
      <c r="AP132" s="4"/>
      <c r="AQ132" s="122">
        <v>0</v>
      </c>
      <c r="AR132" s="5"/>
      <c r="AS132" s="118">
        <v>0</v>
      </c>
      <c r="AT132" s="119">
        <v>0</v>
      </c>
      <c r="AU132" s="34"/>
      <c r="AV132" s="118">
        <f t="shared" si="50"/>
        <v>0</v>
      </c>
      <c r="AW132" s="119">
        <f t="shared" si="51"/>
        <v>0</v>
      </c>
      <c r="AX132" s="118">
        <f t="shared" si="28"/>
        <v>0</v>
      </c>
      <c r="AY132" s="119">
        <f t="shared" si="29"/>
        <v>0</v>
      </c>
      <c r="AZ132" s="118">
        <f t="shared" si="30"/>
        <v>0</v>
      </c>
      <c r="BA132" s="119">
        <f t="shared" si="31"/>
        <v>0</v>
      </c>
      <c r="BB132" s="120">
        <f t="shared" si="32"/>
        <v>0</v>
      </c>
      <c r="BC132" s="119">
        <f t="shared" si="33"/>
        <v>0</v>
      </c>
      <c r="BD132" s="34"/>
      <c r="BE132" s="118">
        <f t="shared" si="34"/>
        <v>0</v>
      </c>
      <c r="BF132" s="119">
        <f t="shared" si="35"/>
        <v>0</v>
      </c>
      <c r="BG132" s="118">
        <f t="shared" si="36"/>
        <v>0</v>
      </c>
      <c r="BH132" s="119">
        <f t="shared" si="37"/>
        <v>0</v>
      </c>
      <c r="BI132" s="120">
        <f t="shared" si="38"/>
        <v>0</v>
      </c>
      <c r="BJ132" s="119">
        <f t="shared" si="39"/>
        <v>0</v>
      </c>
      <c r="BK132" s="120">
        <f t="shared" si="40"/>
        <v>0</v>
      </c>
      <c r="BL132" s="119">
        <f t="shared" si="41"/>
        <v>0</v>
      </c>
      <c r="BM132" s="4"/>
      <c r="BN132" s="122">
        <v>0</v>
      </c>
      <c r="BO132" s="117"/>
      <c r="BP132" s="118">
        <v>0</v>
      </c>
      <c r="BQ132" s="119">
        <v>0</v>
      </c>
      <c r="BR132" s="120"/>
      <c r="BS132" s="118">
        <v>0</v>
      </c>
      <c r="BT132" s="119">
        <v>0</v>
      </c>
      <c r="BU132" s="118">
        <v>0</v>
      </c>
      <c r="BV132" s="119">
        <v>0</v>
      </c>
      <c r="BW132" s="118">
        <v>0</v>
      </c>
      <c r="BX132" s="119">
        <v>-1</v>
      </c>
      <c r="BY132" s="118">
        <v>0</v>
      </c>
      <c r="BZ132" s="119">
        <v>-1</v>
      </c>
      <c r="CA132" s="120"/>
      <c r="CB132" s="118">
        <v>0</v>
      </c>
      <c r="CC132" s="119">
        <v>0</v>
      </c>
      <c r="CD132" s="118">
        <v>0</v>
      </c>
      <c r="CE132" s="119">
        <v>0</v>
      </c>
      <c r="CF132" s="118">
        <v>0</v>
      </c>
      <c r="CG132" s="119">
        <v>-1</v>
      </c>
      <c r="CH132" s="118">
        <v>0</v>
      </c>
      <c r="CI132" s="119">
        <v>-1</v>
      </c>
      <c r="CJ132" s="4"/>
      <c r="CK132" s="79"/>
      <c r="CL132" s="5"/>
      <c r="CM132" s="39" t="str">
        <f t="shared" si="42"/>
        <v>-</v>
      </c>
      <c r="CN132" s="5"/>
      <c r="CO132" s="39" t="str">
        <f t="shared" si="43"/>
        <v>-</v>
      </c>
      <c r="CP132" s="39" t="str">
        <f t="shared" si="44"/>
        <v>-</v>
      </c>
      <c r="CQ132" s="39" t="str">
        <f t="shared" si="52"/>
        <v>-</v>
      </c>
      <c r="CR132" s="39" t="str">
        <f t="shared" si="52"/>
        <v>-</v>
      </c>
      <c r="CS132" s="5"/>
      <c r="CT132" s="39" t="str">
        <f t="shared" si="46"/>
        <v>-</v>
      </c>
      <c r="CU132" s="39" t="str">
        <f t="shared" si="47"/>
        <v>-</v>
      </c>
      <c r="CV132" s="39" t="str">
        <f t="shared" si="48"/>
        <v>-</v>
      </c>
      <c r="CW132" s="39" t="str">
        <f t="shared" si="49"/>
        <v>-</v>
      </c>
    </row>
    <row r="133" spans="2:101" s="4" customFormat="1" ht="12.75" customHeight="1">
      <c r="B133" s="102" t="s">
        <v>110</v>
      </c>
      <c r="C133" s="103" t="s">
        <v>218</v>
      </c>
      <c r="D133" s="104" t="e">
        <f>VLOOKUP($C133,#REF!,5,0)</f>
        <v>#REF!</v>
      </c>
      <c r="E133" s="109" t="e">
        <f>VLOOKUP($C133,#REF!,6,0)</f>
        <v>#REF!</v>
      </c>
      <c r="F133" s="103" t="e">
        <f>VLOOKUP($C133,#REF!,7,0)</f>
        <v>#REF!</v>
      </c>
      <c r="G133" s="103" t="e">
        <f>VLOOKUP($C133,#REF!,8,0)</f>
        <v>#REF!</v>
      </c>
      <c r="H133" s="110" t="e">
        <f>VLOOKUP($C133,#REF!,9,0)</f>
        <v>#REF!</v>
      </c>
      <c r="I133" s="5"/>
      <c r="J133" s="105" t="e">
        <f>VLOOKUP($C133,#REF!,10,0)</f>
        <v>#REF!</v>
      </c>
      <c r="K133" s="106" t="e">
        <f>VLOOKUP($C133,#REF!,11,0)</f>
        <v>#REF!</v>
      </c>
      <c r="L133" s="34"/>
      <c r="M133" s="105" t="e">
        <f>VLOOKUP($C133,#REF!,12,0)</f>
        <v>#REF!</v>
      </c>
      <c r="N133" s="34" t="e">
        <f>VLOOKUP($C133,#REF!,13,0)</f>
        <v>#REF!</v>
      </c>
      <c r="O133" s="105" t="e">
        <f>VLOOKUP($C133,#REF!,14,0)</f>
        <v>#REF!</v>
      </c>
      <c r="P133" s="34" t="e">
        <f>VLOOKUP($C133,#REF!,15,0)</f>
        <v>#REF!</v>
      </c>
      <c r="Q133" s="105" t="e">
        <f>VLOOKUP($C133,#REF!,16,0)</f>
        <v>#REF!</v>
      </c>
      <c r="R133" s="106" t="e">
        <f>VLOOKUP($C133,#REF!,17,0)</f>
        <v>#REF!</v>
      </c>
      <c r="S133" s="34" t="e">
        <f>VLOOKUP($C133,#REF!,18,0)</f>
        <v>#REF!</v>
      </c>
      <c r="T133" s="106" t="e">
        <f>VLOOKUP($C133,#REF!,19,0)</f>
        <v>#REF!</v>
      </c>
      <c r="U133" s="34"/>
      <c r="V133" s="105" t="e">
        <f>VLOOKUP($C133,#REF!,20,0)</f>
        <v>#REF!</v>
      </c>
      <c r="W133" s="34" t="e">
        <f>VLOOKUP($C133,#REF!,21,0)</f>
        <v>#REF!</v>
      </c>
      <c r="X133" s="105" t="e">
        <f>VLOOKUP($C133,#REF!,22,0)</f>
        <v>#REF!</v>
      </c>
      <c r="Y133" s="34" t="e">
        <f>VLOOKUP($C133,#REF!,23,0)</f>
        <v>#REF!</v>
      </c>
      <c r="Z133" s="105" t="e">
        <f>VLOOKUP($C133,#REF!,24,0)</f>
        <v>#REF!</v>
      </c>
      <c r="AA133" s="106" t="e">
        <f>VLOOKUP($C133,#REF!,25,0)</f>
        <v>#REF!</v>
      </c>
      <c r="AB133" s="34" t="e">
        <f>VLOOKUP($C133,#REF!,26,0)</f>
        <v>#REF!</v>
      </c>
      <c r="AC133" s="106" t="e">
        <f>VLOOKUP($C133,#REF!,27,0)</f>
        <v>#REF!</v>
      </c>
      <c r="AE133" s="105" t="e">
        <f t="shared" si="27"/>
        <v>#REF!</v>
      </c>
      <c r="AF133" s="107" t="s">
        <v>320</v>
      </c>
      <c r="AG133" s="107" t="s">
        <v>321</v>
      </c>
      <c r="AH133" s="106" t="s">
        <v>322</v>
      </c>
      <c r="AJ133" s="105" t="s">
        <v>323</v>
      </c>
      <c r="AK133" s="107" t="s">
        <v>324</v>
      </c>
      <c r="AL133" s="107" t="s">
        <v>325</v>
      </c>
      <c r="AM133" s="107" t="s">
        <v>326</v>
      </c>
      <c r="AN133" s="107" t="s">
        <v>326</v>
      </c>
      <c r="AO133" s="106" t="s">
        <v>320</v>
      </c>
      <c r="AQ133" s="108">
        <v>25</v>
      </c>
      <c r="AR133" s="5"/>
      <c r="AS133" s="105">
        <v>0</v>
      </c>
      <c r="AT133" s="106">
        <v>0</v>
      </c>
      <c r="AU133" s="34"/>
      <c r="AV133" s="105">
        <f t="shared" si="50"/>
        <v>0</v>
      </c>
      <c r="AW133" s="106">
        <f t="shared" si="51"/>
        <v>0</v>
      </c>
      <c r="AX133" s="105">
        <f t="shared" si="28"/>
        <v>0</v>
      </c>
      <c r="AY133" s="106">
        <f t="shared" si="29"/>
        <v>0</v>
      </c>
      <c r="AZ133" s="105">
        <f t="shared" si="30"/>
        <v>0</v>
      </c>
      <c r="BA133" s="106">
        <f t="shared" si="31"/>
        <v>0</v>
      </c>
      <c r="BB133" s="34">
        <f t="shared" si="32"/>
        <v>0</v>
      </c>
      <c r="BC133" s="106">
        <f t="shared" si="33"/>
        <v>0</v>
      </c>
      <c r="BD133" s="34"/>
      <c r="BE133" s="105">
        <f t="shared" si="34"/>
        <v>0</v>
      </c>
      <c r="BF133" s="106">
        <f t="shared" si="35"/>
        <v>0</v>
      </c>
      <c r="BG133" s="105">
        <f t="shared" si="36"/>
        <v>0</v>
      </c>
      <c r="BH133" s="106">
        <f t="shared" si="37"/>
        <v>0</v>
      </c>
      <c r="BI133" s="34">
        <f t="shared" si="38"/>
        <v>0</v>
      </c>
      <c r="BJ133" s="106">
        <f t="shared" si="39"/>
        <v>0</v>
      </c>
      <c r="BK133" s="34">
        <f t="shared" si="40"/>
        <v>0</v>
      </c>
      <c r="BL133" s="106">
        <f t="shared" si="41"/>
        <v>0</v>
      </c>
      <c r="BN133" s="108">
        <v>0</v>
      </c>
      <c r="BO133" s="5"/>
      <c r="BP133" s="105">
        <v>0</v>
      </c>
      <c r="BQ133" s="106">
        <v>0</v>
      </c>
      <c r="BR133" s="34"/>
      <c r="BS133" s="105">
        <v>0</v>
      </c>
      <c r="BT133" s="106">
        <v>0</v>
      </c>
      <c r="BU133" s="105">
        <v>0</v>
      </c>
      <c r="BV133" s="106">
        <v>0</v>
      </c>
      <c r="BW133" s="105">
        <v>0</v>
      </c>
      <c r="BX133" s="106">
        <v>-1</v>
      </c>
      <c r="BY133" s="105">
        <v>0</v>
      </c>
      <c r="BZ133" s="106">
        <v>-1</v>
      </c>
      <c r="CA133" s="34"/>
      <c r="CB133" s="105">
        <v>0</v>
      </c>
      <c r="CC133" s="106">
        <v>0</v>
      </c>
      <c r="CD133" s="105">
        <v>0</v>
      </c>
      <c r="CE133" s="106">
        <v>0</v>
      </c>
      <c r="CF133" s="105">
        <v>0</v>
      </c>
      <c r="CG133" s="106">
        <v>-1</v>
      </c>
      <c r="CH133" s="105">
        <v>0</v>
      </c>
      <c r="CI133" s="106">
        <v>-1</v>
      </c>
      <c r="CK133" s="78"/>
      <c r="CL133" s="5"/>
      <c r="CM133" s="38" t="str">
        <f t="shared" si="42"/>
        <v>-</v>
      </c>
      <c r="CN133" s="5"/>
      <c r="CO133" s="38" t="str">
        <f t="shared" si="43"/>
        <v>-</v>
      </c>
      <c r="CP133" s="38" t="str">
        <f t="shared" si="44"/>
        <v>-</v>
      </c>
      <c r="CQ133" s="38" t="str">
        <f t="shared" si="52"/>
        <v>-</v>
      </c>
      <c r="CR133" s="38" t="str">
        <f t="shared" si="52"/>
        <v>-</v>
      </c>
      <c r="CS133" s="5"/>
      <c r="CT133" s="38" t="str">
        <f t="shared" si="46"/>
        <v>-</v>
      </c>
      <c r="CU133" s="38" t="str">
        <f t="shared" si="47"/>
        <v>-</v>
      </c>
      <c r="CV133" s="38" t="str">
        <f t="shared" si="48"/>
        <v>-</v>
      </c>
      <c r="CW133" s="38" t="str">
        <f t="shared" si="49"/>
        <v>-</v>
      </c>
    </row>
    <row r="134" spans="2:101" s="113" customFormat="1" ht="12.75" customHeight="1">
      <c r="B134" s="99" t="s">
        <v>110</v>
      </c>
      <c r="C134" s="98" t="s">
        <v>219</v>
      </c>
      <c r="D134" s="114" t="e">
        <f>VLOOKUP($C134,#REF!,5,0)</f>
        <v>#REF!</v>
      </c>
      <c r="E134" s="115" t="e">
        <f>VLOOKUP($C134,#REF!,6,0)</f>
        <v>#REF!</v>
      </c>
      <c r="F134" s="98" t="e">
        <f>VLOOKUP($C134,#REF!,7,0)</f>
        <v>#REF!</v>
      </c>
      <c r="G134" s="98" t="e">
        <f>VLOOKUP($C134,#REF!,8,0)</f>
        <v>#REF!</v>
      </c>
      <c r="H134" s="116" t="e">
        <f>VLOOKUP($C134,#REF!,9,0)</f>
        <v>#REF!</v>
      </c>
      <c r="I134" s="5"/>
      <c r="J134" s="118" t="e">
        <f>VLOOKUP($C134,#REF!,10,0)</f>
        <v>#REF!</v>
      </c>
      <c r="K134" s="119" t="e">
        <f>VLOOKUP($C134,#REF!,11,0)</f>
        <v>#REF!</v>
      </c>
      <c r="L134" s="34"/>
      <c r="M134" s="118" t="e">
        <f>VLOOKUP($C134,#REF!,12,0)</f>
        <v>#REF!</v>
      </c>
      <c r="N134" s="120" t="e">
        <f>VLOOKUP($C134,#REF!,13,0)</f>
        <v>#REF!</v>
      </c>
      <c r="O134" s="118" t="e">
        <f>VLOOKUP($C134,#REF!,14,0)</f>
        <v>#REF!</v>
      </c>
      <c r="P134" s="120" t="e">
        <f>VLOOKUP($C134,#REF!,15,0)</f>
        <v>#REF!</v>
      </c>
      <c r="Q134" s="118" t="e">
        <f>VLOOKUP($C134,#REF!,16,0)</f>
        <v>#REF!</v>
      </c>
      <c r="R134" s="119" t="e">
        <f>VLOOKUP($C134,#REF!,17,0)</f>
        <v>#REF!</v>
      </c>
      <c r="S134" s="120" t="e">
        <f>VLOOKUP($C134,#REF!,18,0)</f>
        <v>#REF!</v>
      </c>
      <c r="T134" s="119" t="e">
        <f>VLOOKUP($C134,#REF!,19,0)</f>
        <v>#REF!</v>
      </c>
      <c r="U134" s="34"/>
      <c r="V134" s="118" t="e">
        <f>VLOOKUP($C134,#REF!,20,0)</f>
        <v>#REF!</v>
      </c>
      <c r="W134" s="120" t="e">
        <f>VLOOKUP($C134,#REF!,21,0)</f>
        <v>#REF!</v>
      </c>
      <c r="X134" s="118" t="e">
        <f>VLOOKUP($C134,#REF!,22,0)</f>
        <v>#REF!</v>
      </c>
      <c r="Y134" s="120" t="e">
        <f>VLOOKUP($C134,#REF!,23,0)</f>
        <v>#REF!</v>
      </c>
      <c r="Z134" s="118" t="e">
        <f>VLOOKUP($C134,#REF!,24,0)</f>
        <v>#REF!</v>
      </c>
      <c r="AA134" s="119" t="e">
        <f>VLOOKUP($C134,#REF!,25,0)</f>
        <v>#REF!</v>
      </c>
      <c r="AB134" s="120" t="e">
        <f>VLOOKUP($C134,#REF!,26,0)</f>
        <v>#REF!</v>
      </c>
      <c r="AC134" s="119" t="e">
        <f>VLOOKUP($C134,#REF!,27,0)</f>
        <v>#REF!</v>
      </c>
      <c r="AD134" s="4"/>
      <c r="AE134" s="118" t="e">
        <f t="shared" si="27"/>
        <v>#REF!</v>
      </c>
      <c r="AF134" s="121" t="s">
        <v>320</v>
      </c>
      <c r="AG134" s="121" t="s">
        <v>321</v>
      </c>
      <c r="AH134" s="119" t="s">
        <v>322</v>
      </c>
      <c r="AI134" s="4"/>
      <c r="AJ134" s="118" t="s">
        <v>323</v>
      </c>
      <c r="AK134" s="121" t="s">
        <v>324</v>
      </c>
      <c r="AL134" s="121" t="s">
        <v>325</v>
      </c>
      <c r="AM134" s="121" t="s">
        <v>326</v>
      </c>
      <c r="AN134" s="121" t="s">
        <v>326</v>
      </c>
      <c r="AO134" s="119" t="s">
        <v>320</v>
      </c>
      <c r="AP134" s="4"/>
      <c r="AQ134" s="122">
        <v>51</v>
      </c>
      <c r="AR134" s="5"/>
      <c r="AS134" s="118">
        <v>0</v>
      </c>
      <c r="AT134" s="119">
        <v>0</v>
      </c>
      <c r="AU134" s="34"/>
      <c r="AV134" s="118">
        <f t="shared" si="50"/>
        <v>0</v>
      </c>
      <c r="AW134" s="119">
        <f t="shared" si="51"/>
        <v>0</v>
      </c>
      <c r="AX134" s="118">
        <f t="shared" si="28"/>
        <v>0</v>
      </c>
      <c r="AY134" s="119">
        <f t="shared" si="29"/>
        <v>0</v>
      </c>
      <c r="AZ134" s="118">
        <f t="shared" si="30"/>
        <v>0</v>
      </c>
      <c r="BA134" s="119">
        <f t="shared" si="31"/>
        <v>0</v>
      </c>
      <c r="BB134" s="120">
        <f t="shared" si="32"/>
        <v>0</v>
      </c>
      <c r="BC134" s="119">
        <f t="shared" si="33"/>
        <v>0</v>
      </c>
      <c r="BD134" s="34"/>
      <c r="BE134" s="118">
        <f t="shared" si="34"/>
        <v>0</v>
      </c>
      <c r="BF134" s="119">
        <f t="shared" si="35"/>
        <v>0</v>
      </c>
      <c r="BG134" s="118">
        <f t="shared" si="36"/>
        <v>0</v>
      </c>
      <c r="BH134" s="119">
        <f t="shared" si="37"/>
        <v>0</v>
      </c>
      <c r="BI134" s="120">
        <f t="shared" si="38"/>
        <v>0</v>
      </c>
      <c r="BJ134" s="119">
        <f t="shared" si="39"/>
        <v>0</v>
      </c>
      <c r="BK134" s="120">
        <f t="shared" si="40"/>
        <v>0</v>
      </c>
      <c r="BL134" s="119">
        <f t="shared" si="41"/>
        <v>0</v>
      </c>
      <c r="BM134" s="4"/>
      <c r="BN134" s="122">
        <v>0</v>
      </c>
      <c r="BO134" s="117"/>
      <c r="BP134" s="118">
        <v>0</v>
      </c>
      <c r="BQ134" s="119">
        <v>0</v>
      </c>
      <c r="BR134" s="120"/>
      <c r="BS134" s="118">
        <v>0</v>
      </c>
      <c r="BT134" s="119">
        <v>0</v>
      </c>
      <c r="BU134" s="118">
        <v>0</v>
      </c>
      <c r="BV134" s="119">
        <v>0</v>
      </c>
      <c r="BW134" s="118">
        <v>0</v>
      </c>
      <c r="BX134" s="119">
        <v>-1</v>
      </c>
      <c r="BY134" s="118">
        <v>0</v>
      </c>
      <c r="BZ134" s="119">
        <v>-1</v>
      </c>
      <c r="CA134" s="120"/>
      <c r="CB134" s="118">
        <v>0</v>
      </c>
      <c r="CC134" s="119">
        <v>0</v>
      </c>
      <c r="CD134" s="118">
        <v>0</v>
      </c>
      <c r="CE134" s="119">
        <v>0</v>
      </c>
      <c r="CF134" s="118">
        <v>0</v>
      </c>
      <c r="CG134" s="119">
        <v>-1</v>
      </c>
      <c r="CH134" s="118">
        <v>0</v>
      </c>
      <c r="CI134" s="119">
        <v>-1</v>
      </c>
      <c r="CJ134" s="4"/>
      <c r="CK134" s="79"/>
      <c r="CL134" s="5"/>
      <c r="CM134" s="39" t="str">
        <f t="shared" si="42"/>
        <v>-</v>
      </c>
      <c r="CN134" s="5"/>
      <c r="CO134" s="39" t="str">
        <f t="shared" si="43"/>
        <v>-</v>
      </c>
      <c r="CP134" s="39" t="str">
        <f t="shared" si="44"/>
        <v>-</v>
      </c>
      <c r="CQ134" s="39" t="str">
        <f t="shared" si="52"/>
        <v>-</v>
      </c>
      <c r="CR134" s="39" t="str">
        <f t="shared" si="52"/>
        <v>-</v>
      </c>
      <c r="CS134" s="5"/>
      <c r="CT134" s="39" t="str">
        <f t="shared" si="46"/>
        <v>-</v>
      </c>
      <c r="CU134" s="39" t="str">
        <f t="shared" si="47"/>
        <v>-</v>
      </c>
      <c r="CV134" s="39" t="str">
        <f t="shared" si="48"/>
        <v>-</v>
      </c>
      <c r="CW134" s="39" t="str">
        <f t="shared" si="49"/>
        <v>-</v>
      </c>
    </row>
    <row r="135" spans="2:101" s="4" customFormat="1" ht="12.75" customHeight="1">
      <c r="B135" s="102" t="s">
        <v>113</v>
      </c>
      <c r="C135" s="103" t="s">
        <v>199</v>
      </c>
      <c r="D135" s="104" t="e">
        <f>VLOOKUP($C135,#REF!,5,0)</f>
        <v>#REF!</v>
      </c>
      <c r="E135" s="109" t="e">
        <f>VLOOKUP($C135,#REF!,6,0)</f>
        <v>#REF!</v>
      </c>
      <c r="F135" s="103" t="e">
        <f>VLOOKUP($C135,#REF!,7,0)</f>
        <v>#REF!</v>
      </c>
      <c r="G135" s="103" t="e">
        <f>VLOOKUP($C135,#REF!,8,0)</f>
        <v>#REF!</v>
      </c>
      <c r="H135" s="110" t="e">
        <f>VLOOKUP($C135,#REF!,9,0)</f>
        <v>#REF!</v>
      </c>
      <c r="I135" s="5"/>
      <c r="J135" s="105" t="e">
        <f>VLOOKUP($C135,#REF!,10,0)</f>
        <v>#REF!</v>
      </c>
      <c r="K135" s="106" t="e">
        <f>VLOOKUP($C135,#REF!,11,0)</f>
        <v>#REF!</v>
      </c>
      <c r="L135" s="34"/>
      <c r="M135" s="105" t="e">
        <f>VLOOKUP($C135,#REF!,12,0)</f>
        <v>#REF!</v>
      </c>
      <c r="N135" s="34" t="e">
        <f>VLOOKUP($C135,#REF!,13,0)</f>
        <v>#REF!</v>
      </c>
      <c r="O135" s="105" t="e">
        <f>VLOOKUP($C135,#REF!,14,0)</f>
        <v>#REF!</v>
      </c>
      <c r="P135" s="34" t="e">
        <f>VLOOKUP($C135,#REF!,15,0)</f>
        <v>#REF!</v>
      </c>
      <c r="Q135" s="105" t="e">
        <f>VLOOKUP($C135,#REF!,16,0)</f>
        <v>#REF!</v>
      </c>
      <c r="R135" s="106" t="e">
        <f>VLOOKUP($C135,#REF!,17,0)</f>
        <v>#REF!</v>
      </c>
      <c r="S135" s="34" t="e">
        <f>VLOOKUP($C135,#REF!,18,0)</f>
        <v>#REF!</v>
      </c>
      <c r="T135" s="106" t="e">
        <f>VLOOKUP($C135,#REF!,19,0)</f>
        <v>#REF!</v>
      </c>
      <c r="U135" s="34"/>
      <c r="V135" s="105" t="e">
        <f>VLOOKUP($C135,#REF!,20,0)</f>
        <v>#REF!</v>
      </c>
      <c r="W135" s="34" t="e">
        <f>VLOOKUP($C135,#REF!,21,0)</f>
        <v>#REF!</v>
      </c>
      <c r="X135" s="105" t="e">
        <f>VLOOKUP($C135,#REF!,22,0)</f>
        <v>#REF!</v>
      </c>
      <c r="Y135" s="34" t="e">
        <f>VLOOKUP($C135,#REF!,23,0)</f>
        <v>#REF!</v>
      </c>
      <c r="Z135" s="105" t="e">
        <f>VLOOKUP($C135,#REF!,24,0)</f>
        <v>#REF!</v>
      </c>
      <c r="AA135" s="106" t="e">
        <f>VLOOKUP($C135,#REF!,25,0)</f>
        <v>#REF!</v>
      </c>
      <c r="AB135" s="34" t="e">
        <f>VLOOKUP($C135,#REF!,26,0)</f>
        <v>#REF!</v>
      </c>
      <c r="AC135" s="106" t="e">
        <f>VLOOKUP($C135,#REF!,27,0)</f>
        <v>#REF!</v>
      </c>
      <c r="AE135" s="105" t="e">
        <f t="shared" si="27"/>
        <v>#REF!</v>
      </c>
      <c r="AF135" s="107" t="s">
        <v>320</v>
      </c>
      <c r="AG135" s="107" t="s">
        <v>321</v>
      </c>
      <c r="AH135" s="106" t="s">
        <v>322</v>
      </c>
      <c r="AJ135" s="105" t="s">
        <v>323</v>
      </c>
      <c r="AK135" s="107" t="s">
        <v>324</v>
      </c>
      <c r="AL135" s="107" t="s">
        <v>325</v>
      </c>
      <c r="AM135" s="107" t="s">
        <v>326</v>
      </c>
      <c r="AN135" s="107" t="s">
        <v>326</v>
      </c>
      <c r="AO135" s="106" t="s">
        <v>320</v>
      </c>
      <c r="AQ135" s="108">
        <v>34</v>
      </c>
      <c r="AR135" s="5"/>
      <c r="AS135" s="105">
        <v>0</v>
      </c>
      <c r="AT135" s="106">
        <v>0</v>
      </c>
      <c r="AU135" s="34"/>
      <c r="AV135" s="105">
        <f t="shared" si="50"/>
        <v>0</v>
      </c>
      <c r="AW135" s="106">
        <f t="shared" si="51"/>
        <v>0</v>
      </c>
      <c r="AX135" s="105">
        <f t="shared" si="28"/>
        <v>0</v>
      </c>
      <c r="AY135" s="106">
        <f t="shared" si="29"/>
        <v>0</v>
      </c>
      <c r="AZ135" s="105">
        <f t="shared" si="30"/>
        <v>0</v>
      </c>
      <c r="BA135" s="106">
        <f t="shared" si="31"/>
        <v>0</v>
      </c>
      <c r="BB135" s="34">
        <f t="shared" si="32"/>
        <v>0</v>
      </c>
      <c r="BC135" s="106">
        <f t="shared" si="33"/>
        <v>0</v>
      </c>
      <c r="BD135" s="34"/>
      <c r="BE135" s="105">
        <f t="shared" si="34"/>
        <v>0</v>
      </c>
      <c r="BF135" s="106">
        <f t="shared" si="35"/>
        <v>0</v>
      </c>
      <c r="BG135" s="105">
        <f t="shared" si="36"/>
        <v>0</v>
      </c>
      <c r="BH135" s="106">
        <f t="shared" si="37"/>
        <v>0</v>
      </c>
      <c r="BI135" s="34">
        <f t="shared" si="38"/>
        <v>0</v>
      </c>
      <c r="BJ135" s="106">
        <f t="shared" si="39"/>
        <v>0</v>
      </c>
      <c r="BK135" s="34">
        <f t="shared" si="40"/>
        <v>0</v>
      </c>
      <c r="BL135" s="106">
        <f t="shared" si="41"/>
        <v>0</v>
      </c>
      <c r="BN135" s="108">
        <v>0</v>
      </c>
      <c r="BO135" s="5"/>
      <c r="BP135" s="105">
        <v>0</v>
      </c>
      <c r="BQ135" s="106">
        <v>0</v>
      </c>
      <c r="BR135" s="34"/>
      <c r="BS135" s="105">
        <v>0</v>
      </c>
      <c r="BT135" s="106">
        <v>0</v>
      </c>
      <c r="BU135" s="105">
        <v>0</v>
      </c>
      <c r="BV135" s="106">
        <v>0</v>
      </c>
      <c r="BW135" s="105">
        <v>0</v>
      </c>
      <c r="BX135" s="106">
        <v>0</v>
      </c>
      <c r="BY135" s="105">
        <v>0</v>
      </c>
      <c r="BZ135" s="106">
        <v>0</v>
      </c>
      <c r="CA135" s="34"/>
      <c r="CB135" s="105">
        <v>0</v>
      </c>
      <c r="CC135" s="106">
        <v>0</v>
      </c>
      <c r="CD135" s="105">
        <v>0</v>
      </c>
      <c r="CE135" s="106">
        <v>0</v>
      </c>
      <c r="CF135" s="105">
        <v>0</v>
      </c>
      <c r="CG135" s="106">
        <v>0</v>
      </c>
      <c r="CH135" s="105">
        <v>0</v>
      </c>
      <c r="CI135" s="106">
        <v>0</v>
      </c>
      <c r="CK135" s="78"/>
      <c r="CL135" s="5"/>
      <c r="CM135" s="38" t="str">
        <f t="shared" si="42"/>
        <v>-</v>
      </c>
      <c r="CN135" s="5"/>
      <c r="CO135" s="38" t="str">
        <f t="shared" si="43"/>
        <v>-</v>
      </c>
      <c r="CP135" s="38" t="str">
        <f t="shared" si="44"/>
        <v>-</v>
      </c>
      <c r="CQ135" s="38" t="str">
        <f t="shared" si="52"/>
        <v>-</v>
      </c>
      <c r="CR135" s="38" t="str">
        <f t="shared" si="52"/>
        <v>-</v>
      </c>
      <c r="CS135" s="5"/>
      <c r="CT135" s="38" t="str">
        <f t="shared" si="46"/>
        <v>-</v>
      </c>
      <c r="CU135" s="38" t="str">
        <f t="shared" si="47"/>
        <v>-</v>
      </c>
      <c r="CV135" s="38" t="str">
        <f t="shared" si="48"/>
        <v>-</v>
      </c>
      <c r="CW135" s="38" t="str">
        <f t="shared" si="49"/>
        <v>-</v>
      </c>
    </row>
    <row r="136" spans="2:101" s="113" customFormat="1" ht="12.75" customHeight="1">
      <c r="B136" s="99" t="s">
        <v>113</v>
      </c>
      <c r="C136" s="98" t="s">
        <v>304</v>
      </c>
      <c r="D136" s="114" t="e">
        <f>VLOOKUP($C136,#REF!,5,0)</f>
        <v>#REF!</v>
      </c>
      <c r="E136" s="115" t="e">
        <f>VLOOKUP($C136,#REF!,6,0)</f>
        <v>#REF!</v>
      </c>
      <c r="F136" s="98" t="e">
        <f>VLOOKUP($C136,#REF!,7,0)</f>
        <v>#REF!</v>
      </c>
      <c r="G136" s="98" t="e">
        <f>VLOOKUP($C136,#REF!,8,0)</f>
        <v>#REF!</v>
      </c>
      <c r="H136" s="116" t="e">
        <f>VLOOKUP($C136,#REF!,9,0)</f>
        <v>#REF!</v>
      </c>
      <c r="I136" s="5"/>
      <c r="J136" s="118" t="e">
        <f>VLOOKUP($C136,#REF!,10,0)</f>
        <v>#REF!</v>
      </c>
      <c r="K136" s="119" t="e">
        <f>VLOOKUP($C136,#REF!,11,0)</f>
        <v>#REF!</v>
      </c>
      <c r="L136" s="34"/>
      <c r="M136" s="118" t="e">
        <f>VLOOKUP($C136,#REF!,12,0)</f>
        <v>#REF!</v>
      </c>
      <c r="N136" s="120" t="e">
        <f>VLOOKUP($C136,#REF!,13,0)</f>
        <v>#REF!</v>
      </c>
      <c r="O136" s="118" t="e">
        <f>VLOOKUP($C136,#REF!,14,0)</f>
        <v>#REF!</v>
      </c>
      <c r="P136" s="120" t="e">
        <f>VLOOKUP($C136,#REF!,15,0)</f>
        <v>#REF!</v>
      </c>
      <c r="Q136" s="118" t="e">
        <f>VLOOKUP($C136,#REF!,16,0)</f>
        <v>#REF!</v>
      </c>
      <c r="R136" s="119" t="e">
        <f>VLOOKUP($C136,#REF!,17,0)</f>
        <v>#REF!</v>
      </c>
      <c r="S136" s="120" t="e">
        <f>VLOOKUP($C136,#REF!,18,0)</f>
        <v>#REF!</v>
      </c>
      <c r="T136" s="119" t="e">
        <f>VLOOKUP($C136,#REF!,19,0)</f>
        <v>#REF!</v>
      </c>
      <c r="U136" s="34"/>
      <c r="V136" s="118" t="e">
        <f>VLOOKUP($C136,#REF!,20,0)</f>
        <v>#REF!</v>
      </c>
      <c r="W136" s="120" t="e">
        <f>VLOOKUP($C136,#REF!,21,0)</f>
        <v>#REF!</v>
      </c>
      <c r="X136" s="118" t="e">
        <f>VLOOKUP($C136,#REF!,22,0)</f>
        <v>#REF!</v>
      </c>
      <c r="Y136" s="120" t="e">
        <f>VLOOKUP($C136,#REF!,23,0)</f>
        <v>#REF!</v>
      </c>
      <c r="Z136" s="118" t="e">
        <f>VLOOKUP($C136,#REF!,24,0)</f>
        <v>#REF!</v>
      </c>
      <c r="AA136" s="119" t="e">
        <f>VLOOKUP($C136,#REF!,25,0)</f>
        <v>#REF!</v>
      </c>
      <c r="AB136" s="120" t="e">
        <f>VLOOKUP($C136,#REF!,26,0)</f>
        <v>#REF!</v>
      </c>
      <c r="AC136" s="119" t="e">
        <f>VLOOKUP($C136,#REF!,27,0)</f>
        <v>#REF!</v>
      </c>
      <c r="AD136" s="4"/>
      <c r="AE136" s="118" t="e">
        <f t="shared" si="27"/>
        <v>#REF!</v>
      </c>
      <c r="AF136" s="121" t="s">
        <v>320</v>
      </c>
      <c r="AG136" s="121" t="s">
        <v>321</v>
      </c>
      <c r="AH136" s="119" t="s">
        <v>322</v>
      </c>
      <c r="AI136" s="4"/>
      <c r="AJ136" s="118" t="s">
        <v>323</v>
      </c>
      <c r="AK136" s="121" t="s">
        <v>324</v>
      </c>
      <c r="AL136" s="121" t="s">
        <v>325</v>
      </c>
      <c r="AM136" s="121" t="s">
        <v>326</v>
      </c>
      <c r="AN136" s="121" t="s">
        <v>326</v>
      </c>
      <c r="AO136" s="119" t="s">
        <v>320</v>
      </c>
      <c r="AP136" s="4"/>
      <c r="AQ136" s="122">
        <v>0</v>
      </c>
      <c r="AR136" s="5"/>
      <c r="AS136" s="118">
        <v>0</v>
      </c>
      <c r="AT136" s="119">
        <v>0</v>
      </c>
      <c r="AU136" s="34"/>
      <c r="AV136" s="118">
        <f t="shared" si="50"/>
        <v>0</v>
      </c>
      <c r="AW136" s="119">
        <f t="shared" si="51"/>
        <v>0</v>
      </c>
      <c r="AX136" s="118">
        <f t="shared" si="28"/>
        <v>0</v>
      </c>
      <c r="AY136" s="119">
        <f t="shared" si="29"/>
        <v>0</v>
      </c>
      <c r="AZ136" s="118">
        <f t="shared" si="30"/>
        <v>0</v>
      </c>
      <c r="BA136" s="119">
        <f t="shared" si="31"/>
        <v>0</v>
      </c>
      <c r="BB136" s="120">
        <f t="shared" si="32"/>
        <v>0</v>
      </c>
      <c r="BC136" s="119">
        <f t="shared" si="33"/>
        <v>0</v>
      </c>
      <c r="BD136" s="34"/>
      <c r="BE136" s="118">
        <f t="shared" si="34"/>
        <v>0</v>
      </c>
      <c r="BF136" s="119">
        <f t="shared" si="35"/>
        <v>0</v>
      </c>
      <c r="BG136" s="118">
        <f t="shared" si="36"/>
        <v>0</v>
      </c>
      <c r="BH136" s="119">
        <f t="shared" si="37"/>
        <v>0</v>
      </c>
      <c r="BI136" s="120">
        <f t="shared" si="38"/>
        <v>0</v>
      </c>
      <c r="BJ136" s="119">
        <f t="shared" si="39"/>
        <v>0</v>
      </c>
      <c r="BK136" s="120">
        <f t="shared" si="40"/>
        <v>0</v>
      </c>
      <c r="BL136" s="119">
        <f t="shared" si="41"/>
        <v>0</v>
      </c>
      <c r="BM136" s="4"/>
      <c r="BN136" s="122">
        <v>0</v>
      </c>
      <c r="BO136" s="117"/>
      <c r="BP136" s="118">
        <v>0</v>
      </c>
      <c r="BQ136" s="119">
        <v>0</v>
      </c>
      <c r="BR136" s="120"/>
      <c r="BS136" s="118">
        <v>0</v>
      </c>
      <c r="BT136" s="119">
        <v>0</v>
      </c>
      <c r="BU136" s="118">
        <v>0</v>
      </c>
      <c r="BV136" s="119">
        <v>0</v>
      </c>
      <c r="BW136" s="118">
        <v>0</v>
      </c>
      <c r="BX136" s="119">
        <v>0</v>
      </c>
      <c r="BY136" s="118">
        <v>0</v>
      </c>
      <c r="BZ136" s="119">
        <v>0</v>
      </c>
      <c r="CA136" s="120"/>
      <c r="CB136" s="118">
        <v>0</v>
      </c>
      <c r="CC136" s="119">
        <v>0</v>
      </c>
      <c r="CD136" s="118">
        <v>0</v>
      </c>
      <c r="CE136" s="119">
        <v>0</v>
      </c>
      <c r="CF136" s="118">
        <v>0</v>
      </c>
      <c r="CG136" s="119">
        <v>0</v>
      </c>
      <c r="CH136" s="118">
        <v>0</v>
      </c>
      <c r="CI136" s="119">
        <v>0</v>
      </c>
      <c r="CJ136" s="4"/>
      <c r="CK136" s="79"/>
      <c r="CL136" s="5"/>
      <c r="CM136" s="39" t="str">
        <f t="shared" si="42"/>
        <v>-</v>
      </c>
      <c r="CN136" s="5"/>
      <c r="CO136" s="39" t="str">
        <f t="shared" si="43"/>
        <v>-</v>
      </c>
      <c r="CP136" s="39" t="str">
        <f t="shared" si="44"/>
        <v>-</v>
      </c>
      <c r="CQ136" s="39" t="str">
        <f t="shared" si="52"/>
        <v>-</v>
      </c>
      <c r="CR136" s="39" t="str">
        <f t="shared" si="52"/>
        <v>-</v>
      </c>
      <c r="CS136" s="5"/>
      <c r="CT136" s="39" t="str">
        <f t="shared" si="46"/>
        <v>-</v>
      </c>
      <c r="CU136" s="39" t="str">
        <f t="shared" si="47"/>
        <v>-</v>
      </c>
      <c r="CV136" s="39" t="str">
        <f t="shared" si="48"/>
        <v>-</v>
      </c>
      <c r="CW136" s="39" t="str">
        <f t="shared" si="49"/>
        <v>-</v>
      </c>
    </row>
    <row r="137" spans="2:101" s="4" customFormat="1" ht="12.75" customHeight="1">
      <c r="B137" s="102" t="s">
        <v>21</v>
      </c>
      <c r="C137" s="103" t="s">
        <v>142</v>
      </c>
      <c r="D137" s="104" t="e">
        <f>VLOOKUP($C137,#REF!,5,0)</f>
        <v>#REF!</v>
      </c>
      <c r="E137" s="109" t="e">
        <f>VLOOKUP($C137,#REF!,6,0)</f>
        <v>#REF!</v>
      </c>
      <c r="F137" s="103" t="e">
        <f>VLOOKUP($C137,#REF!,7,0)</f>
        <v>#REF!</v>
      </c>
      <c r="G137" s="103" t="e">
        <f>VLOOKUP($C137,#REF!,8,0)</f>
        <v>#REF!</v>
      </c>
      <c r="H137" s="110" t="e">
        <f>VLOOKUP($C137,#REF!,9,0)</f>
        <v>#REF!</v>
      </c>
      <c r="I137" s="5"/>
      <c r="J137" s="105" t="e">
        <f>VLOOKUP($C137,#REF!,10,0)</f>
        <v>#REF!</v>
      </c>
      <c r="K137" s="106" t="e">
        <f>VLOOKUP($C137,#REF!,11,0)</f>
        <v>#REF!</v>
      </c>
      <c r="L137" s="34"/>
      <c r="M137" s="105" t="e">
        <f>VLOOKUP($C137,#REF!,12,0)</f>
        <v>#REF!</v>
      </c>
      <c r="N137" s="34" t="e">
        <f>VLOOKUP($C137,#REF!,13,0)</f>
        <v>#REF!</v>
      </c>
      <c r="O137" s="105" t="e">
        <f>VLOOKUP($C137,#REF!,14,0)</f>
        <v>#REF!</v>
      </c>
      <c r="P137" s="34" t="e">
        <f>VLOOKUP($C137,#REF!,15,0)</f>
        <v>#REF!</v>
      </c>
      <c r="Q137" s="105" t="e">
        <f>VLOOKUP($C137,#REF!,16,0)</f>
        <v>#REF!</v>
      </c>
      <c r="R137" s="106" t="e">
        <f>VLOOKUP($C137,#REF!,17,0)</f>
        <v>#REF!</v>
      </c>
      <c r="S137" s="34" t="e">
        <f>VLOOKUP($C137,#REF!,18,0)</f>
        <v>#REF!</v>
      </c>
      <c r="T137" s="106" t="e">
        <f>VLOOKUP($C137,#REF!,19,0)</f>
        <v>#REF!</v>
      </c>
      <c r="U137" s="34"/>
      <c r="V137" s="105" t="e">
        <f>VLOOKUP($C137,#REF!,20,0)</f>
        <v>#REF!</v>
      </c>
      <c r="W137" s="34" t="e">
        <f>VLOOKUP($C137,#REF!,21,0)</f>
        <v>#REF!</v>
      </c>
      <c r="X137" s="105" t="e">
        <f>VLOOKUP($C137,#REF!,22,0)</f>
        <v>#REF!</v>
      </c>
      <c r="Y137" s="34" t="e">
        <f>VLOOKUP($C137,#REF!,23,0)</f>
        <v>#REF!</v>
      </c>
      <c r="Z137" s="105" t="e">
        <f>VLOOKUP($C137,#REF!,24,0)</f>
        <v>#REF!</v>
      </c>
      <c r="AA137" s="106" t="e">
        <f>VLOOKUP($C137,#REF!,25,0)</f>
        <v>#REF!</v>
      </c>
      <c r="AB137" s="34" t="e">
        <f>VLOOKUP($C137,#REF!,26,0)</f>
        <v>#REF!</v>
      </c>
      <c r="AC137" s="106" t="e">
        <f>VLOOKUP($C137,#REF!,27,0)</f>
        <v>#REF!</v>
      </c>
      <c r="AE137" s="105" t="e">
        <f t="shared" si="27"/>
        <v>#REF!</v>
      </c>
      <c r="AF137" s="107" t="s">
        <v>320</v>
      </c>
      <c r="AG137" s="107" t="s">
        <v>321</v>
      </c>
      <c r="AH137" s="106" t="s">
        <v>322</v>
      </c>
      <c r="AJ137" s="105" t="s">
        <v>323</v>
      </c>
      <c r="AK137" s="107" t="s">
        <v>324</v>
      </c>
      <c r="AL137" s="107" t="s">
        <v>325</v>
      </c>
      <c r="AM137" s="107" t="s">
        <v>326</v>
      </c>
      <c r="AN137" s="107" t="s">
        <v>326</v>
      </c>
      <c r="AO137" s="106" t="s">
        <v>320</v>
      </c>
      <c r="AQ137" s="108">
        <v>0</v>
      </c>
      <c r="AR137" s="5"/>
      <c r="AS137" s="105">
        <v>0</v>
      </c>
      <c r="AT137" s="106">
        <v>0</v>
      </c>
      <c r="AU137" s="34"/>
      <c r="AV137" s="105">
        <f t="shared" si="50"/>
        <v>0</v>
      </c>
      <c r="AW137" s="106">
        <f t="shared" si="51"/>
        <v>0</v>
      </c>
      <c r="AX137" s="105">
        <f t="shared" si="28"/>
        <v>0</v>
      </c>
      <c r="AY137" s="106">
        <f t="shared" si="29"/>
        <v>0</v>
      </c>
      <c r="AZ137" s="105">
        <f t="shared" si="30"/>
        <v>0</v>
      </c>
      <c r="BA137" s="106">
        <f t="shared" si="31"/>
        <v>0</v>
      </c>
      <c r="BB137" s="34">
        <f t="shared" si="32"/>
        <v>0</v>
      </c>
      <c r="BC137" s="106">
        <f t="shared" si="33"/>
        <v>0</v>
      </c>
      <c r="BD137" s="34"/>
      <c r="BE137" s="105">
        <f t="shared" si="34"/>
        <v>0</v>
      </c>
      <c r="BF137" s="106">
        <f t="shared" si="35"/>
        <v>0</v>
      </c>
      <c r="BG137" s="105">
        <f t="shared" si="36"/>
        <v>0</v>
      </c>
      <c r="BH137" s="106">
        <f t="shared" si="37"/>
        <v>0</v>
      </c>
      <c r="BI137" s="34">
        <f t="shared" si="38"/>
        <v>0</v>
      </c>
      <c r="BJ137" s="106">
        <f t="shared" si="39"/>
        <v>0</v>
      </c>
      <c r="BK137" s="34">
        <f t="shared" si="40"/>
        <v>0</v>
      </c>
      <c r="BL137" s="106">
        <f t="shared" si="41"/>
        <v>0</v>
      </c>
      <c r="BN137" s="108">
        <v>0</v>
      </c>
      <c r="BO137" s="5"/>
      <c r="BP137" s="105">
        <v>0</v>
      </c>
      <c r="BQ137" s="106">
        <v>0</v>
      </c>
      <c r="BR137" s="34"/>
      <c r="BS137" s="105">
        <v>0</v>
      </c>
      <c r="BT137" s="106">
        <v>0</v>
      </c>
      <c r="BU137" s="105">
        <v>0</v>
      </c>
      <c r="BV137" s="106">
        <v>0</v>
      </c>
      <c r="BW137" s="105">
        <v>0</v>
      </c>
      <c r="BX137" s="106">
        <v>0</v>
      </c>
      <c r="BY137" s="105">
        <v>0</v>
      </c>
      <c r="BZ137" s="106">
        <v>0</v>
      </c>
      <c r="CA137" s="34"/>
      <c r="CB137" s="105">
        <v>0</v>
      </c>
      <c r="CC137" s="106">
        <v>0</v>
      </c>
      <c r="CD137" s="105">
        <v>0</v>
      </c>
      <c r="CE137" s="106">
        <v>0</v>
      </c>
      <c r="CF137" s="105">
        <v>0</v>
      </c>
      <c r="CG137" s="106">
        <v>0</v>
      </c>
      <c r="CH137" s="105">
        <v>0</v>
      </c>
      <c r="CI137" s="106">
        <v>0</v>
      </c>
      <c r="CK137" s="78"/>
      <c r="CL137" s="5"/>
      <c r="CM137" s="38" t="str">
        <f t="shared" si="42"/>
        <v>-</v>
      </c>
      <c r="CN137" s="5"/>
      <c r="CO137" s="38" t="str">
        <f t="shared" si="43"/>
        <v>-</v>
      </c>
      <c r="CP137" s="38" t="str">
        <f t="shared" si="44"/>
        <v>-</v>
      </c>
      <c r="CQ137" s="38" t="str">
        <f t="shared" si="52"/>
        <v>-</v>
      </c>
      <c r="CR137" s="38" t="str">
        <f t="shared" si="52"/>
        <v>-</v>
      </c>
      <c r="CS137" s="5"/>
      <c r="CT137" s="38" t="str">
        <f t="shared" si="46"/>
        <v>-</v>
      </c>
      <c r="CU137" s="38" t="str">
        <f t="shared" si="47"/>
        <v>-</v>
      </c>
      <c r="CV137" s="38" t="str">
        <f t="shared" si="48"/>
        <v>-</v>
      </c>
      <c r="CW137" s="38" t="str">
        <f t="shared" si="49"/>
        <v>-</v>
      </c>
    </row>
    <row r="138" spans="2:101" s="113" customFormat="1" ht="12.75" customHeight="1">
      <c r="B138" s="99" t="s">
        <v>21</v>
      </c>
      <c r="C138" s="98" t="s">
        <v>143</v>
      </c>
      <c r="D138" s="114" t="e">
        <f>VLOOKUP($C138,#REF!,5,0)</f>
        <v>#REF!</v>
      </c>
      <c r="E138" s="115" t="e">
        <f>VLOOKUP($C138,#REF!,6,0)</f>
        <v>#REF!</v>
      </c>
      <c r="F138" s="98" t="e">
        <f>VLOOKUP($C138,#REF!,7,0)</f>
        <v>#REF!</v>
      </c>
      <c r="G138" s="98" t="e">
        <f>VLOOKUP($C138,#REF!,8,0)</f>
        <v>#REF!</v>
      </c>
      <c r="H138" s="116" t="e">
        <f>VLOOKUP($C138,#REF!,9,0)</f>
        <v>#REF!</v>
      </c>
      <c r="I138" s="5"/>
      <c r="J138" s="118" t="e">
        <f>VLOOKUP($C138,#REF!,10,0)</f>
        <v>#REF!</v>
      </c>
      <c r="K138" s="119" t="e">
        <f>VLOOKUP($C138,#REF!,11,0)</f>
        <v>#REF!</v>
      </c>
      <c r="L138" s="34"/>
      <c r="M138" s="118" t="e">
        <f>VLOOKUP($C138,#REF!,12,0)</f>
        <v>#REF!</v>
      </c>
      <c r="N138" s="120" t="e">
        <f>VLOOKUP($C138,#REF!,13,0)</f>
        <v>#REF!</v>
      </c>
      <c r="O138" s="118" t="e">
        <f>VLOOKUP($C138,#REF!,14,0)</f>
        <v>#REF!</v>
      </c>
      <c r="P138" s="120" t="e">
        <f>VLOOKUP($C138,#REF!,15,0)</f>
        <v>#REF!</v>
      </c>
      <c r="Q138" s="118" t="e">
        <f>VLOOKUP($C138,#REF!,16,0)</f>
        <v>#REF!</v>
      </c>
      <c r="R138" s="119" t="e">
        <f>VLOOKUP($C138,#REF!,17,0)</f>
        <v>#REF!</v>
      </c>
      <c r="S138" s="120" t="e">
        <f>VLOOKUP($C138,#REF!,18,0)</f>
        <v>#REF!</v>
      </c>
      <c r="T138" s="119" t="e">
        <f>VLOOKUP($C138,#REF!,19,0)</f>
        <v>#REF!</v>
      </c>
      <c r="U138" s="34"/>
      <c r="V138" s="118" t="e">
        <f>VLOOKUP($C138,#REF!,20,0)</f>
        <v>#REF!</v>
      </c>
      <c r="W138" s="120" t="e">
        <f>VLOOKUP($C138,#REF!,21,0)</f>
        <v>#REF!</v>
      </c>
      <c r="X138" s="118" t="e">
        <f>VLOOKUP($C138,#REF!,22,0)</f>
        <v>#REF!</v>
      </c>
      <c r="Y138" s="120" t="e">
        <f>VLOOKUP($C138,#REF!,23,0)</f>
        <v>#REF!</v>
      </c>
      <c r="Z138" s="118" t="e">
        <f>VLOOKUP($C138,#REF!,24,0)</f>
        <v>#REF!</v>
      </c>
      <c r="AA138" s="119" t="e">
        <f>VLOOKUP($C138,#REF!,25,0)</f>
        <v>#REF!</v>
      </c>
      <c r="AB138" s="120" t="e">
        <f>VLOOKUP($C138,#REF!,26,0)</f>
        <v>#REF!</v>
      </c>
      <c r="AC138" s="119" t="e">
        <f>VLOOKUP($C138,#REF!,27,0)</f>
        <v>#REF!</v>
      </c>
      <c r="AD138" s="4"/>
      <c r="AE138" s="118" t="e">
        <f t="shared" si="27"/>
        <v>#REF!</v>
      </c>
      <c r="AF138" s="121" t="s">
        <v>320</v>
      </c>
      <c r="AG138" s="121" t="s">
        <v>321</v>
      </c>
      <c r="AH138" s="119" t="s">
        <v>322</v>
      </c>
      <c r="AI138" s="4"/>
      <c r="AJ138" s="118" t="s">
        <v>323</v>
      </c>
      <c r="AK138" s="121" t="s">
        <v>324</v>
      </c>
      <c r="AL138" s="121" t="s">
        <v>325</v>
      </c>
      <c r="AM138" s="121" t="s">
        <v>326</v>
      </c>
      <c r="AN138" s="121" t="s">
        <v>326</v>
      </c>
      <c r="AO138" s="119" t="s">
        <v>320</v>
      </c>
      <c r="AP138" s="4"/>
      <c r="AQ138" s="122">
        <v>0</v>
      </c>
      <c r="AR138" s="5"/>
      <c r="AS138" s="118">
        <v>0</v>
      </c>
      <c r="AT138" s="119">
        <v>0</v>
      </c>
      <c r="AU138" s="34"/>
      <c r="AV138" s="118">
        <f t="shared" si="50"/>
        <v>0</v>
      </c>
      <c r="AW138" s="119">
        <f t="shared" si="51"/>
        <v>0</v>
      </c>
      <c r="AX138" s="118">
        <f t="shared" si="28"/>
        <v>0</v>
      </c>
      <c r="AY138" s="119">
        <f t="shared" si="29"/>
        <v>0</v>
      </c>
      <c r="AZ138" s="118">
        <f t="shared" si="30"/>
        <v>0</v>
      </c>
      <c r="BA138" s="119">
        <f t="shared" si="31"/>
        <v>0</v>
      </c>
      <c r="BB138" s="120">
        <f t="shared" si="32"/>
        <v>0</v>
      </c>
      <c r="BC138" s="119">
        <f t="shared" si="33"/>
        <v>0</v>
      </c>
      <c r="BD138" s="34"/>
      <c r="BE138" s="118">
        <f t="shared" si="34"/>
        <v>0</v>
      </c>
      <c r="BF138" s="119">
        <f t="shared" si="35"/>
        <v>0</v>
      </c>
      <c r="BG138" s="118">
        <f t="shared" si="36"/>
        <v>0</v>
      </c>
      <c r="BH138" s="119">
        <f t="shared" si="37"/>
        <v>0</v>
      </c>
      <c r="BI138" s="120">
        <f t="shared" si="38"/>
        <v>0</v>
      </c>
      <c r="BJ138" s="119">
        <f t="shared" si="39"/>
        <v>0</v>
      </c>
      <c r="BK138" s="120">
        <f t="shared" si="40"/>
        <v>0</v>
      </c>
      <c r="BL138" s="119">
        <f t="shared" si="41"/>
        <v>0</v>
      </c>
      <c r="BM138" s="4"/>
      <c r="BN138" s="122">
        <v>0</v>
      </c>
      <c r="BO138" s="117"/>
      <c r="BP138" s="118">
        <v>0</v>
      </c>
      <c r="BQ138" s="119">
        <v>0</v>
      </c>
      <c r="BR138" s="120"/>
      <c r="BS138" s="118">
        <v>0</v>
      </c>
      <c r="BT138" s="119">
        <v>0</v>
      </c>
      <c r="BU138" s="118">
        <v>0</v>
      </c>
      <c r="BV138" s="119">
        <v>0</v>
      </c>
      <c r="BW138" s="118">
        <v>0</v>
      </c>
      <c r="BX138" s="119">
        <v>0</v>
      </c>
      <c r="BY138" s="118">
        <v>0</v>
      </c>
      <c r="BZ138" s="119">
        <v>0</v>
      </c>
      <c r="CA138" s="120"/>
      <c r="CB138" s="118">
        <v>0</v>
      </c>
      <c r="CC138" s="119">
        <v>0</v>
      </c>
      <c r="CD138" s="118">
        <v>0</v>
      </c>
      <c r="CE138" s="119">
        <v>0</v>
      </c>
      <c r="CF138" s="118">
        <v>0</v>
      </c>
      <c r="CG138" s="119">
        <v>0</v>
      </c>
      <c r="CH138" s="118">
        <v>0</v>
      </c>
      <c r="CI138" s="119">
        <v>0</v>
      </c>
      <c r="CJ138" s="4"/>
      <c r="CK138" s="79"/>
      <c r="CL138" s="5"/>
      <c r="CM138" s="39" t="str">
        <f t="shared" si="42"/>
        <v>-</v>
      </c>
      <c r="CN138" s="5"/>
      <c r="CO138" s="39" t="str">
        <f t="shared" si="43"/>
        <v>-</v>
      </c>
      <c r="CP138" s="39" t="str">
        <f t="shared" si="44"/>
        <v>-</v>
      </c>
      <c r="CQ138" s="39" t="str">
        <f t="shared" si="52"/>
        <v>-</v>
      </c>
      <c r="CR138" s="39" t="str">
        <f t="shared" si="52"/>
        <v>-</v>
      </c>
      <c r="CS138" s="5"/>
      <c r="CT138" s="39" t="str">
        <f t="shared" si="46"/>
        <v>-</v>
      </c>
      <c r="CU138" s="39" t="str">
        <f t="shared" si="47"/>
        <v>-</v>
      </c>
      <c r="CV138" s="39" t="str">
        <f t="shared" si="48"/>
        <v>-</v>
      </c>
      <c r="CW138" s="39" t="str">
        <f t="shared" si="49"/>
        <v>-</v>
      </c>
    </row>
    <row r="139" spans="2:101" s="4" customFormat="1" ht="12.75" customHeight="1">
      <c r="B139" s="102" t="s">
        <v>21</v>
      </c>
      <c r="C139" s="103" t="s">
        <v>259</v>
      </c>
      <c r="D139" s="104" t="e">
        <f>VLOOKUP($C139,#REF!,5,0)</f>
        <v>#REF!</v>
      </c>
      <c r="E139" s="109" t="e">
        <f>VLOOKUP($C139,#REF!,6,0)</f>
        <v>#REF!</v>
      </c>
      <c r="F139" s="103" t="e">
        <f>VLOOKUP($C139,#REF!,7,0)</f>
        <v>#REF!</v>
      </c>
      <c r="G139" s="103" t="e">
        <f>VLOOKUP($C139,#REF!,8,0)</f>
        <v>#REF!</v>
      </c>
      <c r="H139" s="110" t="e">
        <f>VLOOKUP($C139,#REF!,9,0)</f>
        <v>#REF!</v>
      </c>
      <c r="I139" s="5"/>
      <c r="J139" s="105" t="e">
        <f>VLOOKUP($C139,#REF!,10,0)</f>
        <v>#REF!</v>
      </c>
      <c r="K139" s="106" t="e">
        <f>VLOOKUP($C139,#REF!,11,0)</f>
        <v>#REF!</v>
      </c>
      <c r="L139" s="34"/>
      <c r="M139" s="105" t="e">
        <f>VLOOKUP($C139,#REF!,12,0)</f>
        <v>#REF!</v>
      </c>
      <c r="N139" s="34" t="e">
        <f>VLOOKUP($C139,#REF!,13,0)</f>
        <v>#REF!</v>
      </c>
      <c r="O139" s="105" t="e">
        <f>VLOOKUP($C139,#REF!,14,0)</f>
        <v>#REF!</v>
      </c>
      <c r="P139" s="34" t="e">
        <f>VLOOKUP($C139,#REF!,15,0)</f>
        <v>#REF!</v>
      </c>
      <c r="Q139" s="105" t="e">
        <f>VLOOKUP($C139,#REF!,16,0)</f>
        <v>#REF!</v>
      </c>
      <c r="R139" s="106" t="e">
        <f>VLOOKUP($C139,#REF!,17,0)</f>
        <v>#REF!</v>
      </c>
      <c r="S139" s="34" t="e">
        <f>VLOOKUP($C139,#REF!,18,0)</f>
        <v>#REF!</v>
      </c>
      <c r="T139" s="106" t="e">
        <f>VLOOKUP($C139,#REF!,19,0)</f>
        <v>#REF!</v>
      </c>
      <c r="U139" s="34"/>
      <c r="V139" s="105" t="e">
        <f>VLOOKUP($C139,#REF!,20,0)</f>
        <v>#REF!</v>
      </c>
      <c r="W139" s="34" t="e">
        <f>VLOOKUP($C139,#REF!,21,0)</f>
        <v>#REF!</v>
      </c>
      <c r="X139" s="105" t="e">
        <f>VLOOKUP($C139,#REF!,22,0)</f>
        <v>#REF!</v>
      </c>
      <c r="Y139" s="34" t="e">
        <f>VLOOKUP($C139,#REF!,23,0)</f>
        <v>#REF!</v>
      </c>
      <c r="Z139" s="105" t="e">
        <f>VLOOKUP($C139,#REF!,24,0)</f>
        <v>#REF!</v>
      </c>
      <c r="AA139" s="106" t="e">
        <f>VLOOKUP($C139,#REF!,25,0)</f>
        <v>#REF!</v>
      </c>
      <c r="AB139" s="34" t="e">
        <f>VLOOKUP($C139,#REF!,26,0)</f>
        <v>#REF!</v>
      </c>
      <c r="AC139" s="106" t="e">
        <f>VLOOKUP($C139,#REF!,27,0)</f>
        <v>#REF!</v>
      </c>
      <c r="AE139" s="105" t="e">
        <f t="shared" si="27"/>
        <v>#REF!</v>
      </c>
      <c r="AF139" s="107" t="s">
        <v>320</v>
      </c>
      <c r="AG139" s="107" t="s">
        <v>321</v>
      </c>
      <c r="AH139" s="106" t="s">
        <v>322</v>
      </c>
      <c r="AJ139" s="105" t="s">
        <v>323</v>
      </c>
      <c r="AK139" s="107" t="s">
        <v>324</v>
      </c>
      <c r="AL139" s="107" t="s">
        <v>325</v>
      </c>
      <c r="AM139" s="107" t="s">
        <v>326</v>
      </c>
      <c r="AN139" s="107" t="s">
        <v>326</v>
      </c>
      <c r="AO139" s="106" t="s">
        <v>320</v>
      </c>
      <c r="AQ139" s="108">
        <v>1</v>
      </c>
      <c r="AR139" s="5"/>
      <c r="AS139" s="105">
        <v>0</v>
      </c>
      <c r="AT139" s="106">
        <v>0</v>
      </c>
      <c r="AU139" s="34"/>
      <c r="AV139" s="105">
        <f t="shared" si="50"/>
        <v>0</v>
      </c>
      <c r="AW139" s="106">
        <f t="shared" si="51"/>
        <v>0</v>
      </c>
      <c r="AX139" s="105">
        <f t="shared" si="28"/>
        <v>0</v>
      </c>
      <c r="AY139" s="106">
        <f t="shared" si="29"/>
        <v>0</v>
      </c>
      <c r="AZ139" s="105">
        <f t="shared" si="30"/>
        <v>0</v>
      </c>
      <c r="BA139" s="106">
        <f t="shared" si="31"/>
        <v>0</v>
      </c>
      <c r="BB139" s="34">
        <f t="shared" si="32"/>
        <v>0</v>
      </c>
      <c r="BC139" s="106">
        <f t="shared" si="33"/>
        <v>0</v>
      </c>
      <c r="BD139" s="34"/>
      <c r="BE139" s="105">
        <f t="shared" si="34"/>
        <v>0</v>
      </c>
      <c r="BF139" s="106">
        <f t="shared" si="35"/>
        <v>0</v>
      </c>
      <c r="BG139" s="105">
        <f t="shared" si="36"/>
        <v>0</v>
      </c>
      <c r="BH139" s="106">
        <f t="shared" si="37"/>
        <v>0</v>
      </c>
      <c r="BI139" s="34">
        <f t="shared" si="38"/>
        <v>0</v>
      </c>
      <c r="BJ139" s="106">
        <f t="shared" si="39"/>
        <v>0</v>
      </c>
      <c r="BK139" s="34">
        <f t="shared" si="40"/>
        <v>0</v>
      </c>
      <c r="BL139" s="106">
        <f t="shared" si="41"/>
        <v>0</v>
      </c>
      <c r="BN139" s="108">
        <v>0</v>
      </c>
      <c r="BO139" s="5"/>
      <c r="BP139" s="105">
        <v>0</v>
      </c>
      <c r="BQ139" s="106">
        <v>0</v>
      </c>
      <c r="BR139" s="34"/>
      <c r="BS139" s="105">
        <v>0</v>
      </c>
      <c r="BT139" s="106">
        <v>0</v>
      </c>
      <c r="BU139" s="105">
        <v>0</v>
      </c>
      <c r="BV139" s="106">
        <v>0</v>
      </c>
      <c r="BW139" s="105">
        <v>0</v>
      </c>
      <c r="BX139" s="106">
        <v>0</v>
      </c>
      <c r="BY139" s="105">
        <v>0</v>
      </c>
      <c r="BZ139" s="106">
        <v>0</v>
      </c>
      <c r="CA139" s="34"/>
      <c r="CB139" s="105">
        <v>0</v>
      </c>
      <c r="CC139" s="106">
        <v>0</v>
      </c>
      <c r="CD139" s="105">
        <v>0</v>
      </c>
      <c r="CE139" s="106">
        <v>0</v>
      </c>
      <c r="CF139" s="105">
        <v>0</v>
      </c>
      <c r="CG139" s="106">
        <v>0</v>
      </c>
      <c r="CH139" s="105">
        <v>0</v>
      </c>
      <c r="CI139" s="106">
        <v>0</v>
      </c>
      <c r="CK139" s="78"/>
      <c r="CL139" s="5"/>
      <c r="CM139" s="38" t="str">
        <f t="shared" si="42"/>
        <v>-</v>
      </c>
      <c r="CN139" s="5"/>
      <c r="CO139" s="38" t="str">
        <f t="shared" si="43"/>
        <v>-</v>
      </c>
      <c r="CP139" s="38" t="str">
        <f t="shared" si="44"/>
        <v>-</v>
      </c>
      <c r="CQ139" s="38" t="str">
        <f t="shared" si="52"/>
        <v>-</v>
      </c>
      <c r="CR139" s="38" t="str">
        <f t="shared" si="52"/>
        <v>-</v>
      </c>
      <c r="CS139" s="5"/>
      <c r="CT139" s="38" t="str">
        <f t="shared" si="46"/>
        <v>-</v>
      </c>
      <c r="CU139" s="38" t="str">
        <f t="shared" si="47"/>
        <v>-</v>
      </c>
      <c r="CV139" s="38" t="str">
        <f t="shared" si="48"/>
        <v>-</v>
      </c>
      <c r="CW139" s="38" t="str">
        <f t="shared" si="49"/>
        <v>-</v>
      </c>
    </row>
    <row r="140" spans="2:101" s="113" customFormat="1" ht="12.75" customHeight="1">
      <c r="B140" s="99" t="s">
        <v>106</v>
      </c>
      <c r="C140" s="98" t="s">
        <v>144</v>
      </c>
      <c r="D140" s="114" t="e">
        <f>VLOOKUP($C140,#REF!,5,0)</f>
        <v>#REF!</v>
      </c>
      <c r="E140" s="115" t="e">
        <f>VLOOKUP($C140,#REF!,6,0)</f>
        <v>#REF!</v>
      </c>
      <c r="F140" s="98" t="e">
        <f>VLOOKUP($C140,#REF!,7,0)</f>
        <v>#REF!</v>
      </c>
      <c r="G140" s="98" t="e">
        <f>VLOOKUP($C140,#REF!,8,0)</f>
        <v>#REF!</v>
      </c>
      <c r="H140" s="116" t="e">
        <f>VLOOKUP($C140,#REF!,9,0)</f>
        <v>#REF!</v>
      </c>
      <c r="I140" s="5"/>
      <c r="J140" s="118" t="e">
        <f>VLOOKUP($C140,#REF!,10,0)</f>
        <v>#REF!</v>
      </c>
      <c r="K140" s="119" t="e">
        <f>VLOOKUP($C140,#REF!,11,0)</f>
        <v>#REF!</v>
      </c>
      <c r="L140" s="34"/>
      <c r="M140" s="118" t="e">
        <f>VLOOKUP($C140,#REF!,12,0)</f>
        <v>#REF!</v>
      </c>
      <c r="N140" s="120" t="e">
        <f>VLOOKUP($C140,#REF!,13,0)</f>
        <v>#REF!</v>
      </c>
      <c r="O140" s="118" t="e">
        <f>VLOOKUP($C140,#REF!,14,0)</f>
        <v>#REF!</v>
      </c>
      <c r="P140" s="120" t="e">
        <f>VLOOKUP($C140,#REF!,15,0)</f>
        <v>#REF!</v>
      </c>
      <c r="Q140" s="118" t="e">
        <f>VLOOKUP($C140,#REF!,16,0)</f>
        <v>#REF!</v>
      </c>
      <c r="R140" s="119" t="e">
        <f>VLOOKUP($C140,#REF!,17,0)</f>
        <v>#REF!</v>
      </c>
      <c r="S140" s="120" t="e">
        <f>VLOOKUP($C140,#REF!,18,0)</f>
        <v>#REF!</v>
      </c>
      <c r="T140" s="119" t="e">
        <f>VLOOKUP($C140,#REF!,19,0)</f>
        <v>#REF!</v>
      </c>
      <c r="U140" s="34"/>
      <c r="V140" s="118" t="e">
        <f>VLOOKUP($C140,#REF!,20,0)</f>
        <v>#REF!</v>
      </c>
      <c r="W140" s="120" t="e">
        <f>VLOOKUP($C140,#REF!,21,0)</f>
        <v>#REF!</v>
      </c>
      <c r="X140" s="118" t="e">
        <f>VLOOKUP($C140,#REF!,22,0)</f>
        <v>#REF!</v>
      </c>
      <c r="Y140" s="120" t="e">
        <f>VLOOKUP($C140,#REF!,23,0)</f>
        <v>#REF!</v>
      </c>
      <c r="Z140" s="118" t="e">
        <f>VLOOKUP($C140,#REF!,24,0)</f>
        <v>#REF!</v>
      </c>
      <c r="AA140" s="119" t="e">
        <f>VLOOKUP($C140,#REF!,25,0)</f>
        <v>#REF!</v>
      </c>
      <c r="AB140" s="120" t="e">
        <f>VLOOKUP($C140,#REF!,26,0)</f>
        <v>#REF!</v>
      </c>
      <c r="AC140" s="119" t="e">
        <f>VLOOKUP($C140,#REF!,27,0)</f>
        <v>#REF!</v>
      </c>
      <c r="AD140" s="4"/>
      <c r="AE140" s="118" t="e">
        <f t="shared" si="27"/>
        <v>#REF!</v>
      </c>
      <c r="AF140" s="121" t="s">
        <v>320</v>
      </c>
      <c r="AG140" s="121" t="s">
        <v>321</v>
      </c>
      <c r="AH140" s="119" t="s">
        <v>322</v>
      </c>
      <c r="AI140" s="4"/>
      <c r="AJ140" s="118" t="s">
        <v>323</v>
      </c>
      <c r="AK140" s="121" t="s">
        <v>324</v>
      </c>
      <c r="AL140" s="121" t="s">
        <v>325</v>
      </c>
      <c r="AM140" s="121" t="s">
        <v>326</v>
      </c>
      <c r="AN140" s="121" t="s">
        <v>326</v>
      </c>
      <c r="AO140" s="119" t="s">
        <v>320</v>
      </c>
      <c r="AP140" s="4"/>
      <c r="AQ140" s="122">
        <v>8</v>
      </c>
      <c r="AR140" s="5"/>
      <c r="AS140" s="118">
        <v>0</v>
      </c>
      <c r="AT140" s="119">
        <v>0</v>
      </c>
      <c r="AU140" s="34"/>
      <c r="AV140" s="118">
        <f t="shared" si="50"/>
        <v>0</v>
      </c>
      <c r="AW140" s="119">
        <f t="shared" si="51"/>
        <v>0</v>
      </c>
      <c r="AX140" s="118">
        <f t="shared" si="28"/>
        <v>0</v>
      </c>
      <c r="AY140" s="119">
        <f t="shared" si="29"/>
        <v>0</v>
      </c>
      <c r="AZ140" s="118">
        <f t="shared" si="30"/>
        <v>0</v>
      </c>
      <c r="BA140" s="119">
        <f t="shared" si="31"/>
        <v>0</v>
      </c>
      <c r="BB140" s="120">
        <f t="shared" si="32"/>
        <v>0</v>
      </c>
      <c r="BC140" s="119">
        <f t="shared" si="33"/>
        <v>0</v>
      </c>
      <c r="BD140" s="34"/>
      <c r="BE140" s="118">
        <f t="shared" si="34"/>
        <v>0</v>
      </c>
      <c r="BF140" s="119">
        <f t="shared" si="35"/>
        <v>0</v>
      </c>
      <c r="BG140" s="118">
        <f t="shared" si="36"/>
        <v>0</v>
      </c>
      <c r="BH140" s="119">
        <f t="shared" si="37"/>
        <v>0</v>
      </c>
      <c r="BI140" s="120">
        <f t="shared" si="38"/>
        <v>0</v>
      </c>
      <c r="BJ140" s="119">
        <f t="shared" si="39"/>
        <v>0</v>
      </c>
      <c r="BK140" s="120">
        <f t="shared" si="40"/>
        <v>0</v>
      </c>
      <c r="BL140" s="119">
        <f t="shared" si="41"/>
        <v>0</v>
      </c>
      <c r="BM140" s="4"/>
      <c r="BN140" s="122">
        <v>-8.269999999999996</v>
      </c>
      <c r="BO140" s="117"/>
      <c r="BP140" s="118">
        <v>-8.269999999999996</v>
      </c>
      <c r="BQ140" s="119">
        <v>0</v>
      </c>
      <c r="BR140" s="120"/>
      <c r="BS140" s="118">
        <v>0</v>
      </c>
      <c r="BT140" s="119">
        <v>0</v>
      </c>
      <c r="BU140" s="118">
        <v>0</v>
      </c>
      <c r="BV140" s="119">
        <v>0</v>
      </c>
      <c r="BW140" s="118">
        <v>0</v>
      </c>
      <c r="BX140" s="119">
        <v>0</v>
      </c>
      <c r="BY140" s="118">
        <v>0</v>
      </c>
      <c r="BZ140" s="119">
        <v>0</v>
      </c>
      <c r="CA140" s="120"/>
      <c r="CB140" s="118">
        <v>0</v>
      </c>
      <c r="CC140" s="119">
        <v>0</v>
      </c>
      <c r="CD140" s="118">
        <v>0</v>
      </c>
      <c r="CE140" s="119">
        <v>0</v>
      </c>
      <c r="CF140" s="118">
        <v>0</v>
      </c>
      <c r="CG140" s="119">
        <v>0</v>
      </c>
      <c r="CH140" s="118">
        <v>0</v>
      </c>
      <c r="CI140" s="119">
        <v>0</v>
      </c>
      <c r="CJ140" s="4"/>
      <c r="CK140" s="79"/>
      <c r="CL140" s="5"/>
      <c r="CM140" s="39" t="str">
        <f t="shared" si="42"/>
        <v>-</v>
      </c>
      <c r="CN140" s="5"/>
      <c r="CO140" s="39" t="str">
        <f t="shared" si="43"/>
        <v>-</v>
      </c>
      <c r="CP140" s="39" t="str">
        <f t="shared" si="44"/>
        <v>-</v>
      </c>
      <c r="CQ140" s="39" t="str">
        <f t="shared" si="52"/>
        <v>-</v>
      </c>
      <c r="CR140" s="39" t="str">
        <f t="shared" si="52"/>
        <v>-</v>
      </c>
      <c r="CS140" s="5"/>
      <c r="CT140" s="39" t="str">
        <f t="shared" si="46"/>
        <v>-</v>
      </c>
      <c r="CU140" s="39" t="str">
        <f t="shared" si="47"/>
        <v>-</v>
      </c>
      <c r="CV140" s="39" t="str">
        <f t="shared" si="48"/>
        <v>-</v>
      </c>
      <c r="CW140" s="39" t="str">
        <f t="shared" si="49"/>
        <v>-</v>
      </c>
    </row>
    <row r="141" spans="2:101" s="4" customFormat="1" ht="12.75" customHeight="1">
      <c r="B141" s="102" t="s">
        <v>106</v>
      </c>
      <c r="C141" s="103" t="s">
        <v>287</v>
      </c>
      <c r="D141" s="104" t="e">
        <f>VLOOKUP($C141,#REF!,5,0)</f>
        <v>#REF!</v>
      </c>
      <c r="E141" s="109" t="e">
        <f>VLOOKUP($C141,#REF!,6,0)</f>
        <v>#REF!</v>
      </c>
      <c r="F141" s="103" t="e">
        <f>VLOOKUP($C141,#REF!,7,0)</f>
        <v>#REF!</v>
      </c>
      <c r="G141" s="103" t="e">
        <f>VLOOKUP($C141,#REF!,8,0)</f>
        <v>#REF!</v>
      </c>
      <c r="H141" s="110" t="e">
        <f>VLOOKUP($C141,#REF!,9,0)</f>
        <v>#REF!</v>
      </c>
      <c r="I141" s="5"/>
      <c r="J141" s="105" t="e">
        <f>VLOOKUP($C141,#REF!,10,0)</f>
        <v>#REF!</v>
      </c>
      <c r="K141" s="106" t="e">
        <f>VLOOKUP($C141,#REF!,11,0)</f>
        <v>#REF!</v>
      </c>
      <c r="L141" s="34"/>
      <c r="M141" s="105" t="e">
        <f>VLOOKUP($C141,#REF!,12,0)</f>
        <v>#REF!</v>
      </c>
      <c r="N141" s="34" t="e">
        <f>VLOOKUP($C141,#REF!,13,0)</f>
        <v>#REF!</v>
      </c>
      <c r="O141" s="105" t="e">
        <f>VLOOKUP($C141,#REF!,14,0)</f>
        <v>#REF!</v>
      </c>
      <c r="P141" s="34" t="e">
        <f>VLOOKUP($C141,#REF!,15,0)</f>
        <v>#REF!</v>
      </c>
      <c r="Q141" s="105" t="e">
        <f>VLOOKUP($C141,#REF!,16,0)</f>
        <v>#REF!</v>
      </c>
      <c r="R141" s="106" t="e">
        <f>VLOOKUP($C141,#REF!,17,0)</f>
        <v>#REF!</v>
      </c>
      <c r="S141" s="34" t="e">
        <f>VLOOKUP($C141,#REF!,18,0)</f>
        <v>#REF!</v>
      </c>
      <c r="T141" s="106" t="e">
        <f>VLOOKUP($C141,#REF!,19,0)</f>
        <v>#REF!</v>
      </c>
      <c r="U141" s="34"/>
      <c r="V141" s="105" t="e">
        <f>VLOOKUP($C141,#REF!,20,0)</f>
        <v>#REF!</v>
      </c>
      <c r="W141" s="34" t="e">
        <f>VLOOKUP($C141,#REF!,21,0)</f>
        <v>#REF!</v>
      </c>
      <c r="X141" s="105" t="e">
        <f>VLOOKUP($C141,#REF!,22,0)</f>
        <v>#REF!</v>
      </c>
      <c r="Y141" s="34" t="e">
        <f>VLOOKUP($C141,#REF!,23,0)</f>
        <v>#REF!</v>
      </c>
      <c r="Z141" s="105" t="e">
        <f>VLOOKUP($C141,#REF!,24,0)</f>
        <v>#REF!</v>
      </c>
      <c r="AA141" s="106" t="e">
        <f>VLOOKUP($C141,#REF!,25,0)</f>
        <v>#REF!</v>
      </c>
      <c r="AB141" s="34" t="e">
        <f>VLOOKUP($C141,#REF!,26,0)</f>
        <v>#REF!</v>
      </c>
      <c r="AC141" s="106" t="e">
        <f>VLOOKUP($C141,#REF!,27,0)</f>
        <v>#REF!</v>
      </c>
      <c r="AE141" s="105" t="e">
        <f t="shared" si="27"/>
        <v>#REF!</v>
      </c>
      <c r="AF141" s="107" t="s">
        <v>320</v>
      </c>
      <c r="AG141" s="107" t="s">
        <v>321</v>
      </c>
      <c r="AH141" s="106" t="s">
        <v>322</v>
      </c>
      <c r="AJ141" s="105" t="s">
        <v>323</v>
      </c>
      <c r="AK141" s="107" t="s">
        <v>324</v>
      </c>
      <c r="AL141" s="107" t="s">
        <v>325</v>
      </c>
      <c r="AM141" s="107" t="s">
        <v>326</v>
      </c>
      <c r="AN141" s="107" t="s">
        <v>326</v>
      </c>
      <c r="AO141" s="106" t="s">
        <v>320</v>
      </c>
      <c r="AQ141" s="108">
        <v>1</v>
      </c>
      <c r="AR141" s="5"/>
      <c r="AS141" s="105">
        <v>0</v>
      </c>
      <c r="AT141" s="106">
        <v>0</v>
      </c>
      <c r="AU141" s="34"/>
      <c r="AV141" s="105">
        <f t="shared" si="50"/>
        <v>0</v>
      </c>
      <c r="AW141" s="106">
        <f t="shared" si="51"/>
        <v>0</v>
      </c>
      <c r="AX141" s="105">
        <f t="shared" si="28"/>
        <v>0</v>
      </c>
      <c r="AY141" s="106">
        <f t="shared" si="29"/>
        <v>0</v>
      </c>
      <c r="AZ141" s="105">
        <f t="shared" si="30"/>
        <v>0</v>
      </c>
      <c r="BA141" s="106">
        <f t="shared" si="31"/>
        <v>0</v>
      </c>
      <c r="BB141" s="34">
        <f t="shared" si="32"/>
        <v>0</v>
      </c>
      <c r="BC141" s="106">
        <f t="shared" si="33"/>
        <v>0</v>
      </c>
      <c r="BD141" s="34"/>
      <c r="BE141" s="105">
        <f t="shared" si="34"/>
        <v>0</v>
      </c>
      <c r="BF141" s="106">
        <f t="shared" si="35"/>
        <v>0</v>
      </c>
      <c r="BG141" s="105">
        <f t="shared" si="36"/>
        <v>0</v>
      </c>
      <c r="BH141" s="106">
        <f t="shared" si="37"/>
        <v>0</v>
      </c>
      <c r="BI141" s="34">
        <f t="shared" si="38"/>
        <v>0</v>
      </c>
      <c r="BJ141" s="106">
        <f t="shared" si="39"/>
        <v>0</v>
      </c>
      <c r="BK141" s="34">
        <f t="shared" si="40"/>
        <v>0</v>
      </c>
      <c r="BL141" s="106">
        <f t="shared" si="41"/>
        <v>0</v>
      </c>
      <c r="BN141" s="108">
        <v>0</v>
      </c>
      <c r="BO141" s="5"/>
      <c r="BP141" s="105">
        <v>0</v>
      </c>
      <c r="BQ141" s="106">
        <v>0</v>
      </c>
      <c r="BR141" s="34"/>
      <c r="BS141" s="105">
        <v>0</v>
      </c>
      <c r="BT141" s="106">
        <v>0</v>
      </c>
      <c r="BU141" s="105">
        <v>0</v>
      </c>
      <c r="BV141" s="106">
        <v>0</v>
      </c>
      <c r="BW141" s="105">
        <v>0</v>
      </c>
      <c r="BX141" s="106">
        <v>0</v>
      </c>
      <c r="BY141" s="105">
        <v>0</v>
      </c>
      <c r="BZ141" s="106">
        <v>0</v>
      </c>
      <c r="CA141" s="34"/>
      <c r="CB141" s="105">
        <v>0</v>
      </c>
      <c r="CC141" s="106">
        <v>0</v>
      </c>
      <c r="CD141" s="105">
        <v>0</v>
      </c>
      <c r="CE141" s="106">
        <v>0</v>
      </c>
      <c r="CF141" s="105">
        <v>0</v>
      </c>
      <c r="CG141" s="106">
        <v>0</v>
      </c>
      <c r="CH141" s="105">
        <v>0</v>
      </c>
      <c r="CI141" s="106">
        <v>0</v>
      </c>
      <c r="CK141" s="78"/>
      <c r="CL141" s="5"/>
      <c r="CM141" s="38" t="str">
        <f t="shared" si="42"/>
        <v>-</v>
      </c>
      <c r="CN141" s="5"/>
      <c r="CO141" s="38" t="str">
        <f t="shared" si="43"/>
        <v>-</v>
      </c>
      <c r="CP141" s="38" t="str">
        <f t="shared" si="44"/>
        <v>-</v>
      </c>
      <c r="CQ141" s="38" t="str">
        <f t="shared" si="52"/>
        <v>-</v>
      </c>
      <c r="CR141" s="38" t="str">
        <f t="shared" si="52"/>
        <v>-</v>
      </c>
      <c r="CS141" s="5"/>
      <c r="CT141" s="38" t="str">
        <f t="shared" si="46"/>
        <v>-</v>
      </c>
      <c r="CU141" s="38" t="str">
        <f t="shared" si="47"/>
        <v>-</v>
      </c>
      <c r="CV141" s="38" t="str">
        <f t="shared" si="48"/>
        <v>-</v>
      </c>
      <c r="CW141" s="38" t="str">
        <f t="shared" si="49"/>
        <v>-</v>
      </c>
    </row>
    <row r="142" spans="2:101" s="113" customFormat="1" ht="12.75" customHeight="1">
      <c r="B142" s="99" t="s">
        <v>106</v>
      </c>
      <c r="C142" s="98" t="s">
        <v>288</v>
      </c>
      <c r="D142" s="114" t="e">
        <f>VLOOKUP($C142,#REF!,5,0)</f>
        <v>#REF!</v>
      </c>
      <c r="E142" s="115" t="e">
        <f>VLOOKUP($C142,#REF!,6,0)</f>
        <v>#REF!</v>
      </c>
      <c r="F142" s="98" t="e">
        <f>VLOOKUP($C142,#REF!,7,0)</f>
        <v>#REF!</v>
      </c>
      <c r="G142" s="98" t="e">
        <f>VLOOKUP($C142,#REF!,8,0)</f>
        <v>#REF!</v>
      </c>
      <c r="H142" s="116" t="e">
        <f>VLOOKUP($C142,#REF!,9,0)</f>
        <v>#REF!</v>
      </c>
      <c r="I142" s="5"/>
      <c r="J142" s="118" t="e">
        <f>VLOOKUP($C142,#REF!,10,0)</f>
        <v>#REF!</v>
      </c>
      <c r="K142" s="119" t="e">
        <f>VLOOKUP($C142,#REF!,11,0)</f>
        <v>#REF!</v>
      </c>
      <c r="L142" s="34"/>
      <c r="M142" s="118" t="e">
        <f>VLOOKUP($C142,#REF!,12,0)</f>
        <v>#REF!</v>
      </c>
      <c r="N142" s="120" t="e">
        <f>VLOOKUP($C142,#REF!,13,0)</f>
        <v>#REF!</v>
      </c>
      <c r="O142" s="118" t="e">
        <f>VLOOKUP($C142,#REF!,14,0)</f>
        <v>#REF!</v>
      </c>
      <c r="P142" s="120" t="e">
        <f>VLOOKUP($C142,#REF!,15,0)</f>
        <v>#REF!</v>
      </c>
      <c r="Q142" s="118" t="e">
        <f>VLOOKUP($C142,#REF!,16,0)</f>
        <v>#REF!</v>
      </c>
      <c r="R142" s="119" t="e">
        <f>VLOOKUP($C142,#REF!,17,0)</f>
        <v>#REF!</v>
      </c>
      <c r="S142" s="120" t="e">
        <f>VLOOKUP($C142,#REF!,18,0)</f>
        <v>#REF!</v>
      </c>
      <c r="T142" s="119" t="e">
        <f>VLOOKUP($C142,#REF!,19,0)</f>
        <v>#REF!</v>
      </c>
      <c r="U142" s="34"/>
      <c r="V142" s="118" t="e">
        <f>VLOOKUP($C142,#REF!,20,0)</f>
        <v>#REF!</v>
      </c>
      <c r="W142" s="120" t="e">
        <f>VLOOKUP($C142,#REF!,21,0)</f>
        <v>#REF!</v>
      </c>
      <c r="X142" s="118" t="e">
        <f>VLOOKUP($C142,#REF!,22,0)</f>
        <v>#REF!</v>
      </c>
      <c r="Y142" s="120" t="e">
        <f>VLOOKUP($C142,#REF!,23,0)</f>
        <v>#REF!</v>
      </c>
      <c r="Z142" s="118" t="e">
        <f>VLOOKUP($C142,#REF!,24,0)</f>
        <v>#REF!</v>
      </c>
      <c r="AA142" s="119" t="e">
        <f>VLOOKUP($C142,#REF!,25,0)</f>
        <v>#REF!</v>
      </c>
      <c r="AB142" s="120" t="e">
        <f>VLOOKUP($C142,#REF!,26,0)</f>
        <v>#REF!</v>
      </c>
      <c r="AC142" s="119" t="e">
        <f>VLOOKUP($C142,#REF!,27,0)</f>
        <v>#REF!</v>
      </c>
      <c r="AD142" s="4"/>
      <c r="AE142" s="118" t="e">
        <f t="shared" si="27"/>
        <v>#REF!</v>
      </c>
      <c r="AF142" s="121" t="s">
        <v>320</v>
      </c>
      <c r="AG142" s="121" t="s">
        <v>321</v>
      </c>
      <c r="AH142" s="119" t="s">
        <v>322</v>
      </c>
      <c r="AI142" s="4"/>
      <c r="AJ142" s="118" t="s">
        <v>323</v>
      </c>
      <c r="AK142" s="121" t="s">
        <v>324</v>
      </c>
      <c r="AL142" s="121" t="s">
        <v>325</v>
      </c>
      <c r="AM142" s="121" t="s">
        <v>326</v>
      </c>
      <c r="AN142" s="121" t="s">
        <v>326</v>
      </c>
      <c r="AO142" s="119" t="s">
        <v>320</v>
      </c>
      <c r="AP142" s="4"/>
      <c r="AQ142" s="122">
        <v>207</v>
      </c>
      <c r="AR142" s="5"/>
      <c r="AS142" s="118">
        <v>0</v>
      </c>
      <c r="AT142" s="119">
        <v>0</v>
      </c>
      <c r="AU142" s="34"/>
      <c r="AV142" s="118">
        <f t="shared" si="50"/>
        <v>0</v>
      </c>
      <c r="AW142" s="119">
        <f t="shared" si="51"/>
        <v>0</v>
      </c>
      <c r="AX142" s="118">
        <f t="shared" si="28"/>
        <v>0</v>
      </c>
      <c r="AY142" s="119">
        <f t="shared" si="29"/>
        <v>0</v>
      </c>
      <c r="AZ142" s="118">
        <f t="shared" si="30"/>
        <v>0</v>
      </c>
      <c r="BA142" s="119">
        <f t="shared" si="31"/>
        <v>0</v>
      </c>
      <c r="BB142" s="120">
        <f t="shared" si="32"/>
        <v>0</v>
      </c>
      <c r="BC142" s="119">
        <f t="shared" si="33"/>
        <v>0</v>
      </c>
      <c r="BD142" s="34"/>
      <c r="BE142" s="118">
        <f t="shared" si="34"/>
        <v>0</v>
      </c>
      <c r="BF142" s="119">
        <f t="shared" si="35"/>
        <v>0</v>
      </c>
      <c r="BG142" s="118">
        <f t="shared" si="36"/>
        <v>0</v>
      </c>
      <c r="BH142" s="119">
        <f t="shared" si="37"/>
        <v>0</v>
      </c>
      <c r="BI142" s="120">
        <f t="shared" si="38"/>
        <v>0</v>
      </c>
      <c r="BJ142" s="119">
        <f t="shared" si="39"/>
        <v>0</v>
      </c>
      <c r="BK142" s="120">
        <f t="shared" si="40"/>
        <v>0</v>
      </c>
      <c r="BL142" s="119">
        <f t="shared" si="41"/>
        <v>0</v>
      </c>
      <c r="BM142" s="4"/>
      <c r="BN142" s="122">
        <v>0</v>
      </c>
      <c r="BO142" s="117"/>
      <c r="BP142" s="118">
        <v>0</v>
      </c>
      <c r="BQ142" s="119">
        <v>0</v>
      </c>
      <c r="BR142" s="120"/>
      <c r="BS142" s="118">
        <v>0</v>
      </c>
      <c r="BT142" s="119">
        <v>0</v>
      </c>
      <c r="BU142" s="118">
        <v>0</v>
      </c>
      <c r="BV142" s="119">
        <v>0</v>
      </c>
      <c r="BW142" s="118">
        <v>-80</v>
      </c>
      <c r="BX142" s="119">
        <v>-4</v>
      </c>
      <c r="BY142" s="118">
        <v>-80</v>
      </c>
      <c r="BZ142" s="119">
        <v>-4</v>
      </c>
      <c r="CA142" s="120"/>
      <c r="CB142" s="118">
        <v>0</v>
      </c>
      <c r="CC142" s="119">
        <v>0</v>
      </c>
      <c r="CD142" s="118">
        <v>0</v>
      </c>
      <c r="CE142" s="119">
        <v>0</v>
      </c>
      <c r="CF142" s="118">
        <v>0</v>
      </c>
      <c r="CG142" s="119">
        <v>-3</v>
      </c>
      <c r="CH142" s="118">
        <v>0</v>
      </c>
      <c r="CI142" s="119">
        <v>-3</v>
      </c>
      <c r="CJ142" s="4"/>
      <c r="CK142" s="79"/>
      <c r="CL142" s="5"/>
      <c r="CM142" s="39" t="str">
        <f t="shared" si="42"/>
        <v>-</v>
      </c>
      <c r="CN142" s="5"/>
      <c r="CO142" s="39" t="str">
        <f t="shared" si="43"/>
        <v>-</v>
      </c>
      <c r="CP142" s="39" t="str">
        <f t="shared" si="44"/>
        <v>-</v>
      </c>
      <c r="CQ142" s="39" t="str">
        <f t="shared" si="52"/>
        <v>-</v>
      </c>
      <c r="CR142" s="39" t="str">
        <f t="shared" si="52"/>
        <v>-</v>
      </c>
      <c r="CS142" s="5"/>
      <c r="CT142" s="39" t="str">
        <f t="shared" si="46"/>
        <v>-</v>
      </c>
      <c r="CU142" s="39" t="str">
        <f t="shared" si="47"/>
        <v>-</v>
      </c>
      <c r="CV142" s="39" t="str">
        <f t="shared" si="48"/>
        <v>-</v>
      </c>
      <c r="CW142" s="39" t="str">
        <f t="shared" si="49"/>
        <v>-</v>
      </c>
    </row>
    <row r="143" spans="2:101" s="4" customFormat="1" ht="12.75" customHeight="1">
      <c r="B143" s="102" t="s">
        <v>60</v>
      </c>
      <c r="C143" s="103" t="s">
        <v>87</v>
      </c>
      <c r="D143" s="104" t="e">
        <f>VLOOKUP($C143,#REF!,5,0)</f>
        <v>#REF!</v>
      </c>
      <c r="E143" s="109" t="e">
        <f>VLOOKUP($C143,#REF!,6,0)</f>
        <v>#REF!</v>
      </c>
      <c r="F143" s="103" t="e">
        <f>VLOOKUP($C143,#REF!,7,0)</f>
        <v>#REF!</v>
      </c>
      <c r="G143" s="103" t="e">
        <f>VLOOKUP($C143,#REF!,8,0)</f>
        <v>#REF!</v>
      </c>
      <c r="H143" s="110" t="e">
        <f>VLOOKUP($C143,#REF!,9,0)</f>
        <v>#REF!</v>
      </c>
      <c r="I143" s="5"/>
      <c r="J143" s="105" t="e">
        <f>VLOOKUP($C143,#REF!,10,0)</f>
        <v>#REF!</v>
      </c>
      <c r="K143" s="106" t="e">
        <f>VLOOKUP($C143,#REF!,11,0)</f>
        <v>#REF!</v>
      </c>
      <c r="L143" s="34"/>
      <c r="M143" s="105" t="e">
        <f>VLOOKUP($C143,#REF!,12,0)</f>
        <v>#REF!</v>
      </c>
      <c r="N143" s="34" t="e">
        <f>VLOOKUP($C143,#REF!,13,0)</f>
        <v>#REF!</v>
      </c>
      <c r="O143" s="105" t="e">
        <f>VLOOKUP($C143,#REF!,14,0)</f>
        <v>#REF!</v>
      </c>
      <c r="P143" s="34" t="e">
        <f>VLOOKUP($C143,#REF!,15,0)</f>
        <v>#REF!</v>
      </c>
      <c r="Q143" s="105" t="e">
        <f>VLOOKUP($C143,#REF!,16,0)</f>
        <v>#REF!</v>
      </c>
      <c r="R143" s="106" t="e">
        <f>VLOOKUP($C143,#REF!,17,0)</f>
        <v>#REF!</v>
      </c>
      <c r="S143" s="34" t="e">
        <f>VLOOKUP($C143,#REF!,18,0)</f>
        <v>#REF!</v>
      </c>
      <c r="T143" s="106" t="e">
        <f>VLOOKUP($C143,#REF!,19,0)</f>
        <v>#REF!</v>
      </c>
      <c r="U143" s="34"/>
      <c r="V143" s="105" t="e">
        <f>VLOOKUP($C143,#REF!,20,0)</f>
        <v>#REF!</v>
      </c>
      <c r="W143" s="34" t="e">
        <f>VLOOKUP($C143,#REF!,21,0)</f>
        <v>#REF!</v>
      </c>
      <c r="X143" s="105" t="e">
        <f>VLOOKUP($C143,#REF!,22,0)</f>
        <v>#REF!</v>
      </c>
      <c r="Y143" s="34" t="e">
        <f>VLOOKUP($C143,#REF!,23,0)</f>
        <v>#REF!</v>
      </c>
      <c r="Z143" s="105" t="e">
        <f>VLOOKUP($C143,#REF!,24,0)</f>
        <v>#REF!</v>
      </c>
      <c r="AA143" s="106" t="e">
        <f>VLOOKUP($C143,#REF!,25,0)</f>
        <v>#REF!</v>
      </c>
      <c r="AB143" s="34" t="e">
        <f>VLOOKUP($C143,#REF!,26,0)</f>
        <v>#REF!</v>
      </c>
      <c r="AC143" s="106" t="e">
        <f>VLOOKUP($C143,#REF!,27,0)</f>
        <v>#REF!</v>
      </c>
      <c r="AE143" s="105" t="e">
        <f t="shared" si="27"/>
        <v>#REF!</v>
      </c>
      <c r="AF143" s="107" t="s">
        <v>320</v>
      </c>
      <c r="AG143" s="107" t="s">
        <v>321</v>
      </c>
      <c r="AH143" s="106" t="s">
        <v>322</v>
      </c>
      <c r="AJ143" s="105" t="s">
        <v>323</v>
      </c>
      <c r="AK143" s="107" t="s">
        <v>324</v>
      </c>
      <c r="AL143" s="107" t="s">
        <v>325</v>
      </c>
      <c r="AM143" s="107" t="s">
        <v>326</v>
      </c>
      <c r="AN143" s="107" t="s">
        <v>326</v>
      </c>
      <c r="AO143" s="106" t="s">
        <v>320</v>
      </c>
      <c r="AQ143" s="108">
        <v>207</v>
      </c>
      <c r="AR143" s="5"/>
      <c r="AS143" s="105">
        <v>0</v>
      </c>
      <c r="AT143" s="106">
        <v>0</v>
      </c>
      <c r="AU143" s="34"/>
      <c r="AV143" s="105">
        <f t="shared" si="50"/>
        <v>0</v>
      </c>
      <c r="AW143" s="106">
        <f t="shared" si="51"/>
        <v>0</v>
      </c>
      <c r="AX143" s="105">
        <f t="shared" si="28"/>
        <v>0</v>
      </c>
      <c r="AY143" s="106">
        <f t="shared" si="29"/>
        <v>0</v>
      </c>
      <c r="AZ143" s="105">
        <f t="shared" si="30"/>
        <v>0</v>
      </c>
      <c r="BA143" s="106">
        <f t="shared" si="31"/>
        <v>0</v>
      </c>
      <c r="BB143" s="34">
        <f t="shared" si="32"/>
        <v>0</v>
      </c>
      <c r="BC143" s="106">
        <f t="shared" si="33"/>
        <v>0</v>
      </c>
      <c r="BD143" s="34"/>
      <c r="BE143" s="105">
        <f t="shared" si="34"/>
        <v>0</v>
      </c>
      <c r="BF143" s="106">
        <f t="shared" si="35"/>
        <v>0</v>
      </c>
      <c r="BG143" s="105">
        <f t="shared" si="36"/>
        <v>0</v>
      </c>
      <c r="BH143" s="106">
        <f t="shared" si="37"/>
        <v>0</v>
      </c>
      <c r="BI143" s="34">
        <f t="shared" si="38"/>
        <v>0</v>
      </c>
      <c r="BJ143" s="106">
        <f t="shared" si="39"/>
        <v>0</v>
      </c>
      <c r="BK143" s="34">
        <f t="shared" si="40"/>
        <v>0</v>
      </c>
      <c r="BL143" s="106">
        <f t="shared" si="41"/>
        <v>0</v>
      </c>
      <c r="BN143" s="108">
        <v>0</v>
      </c>
      <c r="BO143" s="5"/>
      <c r="BP143" s="105">
        <v>0</v>
      </c>
      <c r="BQ143" s="106">
        <v>0</v>
      </c>
      <c r="BR143" s="34"/>
      <c r="BS143" s="105">
        <v>0</v>
      </c>
      <c r="BT143" s="106">
        <v>0</v>
      </c>
      <c r="BU143" s="105">
        <v>0</v>
      </c>
      <c r="BV143" s="106">
        <v>0</v>
      </c>
      <c r="BW143" s="105">
        <v>-80</v>
      </c>
      <c r="BX143" s="106">
        <v>-4</v>
      </c>
      <c r="BY143" s="105">
        <v>-80</v>
      </c>
      <c r="BZ143" s="106">
        <v>-4</v>
      </c>
      <c r="CA143" s="34"/>
      <c r="CB143" s="105">
        <v>0</v>
      </c>
      <c r="CC143" s="106">
        <v>0</v>
      </c>
      <c r="CD143" s="105">
        <v>0</v>
      </c>
      <c r="CE143" s="106">
        <v>0</v>
      </c>
      <c r="CF143" s="105">
        <v>0</v>
      </c>
      <c r="CG143" s="106">
        <v>-3</v>
      </c>
      <c r="CH143" s="105">
        <v>0</v>
      </c>
      <c r="CI143" s="106">
        <v>-3</v>
      </c>
      <c r="CK143" s="78"/>
      <c r="CL143" s="5"/>
      <c r="CM143" s="38" t="str">
        <f t="shared" si="42"/>
        <v>-</v>
      </c>
      <c r="CN143" s="5"/>
      <c r="CO143" s="38" t="str">
        <f t="shared" si="43"/>
        <v>-</v>
      </c>
      <c r="CP143" s="38" t="str">
        <f t="shared" si="44"/>
        <v>-</v>
      </c>
      <c r="CQ143" s="38" t="str">
        <f t="shared" si="52"/>
        <v>-</v>
      </c>
      <c r="CR143" s="38" t="str">
        <f t="shared" si="52"/>
        <v>-</v>
      </c>
      <c r="CS143" s="5"/>
      <c r="CT143" s="38" t="str">
        <f t="shared" si="46"/>
        <v>-</v>
      </c>
      <c r="CU143" s="38" t="str">
        <f t="shared" si="47"/>
        <v>-</v>
      </c>
      <c r="CV143" s="38" t="str">
        <f t="shared" si="48"/>
        <v>-</v>
      </c>
      <c r="CW143" s="38" t="str">
        <f t="shared" si="49"/>
        <v>-</v>
      </c>
    </row>
    <row r="144" spans="2:101" s="113" customFormat="1" ht="12.75" customHeight="1">
      <c r="B144" s="99" t="s">
        <v>60</v>
      </c>
      <c r="C144" s="98" t="s">
        <v>244</v>
      </c>
      <c r="D144" s="114" t="e">
        <f>VLOOKUP($C144,#REF!,5,0)</f>
        <v>#REF!</v>
      </c>
      <c r="E144" s="115" t="e">
        <f>VLOOKUP($C144,#REF!,6,0)</f>
        <v>#REF!</v>
      </c>
      <c r="F144" s="98" t="e">
        <f>VLOOKUP($C144,#REF!,7,0)</f>
        <v>#REF!</v>
      </c>
      <c r="G144" s="98" t="e">
        <f>VLOOKUP($C144,#REF!,8,0)</f>
        <v>#REF!</v>
      </c>
      <c r="H144" s="116" t="e">
        <f>VLOOKUP($C144,#REF!,9,0)</f>
        <v>#REF!</v>
      </c>
      <c r="I144" s="5"/>
      <c r="J144" s="118" t="e">
        <f>VLOOKUP($C144,#REF!,10,0)</f>
        <v>#REF!</v>
      </c>
      <c r="K144" s="119" t="e">
        <f>VLOOKUP($C144,#REF!,11,0)</f>
        <v>#REF!</v>
      </c>
      <c r="L144" s="34"/>
      <c r="M144" s="118" t="e">
        <f>VLOOKUP($C144,#REF!,12,0)</f>
        <v>#REF!</v>
      </c>
      <c r="N144" s="120" t="e">
        <f>VLOOKUP($C144,#REF!,13,0)</f>
        <v>#REF!</v>
      </c>
      <c r="O144" s="118" t="e">
        <f>VLOOKUP($C144,#REF!,14,0)</f>
        <v>#REF!</v>
      </c>
      <c r="P144" s="120" t="e">
        <f>VLOOKUP($C144,#REF!,15,0)</f>
        <v>#REF!</v>
      </c>
      <c r="Q144" s="118" t="e">
        <f>VLOOKUP($C144,#REF!,16,0)</f>
        <v>#REF!</v>
      </c>
      <c r="R144" s="119" t="e">
        <f>VLOOKUP($C144,#REF!,17,0)</f>
        <v>#REF!</v>
      </c>
      <c r="S144" s="120" t="e">
        <f>VLOOKUP($C144,#REF!,18,0)</f>
        <v>#REF!</v>
      </c>
      <c r="T144" s="119" t="e">
        <f>VLOOKUP($C144,#REF!,19,0)</f>
        <v>#REF!</v>
      </c>
      <c r="U144" s="34"/>
      <c r="V144" s="118" t="e">
        <f>VLOOKUP($C144,#REF!,20,0)</f>
        <v>#REF!</v>
      </c>
      <c r="W144" s="120" t="e">
        <f>VLOOKUP($C144,#REF!,21,0)</f>
        <v>#REF!</v>
      </c>
      <c r="X144" s="118" t="e">
        <f>VLOOKUP($C144,#REF!,22,0)</f>
        <v>#REF!</v>
      </c>
      <c r="Y144" s="120" t="e">
        <f>VLOOKUP($C144,#REF!,23,0)</f>
        <v>#REF!</v>
      </c>
      <c r="Z144" s="118" t="e">
        <f>VLOOKUP($C144,#REF!,24,0)</f>
        <v>#REF!</v>
      </c>
      <c r="AA144" s="119" t="e">
        <f>VLOOKUP($C144,#REF!,25,0)</f>
        <v>#REF!</v>
      </c>
      <c r="AB144" s="120" t="e">
        <f>VLOOKUP($C144,#REF!,26,0)</f>
        <v>#REF!</v>
      </c>
      <c r="AC144" s="119" t="e">
        <f>VLOOKUP($C144,#REF!,27,0)</f>
        <v>#REF!</v>
      </c>
      <c r="AD144" s="4"/>
      <c r="AE144" s="118" t="e">
        <f t="shared" si="27"/>
        <v>#REF!</v>
      </c>
      <c r="AF144" s="121" t="s">
        <v>320</v>
      </c>
      <c r="AG144" s="121" t="s">
        <v>321</v>
      </c>
      <c r="AH144" s="119" t="s">
        <v>322</v>
      </c>
      <c r="AI144" s="4"/>
      <c r="AJ144" s="118" t="s">
        <v>323</v>
      </c>
      <c r="AK144" s="121" t="s">
        <v>324</v>
      </c>
      <c r="AL144" s="121" t="s">
        <v>325</v>
      </c>
      <c r="AM144" s="121" t="s">
        <v>326</v>
      </c>
      <c r="AN144" s="121" t="s">
        <v>326</v>
      </c>
      <c r="AO144" s="119" t="s">
        <v>320</v>
      </c>
      <c r="AP144" s="4"/>
      <c r="AQ144" s="122">
        <v>9</v>
      </c>
      <c r="AR144" s="5"/>
      <c r="AS144" s="118">
        <v>0</v>
      </c>
      <c r="AT144" s="119">
        <v>0</v>
      </c>
      <c r="AU144" s="34"/>
      <c r="AV144" s="118">
        <f t="shared" si="50"/>
        <v>0</v>
      </c>
      <c r="AW144" s="119">
        <f t="shared" si="51"/>
        <v>0</v>
      </c>
      <c r="AX144" s="118">
        <f t="shared" si="28"/>
        <v>0</v>
      </c>
      <c r="AY144" s="119">
        <f t="shared" si="29"/>
        <v>0</v>
      </c>
      <c r="AZ144" s="118">
        <f t="shared" si="30"/>
        <v>0</v>
      </c>
      <c r="BA144" s="119">
        <f t="shared" si="31"/>
        <v>0</v>
      </c>
      <c r="BB144" s="120">
        <f t="shared" si="32"/>
        <v>0</v>
      </c>
      <c r="BC144" s="119">
        <f t="shared" si="33"/>
        <v>0</v>
      </c>
      <c r="BD144" s="34"/>
      <c r="BE144" s="118">
        <f t="shared" si="34"/>
        <v>0</v>
      </c>
      <c r="BF144" s="119">
        <f t="shared" si="35"/>
        <v>0</v>
      </c>
      <c r="BG144" s="118">
        <f t="shared" si="36"/>
        <v>0</v>
      </c>
      <c r="BH144" s="119">
        <f t="shared" si="37"/>
        <v>0</v>
      </c>
      <c r="BI144" s="120">
        <f t="shared" si="38"/>
        <v>0</v>
      </c>
      <c r="BJ144" s="119">
        <f t="shared" si="39"/>
        <v>0</v>
      </c>
      <c r="BK144" s="120">
        <f t="shared" si="40"/>
        <v>0</v>
      </c>
      <c r="BL144" s="119">
        <f t="shared" si="41"/>
        <v>0</v>
      </c>
      <c r="BM144" s="4"/>
      <c r="BN144" s="122" t="e">
        <v>#N/A</v>
      </c>
      <c r="BO144" s="117"/>
      <c r="BP144" s="118" t="e">
        <v>#N/A</v>
      </c>
      <c r="BQ144" s="119" t="e">
        <v>#N/A</v>
      </c>
      <c r="BR144" s="120"/>
      <c r="BS144" s="118" t="e">
        <v>#N/A</v>
      </c>
      <c r="BT144" s="119" t="e">
        <v>#N/A</v>
      </c>
      <c r="BU144" s="118" t="e">
        <v>#N/A</v>
      </c>
      <c r="BV144" s="119" t="e">
        <v>#N/A</v>
      </c>
      <c r="BW144" s="118" t="e">
        <v>#N/A</v>
      </c>
      <c r="BX144" s="119" t="e">
        <v>#N/A</v>
      </c>
      <c r="BY144" s="118" t="e">
        <v>#N/A</v>
      </c>
      <c r="BZ144" s="119" t="e">
        <v>#N/A</v>
      </c>
      <c r="CA144" s="120"/>
      <c r="CB144" s="118" t="e">
        <v>#N/A</v>
      </c>
      <c r="CC144" s="119" t="e">
        <v>#N/A</v>
      </c>
      <c r="CD144" s="118" t="e">
        <v>#N/A</v>
      </c>
      <c r="CE144" s="119" t="e">
        <v>#N/A</v>
      </c>
      <c r="CF144" s="118" t="e">
        <v>#N/A</v>
      </c>
      <c r="CG144" s="119" t="e">
        <v>#N/A</v>
      </c>
      <c r="CH144" s="118" t="e">
        <v>#N/A</v>
      </c>
      <c r="CI144" s="119" t="e">
        <v>#N/A</v>
      </c>
      <c r="CJ144" s="4"/>
      <c r="CK144" s="79"/>
      <c r="CL144" s="5"/>
      <c r="CM144" s="39" t="str">
        <f t="shared" si="42"/>
        <v>-</v>
      </c>
      <c r="CN144" s="5"/>
      <c r="CO144" s="39" t="str">
        <f t="shared" si="43"/>
        <v>-</v>
      </c>
      <c r="CP144" s="39" t="str">
        <f t="shared" si="44"/>
        <v>-</v>
      </c>
      <c r="CQ144" s="39" t="str">
        <f t="shared" si="52"/>
        <v>-</v>
      </c>
      <c r="CR144" s="39" t="str">
        <f t="shared" si="52"/>
        <v>-</v>
      </c>
      <c r="CS144" s="5"/>
      <c r="CT144" s="39" t="str">
        <f t="shared" si="46"/>
        <v>-</v>
      </c>
      <c r="CU144" s="39" t="str">
        <f t="shared" si="47"/>
        <v>-</v>
      </c>
      <c r="CV144" s="39" t="str">
        <f t="shared" si="48"/>
        <v>-</v>
      </c>
      <c r="CW144" s="39" t="str">
        <f t="shared" si="49"/>
        <v>-</v>
      </c>
    </row>
    <row r="145" spans="2:101" s="4" customFormat="1" ht="12.75" customHeight="1">
      <c r="B145" s="102" t="s">
        <v>60</v>
      </c>
      <c r="C145" s="103" t="s">
        <v>245</v>
      </c>
      <c r="D145" s="104" t="e">
        <f>VLOOKUP($C145,#REF!,5,0)</f>
        <v>#REF!</v>
      </c>
      <c r="E145" s="109" t="e">
        <f>VLOOKUP($C145,#REF!,6,0)</f>
        <v>#REF!</v>
      </c>
      <c r="F145" s="103" t="e">
        <f>VLOOKUP($C145,#REF!,7,0)</f>
        <v>#REF!</v>
      </c>
      <c r="G145" s="103" t="e">
        <f>VLOOKUP($C145,#REF!,8,0)</f>
        <v>#REF!</v>
      </c>
      <c r="H145" s="110" t="e">
        <f>VLOOKUP($C145,#REF!,9,0)</f>
        <v>#REF!</v>
      </c>
      <c r="I145" s="5"/>
      <c r="J145" s="105" t="e">
        <f>VLOOKUP($C145,#REF!,10,0)</f>
        <v>#REF!</v>
      </c>
      <c r="K145" s="106" t="e">
        <f>VLOOKUP($C145,#REF!,11,0)</f>
        <v>#REF!</v>
      </c>
      <c r="L145" s="34"/>
      <c r="M145" s="105" t="e">
        <f>VLOOKUP($C145,#REF!,12,0)</f>
        <v>#REF!</v>
      </c>
      <c r="N145" s="34" t="e">
        <f>VLOOKUP($C145,#REF!,13,0)</f>
        <v>#REF!</v>
      </c>
      <c r="O145" s="105" t="e">
        <f>VLOOKUP($C145,#REF!,14,0)</f>
        <v>#REF!</v>
      </c>
      <c r="P145" s="34" t="e">
        <f>VLOOKUP($C145,#REF!,15,0)</f>
        <v>#REF!</v>
      </c>
      <c r="Q145" s="105" t="e">
        <f>VLOOKUP($C145,#REF!,16,0)</f>
        <v>#REF!</v>
      </c>
      <c r="R145" s="106" t="e">
        <f>VLOOKUP($C145,#REF!,17,0)</f>
        <v>#REF!</v>
      </c>
      <c r="S145" s="34" t="e">
        <f>VLOOKUP($C145,#REF!,18,0)</f>
        <v>#REF!</v>
      </c>
      <c r="T145" s="106" t="e">
        <f>VLOOKUP($C145,#REF!,19,0)</f>
        <v>#REF!</v>
      </c>
      <c r="U145" s="34"/>
      <c r="V145" s="105" t="e">
        <f>VLOOKUP($C145,#REF!,20,0)</f>
        <v>#REF!</v>
      </c>
      <c r="W145" s="34" t="e">
        <f>VLOOKUP($C145,#REF!,21,0)</f>
        <v>#REF!</v>
      </c>
      <c r="X145" s="105" t="e">
        <f>VLOOKUP($C145,#REF!,22,0)</f>
        <v>#REF!</v>
      </c>
      <c r="Y145" s="34" t="e">
        <f>VLOOKUP($C145,#REF!,23,0)</f>
        <v>#REF!</v>
      </c>
      <c r="Z145" s="105" t="e">
        <f>VLOOKUP($C145,#REF!,24,0)</f>
        <v>#REF!</v>
      </c>
      <c r="AA145" s="106" t="e">
        <f>VLOOKUP($C145,#REF!,25,0)</f>
        <v>#REF!</v>
      </c>
      <c r="AB145" s="34" t="e">
        <f>VLOOKUP($C145,#REF!,26,0)</f>
        <v>#REF!</v>
      </c>
      <c r="AC145" s="106" t="e">
        <f>VLOOKUP($C145,#REF!,27,0)</f>
        <v>#REF!</v>
      </c>
      <c r="AE145" s="105" t="e">
        <f t="shared" si="27"/>
        <v>#REF!</v>
      </c>
      <c r="AF145" s="107" t="s">
        <v>320</v>
      </c>
      <c r="AG145" s="107" t="s">
        <v>321</v>
      </c>
      <c r="AH145" s="106" t="s">
        <v>322</v>
      </c>
      <c r="AJ145" s="105" t="s">
        <v>323</v>
      </c>
      <c r="AK145" s="107" t="s">
        <v>324</v>
      </c>
      <c r="AL145" s="107" t="s">
        <v>325</v>
      </c>
      <c r="AM145" s="107" t="s">
        <v>326</v>
      </c>
      <c r="AN145" s="107" t="s">
        <v>326</v>
      </c>
      <c r="AO145" s="106" t="s">
        <v>320</v>
      </c>
      <c r="AQ145" s="108">
        <v>100</v>
      </c>
      <c r="AR145" s="5"/>
      <c r="AS145" s="105">
        <v>0</v>
      </c>
      <c r="AT145" s="106">
        <v>0</v>
      </c>
      <c r="AU145" s="34"/>
      <c r="AV145" s="105">
        <f t="shared" si="50"/>
        <v>0</v>
      </c>
      <c r="AW145" s="106">
        <f t="shared" si="51"/>
        <v>0</v>
      </c>
      <c r="AX145" s="105">
        <f t="shared" si="28"/>
        <v>0</v>
      </c>
      <c r="AY145" s="106">
        <f t="shared" si="29"/>
        <v>0</v>
      </c>
      <c r="AZ145" s="105">
        <f t="shared" si="30"/>
        <v>0</v>
      </c>
      <c r="BA145" s="106">
        <f t="shared" si="31"/>
        <v>0</v>
      </c>
      <c r="BB145" s="34">
        <f t="shared" si="32"/>
        <v>0</v>
      </c>
      <c r="BC145" s="106">
        <f t="shared" si="33"/>
        <v>0</v>
      </c>
      <c r="BD145" s="34"/>
      <c r="BE145" s="105">
        <f t="shared" si="34"/>
        <v>0</v>
      </c>
      <c r="BF145" s="106">
        <f t="shared" si="35"/>
        <v>0</v>
      </c>
      <c r="BG145" s="105">
        <f t="shared" si="36"/>
        <v>0</v>
      </c>
      <c r="BH145" s="106">
        <f t="shared" si="37"/>
        <v>0</v>
      </c>
      <c r="BI145" s="34">
        <f t="shared" si="38"/>
        <v>0</v>
      </c>
      <c r="BJ145" s="106">
        <f t="shared" si="39"/>
        <v>0</v>
      </c>
      <c r="BK145" s="34">
        <f t="shared" si="40"/>
        <v>0</v>
      </c>
      <c r="BL145" s="106">
        <f t="shared" si="41"/>
        <v>0</v>
      </c>
      <c r="BN145" s="108">
        <v>-8.2600000000000051</v>
      </c>
      <c r="BO145" s="5"/>
      <c r="BP145" s="105">
        <v>-8.2600000000000051</v>
      </c>
      <c r="BQ145" s="106">
        <v>0</v>
      </c>
      <c r="BR145" s="34"/>
      <c r="BS145" s="105">
        <v>0</v>
      </c>
      <c r="BT145" s="106">
        <v>0</v>
      </c>
      <c r="BU145" s="105">
        <v>0</v>
      </c>
      <c r="BV145" s="106">
        <v>-2</v>
      </c>
      <c r="BW145" s="105">
        <v>0</v>
      </c>
      <c r="BX145" s="106">
        <v>-2</v>
      </c>
      <c r="BY145" s="105">
        <v>0</v>
      </c>
      <c r="BZ145" s="106">
        <v>-2</v>
      </c>
      <c r="CA145" s="34"/>
      <c r="CB145" s="105">
        <v>0</v>
      </c>
      <c r="CC145" s="106">
        <v>0</v>
      </c>
      <c r="CD145" s="105">
        <v>0</v>
      </c>
      <c r="CE145" s="106">
        <v>-2</v>
      </c>
      <c r="CF145" s="105">
        <v>0</v>
      </c>
      <c r="CG145" s="106">
        <v>-2</v>
      </c>
      <c r="CH145" s="105">
        <v>0</v>
      </c>
      <c r="CI145" s="106">
        <v>-2</v>
      </c>
      <c r="CK145" s="78"/>
      <c r="CL145" s="5"/>
      <c r="CM145" s="38" t="str">
        <f t="shared" si="42"/>
        <v>-</v>
      </c>
      <c r="CN145" s="5"/>
      <c r="CO145" s="38" t="str">
        <f t="shared" si="43"/>
        <v>-</v>
      </c>
      <c r="CP145" s="38" t="str">
        <f t="shared" si="44"/>
        <v>-</v>
      </c>
      <c r="CQ145" s="38" t="str">
        <f t="shared" si="52"/>
        <v>-</v>
      </c>
      <c r="CR145" s="38" t="str">
        <f t="shared" si="52"/>
        <v>-</v>
      </c>
      <c r="CS145" s="5"/>
      <c r="CT145" s="38" t="str">
        <f t="shared" si="46"/>
        <v>-</v>
      </c>
      <c r="CU145" s="38" t="str">
        <f t="shared" si="47"/>
        <v>-</v>
      </c>
      <c r="CV145" s="38" t="str">
        <f t="shared" si="48"/>
        <v>-</v>
      </c>
      <c r="CW145" s="38" t="str">
        <f t="shared" si="49"/>
        <v>-</v>
      </c>
    </row>
    <row r="146" spans="2:101" s="113" customFormat="1" ht="12.75" customHeight="1">
      <c r="B146" s="99" t="s">
        <v>60</v>
      </c>
      <c r="C146" s="98" t="s">
        <v>296</v>
      </c>
      <c r="D146" s="114" t="e">
        <f>VLOOKUP($C146,#REF!,5,0)</f>
        <v>#REF!</v>
      </c>
      <c r="E146" s="115" t="e">
        <f>VLOOKUP($C146,#REF!,6,0)</f>
        <v>#REF!</v>
      </c>
      <c r="F146" s="98" t="e">
        <f>VLOOKUP($C146,#REF!,7,0)</f>
        <v>#REF!</v>
      </c>
      <c r="G146" s="98" t="e">
        <f>VLOOKUP($C146,#REF!,8,0)</f>
        <v>#REF!</v>
      </c>
      <c r="H146" s="116" t="e">
        <f>VLOOKUP($C146,#REF!,9,0)</f>
        <v>#REF!</v>
      </c>
      <c r="I146" s="5"/>
      <c r="J146" s="118" t="e">
        <f>VLOOKUP($C146,#REF!,10,0)</f>
        <v>#REF!</v>
      </c>
      <c r="K146" s="119" t="e">
        <f>VLOOKUP($C146,#REF!,11,0)</f>
        <v>#REF!</v>
      </c>
      <c r="L146" s="34"/>
      <c r="M146" s="118" t="e">
        <f>VLOOKUP($C146,#REF!,12,0)</f>
        <v>#REF!</v>
      </c>
      <c r="N146" s="120" t="e">
        <f>VLOOKUP($C146,#REF!,13,0)</f>
        <v>#REF!</v>
      </c>
      <c r="O146" s="118" t="e">
        <f>VLOOKUP($C146,#REF!,14,0)</f>
        <v>#REF!</v>
      </c>
      <c r="P146" s="120" t="e">
        <f>VLOOKUP($C146,#REF!,15,0)</f>
        <v>#REF!</v>
      </c>
      <c r="Q146" s="118" t="e">
        <f>VLOOKUP($C146,#REF!,16,0)</f>
        <v>#REF!</v>
      </c>
      <c r="R146" s="119" t="e">
        <f>VLOOKUP($C146,#REF!,17,0)</f>
        <v>#REF!</v>
      </c>
      <c r="S146" s="120" t="e">
        <f>VLOOKUP($C146,#REF!,18,0)</f>
        <v>#REF!</v>
      </c>
      <c r="T146" s="119" t="e">
        <f>VLOOKUP($C146,#REF!,19,0)</f>
        <v>#REF!</v>
      </c>
      <c r="U146" s="34"/>
      <c r="V146" s="118" t="e">
        <f>VLOOKUP($C146,#REF!,20,0)</f>
        <v>#REF!</v>
      </c>
      <c r="W146" s="120" t="e">
        <f>VLOOKUP($C146,#REF!,21,0)</f>
        <v>#REF!</v>
      </c>
      <c r="X146" s="118" t="e">
        <f>VLOOKUP($C146,#REF!,22,0)</f>
        <v>#REF!</v>
      </c>
      <c r="Y146" s="120" t="e">
        <f>VLOOKUP($C146,#REF!,23,0)</f>
        <v>#REF!</v>
      </c>
      <c r="Z146" s="118" t="e">
        <f>VLOOKUP($C146,#REF!,24,0)</f>
        <v>#REF!</v>
      </c>
      <c r="AA146" s="119" t="e">
        <f>VLOOKUP($C146,#REF!,25,0)</f>
        <v>#REF!</v>
      </c>
      <c r="AB146" s="120" t="e">
        <f>VLOOKUP($C146,#REF!,26,0)</f>
        <v>#REF!</v>
      </c>
      <c r="AC146" s="119" t="e">
        <f>VLOOKUP($C146,#REF!,27,0)</f>
        <v>#REF!</v>
      </c>
      <c r="AD146" s="4"/>
      <c r="AE146" s="118" t="e">
        <f t="shared" si="27"/>
        <v>#REF!</v>
      </c>
      <c r="AF146" s="121" t="s">
        <v>320</v>
      </c>
      <c r="AG146" s="121" t="s">
        <v>321</v>
      </c>
      <c r="AH146" s="119" t="s">
        <v>322</v>
      </c>
      <c r="AI146" s="4"/>
      <c r="AJ146" s="118" t="s">
        <v>323</v>
      </c>
      <c r="AK146" s="121" t="s">
        <v>324</v>
      </c>
      <c r="AL146" s="121" t="s">
        <v>325</v>
      </c>
      <c r="AM146" s="121" t="s">
        <v>326</v>
      </c>
      <c r="AN146" s="121" t="s">
        <v>326</v>
      </c>
      <c r="AO146" s="119" t="s">
        <v>320</v>
      </c>
      <c r="AP146" s="4"/>
      <c r="AQ146" s="122">
        <v>16</v>
      </c>
      <c r="AR146" s="5"/>
      <c r="AS146" s="118">
        <v>0</v>
      </c>
      <c r="AT146" s="119">
        <v>0</v>
      </c>
      <c r="AU146" s="34"/>
      <c r="AV146" s="118">
        <f t="shared" si="50"/>
        <v>0</v>
      </c>
      <c r="AW146" s="119">
        <f t="shared" si="51"/>
        <v>0</v>
      </c>
      <c r="AX146" s="118">
        <f t="shared" si="28"/>
        <v>0</v>
      </c>
      <c r="AY146" s="119">
        <f t="shared" si="29"/>
        <v>0</v>
      </c>
      <c r="AZ146" s="118">
        <f t="shared" si="30"/>
        <v>0</v>
      </c>
      <c r="BA146" s="119">
        <f t="shared" si="31"/>
        <v>0</v>
      </c>
      <c r="BB146" s="120">
        <f t="shared" si="32"/>
        <v>0</v>
      </c>
      <c r="BC146" s="119">
        <f t="shared" si="33"/>
        <v>0</v>
      </c>
      <c r="BD146" s="34"/>
      <c r="BE146" s="118">
        <f t="shared" si="34"/>
        <v>0</v>
      </c>
      <c r="BF146" s="119">
        <f t="shared" si="35"/>
        <v>0</v>
      </c>
      <c r="BG146" s="118">
        <f t="shared" si="36"/>
        <v>0</v>
      </c>
      <c r="BH146" s="119">
        <f t="shared" si="37"/>
        <v>0</v>
      </c>
      <c r="BI146" s="120">
        <f t="shared" si="38"/>
        <v>0</v>
      </c>
      <c r="BJ146" s="119">
        <f t="shared" si="39"/>
        <v>0</v>
      </c>
      <c r="BK146" s="120">
        <f t="shared" si="40"/>
        <v>0</v>
      </c>
      <c r="BL146" s="119">
        <f t="shared" si="41"/>
        <v>0</v>
      </c>
      <c r="BM146" s="4"/>
      <c r="BN146" s="122">
        <v>0</v>
      </c>
      <c r="BO146" s="117"/>
      <c r="BP146" s="118">
        <v>0</v>
      </c>
      <c r="BQ146" s="119">
        <v>0</v>
      </c>
      <c r="BR146" s="120"/>
      <c r="BS146" s="118">
        <v>0</v>
      </c>
      <c r="BT146" s="119">
        <v>0</v>
      </c>
      <c r="BU146" s="118">
        <v>0</v>
      </c>
      <c r="BV146" s="119">
        <v>0</v>
      </c>
      <c r="BW146" s="118">
        <v>0</v>
      </c>
      <c r="BX146" s="119">
        <v>0</v>
      </c>
      <c r="BY146" s="118">
        <v>0</v>
      </c>
      <c r="BZ146" s="119">
        <v>0</v>
      </c>
      <c r="CA146" s="120"/>
      <c r="CB146" s="118">
        <v>0</v>
      </c>
      <c r="CC146" s="119">
        <v>0</v>
      </c>
      <c r="CD146" s="118">
        <v>0</v>
      </c>
      <c r="CE146" s="119">
        <v>0</v>
      </c>
      <c r="CF146" s="118">
        <v>0</v>
      </c>
      <c r="CG146" s="119">
        <v>0</v>
      </c>
      <c r="CH146" s="118">
        <v>0</v>
      </c>
      <c r="CI146" s="119">
        <v>0</v>
      </c>
      <c r="CJ146" s="4"/>
      <c r="CK146" s="79"/>
      <c r="CL146" s="5"/>
      <c r="CM146" s="39" t="str">
        <f t="shared" si="42"/>
        <v>-</v>
      </c>
      <c r="CN146" s="5"/>
      <c r="CO146" s="39" t="str">
        <f t="shared" si="43"/>
        <v>-</v>
      </c>
      <c r="CP146" s="39" t="str">
        <f t="shared" si="44"/>
        <v>-</v>
      </c>
      <c r="CQ146" s="39" t="str">
        <f t="shared" si="52"/>
        <v>-</v>
      </c>
      <c r="CR146" s="39" t="str">
        <f t="shared" si="52"/>
        <v>-</v>
      </c>
      <c r="CS146" s="5"/>
      <c r="CT146" s="39" t="str">
        <f t="shared" si="46"/>
        <v>-</v>
      </c>
      <c r="CU146" s="39" t="str">
        <f t="shared" si="47"/>
        <v>-</v>
      </c>
      <c r="CV146" s="39" t="str">
        <f t="shared" si="48"/>
        <v>-</v>
      </c>
      <c r="CW146" s="39" t="str">
        <f t="shared" si="49"/>
        <v>-</v>
      </c>
    </row>
    <row r="147" spans="2:101" s="4" customFormat="1" ht="12.75" customHeight="1">
      <c r="B147" s="102" t="s">
        <v>60</v>
      </c>
      <c r="C147" s="103" t="s">
        <v>194</v>
      </c>
      <c r="D147" s="104" t="e">
        <f>VLOOKUP($C147,#REF!,5,0)</f>
        <v>#REF!</v>
      </c>
      <c r="E147" s="109" t="e">
        <f>VLOOKUP($C147,#REF!,6,0)</f>
        <v>#REF!</v>
      </c>
      <c r="F147" s="103" t="e">
        <f>VLOOKUP($C147,#REF!,7,0)</f>
        <v>#REF!</v>
      </c>
      <c r="G147" s="103" t="e">
        <f>VLOOKUP($C147,#REF!,8,0)</f>
        <v>#REF!</v>
      </c>
      <c r="H147" s="110" t="e">
        <f>VLOOKUP($C147,#REF!,9,0)</f>
        <v>#REF!</v>
      </c>
      <c r="I147" s="5"/>
      <c r="J147" s="105" t="e">
        <f>VLOOKUP($C147,#REF!,10,0)</f>
        <v>#REF!</v>
      </c>
      <c r="K147" s="106" t="e">
        <f>VLOOKUP($C147,#REF!,11,0)</f>
        <v>#REF!</v>
      </c>
      <c r="L147" s="34"/>
      <c r="M147" s="105" t="e">
        <f>VLOOKUP($C147,#REF!,12,0)</f>
        <v>#REF!</v>
      </c>
      <c r="N147" s="34" t="e">
        <f>VLOOKUP($C147,#REF!,13,0)</f>
        <v>#REF!</v>
      </c>
      <c r="O147" s="105" t="e">
        <f>VLOOKUP($C147,#REF!,14,0)</f>
        <v>#REF!</v>
      </c>
      <c r="P147" s="34" t="e">
        <f>VLOOKUP($C147,#REF!,15,0)</f>
        <v>#REF!</v>
      </c>
      <c r="Q147" s="105" t="e">
        <f>VLOOKUP($C147,#REF!,16,0)</f>
        <v>#REF!</v>
      </c>
      <c r="R147" s="106" t="e">
        <f>VLOOKUP($C147,#REF!,17,0)</f>
        <v>#REF!</v>
      </c>
      <c r="S147" s="34" t="e">
        <f>VLOOKUP($C147,#REF!,18,0)</f>
        <v>#REF!</v>
      </c>
      <c r="T147" s="106" t="e">
        <f>VLOOKUP($C147,#REF!,19,0)</f>
        <v>#REF!</v>
      </c>
      <c r="U147" s="34"/>
      <c r="V147" s="105" t="e">
        <f>VLOOKUP($C147,#REF!,20,0)</f>
        <v>#REF!</v>
      </c>
      <c r="W147" s="34" t="e">
        <f>VLOOKUP($C147,#REF!,21,0)</f>
        <v>#REF!</v>
      </c>
      <c r="X147" s="105" t="e">
        <f>VLOOKUP($C147,#REF!,22,0)</f>
        <v>#REF!</v>
      </c>
      <c r="Y147" s="34" t="e">
        <f>VLOOKUP($C147,#REF!,23,0)</f>
        <v>#REF!</v>
      </c>
      <c r="Z147" s="105" t="e">
        <f>VLOOKUP($C147,#REF!,24,0)</f>
        <v>#REF!</v>
      </c>
      <c r="AA147" s="106" t="e">
        <f>VLOOKUP($C147,#REF!,25,0)</f>
        <v>#REF!</v>
      </c>
      <c r="AB147" s="34" t="e">
        <f>VLOOKUP($C147,#REF!,26,0)</f>
        <v>#REF!</v>
      </c>
      <c r="AC147" s="106" t="e">
        <f>VLOOKUP($C147,#REF!,27,0)</f>
        <v>#REF!</v>
      </c>
      <c r="AE147" s="105" t="e">
        <f t="shared" si="27"/>
        <v>#REF!</v>
      </c>
      <c r="AF147" s="107" t="s">
        <v>320</v>
      </c>
      <c r="AG147" s="107" t="s">
        <v>321</v>
      </c>
      <c r="AH147" s="106" t="s">
        <v>322</v>
      </c>
      <c r="AJ147" s="105" t="s">
        <v>323</v>
      </c>
      <c r="AK147" s="107" t="s">
        <v>324</v>
      </c>
      <c r="AL147" s="107" t="s">
        <v>325</v>
      </c>
      <c r="AM147" s="107" t="s">
        <v>326</v>
      </c>
      <c r="AN147" s="107" t="s">
        <v>326</v>
      </c>
      <c r="AO147" s="106" t="s">
        <v>320</v>
      </c>
      <c r="AQ147" s="108">
        <v>41</v>
      </c>
      <c r="AR147" s="5"/>
      <c r="AS147" s="105">
        <v>0</v>
      </c>
      <c r="AT147" s="106">
        <v>0</v>
      </c>
      <c r="AU147" s="34"/>
      <c r="AV147" s="105">
        <f t="shared" si="50"/>
        <v>0</v>
      </c>
      <c r="AW147" s="106">
        <f t="shared" si="51"/>
        <v>0</v>
      </c>
      <c r="AX147" s="105">
        <f t="shared" si="28"/>
        <v>0</v>
      </c>
      <c r="AY147" s="106">
        <f t="shared" si="29"/>
        <v>0</v>
      </c>
      <c r="AZ147" s="105">
        <f t="shared" si="30"/>
        <v>0</v>
      </c>
      <c r="BA147" s="106">
        <f t="shared" si="31"/>
        <v>0</v>
      </c>
      <c r="BB147" s="34">
        <f t="shared" si="32"/>
        <v>0</v>
      </c>
      <c r="BC147" s="106">
        <f t="shared" si="33"/>
        <v>0</v>
      </c>
      <c r="BD147" s="34"/>
      <c r="BE147" s="105">
        <f t="shared" si="34"/>
        <v>0</v>
      </c>
      <c r="BF147" s="106">
        <f t="shared" si="35"/>
        <v>0</v>
      </c>
      <c r="BG147" s="105">
        <f t="shared" si="36"/>
        <v>0</v>
      </c>
      <c r="BH147" s="106">
        <f t="shared" si="37"/>
        <v>0</v>
      </c>
      <c r="BI147" s="34">
        <f t="shared" si="38"/>
        <v>0</v>
      </c>
      <c r="BJ147" s="106">
        <f t="shared" si="39"/>
        <v>0</v>
      </c>
      <c r="BK147" s="34">
        <f t="shared" si="40"/>
        <v>0</v>
      </c>
      <c r="BL147" s="106">
        <f t="shared" si="41"/>
        <v>0</v>
      </c>
      <c r="BN147" s="108">
        <v>0</v>
      </c>
      <c r="BO147" s="5"/>
      <c r="BP147" s="105">
        <v>0</v>
      </c>
      <c r="BQ147" s="106">
        <v>0</v>
      </c>
      <c r="BR147" s="34"/>
      <c r="BS147" s="105">
        <v>0</v>
      </c>
      <c r="BT147" s="106">
        <v>0</v>
      </c>
      <c r="BU147" s="105">
        <v>0</v>
      </c>
      <c r="BV147" s="106">
        <v>0</v>
      </c>
      <c r="BW147" s="105">
        <v>0</v>
      </c>
      <c r="BX147" s="106">
        <v>0</v>
      </c>
      <c r="BY147" s="105">
        <v>0</v>
      </c>
      <c r="BZ147" s="106">
        <v>0</v>
      </c>
      <c r="CA147" s="34"/>
      <c r="CB147" s="105">
        <v>0</v>
      </c>
      <c r="CC147" s="106">
        <v>0</v>
      </c>
      <c r="CD147" s="105">
        <v>0</v>
      </c>
      <c r="CE147" s="106">
        <v>0</v>
      </c>
      <c r="CF147" s="105">
        <v>0</v>
      </c>
      <c r="CG147" s="106">
        <v>0</v>
      </c>
      <c r="CH147" s="105">
        <v>0</v>
      </c>
      <c r="CI147" s="106">
        <v>0</v>
      </c>
      <c r="CK147" s="78"/>
      <c r="CL147" s="5"/>
      <c r="CM147" s="38" t="str">
        <f t="shared" si="42"/>
        <v>-</v>
      </c>
      <c r="CN147" s="5"/>
      <c r="CO147" s="38" t="str">
        <f t="shared" si="43"/>
        <v>-</v>
      </c>
      <c r="CP147" s="38" t="str">
        <f t="shared" si="44"/>
        <v>-</v>
      </c>
      <c r="CQ147" s="38" t="str">
        <f t="shared" si="52"/>
        <v>-</v>
      </c>
      <c r="CR147" s="38" t="str">
        <f t="shared" si="52"/>
        <v>-</v>
      </c>
      <c r="CS147" s="5"/>
      <c r="CT147" s="38" t="str">
        <f t="shared" si="46"/>
        <v>-</v>
      </c>
      <c r="CU147" s="38" t="str">
        <f t="shared" si="47"/>
        <v>-</v>
      </c>
      <c r="CV147" s="38" t="str">
        <f t="shared" si="48"/>
        <v>-</v>
      </c>
      <c r="CW147" s="38" t="str">
        <f t="shared" si="49"/>
        <v>-</v>
      </c>
    </row>
    <row r="148" spans="2:101" s="113" customFormat="1" ht="12.75" customHeight="1">
      <c r="B148" s="99" t="s">
        <v>60</v>
      </c>
      <c r="C148" s="98" t="s">
        <v>305</v>
      </c>
      <c r="D148" s="114" t="e">
        <f>VLOOKUP($C148,#REF!,5,0)</f>
        <v>#REF!</v>
      </c>
      <c r="E148" s="115" t="e">
        <f>VLOOKUP($C148,#REF!,6,0)</f>
        <v>#REF!</v>
      </c>
      <c r="F148" s="98" t="e">
        <f>VLOOKUP($C148,#REF!,7,0)</f>
        <v>#REF!</v>
      </c>
      <c r="G148" s="98" t="e">
        <f>VLOOKUP($C148,#REF!,8,0)</f>
        <v>#REF!</v>
      </c>
      <c r="H148" s="116" t="e">
        <f>VLOOKUP($C148,#REF!,9,0)</f>
        <v>#REF!</v>
      </c>
      <c r="I148" s="5"/>
      <c r="J148" s="118" t="e">
        <f>VLOOKUP($C148,#REF!,10,0)</f>
        <v>#REF!</v>
      </c>
      <c r="K148" s="119" t="e">
        <f>VLOOKUP($C148,#REF!,11,0)</f>
        <v>#REF!</v>
      </c>
      <c r="L148" s="34"/>
      <c r="M148" s="118" t="e">
        <f>VLOOKUP($C148,#REF!,12,0)</f>
        <v>#REF!</v>
      </c>
      <c r="N148" s="120" t="e">
        <f>VLOOKUP($C148,#REF!,13,0)</f>
        <v>#REF!</v>
      </c>
      <c r="O148" s="118" t="e">
        <f>VLOOKUP($C148,#REF!,14,0)</f>
        <v>#REF!</v>
      </c>
      <c r="P148" s="120" t="e">
        <f>VLOOKUP($C148,#REF!,15,0)</f>
        <v>#REF!</v>
      </c>
      <c r="Q148" s="118" t="e">
        <f>VLOOKUP($C148,#REF!,16,0)</f>
        <v>#REF!</v>
      </c>
      <c r="R148" s="119" t="e">
        <f>VLOOKUP($C148,#REF!,17,0)</f>
        <v>#REF!</v>
      </c>
      <c r="S148" s="120" t="e">
        <f>VLOOKUP($C148,#REF!,18,0)</f>
        <v>#REF!</v>
      </c>
      <c r="T148" s="119" t="e">
        <f>VLOOKUP($C148,#REF!,19,0)</f>
        <v>#REF!</v>
      </c>
      <c r="U148" s="34"/>
      <c r="V148" s="118" t="e">
        <f>VLOOKUP($C148,#REF!,20,0)</f>
        <v>#REF!</v>
      </c>
      <c r="W148" s="120" t="e">
        <f>VLOOKUP($C148,#REF!,21,0)</f>
        <v>#REF!</v>
      </c>
      <c r="X148" s="118" t="e">
        <f>VLOOKUP($C148,#REF!,22,0)</f>
        <v>#REF!</v>
      </c>
      <c r="Y148" s="120" t="e">
        <f>VLOOKUP($C148,#REF!,23,0)</f>
        <v>#REF!</v>
      </c>
      <c r="Z148" s="118" t="e">
        <f>VLOOKUP($C148,#REF!,24,0)</f>
        <v>#REF!</v>
      </c>
      <c r="AA148" s="119" t="e">
        <f>VLOOKUP($C148,#REF!,25,0)</f>
        <v>#REF!</v>
      </c>
      <c r="AB148" s="120" t="e">
        <f>VLOOKUP($C148,#REF!,26,0)</f>
        <v>#REF!</v>
      </c>
      <c r="AC148" s="119" t="e">
        <f>VLOOKUP($C148,#REF!,27,0)</f>
        <v>#REF!</v>
      </c>
      <c r="AD148" s="4"/>
      <c r="AE148" s="118" t="e">
        <f t="shared" si="27"/>
        <v>#REF!</v>
      </c>
      <c r="AF148" s="121" t="s">
        <v>320</v>
      </c>
      <c r="AG148" s="121" t="s">
        <v>321</v>
      </c>
      <c r="AH148" s="119" t="s">
        <v>322</v>
      </c>
      <c r="AI148" s="4"/>
      <c r="AJ148" s="118" t="s">
        <v>323</v>
      </c>
      <c r="AK148" s="121" t="s">
        <v>324</v>
      </c>
      <c r="AL148" s="121" t="s">
        <v>325</v>
      </c>
      <c r="AM148" s="121" t="s">
        <v>326</v>
      </c>
      <c r="AN148" s="121" t="s">
        <v>326</v>
      </c>
      <c r="AO148" s="119" t="s">
        <v>320</v>
      </c>
      <c r="AP148" s="4"/>
      <c r="AQ148" s="122">
        <v>26</v>
      </c>
      <c r="AR148" s="5"/>
      <c r="AS148" s="118">
        <v>0</v>
      </c>
      <c r="AT148" s="119">
        <v>0</v>
      </c>
      <c r="AU148" s="34"/>
      <c r="AV148" s="118">
        <f t="shared" si="50"/>
        <v>0</v>
      </c>
      <c r="AW148" s="119">
        <f t="shared" si="51"/>
        <v>0</v>
      </c>
      <c r="AX148" s="118">
        <f t="shared" si="28"/>
        <v>0</v>
      </c>
      <c r="AY148" s="119">
        <f t="shared" si="29"/>
        <v>0</v>
      </c>
      <c r="AZ148" s="118">
        <f t="shared" si="30"/>
        <v>0</v>
      </c>
      <c r="BA148" s="119">
        <f t="shared" si="31"/>
        <v>0</v>
      </c>
      <c r="BB148" s="120">
        <f t="shared" si="32"/>
        <v>0</v>
      </c>
      <c r="BC148" s="119">
        <f t="shared" si="33"/>
        <v>0</v>
      </c>
      <c r="BD148" s="34"/>
      <c r="BE148" s="118">
        <f t="shared" si="34"/>
        <v>0</v>
      </c>
      <c r="BF148" s="119">
        <f t="shared" si="35"/>
        <v>0</v>
      </c>
      <c r="BG148" s="118">
        <f t="shared" si="36"/>
        <v>0</v>
      </c>
      <c r="BH148" s="119">
        <f t="shared" si="37"/>
        <v>0</v>
      </c>
      <c r="BI148" s="120">
        <f t="shared" si="38"/>
        <v>0</v>
      </c>
      <c r="BJ148" s="119">
        <f t="shared" si="39"/>
        <v>0</v>
      </c>
      <c r="BK148" s="120">
        <f t="shared" si="40"/>
        <v>0</v>
      </c>
      <c r="BL148" s="119">
        <f t="shared" si="41"/>
        <v>0</v>
      </c>
      <c r="BM148" s="4"/>
      <c r="BN148" s="122">
        <v>0</v>
      </c>
      <c r="BO148" s="117"/>
      <c r="BP148" s="118">
        <v>0</v>
      </c>
      <c r="BQ148" s="119">
        <v>0</v>
      </c>
      <c r="BR148" s="120"/>
      <c r="BS148" s="118">
        <v>0</v>
      </c>
      <c r="BT148" s="119">
        <v>0</v>
      </c>
      <c r="BU148" s="118">
        <v>0</v>
      </c>
      <c r="BV148" s="119">
        <v>0</v>
      </c>
      <c r="BW148" s="118">
        <v>0</v>
      </c>
      <c r="BX148" s="119">
        <v>0</v>
      </c>
      <c r="BY148" s="118">
        <v>0</v>
      </c>
      <c r="BZ148" s="119">
        <v>0</v>
      </c>
      <c r="CA148" s="120"/>
      <c r="CB148" s="118">
        <v>0</v>
      </c>
      <c r="CC148" s="119">
        <v>0</v>
      </c>
      <c r="CD148" s="118">
        <v>0</v>
      </c>
      <c r="CE148" s="119">
        <v>0</v>
      </c>
      <c r="CF148" s="118">
        <v>0</v>
      </c>
      <c r="CG148" s="119">
        <v>0</v>
      </c>
      <c r="CH148" s="118">
        <v>0</v>
      </c>
      <c r="CI148" s="119">
        <v>0</v>
      </c>
      <c r="CJ148" s="4"/>
      <c r="CK148" s="79"/>
      <c r="CL148" s="5"/>
      <c r="CM148" s="39" t="str">
        <f t="shared" si="42"/>
        <v>-</v>
      </c>
      <c r="CN148" s="5"/>
      <c r="CO148" s="39" t="str">
        <f t="shared" si="43"/>
        <v>-</v>
      </c>
      <c r="CP148" s="39" t="str">
        <f t="shared" si="44"/>
        <v>-</v>
      </c>
      <c r="CQ148" s="39" t="str">
        <f t="shared" si="52"/>
        <v>-</v>
      </c>
      <c r="CR148" s="39" t="str">
        <f t="shared" si="52"/>
        <v>-</v>
      </c>
      <c r="CS148" s="5"/>
      <c r="CT148" s="39" t="str">
        <f t="shared" si="46"/>
        <v>-</v>
      </c>
      <c r="CU148" s="39" t="str">
        <f t="shared" si="47"/>
        <v>-</v>
      </c>
      <c r="CV148" s="39" t="str">
        <f t="shared" si="48"/>
        <v>-</v>
      </c>
      <c r="CW148" s="39" t="str">
        <f t="shared" si="49"/>
        <v>-</v>
      </c>
    </row>
    <row r="149" spans="2:101" s="4" customFormat="1" ht="12.75" customHeight="1">
      <c r="B149" s="102" t="s">
        <v>60</v>
      </c>
      <c r="C149" s="103" t="s">
        <v>145</v>
      </c>
      <c r="D149" s="104" t="e">
        <f>VLOOKUP($C149,#REF!,5,0)</f>
        <v>#REF!</v>
      </c>
      <c r="E149" s="109" t="e">
        <f>VLOOKUP($C149,#REF!,6,0)</f>
        <v>#REF!</v>
      </c>
      <c r="F149" s="103" t="e">
        <f>VLOOKUP($C149,#REF!,7,0)</f>
        <v>#REF!</v>
      </c>
      <c r="G149" s="103" t="e">
        <f>VLOOKUP($C149,#REF!,8,0)</f>
        <v>#REF!</v>
      </c>
      <c r="H149" s="110" t="e">
        <f>VLOOKUP($C149,#REF!,9,0)</f>
        <v>#REF!</v>
      </c>
      <c r="I149" s="5"/>
      <c r="J149" s="105" t="e">
        <f>VLOOKUP($C149,#REF!,10,0)</f>
        <v>#REF!</v>
      </c>
      <c r="K149" s="106" t="e">
        <f>VLOOKUP($C149,#REF!,11,0)</f>
        <v>#REF!</v>
      </c>
      <c r="L149" s="34"/>
      <c r="M149" s="105" t="e">
        <f>VLOOKUP($C149,#REF!,12,0)</f>
        <v>#REF!</v>
      </c>
      <c r="N149" s="34" t="e">
        <f>VLOOKUP($C149,#REF!,13,0)</f>
        <v>#REF!</v>
      </c>
      <c r="O149" s="105" t="e">
        <f>VLOOKUP($C149,#REF!,14,0)</f>
        <v>#REF!</v>
      </c>
      <c r="P149" s="34" t="e">
        <f>VLOOKUP($C149,#REF!,15,0)</f>
        <v>#REF!</v>
      </c>
      <c r="Q149" s="105" t="e">
        <f>VLOOKUP($C149,#REF!,16,0)</f>
        <v>#REF!</v>
      </c>
      <c r="R149" s="106" t="e">
        <f>VLOOKUP($C149,#REF!,17,0)</f>
        <v>#REF!</v>
      </c>
      <c r="S149" s="34" t="e">
        <f>VLOOKUP($C149,#REF!,18,0)</f>
        <v>#REF!</v>
      </c>
      <c r="T149" s="106" t="e">
        <f>VLOOKUP($C149,#REF!,19,0)</f>
        <v>#REF!</v>
      </c>
      <c r="U149" s="34"/>
      <c r="V149" s="105" t="e">
        <f>VLOOKUP($C149,#REF!,20,0)</f>
        <v>#REF!</v>
      </c>
      <c r="W149" s="34" t="e">
        <f>VLOOKUP($C149,#REF!,21,0)</f>
        <v>#REF!</v>
      </c>
      <c r="X149" s="105" t="e">
        <f>VLOOKUP($C149,#REF!,22,0)</f>
        <v>#REF!</v>
      </c>
      <c r="Y149" s="34" t="e">
        <f>VLOOKUP($C149,#REF!,23,0)</f>
        <v>#REF!</v>
      </c>
      <c r="Z149" s="105" t="e">
        <f>VLOOKUP($C149,#REF!,24,0)</f>
        <v>#REF!</v>
      </c>
      <c r="AA149" s="106" t="e">
        <f>VLOOKUP($C149,#REF!,25,0)</f>
        <v>#REF!</v>
      </c>
      <c r="AB149" s="34" t="e">
        <f>VLOOKUP($C149,#REF!,26,0)</f>
        <v>#REF!</v>
      </c>
      <c r="AC149" s="106" t="e">
        <f>VLOOKUP($C149,#REF!,27,0)</f>
        <v>#REF!</v>
      </c>
      <c r="AE149" s="105" t="e">
        <f t="shared" si="27"/>
        <v>#REF!</v>
      </c>
      <c r="AF149" s="107" t="s">
        <v>320</v>
      </c>
      <c r="AG149" s="107" t="s">
        <v>321</v>
      </c>
      <c r="AH149" s="106" t="s">
        <v>322</v>
      </c>
      <c r="AJ149" s="105" t="s">
        <v>323</v>
      </c>
      <c r="AK149" s="107" t="s">
        <v>324</v>
      </c>
      <c r="AL149" s="107" t="s">
        <v>325</v>
      </c>
      <c r="AM149" s="107" t="s">
        <v>326</v>
      </c>
      <c r="AN149" s="107" t="s">
        <v>326</v>
      </c>
      <c r="AO149" s="106" t="s">
        <v>320</v>
      </c>
      <c r="AQ149" s="108">
        <v>140</v>
      </c>
      <c r="AR149" s="5"/>
      <c r="AS149" s="105">
        <v>0</v>
      </c>
      <c r="AT149" s="106">
        <v>0</v>
      </c>
      <c r="AU149" s="34"/>
      <c r="AV149" s="105">
        <f t="shared" si="50"/>
        <v>0</v>
      </c>
      <c r="AW149" s="106">
        <f t="shared" si="51"/>
        <v>0</v>
      </c>
      <c r="AX149" s="105">
        <f t="shared" si="28"/>
        <v>0</v>
      </c>
      <c r="AY149" s="106">
        <f t="shared" si="29"/>
        <v>0</v>
      </c>
      <c r="AZ149" s="105">
        <f t="shared" si="30"/>
        <v>0</v>
      </c>
      <c r="BA149" s="106">
        <f t="shared" si="31"/>
        <v>0</v>
      </c>
      <c r="BB149" s="34">
        <f t="shared" si="32"/>
        <v>0</v>
      </c>
      <c r="BC149" s="106">
        <f t="shared" si="33"/>
        <v>0</v>
      </c>
      <c r="BD149" s="34"/>
      <c r="BE149" s="105">
        <f t="shared" si="34"/>
        <v>0</v>
      </c>
      <c r="BF149" s="106">
        <f t="shared" si="35"/>
        <v>0</v>
      </c>
      <c r="BG149" s="105">
        <f t="shared" si="36"/>
        <v>0</v>
      </c>
      <c r="BH149" s="106">
        <f t="shared" si="37"/>
        <v>0</v>
      </c>
      <c r="BI149" s="34">
        <f t="shared" si="38"/>
        <v>0</v>
      </c>
      <c r="BJ149" s="106">
        <f t="shared" si="39"/>
        <v>0</v>
      </c>
      <c r="BK149" s="34">
        <f t="shared" si="40"/>
        <v>0</v>
      </c>
      <c r="BL149" s="106">
        <f t="shared" si="41"/>
        <v>0</v>
      </c>
      <c r="BN149" s="108">
        <v>0</v>
      </c>
      <c r="BO149" s="5"/>
      <c r="BP149" s="105">
        <v>0</v>
      </c>
      <c r="BQ149" s="106">
        <v>0</v>
      </c>
      <c r="BR149" s="34"/>
      <c r="BS149" s="105">
        <v>0</v>
      </c>
      <c r="BT149" s="106">
        <v>0</v>
      </c>
      <c r="BU149" s="105">
        <v>0</v>
      </c>
      <c r="BV149" s="106">
        <v>0</v>
      </c>
      <c r="BW149" s="105">
        <v>0</v>
      </c>
      <c r="BX149" s="106">
        <v>0</v>
      </c>
      <c r="BY149" s="105">
        <v>0</v>
      </c>
      <c r="BZ149" s="106">
        <v>0</v>
      </c>
      <c r="CA149" s="34"/>
      <c r="CB149" s="105">
        <v>0</v>
      </c>
      <c r="CC149" s="106">
        <v>0</v>
      </c>
      <c r="CD149" s="105">
        <v>0</v>
      </c>
      <c r="CE149" s="106">
        <v>0</v>
      </c>
      <c r="CF149" s="105">
        <v>0</v>
      </c>
      <c r="CG149" s="106">
        <v>0</v>
      </c>
      <c r="CH149" s="105">
        <v>0</v>
      </c>
      <c r="CI149" s="106">
        <v>0</v>
      </c>
      <c r="CK149" s="78"/>
      <c r="CL149" s="5"/>
      <c r="CM149" s="38" t="str">
        <f t="shared" si="42"/>
        <v>-</v>
      </c>
      <c r="CN149" s="5"/>
      <c r="CO149" s="38" t="str">
        <f t="shared" si="43"/>
        <v>-</v>
      </c>
      <c r="CP149" s="38" t="str">
        <f t="shared" si="44"/>
        <v>-</v>
      </c>
      <c r="CQ149" s="38" t="str">
        <f t="shared" si="52"/>
        <v>-</v>
      </c>
      <c r="CR149" s="38" t="str">
        <f t="shared" si="52"/>
        <v>-</v>
      </c>
      <c r="CS149" s="5"/>
      <c r="CT149" s="38" t="str">
        <f t="shared" si="46"/>
        <v>-</v>
      </c>
      <c r="CU149" s="38" t="str">
        <f t="shared" si="47"/>
        <v>-</v>
      </c>
      <c r="CV149" s="38" t="str">
        <f t="shared" si="48"/>
        <v>-</v>
      </c>
      <c r="CW149" s="38" t="str">
        <f t="shared" si="49"/>
        <v>-</v>
      </c>
    </row>
    <row r="150" spans="2:101" s="113" customFormat="1" ht="12.75" customHeight="1">
      <c r="B150" s="99" t="s">
        <v>60</v>
      </c>
      <c r="C150" s="98" t="s">
        <v>297</v>
      </c>
      <c r="D150" s="114" t="e">
        <f>VLOOKUP($C150,#REF!,5,0)</f>
        <v>#REF!</v>
      </c>
      <c r="E150" s="115" t="e">
        <f>VLOOKUP($C150,#REF!,6,0)</f>
        <v>#REF!</v>
      </c>
      <c r="F150" s="98" t="e">
        <f>VLOOKUP($C150,#REF!,7,0)</f>
        <v>#REF!</v>
      </c>
      <c r="G150" s="98" t="e">
        <f>VLOOKUP($C150,#REF!,8,0)</f>
        <v>#REF!</v>
      </c>
      <c r="H150" s="116" t="e">
        <f>VLOOKUP($C150,#REF!,9,0)</f>
        <v>#REF!</v>
      </c>
      <c r="I150" s="5"/>
      <c r="J150" s="118" t="e">
        <f>VLOOKUP($C150,#REF!,10,0)</f>
        <v>#REF!</v>
      </c>
      <c r="K150" s="119" t="e">
        <f>VLOOKUP($C150,#REF!,11,0)</f>
        <v>#REF!</v>
      </c>
      <c r="L150" s="34"/>
      <c r="M150" s="118" t="e">
        <f>VLOOKUP($C150,#REF!,12,0)</f>
        <v>#REF!</v>
      </c>
      <c r="N150" s="120" t="e">
        <f>VLOOKUP($C150,#REF!,13,0)</f>
        <v>#REF!</v>
      </c>
      <c r="O150" s="118" t="e">
        <f>VLOOKUP($C150,#REF!,14,0)</f>
        <v>#REF!</v>
      </c>
      <c r="P150" s="120" t="e">
        <f>VLOOKUP($C150,#REF!,15,0)</f>
        <v>#REF!</v>
      </c>
      <c r="Q150" s="118" t="e">
        <f>VLOOKUP($C150,#REF!,16,0)</f>
        <v>#REF!</v>
      </c>
      <c r="R150" s="119" t="e">
        <f>VLOOKUP($C150,#REF!,17,0)</f>
        <v>#REF!</v>
      </c>
      <c r="S150" s="120" t="e">
        <f>VLOOKUP($C150,#REF!,18,0)</f>
        <v>#REF!</v>
      </c>
      <c r="T150" s="119" t="e">
        <f>VLOOKUP($C150,#REF!,19,0)</f>
        <v>#REF!</v>
      </c>
      <c r="U150" s="34"/>
      <c r="V150" s="118" t="e">
        <f>VLOOKUP($C150,#REF!,20,0)</f>
        <v>#REF!</v>
      </c>
      <c r="W150" s="120" t="e">
        <f>VLOOKUP($C150,#REF!,21,0)</f>
        <v>#REF!</v>
      </c>
      <c r="X150" s="118" t="e">
        <f>VLOOKUP($C150,#REF!,22,0)</f>
        <v>#REF!</v>
      </c>
      <c r="Y150" s="120" t="e">
        <f>VLOOKUP($C150,#REF!,23,0)</f>
        <v>#REF!</v>
      </c>
      <c r="Z150" s="118" t="e">
        <f>VLOOKUP($C150,#REF!,24,0)</f>
        <v>#REF!</v>
      </c>
      <c r="AA150" s="119" t="e">
        <f>VLOOKUP($C150,#REF!,25,0)</f>
        <v>#REF!</v>
      </c>
      <c r="AB150" s="120" t="e">
        <f>VLOOKUP($C150,#REF!,26,0)</f>
        <v>#REF!</v>
      </c>
      <c r="AC150" s="119" t="e">
        <f>VLOOKUP($C150,#REF!,27,0)</f>
        <v>#REF!</v>
      </c>
      <c r="AD150" s="4"/>
      <c r="AE150" s="118" t="e">
        <f t="shared" si="27"/>
        <v>#REF!</v>
      </c>
      <c r="AF150" s="121" t="s">
        <v>320</v>
      </c>
      <c r="AG150" s="121" t="s">
        <v>321</v>
      </c>
      <c r="AH150" s="119" t="s">
        <v>322</v>
      </c>
      <c r="AI150" s="4"/>
      <c r="AJ150" s="118" t="s">
        <v>323</v>
      </c>
      <c r="AK150" s="121" t="s">
        <v>324</v>
      </c>
      <c r="AL150" s="121" t="s">
        <v>325</v>
      </c>
      <c r="AM150" s="121" t="s">
        <v>326</v>
      </c>
      <c r="AN150" s="121" t="s">
        <v>326</v>
      </c>
      <c r="AO150" s="119" t="s">
        <v>320</v>
      </c>
      <c r="AP150" s="4"/>
      <c r="AQ150" s="122">
        <v>108</v>
      </c>
      <c r="AR150" s="5"/>
      <c r="AS150" s="118">
        <v>0</v>
      </c>
      <c r="AT150" s="119">
        <v>0</v>
      </c>
      <c r="AU150" s="34"/>
      <c r="AV150" s="118">
        <f t="shared" si="50"/>
        <v>0</v>
      </c>
      <c r="AW150" s="119">
        <f t="shared" si="51"/>
        <v>0</v>
      </c>
      <c r="AX150" s="118">
        <f t="shared" si="28"/>
        <v>0</v>
      </c>
      <c r="AY150" s="119">
        <f t="shared" si="29"/>
        <v>0</v>
      </c>
      <c r="AZ150" s="118">
        <f t="shared" si="30"/>
        <v>0</v>
      </c>
      <c r="BA150" s="119">
        <f t="shared" si="31"/>
        <v>0</v>
      </c>
      <c r="BB150" s="120">
        <f t="shared" si="32"/>
        <v>0</v>
      </c>
      <c r="BC150" s="119">
        <f t="shared" si="33"/>
        <v>0</v>
      </c>
      <c r="BD150" s="34"/>
      <c r="BE150" s="118">
        <f t="shared" si="34"/>
        <v>0</v>
      </c>
      <c r="BF150" s="119">
        <f t="shared" si="35"/>
        <v>0</v>
      </c>
      <c r="BG150" s="118">
        <f t="shared" si="36"/>
        <v>0</v>
      </c>
      <c r="BH150" s="119">
        <f t="shared" si="37"/>
        <v>0</v>
      </c>
      <c r="BI150" s="120">
        <f t="shared" si="38"/>
        <v>0</v>
      </c>
      <c r="BJ150" s="119">
        <f t="shared" si="39"/>
        <v>0</v>
      </c>
      <c r="BK150" s="120">
        <f t="shared" si="40"/>
        <v>0</v>
      </c>
      <c r="BL150" s="119">
        <f t="shared" si="41"/>
        <v>0</v>
      </c>
      <c r="BM150" s="4"/>
      <c r="BN150" s="122">
        <v>-66.12</v>
      </c>
      <c r="BO150" s="117"/>
      <c r="BP150" s="118">
        <v>-66.12</v>
      </c>
      <c r="BQ150" s="119">
        <v>0</v>
      </c>
      <c r="BR150" s="120"/>
      <c r="BS150" s="118">
        <v>0</v>
      </c>
      <c r="BT150" s="119">
        <v>0</v>
      </c>
      <c r="BU150" s="118">
        <v>-10</v>
      </c>
      <c r="BV150" s="119">
        <v>-3</v>
      </c>
      <c r="BW150" s="118">
        <v>0</v>
      </c>
      <c r="BX150" s="119">
        <v>0</v>
      </c>
      <c r="BY150" s="118">
        <v>0</v>
      </c>
      <c r="BZ150" s="119">
        <v>0</v>
      </c>
      <c r="CA150" s="120"/>
      <c r="CB150" s="118">
        <v>0</v>
      </c>
      <c r="CC150" s="119">
        <v>0</v>
      </c>
      <c r="CD150" s="118">
        <v>-10</v>
      </c>
      <c r="CE150" s="119">
        <v>-3</v>
      </c>
      <c r="CF150" s="118">
        <v>0</v>
      </c>
      <c r="CG150" s="119">
        <v>0</v>
      </c>
      <c r="CH150" s="118">
        <v>0</v>
      </c>
      <c r="CI150" s="119">
        <v>0</v>
      </c>
      <c r="CJ150" s="4"/>
      <c r="CK150" s="79"/>
      <c r="CL150" s="5"/>
      <c r="CM150" s="39" t="str">
        <f t="shared" si="42"/>
        <v>-</v>
      </c>
      <c r="CN150" s="5"/>
      <c r="CO150" s="39" t="str">
        <f t="shared" si="43"/>
        <v>-</v>
      </c>
      <c r="CP150" s="39" t="str">
        <f t="shared" si="44"/>
        <v>-</v>
      </c>
      <c r="CQ150" s="39" t="str">
        <f t="shared" si="52"/>
        <v>-</v>
      </c>
      <c r="CR150" s="39" t="str">
        <f t="shared" si="52"/>
        <v>-</v>
      </c>
      <c r="CS150" s="5"/>
      <c r="CT150" s="39" t="str">
        <f t="shared" si="46"/>
        <v>-</v>
      </c>
      <c r="CU150" s="39" t="str">
        <f t="shared" si="47"/>
        <v>-</v>
      </c>
      <c r="CV150" s="39" t="str">
        <f t="shared" si="48"/>
        <v>-</v>
      </c>
      <c r="CW150" s="39" t="str">
        <f t="shared" si="49"/>
        <v>-</v>
      </c>
    </row>
    <row r="151" spans="2:101" s="4" customFormat="1" ht="12.75" customHeight="1">
      <c r="B151" s="102" t="s">
        <v>60</v>
      </c>
      <c r="C151" s="103" t="s">
        <v>114</v>
      </c>
      <c r="D151" s="104" t="e">
        <f>VLOOKUP($C151,#REF!,5,0)</f>
        <v>#REF!</v>
      </c>
      <c r="E151" s="109" t="e">
        <f>VLOOKUP($C151,#REF!,6,0)</f>
        <v>#REF!</v>
      </c>
      <c r="F151" s="103" t="e">
        <f>VLOOKUP($C151,#REF!,7,0)</f>
        <v>#REF!</v>
      </c>
      <c r="G151" s="103" t="e">
        <f>VLOOKUP($C151,#REF!,8,0)</f>
        <v>#REF!</v>
      </c>
      <c r="H151" s="110" t="e">
        <f>VLOOKUP($C151,#REF!,9,0)</f>
        <v>#REF!</v>
      </c>
      <c r="I151" s="5"/>
      <c r="J151" s="105" t="e">
        <f>VLOOKUP($C151,#REF!,10,0)</f>
        <v>#REF!</v>
      </c>
      <c r="K151" s="106" t="e">
        <f>VLOOKUP($C151,#REF!,11,0)</f>
        <v>#REF!</v>
      </c>
      <c r="L151" s="34"/>
      <c r="M151" s="105" t="e">
        <f>VLOOKUP($C151,#REF!,12,0)</f>
        <v>#REF!</v>
      </c>
      <c r="N151" s="34" t="e">
        <f>VLOOKUP($C151,#REF!,13,0)</f>
        <v>#REF!</v>
      </c>
      <c r="O151" s="105" t="e">
        <f>VLOOKUP($C151,#REF!,14,0)</f>
        <v>#REF!</v>
      </c>
      <c r="P151" s="34" t="e">
        <f>VLOOKUP($C151,#REF!,15,0)</f>
        <v>#REF!</v>
      </c>
      <c r="Q151" s="105" t="e">
        <f>VLOOKUP($C151,#REF!,16,0)</f>
        <v>#REF!</v>
      </c>
      <c r="R151" s="106" t="e">
        <f>VLOOKUP($C151,#REF!,17,0)</f>
        <v>#REF!</v>
      </c>
      <c r="S151" s="34" t="e">
        <f>VLOOKUP($C151,#REF!,18,0)</f>
        <v>#REF!</v>
      </c>
      <c r="T151" s="106" t="e">
        <f>VLOOKUP($C151,#REF!,19,0)</f>
        <v>#REF!</v>
      </c>
      <c r="U151" s="34"/>
      <c r="V151" s="105" t="e">
        <f>VLOOKUP($C151,#REF!,20,0)</f>
        <v>#REF!</v>
      </c>
      <c r="W151" s="34" t="e">
        <f>VLOOKUP($C151,#REF!,21,0)</f>
        <v>#REF!</v>
      </c>
      <c r="X151" s="105" t="e">
        <f>VLOOKUP($C151,#REF!,22,0)</f>
        <v>#REF!</v>
      </c>
      <c r="Y151" s="34" t="e">
        <f>VLOOKUP($C151,#REF!,23,0)</f>
        <v>#REF!</v>
      </c>
      <c r="Z151" s="105" t="e">
        <f>VLOOKUP($C151,#REF!,24,0)</f>
        <v>#REF!</v>
      </c>
      <c r="AA151" s="106" t="e">
        <f>VLOOKUP($C151,#REF!,25,0)</f>
        <v>#REF!</v>
      </c>
      <c r="AB151" s="34" t="e">
        <f>VLOOKUP($C151,#REF!,26,0)</f>
        <v>#REF!</v>
      </c>
      <c r="AC151" s="106" t="e">
        <f>VLOOKUP($C151,#REF!,27,0)</f>
        <v>#REF!</v>
      </c>
      <c r="AE151" s="105" t="e">
        <f t="shared" si="27"/>
        <v>#REF!</v>
      </c>
      <c r="AF151" s="107" t="s">
        <v>320</v>
      </c>
      <c r="AG151" s="107" t="s">
        <v>321</v>
      </c>
      <c r="AH151" s="106" t="s">
        <v>322</v>
      </c>
      <c r="AJ151" s="105" t="s">
        <v>323</v>
      </c>
      <c r="AK151" s="107" t="s">
        <v>324</v>
      </c>
      <c r="AL151" s="107" t="s">
        <v>325</v>
      </c>
      <c r="AM151" s="107" t="s">
        <v>326</v>
      </c>
      <c r="AN151" s="107" t="s">
        <v>326</v>
      </c>
      <c r="AO151" s="106" t="s">
        <v>320</v>
      </c>
      <c r="AQ151" s="108">
        <v>25</v>
      </c>
      <c r="AR151" s="5"/>
      <c r="AS151" s="105">
        <v>0</v>
      </c>
      <c r="AT151" s="106">
        <v>0</v>
      </c>
      <c r="AU151" s="34"/>
      <c r="AV151" s="105">
        <f t="shared" si="50"/>
        <v>0</v>
      </c>
      <c r="AW151" s="106">
        <f t="shared" si="51"/>
        <v>0</v>
      </c>
      <c r="AX151" s="105">
        <f t="shared" si="28"/>
        <v>0</v>
      </c>
      <c r="AY151" s="106">
        <f t="shared" si="29"/>
        <v>0</v>
      </c>
      <c r="AZ151" s="105">
        <f t="shared" si="30"/>
        <v>0</v>
      </c>
      <c r="BA151" s="106">
        <f t="shared" si="31"/>
        <v>0</v>
      </c>
      <c r="BB151" s="34">
        <f t="shared" si="32"/>
        <v>0</v>
      </c>
      <c r="BC151" s="106">
        <f t="shared" si="33"/>
        <v>0</v>
      </c>
      <c r="BD151" s="34"/>
      <c r="BE151" s="105">
        <f t="shared" si="34"/>
        <v>0</v>
      </c>
      <c r="BF151" s="106">
        <f t="shared" si="35"/>
        <v>0</v>
      </c>
      <c r="BG151" s="105">
        <f t="shared" si="36"/>
        <v>0</v>
      </c>
      <c r="BH151" s="106">
        <f t="shared" si="37"/>
        <v>0</v>
      </c>
      <c r="BI151" s="34">
        <f t="shared" si="38"/>
        <v>0</v>
      </c>
      <c r="BJ151" s="106">
        <f t="shared" si="39"/>
        <v>0</v>
      </c>
      <c r="BK151" s="34">
        <f t="shared" si="40"/>
        <v>0</v>
      </c>
      <c r="BL151" s="106">
        <f t="shared" si="41"/>
        <v>0</v>
      </c>
      <c r="BN151" s="108">
        <v>0</v>
      </c>
      <c r="BO151" s="5"/>
      <c r="BP151" s="105">
        <v>0</v>
      </c>
      <c r="BQ151" s="106">
        <v>0</v>
      </c>
      <c r="BR151" s="34"/>
      <c r="BS151" s="105">
        <v>0</v>
      </c>
      <c r="BT151" s="106">
        <v>0</v>
      </c>
      <c r="BU151" s="105">
        <v>0</v>
      </c>
      <c r="BV151" s="106">
        <v>0</v>
      </c>
      <c r="BW151" s="105">
        <v>0</v>
      </c>
      <c r="BX151" s="106">
        <v>0</v>
      </c>
      <c r="BY151" s="105">
        <v>0</v>
      </c>
      <c r="BZ151" s="106">
        <v>0</v>
      </c>
      <c r="CA151" s="34"/>
      <c r="CB151" s="105">
        <v>0</v>
      </c>
      <c r="CC151" s="106">
        <v>0</v>
      </c>
      <c r="CD151" s="105">
        <v>0</v>
      </c>
      <c r="CE151" s="106">
        <v>0</v>
      </c>
      <c r="CF151" s="105">
        <v>0</v>
      </c>
      <c r="CG151" s="106">
        <v>0</v>
      </c>
      <c r="CH151" s="105">
        <v>0</v>
      </c>
      <c r="CI151" s="106">
        <v>0</v>
      </c>
      <c r="CK151" s="78"/>
      <c r="CL151" s="5"/>
      <c r="CM151" s="38" t="str">
        <f t="shared" si="42"/>
        <v>-</v>
      </c>
      <c r="CN151" s="5"/>
      <c r="CO151" s="38" t="str">
        <f t="shared" si="43"/>
        <v>-</v>
      </c>
      <c r="CP151" s="38" t="str">
        <f t="shared" si="44"/>
        <v>-</v>
      </c>
      <c r="CQ151" s="38" t="str">
        <f t="shared" si="52"/>
        <v>-</v>
      </c>
      <c r="CR151" s="38" t="str">
        <f t="shared" si="52"/>
        <v>-</v>
      </c>
      <c r="CS151" s="5"/>
      <c r="CT151" s="38" t="str">
        <f t="shared" si="46"/>
        <v>-</v>
      </c>
      <c r="CU151" s="38" t="str">
        <f t="shared" si="47"/>
        <v>-</v>
      </c>
      <c r="CV151" s="38" t="str">
        <f t="shared" si="48"/>
        <v>-</v>
      </c>
      <c r="CW151" s="38" t="str">
        <f t="shared" si="49"/>
        <v>-</v>
      </c>
    </row>
    <row r="152" spans="2:101" s="113" customFormat="1" ht="12.75" customHeight="1">
      <c r="B152" s="99" t="s">
        <v>60</v>
      </c>
      <c r="C152" s="98" t="s">
        <v>246</v>
      </c>
      <c r="D152" s="114" t="e">
        <f>VLOOKUP($C152,#REF!,5,0)</f>
        <v>#REF!</v>
      </c>
      <c r="E152" s="115" t="e">
        <f>VLOOKUP($C152,#REF!,6,0)</f>
        <v>#REF!</v>
      </c>
      <c r="F152" s="98" t="e">
        <f>VLOOKUP($C152,#REF!,7,0)</f>
        <v>#REF!</v>
      </c>
      <c r="G152" s="98" t="e">
        <f>VLOOKUP($C152,#REF!,8,0)</f>
        <v>#REF!</v>
      </c>
      <c r="H152" s="116" t="e">
        <f>VLOOKUP($C152,#REF!,9,0)</f>
        <v>#REF!</v>
      </c>
      <c r="I152" s="5"/>
      <c r="J152" s="118" t="e">
        <f>VLOOKUP($C152,#REF!,10,0)</f>
        <v>#REF!</v>
      </c>
      <c r="K152" s="119" t="e">
        <f>VLOOKUP($C152,#REF!,11,0)</f>
        <v>#REF!</v>
      </c>
      <c r="L152" s="34"/>
      <c r="M152" s="118" t="e">
        <f>VLOOKUP($C152,#REF!,12,0)</f>
        <v>#REF!</v>
      </c>
      <c r="N152" s="120" t="e">
        <f>VLOOKUP($C152,#REF!,13,0)</f>
        <v>#REF!</v>
      </c>
      <c r="O152" s="118" t="e">
        <f>VLOOKUP($C152,#REF!,14,0)</f>
        <v>#REF!</v>
      </c>
      <c r="P152" s="120" t="e">
        <f>VLOOKUP($C152,#REF!,15,0)</f>
        <v>#REF!</v>
      </c>
      <c r="Q152" s="118" t="e">
        <f>VLOOKUP($C152,#REF!,16,0)</f>
        <v>#REF!</v>
      </c>
      <c r="R152" s="119" t="e">
        <f>VLOOKUP($C152,#REF!,17,0)</f>
        <v>#REF!</v>
      </c>
      <c r="S152" s="120" t="e">
        <f>VLOOKUP($C152,#REF!,18,0)</f>
        <v>#REF!</v>
      </c>
      <c r="T152" s="119" t="e">
        <f>VLOOKUP($C152,#REF!,19,0)</f>
        <v>#REF!</v>
      </c>
      <c r="U152" s="34"/>
      <c r="V152" s="118" t="e">
        <f>VLOOKUP($C152,#REF!,20,0)</f>
        <v>#REF!</v>
      </c>
      <c r="W152" s="120" t="e">
        <f>VLOOKUP($C152,#REF!,21,0)</f>
        <v>#REF!</v>
      </c>
      <c r="X152" s="118" t="e">
        <f>VLOOKUP($C152,#REF!,22,0)</f>
        <v>#REF!</v>
      </c>
      <c r="Y152" s="120" t="e">
        <f>VLOOKUP($C152,#REF!,23,0)</f>
        <v>#REF!</v>
      </c>
      <c r="Z152" s="118" t="e">
        <f>VLOOKUP($C152,#REF!,24,0)</f>
        <v>#REF!</v>
      </c>
      <c r="AA152" s="119" t="e">
        <f>VLOOKUP($C152,#REF!,25,0)</f>
        <v>#REF!</v>
      </c>
      <c r="AB152" s="120" t="e">
        <f>VLOOKUP($C152,#REF!,26,0)</f>
        <v>#REF!</v>
      </c>
      <c r="AC152" s="119" t="e">
        <f>VLOOKUP($C152,#REF!,27,0)</f>
        <v>#REF!</v>
      </c>
      <c r="AD152" s="4"/>
      <c r="AE152" s="118" t="e">
        <f t="shared" si="27"/>
        <v>#REF!</v>
      </c>
      <c r="AF152" s="121" t="s">
        <v>320</v>
      </c>
      <c r="AG152" s="121" t="s">
        <v>321</v>
      </c>
      <c r="AH152" s="119" t="s">
        <v>322</v>
      </c>
      <c r="AI152" s="4"/>
      <c r="AJ152" s="118" t="s">
        <v>323</v>
      </c>
      <c r="AK152" s="121" t="s">
        <v>324</v>
      </c>
      <c r="AL152" s="121" t="s">
        <v>325</v>
      </c>
      <c r="AM152" s="121" t="s">
        <v>326</v>
      </c>
      <c r="AN152" s="121" t="s">
        <v>326</v>
      </c>
      <c r="AO152" s="119" t="s">
        <v>320</v>
      </c>
      <c r="AP152" s="4"/>
      <c r="AQ152" s="122">
        <v>67</v>
      </c>
      <c r="AR152" s="5"/>
      <c r="AS152" s="118">
        <v>0</v>
      </c>
      <c r="AT152" s="119">
        <v>0</v>
      </c>
      <c r="AU152" s="34"/>
      <c r="AV152" s="118">
        <f t="shared" si="50"/>
        <v>0</v>
      </c>
      <c r="AW152" s="119">
        <f t="shared" si="51"/>
        <v>0</v>
      </c>
      <c r="AX152" s="118">
        <f t="shared" si="28"/>
        <v>0</v>
      </c>
      <c r="AY152" s="119">
        <f t="shared" si="29"/>
        <v>0</v>
      </c>
      <c r="AZ152" s="118">
        <f t="shared" si="30"/>
        <v>0</v>
      </c>
      <c r="BA152" s="119">
        <f t="shared" si="31"/>
        <v>0</v>
      </c>
      <c r="BB152" s="120">
        <f t="shared" si="32"/>
        <v>0</v>
      </c>
      <c r="BC152" s="119">
        <f t="shared" si="33"/>
        <v>0</v>
      </c>
      <c r="BD152" s="34"/>
      <c r="BE152" s="118">
        <f t="shared" si="34"/>
        <v>0</v>
      </c>
      <c r="BF152" s="119">
        <f t="shared" si="35"/>
        <v>0</v>
      </c>
      <c r="BG152" s="118">
        <f t="shared" si="36"/>
        <v>0</v>
      </c>
      <c r="BH152" s="119">
        <f t="shared" si="37"/>
        <v>0</v>
      </c>
      <c r="BI152" s="120">
        <f t="shared" si="38"/>
        <v>0</v>
      </c>
      <c r="BJ152" s="119">
        <f t="shared" si="39"/>
        <v>0</v>
      </c>
      <c r="BK152" s="120">
        <f t="shared" si="40"/>
        <v>0</v>
      </c>
      <c r="BL152" s="119">
        <f t="shared" si="41"/>
        <v>0</v>
      </c>
      <c r="BM152" s="4"/>
      <c r="BN152" s="122">
        <v>0</v>
      </c>
      <c r="BO152" s="117"/>
      <c r="BP152" s="118">
        <v>0</v>
      </c>
      <c r="BQ152" s="119">
        <v>0</v>
      </c>
      <c r="BR152" s="120"/>
      <c r="BS152" s="118">
        <v>0</v>
      </c>
      <c r="BT152" s="119">
        <v>0</v>
      </c>
      <c r="BU152" s="118">
        <v>0</v>
      </c>
      <c r="BV152" s="119">
        <v>0</v>
      </c>
      <c r="BW152" s="118">
        <v>0</v>
      </c>
      <c r="BX152" s="119">
        <v>0</v>
      </c>
      <c r="BY152" s="118">
        <v>0</v>
      </c>
      <c r="BZ152" s="119">
        <v>0</v>
      </c>
      <c r="CA152" s="120"/>
      <c r="CB152" s="118">
        <v>0</v>
      </c>
      <c r="CC152" s="119">
        <v>0</v>
      </c>
      <c r="CD152" s="118">
        <v>0</v>
      </c>
      <c r="CE152" s="119">
        <v>0</v>
      </c>
      <c r="CF152" s="118">
        <v>0</v>
      </c>
      <c r="CG152" s="119">
        <v>0</v>
      </c>
      <c r="CH152" s="118">
        <v>0</v>
      </c>
      <c r="CI152" s="119">
        <v>0</v>
      </c>
      <c r="CJ152" s="4"/>
      <c r="CK152" s="79"/>
      <c r="CL152" s="5"/>
      <c r="CM152" s="39" t="str">
        <f t="shared" si="42"/>
        <v>-</v>
      </c>
      <c r="CN152" s="5"/>
      <c r="CO152" s="39" t="str">
        <f t="shared" si="43"/>
        <v>-</v>
      </c>
      <c r="CP152" s="39" t="str">
        <f t="shared" si="44"/>
        <v>-</v>
      </c>
      <c r="CQ152" s="39" t="str">
        <f t="shared" si="52"/>
        <v>-</v>
      </c>
      <c r="CR152" s="39" t="str">
        <f t="shared" si="52"/>
        <v>-</v>
      </c>
      <c r="CS152" s="5"/>
      <c r="CT152" s="39" t="str">
        <f t="shared" si="46"/>
        <v>-</v>
      </c>
      <c r="CU152" s="39" t="str">
        <f t="shared" si="47"/>
        <v>-</v>
      </c>
      <c r="CV152" s="39" t="str">
        <f t="shared" si="48"/>
        <v>-</v>
      </c>
      <c r="CW152" s="39" t="str">
        <f t="shared" si="49"/>
        <v>-</v>
      </c>
    </row>
    <row r="153" spans="2:101" s="4" customFormat="1" ht="12.75" customHeight="1">
      <c r="B153" s="102" t="s">
        <v>60</v>
      </c>
      <c r="C153" s="103" t="s">
        <v>298</v>
      </c>
      <c r="D153" s="104" t="e">
        <f>VLOOKUP($C153,#REF!,5,0)</f>
        <v>#REF!</v>
      </c>
      <c r="E153" s="109" t="e">
        <f>VLOOKUP($C153,#REF!,6,0)</f>
        <v>#REF!</v>
      </c>
      <c r="F153" s="103" t="e">
        <f>VLOOKUP($C153,#REF!,7,0)</f>
        <v>#REF!</v>
      </c>
      <c r="G153" s="103" t="e">
        <f>VLOOKUP($C153,#REF!,8,0)</f>
        <v>#REF!</v>
      </c>
      <c r="H153" s="110" t="e">
        <f>VLOOKUP($C153,#REF!,9,0)</f>
        <v>#REF!</v>
      </c>
      <c r="I153" s="5"/>
      <c r="J153" s="105" t="e">
        <f>VLOOKUP($C153,#REF!,10,0)</f>
        <v>#REF!</v>
      </c>
      <c r="K153" s="106" t="e">
        <f>VLOOKUP($C153,#REF!,11,0)</f>
        <v>#REF!</v>
      </c>
      <c r="L153" s="34"/>
      <c r="M153" s="105" t="e">
        <f>VLOOKUP($C153,#REF!,12,0)</f>
        <v>#REF!</v>
      </c>
      <c r="N153" s="34" t="e">
        <f>VLOOKUP($C153,#REF!,13,0)</f>
        <v>#REF!</v>
      </c>
      <c r="O153" s="105" t="e">
        <f>VLOOKUP($C153,#REF!,14,0)</f>
        <v>#REF!</v>
      </c>
      <c r="P153" s="34" t="e">
        <f>VLOOKUP($C153,#REF!,15,0)</f>
        <v>#REF!</v>
      </c>
      <c r="Q153" s="105" t="e">
        <f>VLOOKUP($C153,#REF!,16,0)</f>
        <v>#REF!</v>
      </c>
      <c r="R153" s="106" t="e">
        <f>VLOOKUP($C153,#REF!,17,0)</f>
        <v>#REF!</v>
      </c>
      <c r="S153" s="34" t="e">
        <f>VLOOKUP($C153,#REF!,18,0)</f>
        <v>#REF!</v>
      </c>
      <c r="T153" s="106" t="e">
        <f>VLOOKUP($C153,#REF!,19,0)</f>
        <v>#REF!</v>
      </c>
      <c r="U153" s="34"/>
      <c r="V153" s="105" t="e">
        <f>VLOOKUP($C153,#REF!,20,0)</f>
        <v>#REF!</v>
      </c>
      <c r="W153" s="34" t="e">
        <f>VLOOKUP($C153,#REF!,21,0)</f>
        <v>#REF!</v>
      </c>
      <c r="X153" s="105" t="e">
        <f>VLOOKUP($C153,#REF!,22,0)</f>
        <v>#REF!</v>
      </c>
      <c r="Y153" s="34" t="e">
        <f>VLOOKUP($C153,#REF!,23,0)</f>
        <v>#REF!</v>
      </c>
      <c r="Z153" s="105" t="e">
        <f>VLOOKUP($C153,#REF!,24,0)</f>
        <v>#REF!</v>
      </c>
      <c r="AA153" s="106" t="e">
        <f>VLOOKUP($C153,#REF!,25,0)</f>
        <v>#REF!</v>
      </c>
      <c r="AB153" s="34" t="e">
        <f>VLOOKUP($C153,#REF!,26,0)</f>
        <v>#REF!</v>
      </c>
      <c r="AC153" s="106" t="e">
        <f>VLOOKUP($C153,#REF!,27,0)</f>
        <v>#REF!</v>
      </c>
      <c r="AE153" s="105" t="e">
        <f t="shared" si="27"/>
        <v>#REF!</v>
      </c>
      <c r="AF153" s="107" t="s">
        <v>320</v>
      </c>
      <c r="AG153" s="107" t="s">
        <v>321</v>
      </c>
      <c r="AH153" s="106" t="s">
        <v>322</v>
      </c>
      <c r="AJ153" s="105" t="s">
        <v>323</v>
      </c>
      <c r="AK153" s="107" t="s">
        <v>324</v>
      </c>
      <c r="AL153" s="107" t="s">
        <v>325</v>
      </c>
      <c r="AM153" s="107" t="s">
        <v>326</v>
      </c>
      <c r="AN153" s="107" t="s">
        <v>326</v>
      </c>
      <c r="AO153" s="106" t="s">
        <v>320</v>
      </c>
      <c r="AQ153" s="108">
        <v>58</v>
      </c>
      <c r="AR153" s="5"/>
      <c r="AS153" s="105">
        <v>0</v>
      </c>
      <c r="AT153" s="106">
        <v>0</v>
      </c>
      <c r="AU153" s="34"/>
      <c r="AV153" s="105">
        <f t="shared" si="50"/>
        <v>0</v>
      </c>
      <c r="AW153" s="106">
        <f t="shared" si="51"/>
        <v>0</v>
      </c>
      <c r="AX153" s="105">
        <f t="shared" si="28"/>
        <v>0</v>
      </c>
      <c r="AY153" s="106">
        <f t="shared" si="29"/>
        <v>0</v>
      </c>
      <c r="AZ153" s="105">
        <f t="shared" si="30"/>
        <v>0</v>
      </c>
      <c r="BA153" s="106">
        <f t="shared" si="31"/>
        <v>0</v>
      </c>
      <c r="BB153" s="34">
        <f t="shared" si="32"/>
        <v>0</v>
      </c>
      <c r="BC153" s="106">
        <f t="shared" si="33"/>
        <v>0</v>
      </c>
      <c r="BD153" s="34"/>
      <c r="BE153" s="105">
        <f t="shared" si="34"/>
        <v>0</v>
      </c>
      <c r="BF153" s="106">
        <f t="shared" si="35"/>
        <v>0</v>
      </c>
      <c r="BG153" s="105">
        <f t="shared" si="36"/>
        <v>0</v>
      </c>
      <c r="BH153" s="106">
        <f t="shared" si="37"/>
        <v>0</v>
      </c>
      <c r="BI153" s="34">
        <f t="shared" si="38"/>
        <v>0</v>
      </c>
      <c r="BJ153" s="106">
        <f t="shared" si="39"/>
        <v>0</v>
      </c>
      <c r="BK153" s="34">
        <f t="shared" si="40"/>
        <v>0</v>
      </c>
      <c r="BL153" s="106">
        <f t="shared" si="41"/>
        <v>0</v>
      </c>
      <c r="BN153" s="108">
        <v>0</v>
      </c>
      <c r="BO153" s="5"/>
      <c r="BP153" s="105">
        <v>0</v>
      </c>
      <c r="BQ153" s="106">
        <v>0</v>
      </c>
      <c r="BR153" s="34"/>
      <c r="BS153" s="105">
        <v>0</v>
      </c>
      <c r="BT153" s="106">
        <v>0</v>
      </c>
      <c r="BU153" s="105">
        <v>0</v>
      </c>
      <c r="BV153" s="106">
        <v>0</v>
      </c>
      <c r="BW153" s="105">
        <v>0</v>
      </c>
      <c r="BX153" s="106">
        <v>0</v>
      </c>
      <c r="BY153" s="105">
        <v>0</v>
      </c>
      <c r="BZ153" s="106">
        <v>0</v>
      </c>
      <c r="CA153" s="34"/>
      <c r="CB153" s="105">
        <v>0</v>
      </c>
      <c r="CC153" s="106">
        <v>0</v>
      </c>
      <c r="CD153" s="105">
        <v>0</v>
      </c>
      <c r="CE153" s="106">
        <v>0</v>
      </c>
      <c r="CF153" s="105">
        <v>0</v>
      </c>
      <c r="CG153" s="106">
        <v>0</v>
      </c>
      <c r="CH153" s="105">
        <v>0</v>
      </c>
      <c r="CI153" s="106">
        <v>0</v>
      </c>
      <c r="CK153" s="78"/>
      <c r="CL153" s="5"/>
      <c r="CM153" s="38" t="str">
        <f t="shared" si="42"/>
        <v>-</v>
      </c>
      <c r="CN153" s="5"/>
      <c r="CO153" s="38" t="str">
        <f t="shared" si="43"/>
        <v>-</v>
      </c>
      <c r="CP153" s="38" t="str">
        <f t="shared" si="44"/>
        <v>-</v>
      </c>
      <c r="CQ153" s="38" t="str">
        <f t="shared" si="52"/>
        <v>-</v>
      </c>
      <c r="CR153" s="38" t="str">
        <f t="shared" si="52"/>
        <v>-</v>
      </c>
      <c r="CS153" s="5"/>
      <c r="CT153" s="38" t="str">
        <f t="shared" si="46"/>
        <v>-</v>
      </c>
      <c r="CU153" s="38" t="str">
        <f t="shared" si="47"/>
        <v>-</v>
      </c>
      <c r="CV153" s="38" t="str">
        <f t="shared" si="48"/>
        <v>-</v>
      </c>
      <c r="CW153" s="38" t="str">
        <f t="shared" si="49"/>
        <v>-</v>
      </c>
    </row>
    <row r="154" spans="2:101" s="113" customFormat="1" ht="12.75" customHeight="1">
      <c r="B154" s="99" t="s">
        <v>60</v>
      </c>
      <c r="C154" s="98" t="s">
        <v>115</v>
      </c>
      <c r="D154" s="114" t="e">
        <f>VLOOKUP($C154,#REF!,5,0)</f>
        <v>#REF!</v>
      </c>
      <c r="E154" s="115" t="e">
        <f>VLOOKUP($C154,#REF!,6,0)</f>
        <v>#REF!</v>
      </c>
      <c r="F154" s="98" t="e">
        <f>VLOOKUP($C154,#REF!,7,0)</f>
        <v>#REF!</v>
      </c>
      <c r="G154" s="98" t="e">
        <f>VLOOKUP($C154,#REF!,8,0)</f>
        <v>#REF!</v>
      </c>
      <c r="H154" s="116" t="e">
        <f>VLOOKUP($C154,#REF!,9,0)</f>
        <v>#REF!</v>
      </c>
      <c r="I154" s="5"/>
      <c r="J154" s="118" t="e">
        <f>VLOOKUP($C154,#REF!,10,0)</f>
        <v>#REF!</v>
      </c>
      <c r="K154" s="119" t="e">
        <f>VLOOKUP($C154,#REF!,11,0)</f>
        <v>#REF!</v>
      </c>
      <c r="L154" s="34"/>
      <c r="M154" s="118" t="e">
        <f>VLOOKUP($C154,#REF!,12,0)</f>
        <v>#REF!</v>
      </c>
      <c r="N154" s="120" t="e">
        <f>VLOOKUP($C154,#REF!,13,0)</f>
        <v>#REF!</v>
      </c>
      <c r="O154" s="118" t="e">
        <f>VLOOKUP($C154,#REF!,14,0)</f>
        <v>#REF!</v>
      </c>
      <c r="P154" s="120" t="e">
        <f>VLOOKUP($C154,#REF!,15,0)</f>
        <v>#REF!</v>
      </c>
      <c r="Q154" s="118" t="e">
        <f>VLOOKUP($C154,#REF!,16,0)</f>
        <v>#REF!</v>
      </c>
      <c r="R154" s="119" t="e">
        <f>VLOOKUP($C154,#REF!,17,0)</f>
        <v>#REF!</v>
      </c>
      <c r="S154" s="120" t="e">
        <f>VLOOKUP($C154,#REF!,18,0)</f>
        <v>#REF!</v>
      </c>
      <c r="T154" s="119" t="e">
        <f>VLOOKUP($C154,#REF!,19,0)</f>
        <v>#REF!</v>
      </c>
      <c r="U154" s="34"/>
      <c r="V154" s="118" t="e">
        <f>VLOOKUP($C154,#REF!,20,0)</f>
        <v>#REF!</v>
      </c>
      <c r="W154" s="120" t="e">
        <f>VLOOKUP($C154,#REF!,21,0)</f>
        <v>#REF!</v>
      </c>
      <c r="X154" s="118" t="e">
        <f>VLOOKUP($C154,#REF!,22,0)</f>
        <v>#REF!</v>
      </c>
      <c r="Y154" s="120" t="e">
        <f>VLOOKUP($C154,#REF!,23,0)</f>
        <v>#REF!</v>
      </c>
      <c r="Z154" s="118" t="e">
        <f>VLOOKUP($C154,#REF!,24,0)</f>
        <v>#REF!</v>
      </c>
      <c r="AA154" s="119" t="e">
        <f>VLOOKUP($C154,#REF!,25,0)</f>
        <v>#REF!</v>
      </c>
      <c r="AB154" s="120" t="e">
        <f>VLOOKUP($C154,#REF!,26,0)</f>
        <v>#REF!</v>
      </c>
      <c r="AC154" s="119" t="e">
        <f>VLOOKUP($C154,#REF!,27,0)</f>
        <v>#REF!</v>
      </c>
      <c r="AD154" s="4"/>
      <c r="AE154" s="118" t="e">
        <f t="shared" si="27"/>
        <v>#REF!</v>
      </c>
      <c r="AF154" s="121" t="s">
        <v>320</v>
      </c>
      <c r="AG154" s="121" t="s">
        <v>321</v>
      </c>
      <c r="AH154" s="119" t="s">
        <v>322</v>
      </c>
      <c r="AI154" s="4"/>
      <c r="AJ154" s="118" t="s">
        <v>323</v>
      </c>
      <c r="AK154" s="121" t="s">
        <v>324</v>
      </c>
      <c r="AL154" s="121" t="s">
        <v>325</v>
      </c>
      <c r="AM154" s="121" t="s">
        <v>326</v>
      </c>
      <c r="AN154" s="121" t="s">
        <v>326</v>
      </c>
      <c r="AO154" s="119" t="s">
        <v>320</v>
      </c>
      <c r="AP154" s="4"/>
      <c r="AQ154" s="122">
        <v>272</v>
      </c>
      <c r="AR154" s="5"/>
      <c r="AS154" s="118">
        <v>0</v>
      </c>
      <c r="AT154" s="119">
        <v>0</v>
      </c>
      <c r="AU154" s="34"/>
      <c r="AV154" s="118">
        <f t="shared" si="50"/>
        <v>0</v>
      </c>
      <c r="AW154" s="119">
        <f t="shared" si="51"/>
        <v>0</v>
      </c>
      <c r="AX154" s="118">
        <f t="shared" si="28"/>
        <v>0</v>
      </c>
      <c r="AY154" s="119">
        <f t="shared" si="29"/>
        <v>0</v>
      </c>
      <c r="AZ154" s="118">
        <f t="shared" si="30"/>
        <v>0</v>
      </c>
      <c r="BA154" s="119">
        <f t="shared" si="31"/>
        <v>0</v>
      </c>
      <c r="BB154" s="120">
        <f t="shared" si="32"/>
        <v>0</v>
      </c>
      <c r="BC154" s="119">
        <f t="shared" si="33"/>
        <v>0</v>
      </c>
      <c r="BD154" s="34"/>
      <c r="BE154" s="118">
        <f t="shared" si="34"/>
        <v>0</v>
      </c>
      <c r="BF154" s="119">
        <f t="shared" si="35"/>
        <v>0</v>
      </c>
      <c r="BG154" s="118">
        <f t="shared" si="36"/>
        <v>0</v>
      </c>
      <c r="BH154" s="119">
        <f t="shared" si="37"/>
        <v>0</v>
      </c>
      <c r="BI154" s="120">
        <f t="shared" si="38"/>
        <v>0</v>
      </c>
      <c r="BJ154" s="119">
        <f t="shared" si="39"/>
        <v>0</v>
      </c>
      <c r="BK154" s="120">
        <f t="shared" si="40"/>
        <v>0</v>
      </c>
      <c r="BL154" s="119">
        <f t="shared" si="41"/>
        <v>0</v>
      </c>
      <c r="BM154" s="4"/>
      <c r="BN154" s="122">
        <v>0</v>
      </c>
      <c r="BO154" s="117"/>
      <c r="BP154" s="118">
        <v>0</v>
      </c>
      <c r="BQ154" s="119">
        <v>0</v>
      </c>
      <c r="BR154" s="120"/>
      <c r="BS154" s="118">
        <v>0</v>
      </c>
      <c r="BT154" s="119">
        <v>0</v>
      </c>
      <c r="BU154" s="118">
        <v>0</v>
      </c>
      <c r="BV154" s="119">
        <v>0</v>
      </c>
      <c r="BW154" s="118">
        <v>0</v>
      </c>
      <c r="BX154" s="119">
        <v>0</v>
      </c>
      <c r="BY154" s="118">
        <v>0</v>
      </c>
      <c r="BZ154" s="119">
        <v>0</v>
      </c>
      <c r="CA154" s="120"/>
      <c r="CB154" s="118">
        <v>0</v>
      </c>
      <c r="CC154" s="119">
        <v>0</v>
      </c>
      <c r="CD154" s="118">
        <v>0</v>
      </c>
      <c r="CE154" s="119">
        <v>0</v>
      </c>
      <c r="CF154" s="118">
        <v>0</v>
      </c>
      <c r="CG154" s="119">
        <v>0</v>
      </c>
      <c r="CH154" s="118">
        <v>0</v>
      </c>
      <c r="CI154" s="119">
        <v>0</v>
      </c>
      <c r="CJ154" s="4"/>
      <c r="CK154" s="79"/>
      <c r="CL154" s="5"/>
      <c r="CM154" s="39" t="str">
        <f t="shared" si="42"/>
        <v>-</v>
      </c>
      <c r="CN154" s="5"/>
      <c r="CO154" s="39" t="str">
        <f t="shared" si="43"/>
        <v>-</v>
      </c>
      <c r="CP154" s="39" t="str">
        <f t="shared" si="44"/>
        <v>-</v>
      </c>
      <c r="CQ154" s="39" t="str">
        <f t="shared" si="52"/>
        <v>-</v>
      </c>
      <c r="CR154" s="39" t="str">
        <f t="shared" si="52"/>
        <v>-</v>
      </c>
      <c r="CS154" s="5"/>
      <c r="CT154" s="39" t="str">
        <f t="shared" si="46"/>
        <v>-</v>
      </c>
      <c r="CU154" s="39" t="str">
        <f t="shared" si="47"/>
        <v>-</v>
      </c>
      <c r="CV154" s="39" t="str">
        <f t="shared" si="48"/>
        <v>-</v>
      </c>
      <c r="CW154" s="39" t="str">
        <f t="shared" si="49"/>
        <v>-</v>
      </c>
    </row>
    <row r="155" spans="2:101" s="4" customFormat="1" ht="12.75" customHeight="1">
      <c r="B155" s="102" t="s">
        <v>60</v>
      </c>
      <c r="C155" s="103" t="s">
        <v>260</v>
      </c>
      <c r="D155" s="104" t="e">
        <f>VLOOKUP($C155,#REF!,5,0)</f>
        <v>#REF!</v>
      </c>
      <c r="E155" s="109" t="e">
        <f>VLOOKUP($C155,#REF!,6,0)</f>
        <v>#REF!</v>
      </c>
      <c r="F155" s="103" t="e">
        <f>VLOOKUP($C155,#REF!,7,0)</f>
        <v>#REF!</v>
      </c>
      <c r="G155" s="103" t="e">
        <f>VLOOKUP($C155,#REF!,8,0)</f>
        <v>#REF!</v>
      </c>
      <c r="H155" s="110" t="e">
        <f>VLOOKUP($C155,#REF!,9,0)</f>
        <v>#REF!</v>
      </c>
      <c r="I155" s="5"/>
      <c r="J155" s="105" t="e">
        <f>VLOOKUP($C155,#REF!,10,0)</f>
        <v>#REF!</v>
      </c>
      <c r="K155" s="106" t="e">
        <f>VLOOKUP($C155,#REF!,11,0)</f>
        <v>#REF!</v>
      </c>
      <c r="L155" s="34"/>
      <c r="M155" s="105" t="e">
        <f>VLOOKUP($C155,#REF!,12,0)</f>
        <v>#REF!</v>
      </c>
      <c r="N155" s="34" t="e">
        <f>VLOOKUP($C155,#REF!,13,0)</f>
        <v>#REF!</v>
      </c>
      <c r="O155" s="105" t="e">
        <f>VLOOKUP($C155,#REF!,14,0)</f>
        <v>#REF!</v>
      </c>
      <c r="P155" s="34" t="e">
        <f>VLOOKUP($C155,#REF!,15,0)</f>
        <v>#REF!</v>
      </c>
      <c r="Q155" s="105" t="e">
        <f>VLOOKUP($C155,#REF!,16,0)</f>
        <v>#REF!</v>
      </c>
      <c r="R155" s="106" t="e">
        <f>VLOOKUP($C155,#REF!,17,0)</f>
        <v>#REF!</v>
      </c>
      <c r="S155" s="34" t="e">
        <f>VLOOKUP($C155,#REF!,18,0)</f>
        <v>#REF!</v>
      </c>
      <c r="T155" s="106" t="e">
        <f>VLOOKUP($C155,#REF!,19,0)</f>
        <v>#REF!</v>
      </c>
      <c r="U155" s="34"/>
      <c r="V155" s="105" t="e">
        <f>VLOOKUP($C155,#REF!,20,0)</f>
        <v>#REF!</v>
      </c>
      <c r="W155" s="34" t="e">
        <f>VLOOKUP($C155,#REF!,21,0)</f>
        <v>#REF!</v>
      </c>
      <c r="X155" s="105" t="e">
        <f>VLOOKUP($C155,#REF!,22,0)</f>
        <v>#REF!</v>
      </c>
      <c r="Y155" s="34" t="e">
        <f>VLOOKUP($C155,#REF!,23,0)</f>
        <v>#REF!</v>
      </c>
      <c r="Z155" s="105" t="e">
        <f>VLOOKUP($C155,#REF!,24,0)</f>
        <v>#REF!</v>
      </c>
      <c r="AA155" s="106" t="e">
        <f>VLOOKUP($C155,#REF!,25,0)</f>
        <v>#REF!</v>
      </c>
      <c r="AB155" s="34" t="e">
        <f>VLOOKUP($C155,#REF!,26,0)</f>
        <v>#REF!</v>
      </c>
      <c r="AC155" s="106" t="e">
        <f>VLOOKUP($C155,#REF!,27,0)</f>
        <v>#REF!</v>
      </c>
      <c r="AE155" s="105" t="e">
        <f t="shared" si="27"/>
        <v>#REF!</v>
      </c>
      <c r="AF155" s="107" t="s">
        <v>320</v>
      </c>
      <c r="AG155" s="107" t="s">
        <v>321</v>
      </c>
      <c r="AH155" s="106" t="s">
        <v>322</v>
      </c>
      <c r="AJ155" s="105" t="s">
        <v>323</v>
      </c>
      <c r="AK155" s="107" t="s">
        <v>324</v>
      </c>
      <c r="AL155" s="107" t="s">
        <v>325</v>
      </c>
      <c r="AM155" s="107" t="s">
        <v>326</v>
      </c>
      <c r="AN155" s="107" t="s">
        <v>326</v>
      </c>
      <c r="AO155" s="106" t="s">
        <v>320</v>
      </c>
      <c r="AQ155" s="108">
        <v>331</v>
      </c>
      <c r="AR155" s="5"/>
      <c r="AS155" s="105">
        <v>0</v>
      </c>
      <c r="AT155" s="106">
        <v>0</v>
      </c>
      <c r="AU155" s="34"/>
      <c r="AV155" s="105">
        <f t="shared" si="50"/>
        <v>0</v>
      </c>
      <c r="AW155" s="106">
        <f t="shared" si="51"/>
        <v>0</v>
      </c>
      <c r="AX155" s="105">
        <f t="shared" si="28"/>
        <v>0</v>
      </c>
      <c r="AY155" s="106">
        <f t="shared" si="29"/>
        <v>0</v>
      </c>
      <c r="AZ155" s="105">
        <f t="shared" si="30"/>
        <v>0</v>
      </c>
      <c r="BA155" s="106">
        <f t="shared" si="31"/>
        <v>0</v>
      </c>
      <c r="BB155" s="34">
        <f t="shared" si="32"/>
        <v>0</v>
      </c>
      <c r="BC155" s="106">
        <f t="shared" si="33"/>
        <v>0</v>
      </c>
      <c r="BD155" s="34"/>
      <c r="BE155" s="105">
        <f t="shared" si="34"/>
        <v>0</v>
      </c>
      <c r="BF155" s="106">
        <f t="shared" si="35"/>
        <v>0</v>
      </c>
      <c r="BG155" s="105">
        <f t="shared" si="36"/>
        <v>0</v>
      </c>
      <c r="BH155" s="106">
        <f t="shared" si="37"/>
        <v>0</v>
      </c>
      <c r="BI155" s="34">
        <f t="shared" si="38"/>
        <v>0</v>
      </c>
      <c r="BJ155" s="106">
        <f t="shared" si="39"/>
        <v>0</v>
      </c>
      <c r="BK155" s="34">
        <f t="shared" si="40"/>
        <v>0</v>
      </c>
      <c r="BL155" s="106">
        <f t="shared" si="41"/>
        <v>0</v>
      </c>
      <c r="BN155" s="108">
        <v>0</v>
      </c>
      <c r="BO155" s="5"/>
      <c r="BP155" s="105">
        <v>0</v>
      </c>
      <c r="BQ155" s="106">
        <v>0</v>
      </c>
      <c r="BR155" s="34"/>
      <c r="BS155" s="105">
        <v>0</v>
      </c>
      <c r="BT155" s="106">
        <v>0</v>
      </c>
      <c r="BU155" s="105">
        <v>0</v>
      </c>
      <c r="BV155" s="106">
        <v>0</v>
      </c>
      <c r="BW155" s="105">
        <v>0</v>
      </c>
      <c r="BX155" s="106">
        <v>0</v>
      </c>
      <c r="BY155" s="105">
        <v>0</v>
      </c>
      <c r="BZ155" s="106">
        <v>0</v>
      </c>
      <c r="CA155" s="34"/>
      <c r="CB155" s="105">
        <v>0</v>
      </c>
      <c r="CC155" s="106">
        <v>0</v>
      </c>
      <c r="CD155" s="105">
        <v>0</v>
      </c>
      <c r="CE155" s="106">
        <v>0</v>
      </c>
      <c r="CF155" s="105">
        <v>0</v>
      </c>
      <c r="CG155" s="106">
        <v>0</v>
      </c>
      <c r="CH155" s="105">
        <v>0</v>
      </c>
      <c r="CI155" s="106">
        <v>0</v>
      </c>
      <c r="CK155" s="78"/>
      <c r="CL155" s="5"/>
      <c r="CM155" s="38" t="str">
        <f t="shared" si="42"/>
        <v>-</v>
      </c>
      <c r="CN155" s="5"/>
      <c r="CO155" s="38" t="str">
        <f t="shared" si="43"/>
        <v>-</v>
      </c>
      <c r="CP155" s="38" t="str">
        <f t="shared" si="44"/>
        <v>-</v>
      </c>
      <c r="CQ155" s="38" t="str">
        <f t="shared" si="52"/>
        <v>-</v>
      </c>
      <c r="CR155" s="38" t="str">
        <f t="shared" si="52"/>
        <v>-</v>
      </c>
      <c r="CS155" s="5"/>
      <c r="CT155" s="38" t="str">
        <f t="shared" si="46"/>
        <v>-</v>
      </c>
      <c r="CU155" s="38" t="str">
        <f t="shared" si="47"/>
        <v>-</v>
      </c>
      <c r="CV155" s="38" t="str">
        <f t="shared" si="48"/>
        <v>-</v>
      </c>
      <c r="CW155" s="38" t="str">
        <f t="shared" si="49"/>
        <v>-</v>
      </c>
    </row>
    <row r="156" spans="2:101" s="113" customFormat="1" ht="12.75" customHeight="1">
      <c r="B156" s="99" t="s">
        <v>60</v>
      </c>
      <c r="C156" s="98" t="s">
        <v>261</v>
      </c>
      <c r="D156" s="114" t="e">
        <f>VLOOKUP($C156,#REF!,5,0)</f>
        <v>#REF!</v>
      </c>
      <c r="E156" s="115" t="e">
        <f>VLOOKUP($C156,#REF!,6,0)</f>
        <v>#REF!</v>
      </c>
      <c r="F156" s="98" t="e">
        <f>VLOOKUP($C156,#REF!,7,0)</f>
        <v>#REF!</v>
      </c>
      <c r="G156" s="98" t="e">
        <f>VLOOKUP($C156,#REF!,8,0)</f>
        <v>#REF!</v>
      </c>
      <c r="H156" s="116" t="e">
        <f>VLOOKUP($C156,#REF!,9,0)</f>
        <v>#REF!</v>
      </c>
      <c r="I156" s="5"/>
      <c r="J156" s="118" t="e">
        <f>VLOOKUP($C156,#REF!,10,0)</f>
        <v>#REF!</v>
      </c>
      <c r="K156" s="119" t="e">
        <f>VLOOKUP($C156,#REF!,11,0)</f>
        <v>#REF!</v>
      </c>
      <c r="L156" s="34"/>
      <c r="M156" s="118" t="e">
        <f>VLOOKUP($C156,#REF!,12,0)</f>
        <v>#REF!</v>
      </c>
      <c r="N156" s="120" t="e">
        <f>VLOOKUP($C156,#REF!,13,0)</f>
        <v>#REF!</v>
      </c>
      <c r="O156" s="118" t="e">
        <f>VLOOKUP($C156,#REF!,14,0)</f>
        <v>#REF!</v>
      </c>
      <c r="P156" s="120" t="e">
        <f>VLOOKUP($C156,#REF!,15,0)</f>
        <v>#REF!</v>
      </c>
      <c r="Q156" s="118" t="e">
        <f>VLOOKUP($C156,#REF!,16,0)</f>
        <v>#REF!</v>
      </c>
      <c r="R156" s="119" t="e">
        <f>VLOOKUP($C156,#REF!,17,0)</f>
        <v>#REF!</v>
      </c>
      <c r="S156" s="120" t="e">
        <f>VLOOKUP($C156,#REF!,18,0)</f>
        <v>#REF!</v>
      </c>
      <c r="T156" s="119" t="e">
        <f>VLOOKUP($C156,#REF!,19,0)</f>
        <v>#REF!</v>
      </c>
      <c r="U156" s="34"/>
      <c r="V156" s="118" t="e">
        <f>VLOOKUP($C156,#REF!,20,0)</f>
        <v>#REF!</v>
      </c>
      <c r="W156" s="120" t="e">
        <f>VLOOKUP($C156,#REF!,21,0)</f>
        <v>#REF!</v>
      </c>
      <c r="X156" s="118" t="e">
        <f>VLOOKUP($C156,#REF!,22,0)</f>
        <v>#REF!</v>
      </c>
      <c r="Y156" s="120" t="e">
        <f>VLOOKUP($C156,#REF!,23,0)</f>
        <v>#REF!</v>
      </c>
      <c r="Z156" s="118" t="e">
        <f>VLOOKUP($C156,#REF!,24,0)</f>
        <v>#REF!</v>
      </c>
      <c r="AA156" s="119" t="e">
        <f>VLOOKUP($C156,#REF!,25,0)</f>
        <v>#REF!</v>
      </c>
      <c r="AB156" s="120" t="e">
        <f>VLOOKUP($C156,#REF!,26,0)</f>
        <v>#REF!</v>
      </c>
      <c r="AC156" s="119" t="e">
        <f>VLOOKUP($C156,#REF!,27,0)</f>
        <v>#REF!</v>
      </c>
      <c r="AD156" s="4"/>
      <c r="AE156" s="118" t="e">
        <f t="shared" si="27"/>
        <v>#REF!</v>
      </c>
      <c r="AF156" s="121" t="s">
        <v>320</v>
      </c>
      <c r="AG156" s="121" t="s">
        <v>321</v>
      </c>
      <c r="AH156" s="119" t="s">
        <v>322</v>
      </c>
      <c r="AI156" s="4"/>
      <c r="AJ156" s="118" t="s">
        <v>323</v>
      </c>
      <c r="AK156" s="121" t="s">
        <v>324</v>
      </c>
      <c r="AL156" s="121" t="s">
        <v>325</v>
      </c>
      <c r="AM156" s="121" t="s">
        <v>326</v>
      </c>
      <c r="AN156" s="121" t="s">
        <v>326</v>
      </c>
      <c r="AO156" s="119" t="s">
        <v>320</v>
      </c>
      <c r="AP156" s="4"/>
      <c r="AQ156" s="122">
        <v>330</v>
      </c>
      <c r="AR156" s="5"/>
      <c r="AS156" s="118">
        <v>0</v>
      </c>
      <c r="AT156" s="119">
        <v>0</v>
      </c>
      <c r="AU156" s="34"/>
      <c r="AV156" s="118">
        <f t="shared" si="50"/>
        <v>0</v>
      </c>
      <c r="AW156" s="119">
        <f t="shared" si="51"/>
        <v>0</v>
      </c>
      <c r="AX156" s="118">
        <f t="shared" si="28"/>
        <v>0</v>
      </c>
      <c r="AY156" s="119">
        <f t="shared" si="29"/>
        <v>0</v>
      </c>
      <c r="AZ156" s="118">
        <f t="shared" si="30"/>
        <v>0</v>
      </c>
      <c r="BA156" s="119">
        <f t="shared" si="31"/>
        <v>0</v>
      </c>
      <c r="BB156" s="120">
        <f t="shared" si="32"/>
        <v>0</v>
      </c>
      <c r="BC156" s="119">
        <f t="shared" si="33"/>
        <v>0</v>
      </c>
      <c r="BD156" s="34"/>
      <c r="BE156" s="118">
        <f t="shared" si="34"/>
        <v>0</v>
      </c>
      <c r="BF156" s="119">
        <f t="shared" si="35"/>
        <v>0</v>
      </c>
      <c r="BG156" s="118">
        <f t="shared" si="36"/>
        <v>0</v>
      </c>
      <c r="BH156" s="119">
        <f t="shared" si="37"/>
        <v>0</v>
      </c>
      <c r="BI156" s="120">
        <f t="shared" si="38"/>
        <v>0</v>
      </c>
      <c r="BJ156" s="119">
        <f t="shared" si="39"/>
        <v>0</v>
      </c>
      <c r="BK156" s="120">
        <f t="shared" si="40"/>
        <v>0</v>
      </c>
      <c r="BL156" s="119">
        <f t="shared" si="41"/>
        <v>0</v>
      </c>
      <c r="BM156" s="4"/>
      <c r="BN156" s="122">
        <v>0</v>
      </c>
      <c r="BO156" s="117"/>
      <c r="BP156" s="118">
        <v>0</v>
      </c>
      <c r="BQ156" s="119">
        <v>0</v>
      </c>
      <c r="BR156" s="120"/>
      <c r="BS156" s="118">
        <v>0</v>
      </c>
      <c r="BT156" s="119">
        <v>0</v>
      </c>
      <c r="BU156" s="118">
        <v>0</v>
      </c>
      <c r="BV156" s="119">
        <v>0</v>
      </c>
      <c r="BW156" s="118">
        <v>0</v>
      </c>
      <c r="BX156" s="119">
        <v>0</v>
      </c>
      <c r="BY156" s="118">
        <v>0</v>
      </c>
      <c r="BZ156" s="119">
        <v>0</v>
      </c>
      <c r="CA156" s="120"/>
      <c r="CB156" s="118">
        <v>0</v>
      </c>
      <c r="CC156" s="119">
        <v>0</v>
      </c>
      <c r="CD156" s="118">
        <v>0</v>
      </c>
      <c r="CE156" s="119">
        <v>0</v>
      </c>
      <c r="CF156" s="118">
        <v>0</v>
      </c>
      <c r="CG156" s="119">
        <v>0</v>
      </c>
      <c r="CH156" s="118">
        <v>0</v>
      </c>
      <c r="CI156" s="119">
        <v>0</v>
      </c>
      <c r="CJ156" s="4"/>
      <c r="CK156" s="79"/>
      <c r="CL156" s="5"/>
      <c r="CM156" s="39" t="str">
        <f t="shared" si="42"/>
        <v>-</v>
      </c>
      <c r="CN156" s="5"/>
      <c r="CO156" s="39" t="str">
        <f t="shared" si="43"/>
        <v>-</v>
      </c>
      <c r="CP156" s="39" t="str">
        <f t="shared" si="44"/>
        <v>-</v>
      </c>
      <c r="CQ156" s="39" t="str">
        <f t="shared" si="52"/>
        <v>-</v>
      </c>
      <c r="CR156" s="39" t="str">
        <f t="shared" si="52"/>
        <v>-</v>
      </c>
      <c r="CS156" s="5"/>
      <c r="CT156" s="39" t="str">
        <f t="shared" si="46"/>
        <v>-</v>
      </c>
      <c r="CU156" s="39" t="str">
        <f t="shared" si="47"/>
        <v>-</v>
      </c>
      <c r="CV156" s="39" t="str">
        <f t="shared" si="48"/>
        <v>-</v>
      </c>
      <c r="CW156" s="39" t="str">
        <f t="shared" si="49"/>
        <v>-</v>
      </c>
    </row>
    <row r="157" spans="2:101" s="4" customFormat="1" ht="12.75" customHeight="1">
      <c r="B157" s="111" t="s">
        <v>60</v>
      </c>
      <c r="C157" s="112" t="s">
        <v>354</v>
      </c>
      <c r="D157" s="104" t="e">
        <f>VLOOKUP($C157,#REF!,5,0)</f>
        <v>#REF!</v>
      </c>
      <c r="E157" s="109" t="e">
        <f>VLOOKUP($C157,#REF!,6,0)</f>
        <v>#REF!</v>
      </c>
      <c r="F157" s="103" t="e">
        <f>VLOOKUP($C157,#REF!,7,0)</f>
        <v>#REF!</v>
      </c>
      <c r="G157" s="103" t="e">
        <f>VLOOKUP($C157,#REF!,8,0)</f>
        <v>#REF!</v>
      </c>
      <c r="H157" s="110" t="e">
        <f>VLOOKUP($C157,#REF!,9,0)</f>
        <v>#REF!</v>
      </c>
      <c r="I157" s="5"/>
      <c r="J157" s="105" t="e">
        <f>VLOOKUP($C157,#REF!,10,0)</f>
        <v>#REF!</v>
      </c>
      <c r="K157" s="106" t="e">
        <f>VLOOKUP($C157,#REF!,11,0)</f>
        <v>#REF!</v>
      </c>
      <c r="L157" s="34"/>
      <c r="M157" s="105" t="e">
        <f>VLOOKUP($C157,#REF!,12,0)</f>
        <v>#REF!</v>
      </c>
      <c r="N157" s="34" t="e">
        <f>VLOOKUP($C157,#REF!,13,0)</f>
        <v>#REF!</v>
      </c>
      <c r="O157" s="105" t="e">
        <f>VLOOKUP($C157,#REF!,14,0)</f>
        <v>#REF!</v>
      </c>
      <c r="P157" s="34" t="e">
        <f>VLOOKUP($C157,#REF!,15,0)</f>
        <v>#REF!</v>
      </c>
      <c r="Q157" s="105" t="e">
        <f>VLOOKUP($C157,#REF!,16,0)</f>
        <v>#REF!</v>
      </c>
      <c r="R157" s="106" t="e">
        <f>VLOOKUP($C157,#REF!,17,0)</f>
        <v>#REF!</v>
      </c>
      <c r="S157" s="34" t="e">
        <f>VLOOKUP($C157,#REF!,18,0)</f>
        <v>#REF!</v>
      </c>
      <c r="T157" s="106" t="e">
        <f>VLOOKUP($C157,#REF!,19,0)</f>
        <v>#REF!</v>
      </c>
      <c r="U157" s="34"/>
      <c r="V157" s="105" t="e">
        <f>VLOOKUP($C157,#REF!,20,0)</f>
        <v>#REF!</v>
      </c>
      <c r="W157" s="34" t="e">
        <f>VLOOKUP($C157,#REF!,21,0)</f>
        <v>#REF!</v>
      </c>
      <c r="X157" s="105" t="e">
        <f>VLOOKUP($C157,#REF!,22,0)</f>
        <v>#REF!</v>
      </c>
      <c r="Y157" s="34" t="e">
        <f>VLOOKUP($C157,#REF!,23,0)</f>
        <v>#REF!</v>
      </c>
      <c r="Z157" s="105" t="e">
        <f>VLOOKUP($C157,#REF!,24,0)</f>
        <v>#REF!</v>
      </c>
      <c r="AA157" s="106" t="e">
        <f>VLOOKUP($C157,#REF!,25,0)</f>
        <v>#REF!</v>
      </c>
      <c r="AB157" s="34" t="e">
        <f>VLOOKUP($C157,#REF!,26,0)</f>
        <v>#REF!</v>
      </c>
      <c r="AC157" s="106" t="e">
        <f>VLOOKUP($C157,#REF!,27,0)</f>
        <v>#REF!</v>
      </c>
      <c r="AE157" s="105" t="e">
        <f t="shared" si="27"/>
        <v>#REF!</v>
      </c>
      <c r="AF157" s="107" t="s">
        <v>320</v>
      </c>
      <c r="AG157" s="107" t="s">
        <v>321</v>
      </c>
      <c r="AH157" s="106" t="s">
        <v>322</v>
      </c>
      <c r="AJ157" s="105" t="s">
        <v>323</v>
      </c>
      <c r="AK157" s="107" t="s">
        <v>324</v>
      </c>
      <c r="AL157" s="107" t="s">
        <v>325</v>
      </c>
      <c r="AM157" s="107" t="s">
        <v>326</v>
      </c>
      <c r="AN157" s="107" t="s">
        <v>326</v>
      </c>
      <c r="AO157" s="106" t="s">
        <v>320</v>
      </c>
      <c r="AQ157" s="108">
        <v>247</v>
      </c>
      <c r="AR157" s="5"/>
      <c r="AS157" s="105">
        <v>0</v>
      </c>
      <c r="AT157" s="106">
        <v>0</v>
      </c>
      <c r="AU157" s="34"/>
      <c r="AV157" s="105">
        <f t="shared" si="50"/>
        <v>0</v>
      </c>
      <c r="AW157" s="106">
        <f t="shared" si="51"/>
        <v>0</v>
      </c>
      <c r="AX157" s="105">
        <f t="shared" si="28"/>
        <v>0</v>
      </c>
      <c r="AY157" s="106">
        <f t="shared" si="29"/>
        <v>0</v>
      </c>
      <c r="AZ157" s="105">
        <f t="shared" si="30"/>
        <v>0</v>
      </c>
      <c r="BA157" s="106">
        <f t="shared" si="31"/>
        <v>0</v>
      </c>
      <c r="BB157" s="34">
        <f t="shared" si="32"/>
        <v>0</v>
      </c>
      <c r="BC157" s="106">
        <f t="shared" si="33"/>
        <v>0</v>
      </c>
      <c r="BD157" s="34"/>
      <c r="BE157" s="105">
        <f t="shared" si="34"/>
        <v>0</v>
      </c>
      <c r="BF157" s="106">
        <f t="shared" si="35"/>
        <v>0</v>
      </c>
      <c r="BG157" s="105">
        <f t="shared" si="36"/>
        <v>0</v>
      </c>
      <c r="BH157" s="106">
        <f t="shared" si="37"/>
        <v>0</v>
      </c>
      <c r="BI157" s="34">
        <f t="shared" si="38"/>
        <v>0</v>
      </c>
      <c r="BJ157" s="106">
        <f t="shared" si="39"/>
        <v>0</v>
      </c>
      <c r="BK157" s="34">
        <f t="shared" si="40"/>
        <v>0</v>
      </c>
      <c r="BL157" s="106">
        <f t="shared" si="41"/>
        <v>0</v>
      </c>
      <c r="BN157" s="108">
        <v>0</v>
      </c>
      <c r="BO157" s="5"/>
      <c r="BP157" s="105">
        <v>0</v>
      </c>
      <c r="BQ157" s="106">
        <v>0</v>
      </c>
      <c r="BR157" s="34"/>
      <c r="BS157" s="105">
        <v>0</v>
      </c>
      <c r="BT157" s="106">
        <v>0</v>
      </c>
      <c r="BU157" s="105">
        <v>0</v>
      </c>
      <c r="BV157" s="106">
        <v>0</v>
      </c>
      <c r="BW157" s="105">
        <v>0</v>
      </c>
      <c r="BX157" s="106">
        <v>0</v>
      </c>
      <c r="BY157" s="105">
        <v>0</v>
      </c>
      <c r="BZ157" s="106">
        <v>0</v>
      </c>
      <c r="CA157" s="34"/>
      <c r="CB157" s="105">
        <v>0</v>
      </c>
      <c r="CC157" s="106">
        <v>0</v>
      </c>
      <c r="CD157" s="105">
        <v>0</v>
      </c>
      <c r="CE157" s="106">
        <v>0</v>
      </c>
      <c r="CF157" s="105">
        <v>0</v>
      </c>
      <c r="CG157" s="106">
        <v>0</v>
      </c>
      <c r="CH157" s="105">
        <v>0</v>
      </c>
      <c r="CI157" s="106">
        <v>0</v>
      </c>
      <c r="CK157" s="78"/>
      <c r="CL157" s="5"/>
      <c r="CM157" s="38" t="str">
        <f t="shared" si="42"/>
        <v>-</v>
      </c>
      <c r="CN157" s="5"/>
      <c r="CO157" s="38" t="str">
        <f t="shared" si="43"/>
        <v>-</v>
      </c>
      <c r="CP157" s="38" t="str">
        <f t="shared" si="44"/>
        <v>-</v>
      </c>
      <c r="CQ157" s="38" t="str">
        <f t="shared" si="52"/>
        <v>-</v>
      </c>
      <c r="CR157" s="38" t="str">
        <f t="shared" si="52"/>
        <v>-</v>
      </c>
      <c r="CS157" s="5"/>
      <c r="CT157" s="38" t="str">
        <f t="shared" si="46"/>
        <v>-</v>
      </c>
      <c r="CU157" s="38" t="str">
        <f t="shared" si="47"/>
        <v>-</v>
      </c>
      <c r="CV157" s="38" t="str">
        <f t="shared" si="48"/>
        <v>-</v>
      </c>
      <c r="CW157" s="38" t="str">
        <f t="shared" si="49"/>
        <v>-</v>
      </c>
    </row>
    <row r="158" spans="2:101" s="113" customFormat="1" ht="12.75" customHeight="1">
      <c r="B158" s="100" t="s">
        <v>60</v>
      </c>
      <c r="C158" s="101" t="s">
        <v>355</v>
      </c>
      <c r="D158" s="114" t="e">
        <f>VLOOKUP($C158,#REF!,5,0)</f>
        <v>#REF!</v>
      </c>
      <c r="E158" s="115" t="e">
        <f>VLOOKUP($C158,#REF!,6,0)</f>
        <v>#REF!</v>
      </c>
      <c r="F158" s="98" t="e">
        <f>VLOOKUP($C158,#REF!,7,0)</f>
        <v>#REF!</v>
      </c>
      <c r="G158" s="98" t="e">
        <f>VLOOKUP($C158,#REF!,8,0)</f>
        <v>#REF!</v>
      </c>
      <c r="H158" s="116" t="e">
        <f>VLOOKUP($C158,#REF!,9,0)</f>
        <v>#REF!</v>
      </c>
      <c r="I158" s="5"/>
      <c r="J158" s="118" t="e">
        <f>VLOOKUP($C158,#REF!,10,0)</f>
        <v>#REF!</v>
      </c>
      <c r="K158" s="119" t="e">
        <f>VLOOKUP($C158,#REF!,11,0)</f>
        <v>#REF!</v>
      </c>
      <c r="L158" s="34"/>
      <c r="M158" s="118" t="e">
        <f>VLOOKUP($C158,#REF!,12,0)</f>
        <v>#REF!</v>
      </c>
      <c r="N158" s="120" t="e">
        <f>VLOOKUP($C158,#REF!,13,0)</f>
        <v>#REF!</v>
      </c>
      <c r="O158" s="118" t="e">
        <f>VLOOKUP($C158,#REF!,14,0)</f>
        <v>#REF!</v>
      </c>
      <c r="P158" s="120" t="e">
        <f>VLOOKUP($C158,#REF!,15,0)</f>
        <v>#REF!</v>
      </c>
      <c r="Q158" s="118" t="e">
        <f>VLOOKUP($C158,#REF!,16,0)</f>
        <v>#REF!</v>
      </c>
      <c r="R158" s="119" t="e">
        <f>VLOOKUP($C158,#REF!,17,0)</f>
        <v>#REF!</v>
      </c>
      <c r="S158" s="120" t="e">
        <f>VLOOKUP($C158,#REF!,18,0)</f>
        <v>#REF!</v>
      </c>
      <c r="T158" s="119" t="e">
        <f>VLOOKUP($C158,#REF!,19,0)</f>
        <v>#REF!</v>
      </c>
      <c r="U158" s="34"/>
      <c r="V158" s="118" t="e">
        <f>VLOOKUP($C158,#REF!,20,0)</f>
        <v>#REF!</v>
      </c>
      <c r="W158" s="120" t="e">
        <f>VLOOKUP($C158,#REF!,21,0)</f>
        <v>#REF!</v>
      </c>
      <c r="X158" s="118" t="e">
        <f>VLOOKUP($C158,#REF!,22,0)</f>
        <v>#REF!</v>
      </c>
      <c r="Y158" s="120" t="e">
        <f>VLOOKUP($C158,#REF!,23,0)</f>
        <v>#REF!</v>
      </c>
      <c r="Z158" s="118" t="e">
        <f>VLOOKUP($C158,#REF!,24,0)</f>
        <v>#REF!</v>
      </c>
      <c r="AA158" s="119" t="e">
        <f>VLOOKUP($C158,#REF!,25,0)</f>
        <v>#REF!</v>
      </c>
      <c r="AB158" s="120" t="e">
        <f>VLOOKUP($C158,#REF!,26,0)</f>
        <v>#REF!</v>
      </c>
      <c r="AC158" s="119" t="e">
        <f>VLOOKUP($C158,#REF!,27,0)</f>
        <v>#REF!</v>
      </c>
      <c r="AD158" s="4"/>
      <c r="AE158" s="118" t="e">
        <f t="shared" ref="AE158:AE223" si="53">IF(M158="-","-","0,5 GB")</f>
        <v>#REF!</v>
      </c>
      <c r="AF158" s="121" t="s">
        <v>320</v>
      </c>
      <c r="AG158" s="121" t="s">
        <v>321</v>
      </c>
      <c r="AH158" s="119" t="s">
        <v>322</v>
      </c>
      <c r="AI158" s="4"/>
      <c r="AJ158" s="118" t="s">
        <v>323</v>
      </c>
      <c r="AK158" s="121" t="s">
        <v>324</v>
      </c>
      <c r="AL158" s="121" t="s">
        <v>325</v>
      </c>
      <c r="AM158" s="121" t="s">
        <v>326</v>
      </c>
      <c r="AN158" s="121" t="s">
        <v>326</v>
      </c>
      <c r="AO158" s="119" t="s">
        <v>320</v>
      </c>
      <c r="AP158" s="4"/>
      <c r="AQ158" s="122">
        <v>0</v>
      </c>
      <c r="AR158" s="5"/>
      <c r="AS158" s="118">
        <v>0</v>
      </c>
      <c r="AT158" s="119">
        <v>0</v>
      </c>
      <c r="AU158" s="34"/>
      <c r="AV158" s="118">
        <f t="shared" si="50"/>
        <v>0</v>
      </c>
      <c r="AW158" s="119">
        <f t="shared" si="51"/>
        <v>0</v>
      </c>
      <c r="AX158" s="118">
        <f t="shared" ref="AX158:AX224" si="54">IFERROR(ROUND($D158-O158-AY158,0),0)</f>
        <v>0</v>
      </c>
      <c r="AY158" s="119">
        <f t="shared" ref="AY158:AY224" si="55">IFERROR(P158*$G158,0)</f>
        <v>0</v>
      </c>
      <c r="AZ158" s="118">
        <f t="shared" ref="AZ158:AZ224" si="56">IFERROR(ROUND($D158-Q158-BA158,0),0)</f>
        <v>0</v>
      </c>
      <c r="BA158" s="119">
        <f t="shared" ref="BA158:BA224" si="57">IFERROR(R158*$G158,0)</f>
        <v>0</v>
      </c>
      <c r="BB158" s="120">
        <f t="shared" ref="BB158:BB224" si="58">IFERROR(ROUND($D158-S158-BC158,0),0)</f>
        <v>0</v>
      </c>
      <c r="BC158" s="119">
        <f t="shared" ref="BC158:BC224" si="59">IFERROR(T158*$G158,0)</f>
        <v>0</v>
      </c>
      <c r="BD158" s="34"/>
      <c r="BE158" s="118">
        <f t="shared" ref="BE158:BE224" si="60">IFERROR(ROUND($D158-V158-BF158,0),0)</f>
        <v>0</v>
      </c>
      <c r="BF158" s="119">
        <f t="shared" ref="BF158:BF224" si="61">IFERROR(W158*$G158,0)</f>
        <v>0</v>
      </c>
      <c r="BG158" s="118">
        <f t="shared" ref="BG158:BG224" si="62">IFERROR(ROUND($D158-X158-BH158,0),0)</f>
        <v>0</v>
      </c>
      <c r="BH158" s="119">
        <f t="shared" ref="BH158:BH224" si="63">IFERROR(Y158*$G158,0)</f>
        <v>0</v>
      </c>
      <c r="BI158" s="120">
        <f t="shared" ref="BI158:BI224" si="64">IFERROR(ROUND($D158-Z158-BJ158,0),0)</f>
        <v>0</v>
      </c>
      <c r="BJ158" s="119">
        <f t="shared" ref="BJ158:BJ224" si="65">IFERROR(AA158*$G158,0)</f>
        <v>0</v>
      </c>
      <c r="BK158" s="120">
        <f t="shared" ref="BK158:BK224" si="66">IFERROR(ROUND($D158-AB158-BL158,0),0)</f>
        <v>0</v>
      </c>
      <c r="BL158" s="119">
        <f t="shared" ref="BL158:BL224" si="67">IFERROR(AC158*$G158,0)</f>
        <v>0</v>
      </c>
      <c r="BM158" s="4"/>
      <c r="BN158" s="122">
        <v>0</v>
      </c>
      <c r="BO158" s="117"/>
      <c r="BP158" s="118">
        <v>0</v>
      </c>
      <c r="BQ158" s="119">
        <v>0</v>
      </c>
      <c r="BR158" s="120"/>
      <c r="BS158" s="118">
        <v>0</v>
      </c>
      <c r="BT158" s="119">
        <v>0</v>
      </c>
      <c r="BU158" s="118">
        <v>0</v>
      </c>
      <c r="BV158" s="119">
        <v>0</v>
      </c>
      <c r="BW158" s="118">
        <v>0</v>
      </c>
      <c r="BX158" s="119">
        <v>0</v>
      </c>
      <c r="BY158" s="118">
        <v>0</v>
      </c>
      <c r="BZ158" s="119">
        <v>0</v>
      </c>
      <c r="CA158" s="120"/>
      <c r="CB158" s="118">
        <v>0</v>
      </c>
      <c r="CC158" s="119">
        <v>0</v>
      </c>
      <c r="CD158" s="118">
        <v>0</v>
      </c>
      <c r="CE158" s="119">
        <v>0</v>
      </c>
      <c r="CF158" s="118">
        <v>0</v>
      </c>
      <c r="CG158" s="119">
        <v>0</v>
      </c>
      <c r="CH158" s="118">
        <v>0</v>
      </c>
      <c r="CI158" s="119">
        <v>0</v>
      </c>
      <c r="CJ158" s="4"/>
      <c r="CK158" s="79"/>
      <c r="CL158" s="5"/>
      <c r="CM158" s="39" t="str">
        <f t="shared" ref="CM158:CM221" si="68">IFERROR(+$H158-($J158+$K158*$G158),"-")</f>
        <v>-</v>
      </c>
      <c r="CN158" s="5"/>
      <c r="CO158" s="39" t="str">
        <f t="shared" ref="CO158:CO221" si="69">IFERROR(+$H158-($M158+$N158*$G158),"-")</f>
        <v>-</v>
      </c>
      <c r="CP158" s="39" t="str">
        <f t="shared" ref="CP158:CP221" si="70">IFERROR(+$H158-($O158+$P158*$G158),"-")</f>
        <v>-</v>
      </c>
      <c r="CQ158" s="39" t="str">
        <f t="shared" ref="CQ158:CR189" si="71">IFERROR(+$H158-($Q158+$R158*$G158),"-")</f>
        <v>-</v>
      </c>
      <c r="CR158" s="39" t="str">
        <f t="shared" si="71"/>
        <v>-</v>
      </c>
      <c r="CS158" s="5"/>
      <c r="CT158" s="39" t="str">
        <f t="shared" ref="CT158:CT221" si="72">IFERROR(+$H158-($V158+$W158*$G158),"-")</f>
        <v>-</v>
      </c>
      <c r="CU158" s="39" t="str">
        <f t="shared" ref="CU158:CU221" si="73">IFERROR(+$H158-($X158+$Y158*$G158),"-")</f>
        <v>-</v>
      </c>
      <c r="CV158" s="39" t="str">
        <f t="shared" ref="CV158:CV221" si="74">IFERROR(+$H158-($Z158+$AA158*$G158),"-")</f>
        <v>-</v>
      </c>
      <c r="CW158" s="39" t="str">
        <f t="shared" ref="CW158:CW221" si="75">IFERROR(+$H158-($AB158+$AC158*$G158),"-")</f>
        <v>-</v>
      </c>
    </row>
    <row r="159" spans="2:101" s="4" customFormat="1" ht="12.75" customHeight="1">
      <c r="B159" s="111" t="s">
        <v>60</v>
      </c>
      <c r="C159" s="112" t="s">
        <v>356</v>
      </c>
      <c r="D159" s="104" t="e">
        <f>VLOOKUP($C159,#REF!,5,0)</f>
        <v>#REF!</v>
      </c>
      <c r="E159" s="109" t="e">
        <f>VLOOKUP($C159,#REF!,6,0)</f>
        <v>#REF!</v>
      </c>
      <c r="F159" s="103" t="e">
        <f>VLOOKUP($C159,#REF!,7,0)</f>
        <v>#REF!</v>
      </c>
      <c r="G159" s="103" t="e">
        <f>VLOOKUP($C159,#REF!,8,0)</f>
        <v>#REF!</v>
      </c>
      <c r="H159" s="110" t="e">
        <f>VLOOKUP($C159,#REF!,9,0)</f>
        <v>#REF!</v>
      </c>
      <c r="I159" s="5"/>
      <c r="J159" s="105" t="e">
        <f>VLOOKUP($C159,#REF!,10,0)</f>
        <v>#REF!</v>
      </c>
      <c r="K159" s="106" t="e">
        <f>VLOOKUP($C159,#REF!,11,0)</f>
        <v>#REF!</v>
      </c>
      <c r="L159" s="34"/>
      <c r="M159" s="105" t="e">
        <f>VLOOKUP($C159,#REF!,12,0)</f>
        <v>#REF!</v>
      </c>
      <c r="N159" s="34" t="e">
        <f>VLOOKUP($C159,#REF!,13,0)</f>
        <v>#REF!</v>
      </c>
      <c r="O159" s="105" t="e">
        <f>VLOOKUP($C159,#REF!,14,0)</f>
        <v>#REF!</v>
      </c>
      <c r="P159" s="34" t="e">
        <f>VLOOKUP($C159,#REF!,15,0)</f>
        <v>#REF!</v>
      </c>
      <c r="Q159" s="105" t="e">
        <f>VLOOKUP($C159,#REF!,16,0)</f>
        <v>#REF!</v>
      </c>
      <c r="R159" s="106" t="e">
        <f>VLOOKUP($C159,#REF!,17,0)</f>
        <v>#REF!</v>
      </c>
      <c r="S159" s="34" t="e">
        <f>VLOOKUP($C159,#REF!,18,0)</f>
        <v>#REF!</v>
      </c>
      <c r="T159" s="106" t="e">
        <f>VLOOKUP($C159,#REF!,19,0)</f>
        <v>#REF!</v>
      </c>
      <c r="U159" s="34"/>
      <c r="V159" s="105" t="e">
        <f>VLOOKUP($C159,#REF!,20,0)</f>
        <v>#REF!</v>
      </c>
      <c r="W159" s="34" t="e">
        <f>VLOOKUP($C159,#REF!,21,0)</f>
        <v>#REF!</v>
      </c>
      <c r="X159" s="105" t="e">
        <f>VLOOKUP($C159,#REF!,22,0)</f>
        <v>#REF!</v>
      </c>
      <c r="Y159" s="34" t="e">
        <f>VLOOKUP($C159,#REF!,23,0)</f>
        <v>#REF!</v>
      </c>
      <c r="Z159" s="105" t="e">
        <f>VLOOKUP($C159,#REF!,24,0)</f>
        <v>#REF!</v>
      </c>
      <c r="AA159" s="106" t="e">
        <f>VLOOKUP($C159,#REF!,25,0)</f>
        <v>#REF!</v>
      </c>
      <c r="AB159" s="34" t="e">
        <f>VLOOKUP($C159,#REF!,26,0)</f>
        <v>#REF!</v>
      </c>
      <c r="AC159" s="106" t="e">
        <f>VLOOKUP($C159,#REF!,27,0)</f>
        <v>#REF!</v>
      </c>
      <c r="AE159" s="105" t="e">
        <f t="shared" si="53"/>
        <v>#REF!</v>
      </c>
      <c r="AF159" s="107" t="s">
        <v>320</v>
      </c>
      <c r="AG159" s="107" t="s">
        <v>321</v>
      </c>
      <c r="AH159" s="106" t="s">
        <v>322</v>
      </c>
      <c r="AJ159" s="105" t="s">
        <v>323</v>
      </c>
      <c r="AK159" s="107" t="s">
        <v>324</v>
      </c>
      <c r="AL159" s="107" t="s">
        <v>325</v>
      </c>
      <c r="AM159" s="107" t="s">
        <v>326</v>
      </c>
      <c r="AN159" s="107" t="s">
        <v>326</v>
      </c>
      <c r="AO159" s="106" t="s">
        <v>320</v>
      </c>
      <c r="AQ159" s="108">
        <v>9</v>
      </c>
      <c r="AR159" s="5"/>
      <c r="AS159" s="105">
        <v>0</v>
      </c>
      <c r="AT159" s="106">
        <v>0</v>
      </c>
      <c r="AU159" s="34"/>
      <c r="AV159" s="105">
        <f t="shared" si="50"/>
        <v>0</v>
      </c>
      <c r="AW159" s="106">
        <f t="shared" si="51"/>
        <v>0</v>
      </c>
      <c r="AX159" s="105">
        <f t="shared" si="54"/>
        <v>0</v>
      </c>
      <c r="AY159" s="106">
        <f t="shared" si="55"/>
        <v>0</v>
      </c>
      <c r="AZ159" s="105">
        <f t="shared" si="56"/>
        <v>0</v>
      </c>
      <c r="BA159" s="106">
        <f t="shared" si="57"/>
        <v>0</v>
      </c>
      <c r="BB159" s="34">
        <f t="shared" si="58"/>
        <v>0</v>
      </c>
      <c r="BC159" s="106">
        <f t="shared" si="59"/>
        <v>0</v>
      </c>
      <c r="BD159" s="34"/>
      <c r="BE159" s="105">
        <f t="shared" si="60"/>
        <v>0</v>
      </c>
      <c r="BF159" s="106">
        <f t="shared" si="61"/>
        <v>0</v>
      </c>
      <c r="BG159" s="105">
        <f t="shared" si="62"/>
        <v>0</v>
      </c>
      <c r="BH159" s="106">
        <f t="shared" si="63"/>
        <v>0</v>
      </c>
      <c r="BI159" s="34">
        <f t="shared" si="64"/>
        <v>0</v>
      </c>
      <c r="BJ159" s="106">
        <f t="shared" si="65"/>
        <v>0</v>
      </c>
      <c r="BK159" s="34">
        <f t="shared" si="66"/>
        <v>0</v>
      </c>
      <c r="BL159" s="106">
        <f t="shared" si="67"/>
        <v>0</v>
      </c>
      <c r="BN159" s="108">
        <v>0</v>
      </c>
      <c r="BO159" s="5"/>
      <c r="BP159" s="105">
        <v>0</v>
      </c>
      <c r="BQ159" s="106">
        <v>0</v>
      </c>
      <c r="BR159" s="34"/>
      <c r="BS159" s="105">
        <v>0</v>
      </c>
      <c r="BT159" s="106">
        <v>0</v>
      </c>
      <c r="BU159" s="105">
        <v>0</v>
      </c>
      <c r="BV159" s="106">
        <v>0</v>
      </c>
      <c r="BW159" s="105">
        <v>0</v>
      </c>
      <c r="BX159" s="106">
        <v>0</v>
      </c>
      <c r="BY159" s="105">
        <v>0</v>
      </c>
      <c r="BZ159" s="106">
        <v>0</v>
      </c>
      <c r="CA159" s="34"/>
      <c r="CB159" s="105">
        <v>0</v>
      </c>
      <c r="CC159" s="106">
        <v>0</v>
      </c>
      <c r="CD159" s="105">
        <v>0</v>
      </c>
      <c r="CE159" s="106">
        <v>0</v>
      </c>
      <c r="CF159" s="105">
        <v>0</v>
      </c>
      <c r="CG159" s="106">
        <v>0</v>
      </c>
      <c r="CH159" s="105">
        <v>0</v>
      </c>
      <c r="CI159" s="106">
        <v>0</v>
      </c>
      <c r="CK159" s="78"/>
      <c r="CL159" s="5"/>
      <c r="CM159" s="38" t="str">
        <f t="shared" si="68"/>
        <v>-</v>
      </c>
      <c r="CN159" s="5"/>
      <c r="CO159" s="38" t="str">
        <f t="shared" si="69"/>
        <v>-</v>
      </c>
      <c r="CP159" s="38" t="str">
        <f t="shared" si="70"/>
        <v>-</v>
      </c>
      <c r="CQ159" s="38" t="str">
        <f t="shared" si="71"/>
        <v>-</v>
      </c>
      <c r="CR159" s="38" t="str">
        <f t="shared" si="71"/>
        <v>-</v>
      </c>
      <c r="CS159" s="5"/>
      <c r="CT159" s="38" t="str">
        <f t="shared" si="72"/>
        <v>-</v>
      </c>
      <c r="CU159" s="38" t="str">
        <f t="shared" si="73"/>
        <v>-</v>
      </c>
      <c r="CV159" s="38" t="str">
        <f t="shared" si="74"/>
        <v>-</v>
      </c>
      <c r="CW159" s="38" t="str">
        <f t="shared" si="75"/>
        <v>-</v>
      </c>
    </row>
    <row r="160" spans="2:101" s="113" customFormat="1" ht="12.75" customHeight="1">
      <c r="B160" s="100" t="s">
        <v>60</v>
      </c>
      <c r="C160" s="101" t="s">
        <v>357</v>
      </c>
      <c r="D160" s="114" t="e">
        <f>VLOOKUP($C160,#REF!,5,0)</f>
        <v>#REF!</v>
      </c>
      <c r="E160" s="115" t="e">
        <f>VLOOKUP($C160,#REF!,6,0)</f>
        <v>#REF!</v>
      </c>
      <c r="F160" s="98" t="e">
        <f>VLOOKUP($C160,#REF!,7,0)</f>
        <v>#REF!</v>
      </c>
      <c r="G160" s="98" t="e">
        <f>VLOOKUP($C160,#REF!,8,0)</f>
        <v>#REF!</v>
      </c>
      <c r="H160" s="116" t="e">
        <f>VLOOKUP($C160,#REF!,9,0)</f>
        <v>#REF!</v>
      </c>
      <c r="I160" s="5"/>
      <c r="J160" s="118" t="e">
        <f>VLOOKUP($C160,#REF!,10,0)</f>
        <v>#REF!</v>
      </c>
      <c r="K160" s="119" t="e">
        <f>VLOOKUP($C160,#REF!,11,0)</f>
        <v>#REF!</v>
      </c>
      <c r="L160" s="34"/>
      <c r="M160" s="118" t="e">
        <f>VLOOKUP($C160,#REF!,12,0)</f>
        <v>#REF!</v>
      </c>
      <c r="N160" s="120" t="e">
        <f>VLOOKUP($C160,#REF!,13,0)</f>
        <v>#REF!</v>
      </c>
      <c r="O160" s="118" t="e">
        <f>VLOOKUP($C160,#REF!,14,0)</f>
        <v>#REF!</v>
      </c>
      <c r="P160" s="120" t="e">
        <f>VLOOKUP($C160,#REF!,15,0)</f>
        <v>#REF!</v>
      </c>
      <c r="Q160" s="118" t="e">
        <f>VLOOKUP($C160,#REF!,16,0)</f>
        <v>#REF!</v>
      </c>
      <c r="R160" s="119" t="e">
        <f>VLOOKUP($C160,#REF!,17,0)</f>
        <v>#REF!</v>
      </c>
      <c r="S160" s="120" t="e">
        <f>VLOOKUP($C160,#REF!,18,0)</f>
        <v>#REF!</v>
      </c>
      <c r="T160" s="119" t="e">
        <f>VLOOKUP($C160,#REF!,19,0)</f>
        <v>#REF!</v>
      </c>
      <c r="U160" s="34"/>
      <c r="V160" s="118" t="e">
        <f>VLOOKUP($C160,#REF!,20,0)</f>
        <v>#REF!</v>
      </c>
      <c r="W160" s="120" t="e">
        <f>VLOOKUP($C160,#REF!,21,0)</f>
        <v>#REF!</v>
      </c>
      <c r="X160" s="118" t="e">
        <f>VLOOKUP($C160,#REF!,22,0)</f>
        <v>#REF!</v>
      </c>
      <c r="Y160" s="120" t="e">
        <f>VLOOKUP($C160,#REF!,23,0)</f>
        <v>#REF!</v>
      </c>
      <c r="Z160" s="118" t="e">
        <f>VLOOKUP($C160,#REF!,24,0)</f>
        <v>#REF!</v>
      </c>
      <c r="AA160" s="119" t="e">
        <f>VLOOKUP($C160,#REF!,25,0)</f>
        <v>#REF!</v>
      </c>
      <c r="AB160" s="120" t="e">
        <f>VLOOKUP($C160,#REF!,26,0)</f>
        <v>#REF!</v>
      </c>
      <c r="AC160" s="119" t="e">
        <f>VLOOKUP($C160,#REF!,27,0)</f>
        <v>#REF!</v>
      </c>
      <c r="AD160" s="4"/>
      <c r="AE160" s="118" t="e">
        <f t="shared" si="53"/>
        <v>#REF!</v>
      </c>
      <c r="AF160" s="121" t="s">
        <v>320</v>
      </c>
      <c r="AG160" s="121" t="s">
        <v>321</v>
      </c>
      <c r="AH160" s="119" t="s">
        <v>322</v>
      </c>
      <c r="AI160" s="4"/>
      <c r="AJ160" s="118" t="s">
        <v>323</v>
      </c>
      <c r="AK160" s="121" t="s">
        <v>324</v>
      </c>
      <c r="AL160" s="121" t="s">
        <v>325</v>
      </c>
      <c r="AM160" s="121" t="s">
        <v>326</v>
      </c>
      <c r="AN160" s="121" t="s">
        <v>326</v>
      </c>
      <c r="AO160" s="119" t="s">
        <v>320</v>
      </c>
      <c r="AP160" s="4"/>
      <c r="AQ160" s="122">
        <v>17</v>
      </c>
      <c r="AR160" s="5"/>
      <c r="AS160" s="118">
        <v>0</v>
      </c>
      <c r="AT160" s="119">
        <v>0</v>
      </c>
      <c r="AU160" s="34"/>
      <c r="AV160" s="118">
        <f t="shared" si="50"/>
        <v>0</v>
      </c>
      <c r="AW160" s="119">
        <f t="shared" si="51"/>
        <v>0</v>
      </c>
      <c r="AX160" s="118">
        <f t="shared" si="54"/>
        <v>0</v>
      </c>
      <c r="AY160" s="119">
        <f t="shared" si="55"/>
        <v>0</v>
      </c>
      <c r="AZ160" s="118">
        <f t="shared" si="56"/>
        <v>0</v>
      </c>
      <c r="BA160" s="119">
        <f t="shared" si="57"/>
        <v>0</v>
      </c>
      <c r="BB160" s="120">
        <f t="shared" si="58"/>
        <v>0</v>
      </c>
      <c r="BC160" s="119">
        <f t="shared" si="59"/>
        <v>0</v>
      </c>
      <c r="BD160" s="34"/>
      <c r="BE160" s="118">
        <f t="shared" si="60"/>
        <v>0</v>
      </c>
      <c r="BF160" s="119">
        <f t="shared" si="61"/>
        <v>0</v>
      </c>
      <c r="BG160" s="118">
        <f t="shared" si="62"/>
        <v>0</v>
      </c>
      <c r="BH160" s="119">
        <f t="shared" si="63"/>
        <v>0</v>
      </c>
      <c r="BI160" s="120">
        <f t="shared" si="64"/>
        <v>0</v>
      </c>
      <c r="BJ160" s="119">
        <f t="shared" si="65"/>
        <v>0</v>
      </c>
      <c r="BK160" s="120">
        <f t="shared" si="66"/>
        <v>0</v>
      </c>
      <c r="BL160" s="119">
        <f t="shared" si="67"/>
        <v>0</v>
      </c>
      <c r="BM160" s="4"/>
      <c r="BN160" s="122">
        <v>0</v>
      </c>
      <c r="BO160" s="117"/>
      <c r="BP160" s="118">
        <v>0</v>
      </c>
      <c r="BQ160" s="119">
        <v>0</v>
      </c>
      <c r="BR160" s="120"/>
      <c r="BS160" s="118">
        <v>0</v>
      </c>
      <c r="BT160" s="119">
        <v>0</v>
      </c>
      <c r="BU160" s="118">
        <v>0</v>
      </c>
      <c r="BV160" s="119">
        <v>0</v>
      </c>
      <c r="BW160" s="118">
        <v>0</v>
      </c>
      <c r="BX160" s="119">
        <v>0</v>
      </c>
      <c r="BY160" s="118">
        <v>0</v>
      </c>
      <c r="BZ160" s="119">
        <v>0</v>
      </c>
      <c r="CA160" s="120"/>
      <c r="CB160" s="118">
        <v>0</v>
      </c>
      <c r="CC160" s="119">
        <v>0</v>
      </c>
      <c r="CD160" s="118">
        <v>0</v>
      </c>
      <c r="CE160" s="119">
        <v>0</v>
      </c>
      <c r="CF160" s="118">
        <v>0</v>
      </c>
      <c r="CG160" s="119">
        <v>0</v>
      </c>
      <c r="CH160" s="118">
        <v>0</v>
      </c>
      <c r="CI160" s="119">
        <v>0</v>
      </c>
      <c r="CJ160" s="4"/>
      <c r="CK160" s="79"/>
      <c r="CL160" s="5"/>
      <c r="CM160" s="39" t="str">
        <f t="shared" si="68"/>
        <v>-</v>
      </c>
      <c r="CN160" s="5"/>
      <c r="CO160" s="39" t="str">
        <f t="shared" si="69"/>
        <v>-</v>
      </c>
      <c r="CP160" s="39" t="str">
        <f t="shared" si="70"/>
        <v>-</v>
      </c>
      <c r="CQ160" s="39" t="str">
        <f t="shared" si="71"/>
        <v>-</v>
      </c>
      <c r="CR160" s="39" t="str">
        <f t="shared" si="71"/>
        <v>-</v>
      </c>
      <c r="CS160" s="5"/>
      <c r="CT160" s="39" t="str">
        <f t="shared" si="72"/>
        <v>-</v>
      </c>
      <c r="CU160" s="39" t="str">
        <f t="shared" si="73"/>
        <v>-</v>
      </c>
      <c r="CV160" s="39" t="str">
        <f t="shared" si="74"/>
        <v>-</v>
      </c>
      <c r="CW160" s="39" t="str">
        <f t="shared" si="75"/>
        <v>-</v>
      </c>
    </row>
    <row r="161" spans="2:101" s="4" customFormat="1" ht="12.75" customHeight="1">
      <c r="B161" s="111" t="s">
        <v>60</v>
      </c>
      <c r="C161" s="112" t="s">
        <v>358</v>
      </c>
      <c r="D161" s="104" t="e">
        <f>VLOOKUP($C161,#REF!,5,0)</f>
        <v>#REF!</v>
      </c>
      <c r="E161" s="109" t="e">
        <f>VLOOKUP($C161,#REF!,6,0)</f>
        <v>#REF!</v>
      </c>
      <c r="F161" s="103" t="e">
        <f>VLOOKUP($C161,#REF!,7,0)</f>
        <v>#REF!</v>
      </c>
      <c r="G161" s="103" t="e">
        <f>VLOOKUP($C161,#REF!,8,0)</f>
        <v>#REF!</v>
      </c>
      <c r="H161" s="110" t="e">
        <f>VLOOKUP($C161,#REF!,9,0)</f>
        <v>#REF!</v>
      </c>
      <c r="I161" s="5"/>
      <c r="J161" s="105" t="e">
        <f>VLOOKUP($C161,#REF!,10,0)</f>
        <v>#REF!</v>
      </c>
      <c r="K161" s="106" t="e">
        <f>VLOOKUP($C161,#REF!,11,0)</f>
        <v>#REF!</v>
      </c>
      <c r="L161" s="34"/>
      <c r="M161" s="105" t="e">
        <f>VLOOKUP($C161,#REF!,12,0)</f>
        <v>#REF!</v>
      </c>
      <c r="N161" s="34" t="e">
        <f>VLOOKUP($C161,#REF!,13,0)</f>
        <v>#REF!</v>
      </c>
      <c r="O161" s="105" t="e">
        <f>VLOOKUP($C161,#REF!,14,0)</f>
        <v>#REF!</v>
      </c>
      <c r="P161" s="34" t="e">
        <f>VLOOKUP($C161,#REF!,15,0)</f>
        <v>#REF!</v>
      </c>
      <c r="Q161" s="105" t="e">
        <f>VLOOKUP($C161,#REF!,16,0)</f>
        <v>#REF!</v>
      </c>
      <c r="R161" s="106" t="e">
        <f>VLOOKUP($C161,#REF!,17,0)</f>
        <v>#REF!</v>
      </c>
      <c r="S161" s="34" t="e">
        <f>VLOOKUP($C161,#REF!,18,0)</f>
        <v>#REF!</v>
      </c>
      <c r="T161" s="106" t="e">
        <f>VLOOKUP($C161,#REF!,19,0)</f>
        <v>#REF!</v>
      </c>
      <c r="U161" s="34"/>
      <c r="V161" s="105" t="e">
        <f>VLOOKUP($C161,#REF!,20,0)</f>
        <v>#REF!</v>
      </c>
      <c r="W161" s="34" t="e">
        <f>VLOOKUP($C161,#REF!,21,0)</f>
        <v>#REF!</v>
      </c>
      <c r="X161" s="105" t="e">
        <f>VLOOKUP($C161,#REF!,22,0)</f>
        <v>#REF!</v>
      </c>
      <c r="Y161" s="34" t="e">
        <f>VLOOKUP($C161,#REF!,23,0)</f>
        <v>#REF!</v>
      </c>
      <c r="Z161" s="105" t="e">
        <f>VLOOKUP($C161,#REF!,24,0)</f>
        <v>#REF!</v>
      </c>
      <c r="AA161" s="106" t="e">
        <f>VLOOKUP($C161,#REF!,25,0)</f>
        <v>#REF!</v>
      </c>
      <c r="AB161" s="34" t="e">
        <f>VLOOKUP($C161,#REF!,26,0)</f>
        <v>#REF!</v>
      </c>
      <c r="AC161" s="106" t="e">
        <f>VLOOKUP($C161,#REF!,27,0)</f>
        <v>#REF!</v>
      </c>
      <c r="AE161" s="105" t="e">
        <f t="shared" si="53"/>
        <v>#REF!</v>
      </c>
      <c r="AF161" s="107" t="s">
        <v>320</v>
      </c>
      <c r="AG161" s="107" t="s">
        <v>321</v>
      </c>
      <c r="AH161" s="106" t="s">
        <v>322</v>
      </c>
      <c r="AJ161" s="105" t="s">
        <v>323</v>
      </c>
      <c r="AK161" s="107" t="s">
        <v>324</v>
      </c>
      <c r="AL161" s="107" t="s">
        <v>325</v>
      </c>
      <c r="AM161" s="107" t="s">
        <v>326</v>
      </c>
      <c r="AN161" s="107" t="s">
        <v>326</v>
      </c>
      <c r="AO161" s="106" t="s">
        <v>320</v>
      </c>
      <c r="AQ161" s="108">
        <v>41</v>
      </c>
      <c r="AR161" s="5"/>
      <c r="AS161" s="105">
        <v>0</v>
      </c>
      <c r="AT161" s="106">
        <v>0</v>
      </c>
      <c r="AU161" s="34"/>
      <c r="AV161" s="105">
        <f t="shared" si="50"/>
        <v>0</v>
      </c>
      <c r="AW161" s="106">
        <f t="shared" si="51"/>
        <v>0</v>
      </c>
      <c r="AX161" s="105">
        <f t="shared" si="54"/>
        <v>0</v>
      </c>
      <c r="AY161" s="106">
        <f t="shared" si="55"/>
        <v>0</v>
      </c>
      <c r="AZ161" s="105">
        <f t="shared" si="56"/>
        <v>0</v>
      </c>
      <c r="BA161" s="106">
        <f t="shared" si="57"/>
        <v>0</v>
      </c>
      <c r="BB161" s="34">
        <f t="shared" si="58"/>
        <v>0</v>
      </c>
      <c r="BC161" s="106">
        <f t="shared" si="59"/>
        <v>0</v>
      </c>
      <c r="BD161" s="34"/>
      <c r="BE161" s="105">
        <f t="shared" si="60"/>
        <v>0</v>
      </c>
      <c r="BF161" s="106">
        <f t="shared" si="61"/>
        <v>0</v>
      </c>
      <c r="BG161" s="105">
        <f t="shared" si="62"/>
        <v>0</v>
      </c>
      <c r="BH161" s="106">
        <f t="shared" si="63"/>
        <v>0</v>
      </c>
      <c r="BI161" s="34">
        <f t="shared" si="64"/>
        <v>0</v>
      </c>
      <c r="BJ161" s="106">
        <f t="shared" si="65"/>
        <v>0</v>
      </c>
      <c r="BK161" s="34">
        <f t="shared" si="66"/>
        <v>0</v>
      </c>
      <c r="BL161" s="106">
        <f t="shared" si="67"/>
        <v>0</v>
      </c>
      <c r="BN161" s="108">
        <v>0</v>
      </c>
      <c r="BO161" s="5"/>
      <c r="BP161" s="105">
        <v>0</v>
      </c>
      <c r="BQ161" s="106">
        <v>0</v>
      </c>
      <c r="BR161" s="34"/>
      <c r="BS161" s="105">
        <v>0</v>
      </c>
      <c r="BT161" s="106">
        <v>0</v>
      </c>
      <c r="BU161" s="105">
        <v>0</v>
      </c>
      <c r="BV161" s="106">
        <v>0</v>
      </c>
      <c r="BW161" s="105">
        <v>0</v>
      </c>
      <c r="BX161" s="106">
        <v>0</v>
      </c>
      <c r="BY161" s="105">
        <v>0</v>
      </c>
      <c r="BZ161" s="106">
        <v>0</v>
      </c>
      <c r="CA161" s="34"/>
      <c r="CB161" s="105">
        <v>0</v>
      </c>
      <c r="CC161" s="106">
        <v>0</v>
      </c>
      <c r="CD161" s="105">
        <v>0</v>
      </c>
      <c r="CE161" s="106">
        <v>0</v>
      </c>
      <c r="CF161" s="105">
        <v>0</v>
      </c>
      <c r="CG161" s="106">
        <v>0</v>
      </c>
      <c r="CH161" s="105">
        <v>0</v>
      </c>
      <c r="CI161" s="106">
        <v>0</v>
      </c>
      <c r="CK161" s="78"/>
      <c r="CL161" s="5"/>
      <c r="CM161" s="38" t="str">
        <f t="shared" si="68"/>
        <v>-</v>
      </c>
      <c r="CN161" s="5"/>
      <c r="CO161" s="38" t="str">
        <f t="shared" si="69"/>
        <v>-</v>
      </c>
      <c r="CP161" s="38" t="str">
        <f t="shared" si="70"/>
        <v>-</v>
      </c>
      <c r="CQ161" s="38" t="str">
        <f t="shared" si="71"/>
        <v>-</v>
      </c>
      <c r="CR161" s="38" t="str">
        <f t="shared" si="71"/>
        <v>-</v>
      </c>
      <c r="CS161" s="5"/>
      <c r="CT161" s="38" t="str">
        <f t="shared" si="72"/>
        <v>-</v>
      </c>
      <c r="CU161" s="38" t="str">
        <f t="shared" si="73"/>
        <v>-</v>
      </c>
      <c r="CV161" s="38" t="str">
        <f t="shared" si="74"/>
        <v>-</v>
      </c>
      <c r="CW161" s="38" t="str">
        <f t="shared" si="75"/>
        <v>-</v>
      </c>
    </row>
    <row r="162" spans="2:101" s="113" customFormat="1" ht="12.75" customHeight="1">
      <c r="B162" s="99" t="s">
        <v>60</v>
      </c>
      <c r="C162" s="98" t="s">
        <v>92</v>
      </c>
      <c r="D162" s="114" t="e">
        <f>VLOOKUP($C162,#REF!,5,0)</f>
        <v>#REF!</v>
      </c>
      <c r="E162" s="115" t="e">
        <f>VLOOKUP($C162,#REF!,6,0)</f>
        <v>#REF!</v>
      </c>
      <c r="F162" s="98" t="e">
        <f>VLOOKUP($C162,#REF!,7,0)</f>
        <v>#REF!</v>
      </c>
      <c r="G162" s="98" t="e">
        <f>VLOOKUP($C162,#REF!,8,0)</f>
        <v>#REF!</v>
      </c>
      <c r="H162" s="116" t="e">
        <f>VLOOKUP($C162,#REF!,9,0)</f>
        <v>#REF!</v>
      </c>
      <c r="I162" s="5"/>
      <c r="J162" s="118" t="e">
        <f>VLOOKUP($C162,#REF!,10,0)</f>
        <v>#REF!</v>
      </c>
      <c r="K162" s="119" t="e">
        <f>VLOOKUP($C162,#REF!,11,0)</f>
        <v>#REF!</v>
      </c>
      <c r="L162" s="34"/>
      <c r="M162" s="118" t="e">
        <f>VLOOKUP($C162,#REF!,12,0)</f>
        <v>#REF!</v>
      </c>
      <c r="N162" s="120" t="e">
        <f>VLOOKUP($C162,#REF!,13,0)</f>
        <v>#REF!</v>
      </c>
      <c r="O162" s="118" t="e">
        <f>VLOOKUP($C162,#REF!,14,0)</f>
        <v>#REF!</v>
      </c>
      <c r="P162" s="120" t="e">
        <f>VLOOKUP($C162,#REF!,15,0)</f>
        <v>#REF!</v>
      </c>
      <c r="Q162" s="118" t="e">
        <f>VLOOKUP($C162,#REF!,16,0)</f>
        <v>#REF!</v>
      </c>
      <c r="R162" s="119" t="e">
        <f>VLOOKUP($C162,#REF!,17,0)</f>
        <v>#REF!</v>
      </c>
      <c r="S162" s="120" t="e">
        <f>VLOOKUP($C162,#REF!,18,0)</f>
        <v>#REF!</v>
      </c>
      <c r="T162" s="119" t="e">
        <f>VLOOKUP($C162,#REF!,19,0)</f>
        <v>#REF!</v>
      </c>
      <c r="U162" s="34"/>
      <c r="V162" s="118" t="e">
        <f>VLOOKUP($C162,#REF!,20,0)</f>
        <v>#REF!</v>
      </c>
      <c r="W162" s="120" t="e">
        <f>VLOOKUP($C162,#REF!,21,0)</f>
        <v>#REF!</v>
      </c>
      <c r="X162" s="118" t="e">
        <f>VLOOKUP($C162,#REF!,22,0)</f>
        <v>#REF!</v>
      </c>
      <c r="Y162" s="120" t="e">
        <f>VLOOKUP($C162,#REF!,23,0)</f>
        <v>#REF!</v>
      </c>
      <c r="Z162" s="118" t="e">
        <f>VLOOKUP($C162,#REF!,24,0)</f>
        <v>#REF!</v>
      </c>
      <c r="AA162" s="119" t="e">
        <f>VLOOKUP($C162,#REF!,25,0)</f>
        <v>#REF!</v>
      </c>
      <c r="AB162" s="120" t="e">
        <f>VLOOKUP($C162,#REF!,26,0)</f>
        <v>#REF!</v>
      </c>
      <c r="AC162" s="119" t="e">
        <f>VLOOKUP($C162,#REF!,27,0)</f>
        <v>#REF!</v>
      </c>
      <c r="AD162" s="4"/>
      <c r="AE162" s="118" t="e">
        <f t="shared" si="53"/>
        <v>#REF!</v>
      </c>
      <c r="AF162" s="121" t="s">
        <v>320</v>
      </c>
      <c r="AG162" s="121" t="s">
        <v>321</v>
      </c>
      <c r="AH162" s="119" t="s">
        <v>322</v>
      </c>
      <c r="AI162" s="4"/>
      <c r="AJ162" s="118" t="s">
        <v>323</v>
      </c>
      <c r="AK162" s="121" t="s">
        <v>324</v>
      </c>
      <c r="AL162" s="121" t="s">
        <v>325</v>
      </c>
      <c r="AM162" s="121" t="s">
        <v>326</v>
      </c>
      <c r="AN162" s="121" t="s">
        <v>326</v>
      </c>
      <c r="AO162" s="119" t="s">
        <v>320</v>
      </c>
      <c r="AP162" s="4"/>
      <c r="AQ162" s="122">
        <v>25</v>
      </c>
      <c r="AR162" s="5"/>
      <c r="AS162" s="118">
        <v>0</v>
      </c>
      <c r="AT162" s="119">
        <v>0</v>
      </c>
      <c r="AU162" s="34"/>
      <c r="AV162" s="118">
        <f t="shared" si="50"/>
        <v>0</v>
      </c>
      <c r="AW162" s="119">
        <f t="shared" si="51"/>
        <v>0</v>
      </c>
      <c r="AX162" s="118">
        <f t="shared" si="54"/>
        <v>0</v>
      </c>
      <c r="AY162" s="119">
        <f t="shared" si="55"/>
        <v>0</v>
      </c>
      <c r="AZ162" s="118">
        <f t="shared" si="56"/>
        <v>0</v>
      </c>
      <c r="BA162" s="119">
        <f t="shared" si="57"/>
        <v>0</v>
      </c>
      <c r="BB162" s="120">
        <f t="shared" si="58"/>
        <v>0</v>
      </c>
      <c r="BC162" s="119">
        <f t="shared" si="59"/>
        <v>0</v>
      </c>
      <c r="BD162" s="34"/>
      <c r="BE162" s="118">
        <f t="shared" si="60"/>
        <v>0</v>
      </c>
      <c r="BF162" s="119">
        <f t="shared" si="61"/>
        <v>0</v>
      </c>
      <c r="BG162" s="118">
        <f t="shared" si="62"/>
        <v>0</v>
      </c>
      <c r="BH162" s="119">
        <f t="shared" si="63"/>
        <v>0</v>
      </c>
      <c r="BI162" s="120">
        <f t="shared" si="64"/>
        <v>0</v>
      </c>
      <c r="BJ162" s="119">
        <f t="shared" si="65"/>
        <v>0</v>
      </c>
      <c r="BK162" s="120">
        <f t="shared" si="66"/>
        <v>0</v>
      </c>
      <c r="BL162" s="119">
        <f t="shared" si="67"/>
        <v>0</v>
      </c>
      <c r="BM162" s="4"/>
      <c r="BN162" s="122">
        <v>8.2700000000000102</v>
      </c>
      <c r="BO162" s="117"/>
      <c r="BP162" s="118">
        <v>8.2700000000000102</v>
      </c>
      <c r="BQ162" s="119">
        <v>0</v>
      </c>
      <c r="BR162" s="120"/>
      <c r="BS162" s="118">
        <v>0</v>
      </c>
      <c r="BT162" s="119">
        <v>0</v>
      </c>
      <c r="BU162" s="118">
        <v>0</v>
      </c>
      <c r="BV162" s="119">
        <v>0</v>
      </c>
      <c r="BW162" s="118">
        <v>0</v>
      </c>
      <c r="BX162" s="119">
        <v>0</v>
      </c>
      <c r="BY162" s="118">
        <v>0</v>
      </c>
      <c r="BZ162" s="119">
        <v>0</v>
      </c>
      <c r="CA162" s="120"/>
      <c r="CB162" s="118">
        <v>0</v>
      </c>
      <c r="CC162" s="119">
        <v>0</v>
      </c>
      <c r="CD162" s="118">
        <v>0</v>
      </c>
      <c r="CE162" s="119">
        <v>0</v>
      </c>
      <c r="CF162" s="118">
        <v>0</v>
      </c>
      <c r="CG162" s="119">
        <v>0</v>
      </c>
      <c r="CH162" s="118">
        <v>0</v>
      </c>
      <c r="CI162" s="119">
        <v>0</v>
      </c>
      <c r="CJ162" s="4"/>
      <c r="CK162" s="79"/>
      <c r="CL162" s="5"/>
      <c r="CM162" s="39" t="str">
        <f t="shared" si="68"/>
        <v>-</v>
      </c>
      <c r="CN162" s="5"/>
      <c r="CO162" s="39" t="str">
        <f t="shared" si="69"/>
        <v>-</v>
      </c>
      <c r="CP162" s="39" t="str">
        <f t="shared" si="70"/>
        <v>-</v>
      </c>
      <c r="CQ162" s="39" t="str">
        <f t="shared" si="71"/>
        <v>-</v>
      </c>
      <c r="CR162" s="39" t="str">
        <f t="shared" si="71"/>
        <v>-</v>
      </c>
      <c r="CS162" s="5"/>
      <c r="CT162" s="39" t="str">
        <f t="shared" si="72"/>
        <v>-</v>
      </c>
      <c r="CU162" s="39" t="str">
        <f t="shared" si="73"/>
        <v>-</v>
      </c>
      <c r="CV162" s="39" t="str">
        <f t="shared" si="74"/>
        <v>-</v>
      </c>
      <c r="CW162" s="39" t="str">
        <f t="shared" si="75"/>
        <v>-</v>
      </c>
    </row>
    <row r="163" spans="2:101" s="4" customFormat="1" ht="12.75" customHeight="1">
      <c r="B163" s="102" t="s">
        <v>60</v>
      </c>
      <c r="C163" s="103" t="s">
        <v>200</v>
      </c>
      <c r="D163" s="104" t="e">
        <f>VLOOKUP($C163,#REF!,5,0)</f>
        <v>#REF!</v>
      </c>
      <c r="E163" s="109" t="e">
        <f>VLOOKUP($C163,#REF!,6,0)</f>
        <v>#REF!</v>
      </c>
      <c r="F163" s="103" t="e">
        <f>VLOOKUP($C163,#REF!,7,0)</f>
        <v>#REF!</v>
      </c>
      <c r="G163" s="103" t="e">
        <f>VLOOKUP($C163,#REF!,8,0)</f>
        <v>#REF!</v>
      </c>
      <c r="H163" s="110" t="e">
        <f>VLOOKUP($C163,#REF!,9,0)</f>
        <v>#REF!</v>
      </c>
      <c r="I163" s="5"/>
      <c r="J163" s="105" t="e">
        <f>VLOOKUP($C163,#REF!,10,0)</f>
        <v>#REF!</v>
      </c>
      <c r="K163" s="106" t="e">
        <f>VLOOKUP($C163,#REF!,11,0)</f>
        <v>#REF!</v>
      </c>
      <c r="L163" s="34"/>
      <c r="M163" s="105" t="e">
        <f>VLOOKUP($C163,#REF!,12,0)</f>
        <v>#REF!</v>
      </c>
      <c r="N163" s="34" t="e">
        <f>VLOOKUP($C163,#REF!,13,0)</f>
        <v>#REF!</v>
      </c>
      <c r="O163" s="105" t="e">
        <f>VLOOKUP($C163,#REF!,14,0)</f>
        <v>#REF!</v>
      </c>
      <c r="P163" s="34" t="e">
        <f>VLOOKUP($C163,#REF!,15,0)</f>
        <v>#REF!</v>
      </c>
      <c r="Q163" s="105" t="e">
        <f>VLOOKUP($C163,#REF!,16,0)</f>
        <v>#REF!</v>
      </c>
      <c r="R163" s="106" t="e">
        <f>VLOOKUP($C163,#REF!,17,0)</f>
        <v>#REF!</v>
      </c>
      <c r="S163" s="34" t="e">
        <f>VLOOKUP($C163,#REF!,18,0)</f>
        <v>#REF!</v>
      </c>
      <c r="T163" s="106" t="e">
        <f>VLOOKUP($C163,#REF!,19,0)</f>
        <v>#REF!</v>
      </c>
      <c r="U163" s="34"/>
      <c r="V163" s="105" t="e">
        <f>VLOOKUP($C163,#REF!,20,0)</f>
        <v>#REF!</v>
      </c>
      <c r="W163" s="34" t="e">
        <f>VLOOKUP($C163,#REF!,21,0)</f>
        <v>#REF!</v>
      </c>
      <c r="X163" s="105" t="e">
        <f>VLOOKUP($C163,#REF!,22,0)</f>
        <v>#REF!</v>
      </c>
      <c r="Y163" s="34" t="e">
        <f>VLOOKUP($C163,#REF!,23,0)</f>
        <v>#REF!</v>
      </c>
      <c r="Z163" s="105" t="e">
        <f>VLOOKUP($C163,#REF!,24,0)</f>
        <v>#REF!</v>
      </c>
      <c r="AA163" s="106" t="e">
        <f>VLOOKUP($C163,#REF!,25,0)</f>
        <v>#REF!</v>
      </c>
      <c r="AB163" s="34" t="e">
        <f>VLOOKUP($C163,#REF!,26,0)</f>
        <v>#REF!</v>
      </c>
      <c r="AC163" s="106" t="e">
        <f>VLOOKUP($C163,#REF!,27,0)</f>
        <v>#REF!</v>
      </c>
      <c r="AE163" s="105" t="e">
        <f t="shared" si="53"/>
        <v>#REF!</v>
      </c>
      <c r="AF163" s="107" t="s">
        <v>320</v>
      </c>
      <c r="AG163" s="107" t="s">
        <v>321</v>
      </c>
      <c r="AH163" s="106" t="s">
        <v>322</v>
      </c>
      <c r="AJ163" s="105" t="s">
        <v>323</v>
      </c>
      <c r="AK163" s="107" t="s">
        <v>324</v>
      </c>
      <c r="AL163" s="107" t="s">
        <v>325</v>
      </c>
      <c r="AM163" s="107" t="s">
        <v>326</v>
      </c>
      <c r="AN163" s="107" t="s">
        <v>326</v>
      </c>
      <c r="AO163" s="106" t="s">
        <v>320</v>
      </c>
      <c r="AQ163" s="108">
        <v>25</v>
      </c>
      <c r="AR163" s="5"/>
      <c r="AS163" s="105">
        <v>0</v>
      </c>
      <c r="AT163" s="106">
        <v>0</v>
      </c>
      <c r="AU163" s="34"/>
      <c r="AV163" s="105">
        <f t="shared" si="50"/>
        <v>0</v>
      </c>
      <c r="AW163" s="106">
        <f t="shared" si="51"/>
        <v>0</v>
      </c>
      <c r="AX163" s="105">
        <f t="shared" si="54"/>
        <v>0</v>
      </c>
      <c r="AY163" s="106">
        <f t="shared" si="55"/>
        <v>0</v>
      </c>
      <c r="AZ163" s="105">
        <f t="shared" si="56"/>
        <v>0</v>
      </c>
      <c r="BA163" s="106">
        <f t="shared" si="57"/>
        <v>0</v>
      </c>
      <c r="BB163" s="34">
        <f t="shared" si="58"/>
        <v>0</v>
      </c>
      <c r="BC163" s="106">
        <f t="shared" si="59"/>
        <v>0</v>
      </c>
      <c r="BD163" s="34"/>
      <c r="BE163" s="105">
        <f t="shared" si="60"/>
        <v>0</v>
      </c>
      <c r="BF163" s="106">
        <f t="shared" si="61"/>
        <v>0</v>
      </c>
      <c r="BG163" s="105">
        <f t="shared" si="62"/>
        <v>0</v>
      </c>
      <c r="BH163" s="106">
        <f t="shared" si="63"/>
        <v>0</v>
      </c>
      <c r="BI163" s="34">
        <f t="shared" si="64"/>
        <v>0</v>
      </c>
      <c r="BJ163" s="106">
        <f t="shared" si="65"/>
        <v>0</v>
      </c>
      <c r="BK163" s="34">
        <f t="shared" si="66"/>
        <v>0</v>
      </c>
      <c r="BL163" s="106">
        <f t="shared" si="67"/>
        <v>0</v>
      </c>
      <c r="BN163" s="108">
        <v>0</v>
      </c>
      <c r="BO163" s="5"/>
      <c r="BP163" s="105">
        <v>0</v>
      </c>
      <c r="BQ163" s="106">
        <v>0</v>
      </c>
      <c r="BR163" s="34"/>
      <c r="BS163" s="105">
        <v>0</v>
      </c>
      <c r="BT163" s="106">
        <v>0</v>
      </c>
      <c r="BU163" s="105">
        <v>0</v>
      </c>
      <c r="BV163" s="106">
        <v>0</v>
      </c>
      <c r="BW163" s="105">
        <v>0</v>
      </c>
      <c r="BX163" s="106">
        <v>0</v>
      </c>
      <c r="BY163" s="105">
        <v>0</v>
      </c>
      <c r="BZ163" s="106">
        <v>0</v>
      </c>
      <c r="CA163" s="34"/>
      <c r="CB163" s="105">
        <v>0</v>
      </c>
      <c r="CC163" s="106">
        <v>0</v>
      </c>
      <c r="CD163" s="105">
        <v>0</v>
      </c>
      <c r="CE163" s="106">
        <v>0</v>
      </c>
      <c r="CF163" s="105">
        <v>0</v>
      </c>
      <c r="CG163" s="106">
        <v>0</v>
      </c>
      <c r="CH163" s="105">
        <v>0</v>
      </c>
      <c r="CI163" s="106">
        <v>0</v>
      </c>
      <c r="CK163" s="78"/>
      <c r="CL163" s="5"/>
      <c r="CM163" s="38" t="str">
        <f t="shared" si="68"/>
        <v>-</v>
      </c>
      <c r="CN163" s="5"/>
      <c r="CO163" s="38" t="str">
        <f t="shared" si="69"/>
        <v>-</v>
      </c>
      <c r="CP163" s="38" t="str">
        <f t="shared" si="70"/>
        <v>-</v>
      </c>
      <c r="CQ163" s="38" t="str">
        <f t="shared" si="71"/>
        <v>-</v>
      </c>
      <c r="CR163" s="38" t="str">
        <f t="shared" si="71"/>
        <v>-</v>
      </c>
      <c r="CS163" s="5"/>
      <c r="CT163" s="38" t="str">
        <f t="shared" si="72"/>
        <v>-</v>
      </c>
      <c r="CU163" s="38" t="str">
        <f t="shared" si="73"/>
        <v>-</v>
      </c>
      <c r="CV163" s="38" t="str">
        <f t="shared" si="74"/>
        <v>-</v>
      </c>
      <c r="CW163" s="38" t="str">
        <f t="shared" si="75"/>
        <v>-</v>
      </c>
    </row>
    <row r="164" spans="2:101" s="113" customFormat="1" ht="12.75" customHeight="1">
      <c r="B164" s="99" t="s">
        <v>60</v>
      </c>
      <c r="C164" s="98" t="s">
        <v>201</v>
      </c>
      <c r="D164" s="114" t="e">
        <f>VLOOKUP($C164,#REF!,5,0)</f>
        <v>#REF!</v>
      </c>
      <c r="E164" s="115" t="e">
        <f>VLOOKUP($C164,#REF!,6,0)</f>
        <v>#REF!</v>
      </c>
      <c r="F164" s="98" t="e">
        <f>VLOOKUP($C164,#REF!,7,0)</f>
        <v>#REF!</v>
      </c>
      <c r="G164" s="98" t="e">
        <f>VLOOKUP($C164,#REF!,8,0)</f>
        <v>#REF!</v>
      </c>
      <c r="H164" s="116" t="e">
        <f>VLOOKUP($C164,#REF!,9,0)</f>
        <v>#REF!</v>
      </c>
      <c r="I164" s="5"/>
      <c r="J164" s="118" t="e">
        <f>VLOOKUP($C164,#REF!,10,0)</f>
        <v>#REF!</v>
      </c>
      <c r="K164" s="119" t="e">
        <f>VLOOKUP($C164,#REF!,11,0)</f>
        <v>#REF!</v>
      </c>
      <c r="L164" s="34"/>
      <c r="M164" s="118" t="e">
        <f>VLOOKUP($C164,#REF!,12,0)</f>
        <v>#REF!</v>
      </c>
      <c r="N164" s="120" t="e">
        <f>VLOOKUP($C164,#REF!,13,0)</f>
        <v>#REF!</v>
      </c>
      <c r="O164" s="118" t="e">
        <f>VLOOKUP($C164,#REF!,14,0)</f>
        <v>#REF!</v>
      </c>
      <c r="P164" s="120" t="e">
        <f>VLOOKUP($C164,#REF!,15,0)</f>
        <v>#REF!</v>
      </c>
      <c r="Q164" s="118" t="e">
        <f>VLOOKUP($C164,#REF!,16,0)</f>
        <v>#REF!</v>
      </c>
      <c r="R164" s="119" t="e">
        <f>VLOOKUP($C164,#REF!,17,0)</f>
        <v>#REF!</v>
      </c>
      <c r="S164" s="120" t="e">
        <f>VLOOKUP($C164,#REF!,18,0)</f>
        <v>#REF!</v>
      </c>
      <c r="T164" s="119" t="e">
        <f>VLOOKUP($C164,#REF!,19,0)</f>
        <v>#REF!</v>
      </c>
      <c r="U164" s="34"/>
      <c r="V164" s="118" t="e">
        <f>VLOOKUP($C164,#REF!,20,0)</f>
        <v>#REF!</v>
      </c>
      <c r="W164" s="120" t="e">
        <f>VLOOKUP($C164,#REF!,21,0)</f>
        <v>#REF!</v>
      </c>
      <c r="X164" s="118" t="e">
        <f>VLOOKUP($C164,#REF!,22,0)</f>
        <v>#REF!</v>
      </c>
      <c r="Y164" s="120" t="e">
        <f>VLOOKUP($C164,#REF!,23,0)</f>
        <v>#REF!</v>
      </c>
      <c r="Z164" s="118" t="e">
        <f>VLOOKUP($C164,#REF!,24,0)</f>
        <v>#REF!</v>
      </c>
      <c r="AA164" s="119" t="e">
        <f>VLOOKUP($C164,#REF!,25,0)</f>
        <v>#REF!</v>
      </c>
      <c r="AB164" s="120" t="e">
        <f>VLOOKUP($C164,#REF!,26,0)</f>
        <v>#REF!</v>
      </c>
      <c r="AC164" s="119" t="e">
        <f>VLOOKUP($C164,#REF!,27,0)</f>
        <v>#REF!</v>
      </c>
      <c r="AD164" s="4"/>
      <c r="AE164" s="118" t="e">
        <f t="shared" si="53"/>
        <v>#REF!</v>
      </c>
      <c r="AF164" s="121" t="s">
        <v>320</v>
      </c>
      <c r="AG164" s="121" t="s">
        <v>321</v>
      </c>
      <c r="AH164" s="119" t="s">
        <v>322</v>
      </c>
      <c r="AI164" s="4"/>
      <c r="AJ164" s="118" t="s">
        <v>323</v>
      </c>
      <c r="AK164" s="121" t="s">
        <v>324</v>
      </c>
      <c r="AL164" s="121" t="s">
        <v>325</v>
      </c>
      <c r="AM164" s="121" t="s">
        <v>326</v>
      </c>
      <c r="AN164" s="121" t="s">
        <v>326</v>
      </c>
      <c r="AO164" s="119" t="s">
        <v>320</v>
      </c>
      <c r="AP164" s="4"/>
      <c r="AQ164" s="122">
        <v>0</v>
      </c>
      <c r="AR164" s="5"/>
      <c r="AS164" s="118">
        <v>0</v>
      </c>
      <c r="AT164" s="119">
        <v>0</v>
      </c>
      <c r="AU164" s="34"/>
      <c r="AV164" s="118">
        <f t="shared" si="50"/>
        <v>0</v>
      </c>
      <c r="AW164" s="119">
        <f t="shared" si="51"/>
        <v>0</v>
      </c>
      <c r="AX164" s="118">
        <f t="shared" si="54"/>
        <v>0</v>
      </c>
      <c r="AY164" s="119">
        <f t="shared" si="55"/>
        <v>0</v>
      </c>
      <c r="AZ164" s="118">
        <f t="shared" si="56"/>
        <v>0</v>
      </c>
      <c r="BA164" s="119">
        <f t="shared" si="57"/>
        <v>0</v>
      </c>
      <c r="BB164" s="120">
        <f t="shared" si="58"/>
        <v>0</v>
      </c>
      <c r="BC164" s="119">
        <f t="shared" si="59"/>
        <v>0</v>
      </c>
      <c r="BD164" s="34"/>
      <c r="BE164" s="118">
        <f t="shared" si="60"/>
        <v>0</v>
      </c>
      <c r="BF164" s="119">
        <f t="shared" si="61"/>
        <v>0</v>
      </c>
      <c r="BG164" s="118">
        <f t="shared" si="62"/>
        <v>0</v>
      </c>
      <c r="BH164" s="119">
        <f t="shared" si="63"/>
        <v>0</v>
      </c>
      <c r="BI164" s="120">
        <f t="shared" si="64"/>
        <v>0</v>
      </c>
      <c r="BJ164" s="119">
        <f t="shared" si="65"/>
        <v>0</v>
      </c>
      <c r="BK164" s="120">
        <f t="shared" si="66"/>
        <v>0</v>
      </c>
      <c r="BL164" s="119">
        <f t="shared" si="67"/>
        <v>0</v>
      </c>
      <c r="BM164" s="4"/>
      <c r="BN164" s="122">
        <v>0</v>
      </c>
      <c r="BO164" s="117"/>
      <c r="BP164" s="118">
        <v>0</v>
      </c>
      <c r="BQ164" s="119">
        <v>0</v>
      </c>
      <c r="BR164" s="120"/>
      <c r="BS164" s="118">
        <v>0</v>
      </c>
      <c r="BT164" s="119">
        <v>0</v>
      </c>
      <c r="BU164" s="118">
        <v>0</v>
      </c>
      <c r="BV164" s="119">
        <v>0</v>
      </c>
      <c r="BW164" s="118">
        <v>0</v>
      </c>
      <c r="BX164" s="119">
        <v>0</v>
      </c>
      <c r="BY164" s="118">
        <v>0</v>
      </c>
      <c r="BZ164" s="119">
        <v>0</v>
      </c>
      <c r="CA164" s="120"/>
      <c r="CB164" s="118">
        <v>0</v>
      </c>
      <c r="CC164" s="119">
        <v>0</v>
      </c>
      <c r="CD164" s="118">
        <v>0</v>
      </c>
      <c r="CE164" s="119">
        <v>0</v>
      </c>
      <c r="CF164" s="118">
        <v>0</v>
      </c>
      <c r="CG164" s="119">
        <v>0</v>
      </c>
      <c r="CH164" s="118">
        <v>0</v>
      </c>
      <c r="CI164" s="119">
        <v>0</v>
      </c>
      <c r="CJ164" s="4"/>
      <c r="CK164" s="79"/>
      <c r="CL164" s="5"/>
      <c r="CM164" s="39" t="str">
        <f t="shared" si="68"/>
        <v>-</v>
      </c>
      <c r="CN164" s="5"/>
      <c r="CO164" s="39" t="str">
        <f t="shared" si="69"/>
        <v>-</v>
      </c>
      <c r="CP164" s="39" t="str">
        <f t="shared" si="70"/>
        <v>-</v>
      </c>
      <c r="CQ164" s="39" t="str">
        <f t="shared" si="71"/>
        <v>-</v>
      </c>
      <c r="CR164" s="39" t="str">
        <f t="shared" si="71"/>
        <v>-</v>
      </c>
      <c r="CS164" s="5"/>
      <c r="CT164" s="39" t="str">
        <f t="shared" si="72"/>
        <v>-</v>
      </c>
      <c r="CU164" s="39" t="str">
        <f t="shared" si="73"/>
        <v>-</v>
      </c>
      <c r="CV164" s="39" t="str">
        <f t="shared" si="74"/>
        <v>-</v>
      </c>
      <c r="CW164" s="39" t="str">
        <f t="shared" si="75"/>
        <v>-</v>
      </c>
    </row>
    <row r="165" spans="2:101" s="4" customFormat="1" ht="12.75" customHeight="1">
      <c r="B165" s="102" t="s">
        <v>60</v>
      </c>
      <c r="C165" s="103" t="s">
        <v>196</v>
      </c>
      <c r="D165" s="104" t="e">
        <f>VLOOKUP($C165,#REF!,5,0)</f>
        <v>#REF!</v>
      </c>
      <c r="E165" s="109" t="e">
        <f>VLOOKUP($C165,#REF!,6,0)</f>
        <v>#REF!</v>
      </c>
      <c r="F165" s="103" t="e">
        <f>VLOOKUP($C165,#REF!,7,0)</f>
        <v>#REF!</v>
      </c>
      <c r="G165" s="103" t="e">
        <f>VLOOKUP($C165,#REF!,8,0)</f>
        <v>#REF!</v>
      </c>
      <c r="H165" s="110" t="e">
        <f>VLOOKUP($C165,#REF!,9,0)</f>
        <v>#REF!</v>
      </c>
      <c r="I165" s="5"/>
      <c r="J165" s="105" t="e">
        <f>VLOOKUP($C165,#REF!,10,0)</f>
        <v>#REF!</v>
      </c>
      <c r="K165" s="106" t="e">
        <f>VLOOKUP($C165,#REF!,11,0)</f>
        <v>#REF!</v>
      </c>
      <c r="L165" s="34"/>
      <c r="M165" s="105" t="e">
        <f>VLOOKUP($C165,#REF!,12,0)</f>
        <v>#REF!</v>
      </c>
      <c r="N165" s="34" t="e">
        <f>VLOOKUP($C165,#REF!,13,0)</f>
        <v>#REF!</v>
      </c>
      <c r="O165" s="105" t="e">
        <f>VLOOKUP($C165,#REF!,14,0)</f>
        <v>#REF!</v>
      </c>
      <c r="P165" s="34" t="e">
        <f>VLOOKUP($C165,#REF!,15,0)</f>
        <v>#REF!</v>
      </c>
      <c r="Q165" s="105" t="e">
        <f>VLOOKUP($C165,#REF!,16,0)</f>
        <v>#REF!</v>
      </c>
      <c r="R165" s="106" t="e">
        <f>VLOOKUP($C165,#REF!,17,0)</f>
        <v>#REF!</v>
      </c>
      <c r="S165" s="34" t="e">
        <f>VLOOKUP($C165,#REF!,18,0)</f>
        <v>#REF!</v>
      </c>
      <c r="T165" s="106" t="e">
        <f>VLOOKUP($C165,#REF!,19,0)</f>
        <v>#REF!</v>
      </c>
      <c r="U165" s="34"/>
      <c r="V165" s="105" t="e">
        <f>VLOOKUP($C165,#REF!,20,0)</f>
        <v>#REF!</v>
      </c>
      <c r="W165" s="34" t="e">
        <f>VLOOKUP($C165,#REF!,21,0)</f>
        <v>#REF!</v>
      </c>
      <c r="X165" s="105" t="e">
        <f>VLOOKUP($C165,#REF!,22,0)</f>
        <v>#REF!</v>
      </c>
      <c r="Y165" s="34" t="e">
        <f>VLOOKUP($C165,#REF!,23,0)</f>
        <v>#REF!</v>
      </c>
      <c r="Z165" s="105" t="e">
        <f>VLOOKUP($C165,#REF!,24,0)</f>
        <v>#REF!</v>
      </c>
      <c r="AA165" s="106" t="e">
        <f>VLOOKUP($C165,#REF!,25,0)</f>
        <v>#REF!</v>
      </c>
      <c r="AB165" s="34" t="e">
        <f>VLOOKUP($C165,#REF!,26,0)</f>
        <v>#REF!</v>
      </c>
      <c r="AC165" s="106" t="e">
        <f>VLOOKUP($C165,#REF!,27,0)</f>
        <v>#REF!</v>
      </c>
      <c r="AE165" s="105" t="e">
        <f t="shared" si="53"/>
        <v>#REF!</v>
      </c>
      <c r="AF165" s="107" t="s">
        <v>320</v>
      </c>
      <c r="AG165" s="107" t="s">
        <v>321</v>
      </c>
      <c r="AH165" s="106" t="s">
        <v>322</v>
      </c>
      <c r="AJ165" s="105" t="s">
        <v>323</v>
      </c>
      <c r="AK165" s="107" t="s">
        <v>324</v>
      </c>
      <c r="AL165" s="107" t="s">
        <v>325</v>
      </c>
      <c r="AM165" s="107" t="s">
        <v>326</v>
      </c>
      <c r="AN165" s="107" t="s">
        <v>326</v>
      </c>
      <c r="AO165" s="106" t="s">
        <v>320</v>
      </c>
      <c r="AQ165" s="108">
        <v>0</v>
      </c>
      <c r="AR165" s="5"/>
      <c r="AS165" s="105">
        <v>0</v>
      </c>
      <c r="AT165" s="106">
        <v>0</v>
      </c>
      <c r="AU165" s="34"/>
      <c r="AV165" s="105">
        <f t="shared" si="50"/>
        <v>0</v>
      </c>
      <c r="AW165" s="106">
        <f t="shared" si="51"/>
        <v>0</v>
      </c>
      <c r="AX165" s="105">
        <f t="shared" si="54"/>
        <v>0</v>
      </c>
      <c r="AY165" s="106">
        <f t="shared" si="55"/>
        <v>0</v>
      </c>
      <c r="AZ165" s="105">
        <f t="shared" si="56"/>
        <v>0</v>
      </c>
      <c r="BA165" s="106">
        <f t="shared" si="57"/>
        <v>0</v>
      </c>
      <c r="BB165" s="34">
        <f t="shared" si="58"/>
        <v>0</v>
      </c>
      <c r="BC165" s="106">
        <f t="shared" si="59"/>
        <v>0</v>
      </c>
      <c r="BD165" s="34"/>
      <c r="BE165" s="105">
        <f t="shared" si="60"/>
        <v>0</v>
      </c>
      <c r="BF165" s="106">
        <f t="shared" si="61"/>
        <v>0</v>
      </c>
      <c r="BG165" s="105">
        <f t="shared" si="62"/>
        <v>0</v>
      </c>
      <c r="BH165" s="106">
        <f t="shared" si="63"/>
        <v>0</v>
      </c>
      <c r="BI165" s="34">
        <f t="shared" si="64"/>
        <v>0</v>
      </c>
      <c r="BJ165" s="106">
        <f t="shared" si="65"/>
        <v>0</v>
      </c>
      <c r="BK165" s="34">
        <f t="shared" si="66"/>
        <v>0</v>
      </c>
      <c r="BL165" s="106">
        <f t="shared" si="67"/>
        <v>0</v>
      </c>
      <c r="BN165" s="108">
        <v>0</v>
      </c>
      <c r="BO165" s="5"/>
      <c r="BP165" s="105">
        <v>0</v>
      </c>
      <c r="BQ165" s="106">
        <v>0</v>
      </c>
      <c r="BR165" s="34"/>
      <c r="BS165" s="105">
        <v>0</v>
      </c>
      <c r="BT165" s="106">
        <v>0</v>
      </c>
      <c r="BU165" s="105">
        <v>0</v>
      </c>
      <c r="BV165" s="106">
        <v>0</v>
      </c>
      <c r="BW165" s="105">
        <v>0</v>
      </c>
      <c r="BX165" s="106">
        <v>0</v>
      </c>
      <c r="BY165" s="105">
        <v>0</v>
      </c>
      <c r="BZ165" s="106">
        <v>0</v>
      </c>
      <c r="CA165" s="34"/>
      <c r="CB165" s="105">
        <v>0</v>
      </c>
      <c r="CC165" s="106">
        <v>0</v>
      </c>
      <c r="CD165" s="105">
        <v>0</v>
      </c>
      <c r="CE165" s="106">
        <v>0</v>
      </c>
      <c r="CF165" s="105">
        <v>0</v>
      </c>
      <c r="CG165" s="106">
        <v>0</v>
      </c>
      <c r="CH165" s="105">
        <v>0</v>
      </c>
      <c r="CI165" s="106">
        <v>0</v>
      </c>
      <c r="CK165" s="78"/>
      <c r="CL165" s="5"/>
      <c r="CM165" s="38" t="str">
        <f t="shared" si="68"/>
        <v>-</v>
      </c>
      <c r="CN165" s="5"/>
      <c r="CO165" s="38" t="str">
        <f t="shared" si="69"/>
        <v>-</v>
      </c>
      <c r="CP165" s="38" t="str">
        <f t="shared" si="70"/>
        <v>-</v>
      </c>
      <c r="CQ165" s="38" t="str">
        <f t="shared" si="71"/>
        <v>-</v>
      </c>
      <c r="CR165" s="38" t="str">
        <f t="shared" si="71"/>
        <v>-</v>
      </c>
      <c r="CS165" s="5"/>
      <c r="CT165" s="38" t="str">
        <f t="shared" si="72"/>
        <v>-</v>
      </c>
      <c r="CU165" s="38" t="str">
        <f t="shared" si="73"/>
        <v>-</v>
      </c>
      <c r="CV165" s="38" t="str">
        <f t="shared" si="74"/>
        <v>-</v>
      </c>
      <c r="CW165" s="38" t="str">
        <f t="shared" si="75"/>
        <v>-</v>
      </c>
    </row>
    <row r="166" spans="2:101" s="113" customFormat="1" ht="12.75" customHeight="1">
      <c r="B166" s="99" t="s">
        <v>60</v>
      </c>
      <c r="C166" s="98" t="s">
        <v>262</v>
      </c>
      <c r="D166" s="114" t="e">
        <f>VLOOKUP($C166,#REF!,5,0)</f>
        <v>#REF!</v>
      </c>
      <c r="E166" s="115" t="e">
        <f>VLOOKUP($C166,#REF!,6,0)</f>
        <v>#REF!</v>
      </c>
      <c r="F166" s="98" t="e">
        <f>VLOOKUP($C166,#REF!,7,0)</f>
        <v>#REF!</v>
      </c>
      <c r="G166" s="98" t="e">
        <f>VLOOKUP($C166,#REF!,8,0)</f>
        <v>#REF!</v>
      </c>
      <c r="H166" s="116" t="e">
        <f>VLOOKUP($C166,#REF!,9,0)</f>
        <v>#REF!</v>
      </c>
      <c r="I166" s="5"/>
      <c r="J166" s="118" t="e">
        <f>VLOOKUP($C166,#REF!,10,0)</f>
        <v>#REF!</v>
      </c>
      <c r="K166" s="119" t="e">
        <f>VLOOKUP($C166,#REF!,11,0)</f>
        <v>#REF!</v>
      </c>
      <c r="L166" s="34"/>
      <c r="M166" s="118" t="e">
        <f>VLOOKUP($C166,#REF!,12,0)</f>
        <v>#REF!</v>
      </c>
      <c r="N166" s="120" t="e">
        <f>VLOOKUP($C166,#REF!,13,0)</f>
        <v>#REF!</v>
      </c>
      <c r="O166" s="118" t="e">
        <f>VLOOKUP($C166,#REF!,14,0)</f>
        <v>#REF!</v>
      </c>
      <c r="P166" s="120" t="e">
        <f>VLOOKUP($C166,#REF!,15,0)</f>
        <v>#REF!</v>
      </c>
      <c r="Q166" s="118" t="e">
        <f>VLOOKUP($C166,#REF!,16,0)</f>
        <v>#REF!</v>
      </c>
      <c r="R166" s="119" t="e">
        <f>VLOOKUP($C166,#REF!,17,0)</f>
        <v>#REF!</v>
      </c>
      <c r="S166" s="120" t="e">
        <f>VLOOKUP($C166,#REF!,18,0)</f>
        <v>#REF!</v>
      </c>
      <c r="T166" s="119" t="e">
        <f>VLOOKUP($C166,#REF!,19,0)</f>
        <v>#REF!</v>
      </c>
      <c r="U166" s="34"/>
      <c r="V166" s="118" t="e">
        <f>VLOOKUP($C166,#REF!,20,0)</f>
        <v>#REF!</v>
      </c>
      <c r="W166" s="120" t="e">
        <f>VLOOKUP($C166,#REF!,21,0)</f>
        <v>#REF!</v>
      </c>
      <c r="X166" s="118" t="e">
        <f>VLOOKUP($C166,#REF!,22,0)</f>
        <v>#REF!</v>
      </c>
      <c r="Y166" s="120" t="e">
        <f>VLOOKUP($C166,#REF!,23,0)</f>
        <v>#REF!</v>
      </c>
      <c r="Z166" s="118" t="e">
        <f>VLOOKUP($C166,#REF!,24,0)</f>
        <v>#REF!</v>
      </c>
      <c r="AA166" s="119" t="e">
        <f>VLOOKUP($C166,#REF!,25,0)</f>
        <v>#REF!</v>
      </c>
      <c r="AB166" s="120" t="e">
        <f>VLOOKUP($C166,#REF!,26,0)</f>
        <v>#REF!</v>
      </c>
      <c r="AC166" s="119" t="e">
        <f>VLOOKUP($C166,#REF!,27,0)</f>
        <v>#REF!</v>
      </c>
      <c r="AD166" s="4"/>
      <c r="AE166" s="118" t="e">
        <f t="shared" si="53"/>
        <v>#REF!</v>
      </c>
      <c r="AF166" s="121" t="s">
        <v>320</v>
      </c>
      <c r="AG166" s="121" t="s">
        <v>321</v>
      </c>
      <c r="AH166" s="119" t="s">
        <v>322</v>
      </c>
      <c r="AI166" s="4"/>
      <c r="AJ166" s="118" t="s">
        <v>323</v>
      </c>
      <c r="AK166" s="121" t="s">
        <v>324</v>
      </c>
      <c r="AL166" s="121" t="s">
        <v>325</v>
      </c>
      <c r="AM166" s="121" t="s">
        <v>326</v>
      </c>
      <c r="AN166" s="121" t="s">
        <v>326</v>
      </c>
      <c r="AO166" s="119" t="s">
        <v>320</v>
      </c>
      <c r="AP166" s="4"/>
      <c r="AQ166" s="122">
        <v>-1</v>
      </c>
      <c r="AR166" s="5"/>
      <c r="AS166" s="118">
        <v>0</v>
      </c>
      <c r="AT166" s="119">
        <v>0</v>
      </c>
      <c r="AU166" s="34"/>
      <c r="AV166" s="118">
        <f t="shared" si="50"/>
        <v>0</v>
      </c>
      <c r="AW166" s="119">
        <f t="shared" si="51"/>
        <v>0</v>
      </c>
      <c r="AX166" s="118">
        <f t="shared" si="54"/>
        <v>0</v>
      </c>
      <c r="AY166" s="119">
        <f t="shared" si="55"/>
        <v>0</v>
      </c>
      <c r="AZ166" s="118">
        <f t="shared" si="56"/>
        <v>0</v>
      </c>
      <c r="BA166" s="119">
        <f t="shared" si="57"/>
        <v>0</v>
      </c>
      <c r="BB166" s="120">
        <f t="shared" si="58"/>
        <v>0</v>
      </c>
      <c r="BC166" s="119">
        <f t="shared" si="59"/>
        <v>0</v>
      </c>
      <c r="BD166" s="34"/>
      <c r="BE166" s="118">
        <f t="shared" si="60"/>
        <v>0</v>
      </c>
      <c r="BF166" s="119">
        <f t="shared" si="61"/>
        <v>0</v>
      </c>
      <c r="BG166" s="118">
        <f t="shared" si="62"/>
        <v>0</v>
      </c>
      <c r="BH166" s="119">
        <f t="shared" si="63"/>
        <v>0</v>
      </c>
      <c r="BI166" s="120">
        <f t="shared" si="64"/>
        <v>0</v>
      </c>
      <c r="BJ166" s="119">
        <f t="shared" si="65"/>
        <v>0</v>
      </c>
      <c r="BK166" s="120">
        <f t="shared" si="66"/>
        <v>0</v>
      </c>
      <c r="BL166" s="119">
        <f t="shared" si="67"/>
        <v>0</v>
      </c>
      <c r="BM166" s="4"/>
      <c r="BN166" s="122">
        <v>0</v>
      </c>
      <c r="BO166" s="117"/>
      <c r="BP166" s="118">
        <v>0</v>
      </c>
      <c r="BQ166" s="119">
        <v>0</v>
      </c>
      <c r="BR166" s="120"/>
      <c r="BS166" s="118">
        <v>0</v>
      </c>
      <c r="BT166" s="119">
        <v>0</v>
      </c>
      <c r="BU166" s="118">
        <v>0</v>
      </c>
      <c r="BV166" s="119">
        <v>0</v>
      </c>
      <c r="BW166" s="118">
        <v>0</v>
      </c>
      <c r="BX166" s="119">
        <v>0</v>
      </c>
      <c r="BY166" s="118">
        <v>0</v>
      </c>
      <c r="BZ166" s="119">
        <v>0</v>
      </c>
      <c r="CA166" s="120"/>
      <c r="CB166" s="118">
        <v>0</v>
      </c>
      <c r="CC166" s="119">
        <v>0</v>
      </c>
      <c r="CD166" s="118">
        <v>0</v>
      </c>
      <c r="CE166" s="119">
        <v>0</v>
      </c>
      <c r="CF166" s="118">
        <v>0</v>
      </c>
      <c r="CG166" s="119">
        <v>0</v>
      </c>
      <c r="CH166" s="118">
        <v>0</v>
      </c>
      <c r="CI166" s="119">
        <v>0</v>
      </c>
      <c r="CJ166" s="4"/>
      <c r="CK166" s="79"/>
      <c r="CL166" s="5"/>
      <c r="CM166" s="39" t="str">
        <f t="shared" si="68"/>
        <v>-</v>
      </c>
      <c r="CN166" s="5"/>
      <c r="CO166" s="39" t="str">
        <f t="shared" si="69"/>
        <v>-</v>
      </c>
      <c r="CP166" s="39" t="str">
        <f t="shared" si="70"/>
        <v>-</v>
      </c>
      <c r="CQ166" s="39" t="str">
        <f t="shared" si="71"/>
        <v>-</v>
      </c>
      <c r="CR166" s="39" t="str">
        <f t="shared" si="71"/>
        <v>-</v>
      </c>
      <c r="CS166" s="5"/>
      <c r="CT166" s="39" t="str">
        <f t="shared" si="72"/>
        <v>-</v>
      </c>
      <c r="CU166" s="39" t="str">
        <f t="shared" si="73"/>
        <v>-</v>
      </c>
      <c r="CV166" s="39" t="str">
        <f t="shared" si="74"/>
        <v>-</v>
      </c>
      <c r="CW166" s="39" t="str">
        <f t="shared" si="75"/>
        <v>-</v>
      </c>
    </row>
    <row r="167" spans="2:101" s="4" customFormat="1" ht="12.75" customHeight="1">
      <c r="B167" s="102" t="s">
        <v>60</v>
      </c>
      <c r="C167" s="103" t="s">
        <v>263</v>
      </c>
      <c r="D167" s="104" t="e">
        <f>VLOOKUP($C167,#REF!,5,0)</f>
        <v>#REF!</v>
      </c>
      <c r="E167" s="109" t="e">
        <f>VLOOKUP($C167,#REF!,6,0)</f>
        <v>#REF!</v>
      </c>
      <c r="F167" s="103" t="e">
        <f>VLOOKUP($C167,#REF!,7,0)</f>
        <v>#REF!</v>
      </c>
      <c r="G167" s="103" t="e">
        <f>VLOOKUP($C167,#REF!,8,0)</f>
        <v>#REF!</v>
      </c>
      <c r="H167" s="110" t="e">
        <f>VLOOKUP($C167,#REF!,9,0)</f>
        <v>#REF!</v>
      </c>
      <c r="I167" s="5"/>
      <c r="J167" s="105" t="e">
        <f>VLOOKUP($C167,#REF!,10,0)</f>
        <v>#REF!</v>
      </c>
      <c r="K167" s="106" t="e">
        <f>VLOOKUP($C167,#REF!,11,0)</f>
        <v>#REF!</v>
      </c>
      <c r="L167" s="34"/>
      <c r="M167" s="105" t="e">
        <f>VLOOKUP($C167,#REF!,12,0)</f>
        <v>#REF!</v>
      </c>
      <c r="N167" s="34" t="e">
        <f>VLOOKUP($C167,#REF!,13,0)</f>
        <v>#REF!</v>
      </c>
      <c r="O167" s="105" t="e">
        <f>VLOOKUP($C167,#REF!,14,0)</f>
        <v>#REF!</v>
      </c>
      <c r="P167" s="34" t="e">
        <f>VLOOKUP($C167,#REF!,15,0)</f>
        <v>#REF!</v>
      </c>
      <c r="Q167" s="105" t="e">
        <f>VLOOKUP($C167,#REF!,16,0)</f>
        <v>#REF!</v>
      </c>
      <c r="R167" s="106" t="e">
        <f>VLOOKUP($C167,#REF!,17,0)</f>
        <v>#REF!</v>
      </c>
      <c r="S167" s="34" t="e">
        <f>VLOOKUP($C167,#REF!,18,0)</f>
        <v>#REF!</v>
      </c>
      <c r="T167" s="106" t="e">
        <f>VLOOKUP($C167,#REF!,19,0)</f>
        <v>#REF!</v>
      </c>
      <c r="U167" s="34"/>
      <c r="V167" s="105" t="e">
        <f>VLOOKUP($C167,#REF!,20,0)</f>
        <v>#REF!</v>
      </c>
      <c r="W167" s="34" t="e">
        <f>VLOOKUP($C167,#REF!,21,0)</f>
        <v>#REF!</v>
      </c>
      <c r="X167" s="105" t="e">
        <f>VLOOKUP($C167,#REF!,22,0)</f>
        <v>#REF!</v>
      </c>
      <c r="Y167" s="34" t="e">
        <f>VLOOKUP($C167,#REF!,23,0)</f>
        <v>#REF!</v>
      </c>
      <c r="Z167" s="105" t="e">
        <f>VLOOKUP($C167,#REF!,24,0)</f>
        <v>#REF!</v>
      </c>
      <c r="AA167" s="106" t="e">
        <f>VLOOKUP($C167,#REF!,25,0)</f>
        <v>#REF!</v>
      </c>
      <c r="AB167" s="34" t="e">
        <f>VLOOKUP($C167,#REF!,26,0)</f>
        <v>#REF!</v>
      </c>
      <c r="AC167" s="106" t="e">
        <f>VLOOKUP($C167,#REF!,27,0)</f>
        <v>#REF!</v>
      </c>
      <c r="AE167" s="105" t="e">
        <f t="shared" si="53"/>
        <v>#REF!</v>
      </c>
      <c r="AF167" s="107" t="s">
        <v>320</v>
      </c>
      <c r="AG167" s="107" t="s">
        <v>321</v>
      </c>
      <c r="AH167" s="106" t="s">
        <v>322</v>
      </c>
      <c r="AJ167" s="105" t="s">
        <v>323</v>
      </c>
      <c r="AK167" s="107" t="s">
        <v>324</v>
      </c>
      <c r="AL167" s="107" t="s">
        <v>325</v>
      </c>
      <c r="AM167" s="107" t="s">
        <v>326</v>
      </c>
      <c r="AN167" s="107" t="s">
        <v>326</v>
      </c>
      <c r="AO167" s="106" t="s">
        <v>320</v>
      </c>
      <c r="AQ167" s="108">
        <v>8</v>
      </c>
      <c r="AR167" s="5"/>
      <c r="AS167" s="105">
        <v>0</v>
      </c>
      <c r="AT167" s="106">
        <v>0</v>
      </c>
      <c r="AU167" s="34"/>
      <c r="AV167" s="105">
        <f t="shared" si="50"/>
        <v>0</v>
      </c>
      <c r="AW167" s="106">
        <f t="shared" si="51"/>
        <v>0</v>
      </c>
      <c r="AX167" s="105">
        <f t="shared" si="54"/>
        <v>0</v>
      </c>
      <c r="AY167" s="106">
        <f t="shared" si="55"/>
        <v>0</v>
      </c>
      <c r="AZ167" s="105">
        <f t="shared" si="56"/>
        <v>0</v>
      </c>
      <c r="BA167" s="106">
        <f t="shared" si="57"/>
        <v>0</v>
      </c>
      <c r="BB167" s="34">
        <f t="shared" si="58"/>
        <v>0</v>
      </c>
      <c r="BC167" s="106">
        <f t="shared" si="59"/>
        <v>0</v>
      </c>
      <c r="BD167" s="34"/>
      <c r="BE167" s="105">
        <f t="shared" si="60"/>
        <v>0</v>
      </c>
      <c r="BF167" s="106">
        <f t="shared" si="61"/>
        <v>0</v>
      </c>
      <c r="BG167" s="105">
        <f t="shared" si="62"/>
        <v>0</v>
      </c>
      <c r="BH167" s="106">
        <f t="shared" si="63"/>
        <v>0</v>
      </c>
      <c r="BI167" s="34">
        <f t="shared" si="64"/>
        <v>0</v>
      </c>
      <c r="BJ167" s="106">
        <f t="shared" si="65"/>
        <v>0</v>
      </c>
      <c r="BK167" s="34">
        <f t="shared" si="66"/>
        <v>0</v>
      </c>
      <c r="BL167" s="106">
        <f t="shared" si="67"/>
        <v>0</v>
      </c>
      <c r="BN167" s="108">
        <v>0</v>
      </c>
      <c r="BO167" s="5"/>
      <c r="BP167" s="105">
        <v>0</v>
      </c>
      <c r="BQ167" s="106">
        <v>0</v>
      </c>
      <c r="BR167" s="34"/>
      <c r="BS167" s="105">
        <v>0</v>
      </c>
      <c r="BT167" s="106">
        <v>0</v>
      </c>
      <c r="BU167" s="105">
        <v>0</v>
      </c>
      <c r="BV167" s="106">
        <v>0</v>
      </c>
      <c r="BW167" s="105">
        <v>0</v>
      </c>
      <c r="BX167" s="106">
        <v>0</v>
      </c>
      <c r="BY167" s="105">
        <v>0</v>
      </c>
      <c r="BZ167" s="106">
        <v>0</v>
      </c>
      <c r="CA167" s="34"/>
      <c r="CB167" s="105">
        <v>0</v>
      </c>
      <c r="CC167" s="106">
        <v>0</v>
      </c>
      <c r="CD167" s="105">
        <v>0</v>
      </c>
      <c r="CE167" s="106">
        <v>0</v>
      </c>
      <c r="CF167" s="105">
        <v>0</v>
      </c>
      <c r="CG167" s="106">
        <v>0</v>
      </c>
      <c r="CH167" s="105">
        <v>0</v>
      </c>
      <c r="CI167" s="106">
        <v>0</v>
      </c>
      <c r="CK167" s="78"/>
      <c r="CL167" s="5"/>
      <c r="CM167" s="38" t="str">
        <f t="shared" si="68"/>
        <v>-</v>
      </c>
      <c r="CN167" s="5"/>
      <c r="CO167" s="38" t="str">
        <f t="shared" si="69"/>
        <v>-</v>
      </c>
      <c r="CP167" s="38" t="str">
        <f t="shared" si="70"/>
        <v>-</v>
      </c>
      <c r="CQ167" s="38" t="str">
        <f t="shared" si="71"/>
        <v>-</v>
      </c>
      <c r="CR167" s="38" t="str">
        <f t="shared" si="71"/>
        <v>-</v>
      </c>
      <c r="CS167" s="5"/>
      <c r="CT167" s="38" t="str">
        <f t="shared" si="72"/>
        <v>-</v>
      </c>
      <c r="CU167" s="38" t="str">
        <f t="shared" si="73"/>
        <v>-</v>
      </c>
      <c r="CV167" s="38" t="str">
        <f t="shared" si="74"/>
        <v>-</v>
      </c>
      <c r="CW167" s="38" t="str">
        <f t="shared" si="75"/>
        <v>-</v>
      </c>
    </row>
    <row r="168" spans="2:101" s="113" customFormat="1" ht="12.75" customHeight="1">
      <c r="B168" s="99" t="s">
        <v>60</v>
      </c>
      <c r="C168" s="98" t="s">
        <v>192</v>
      </c>
      <c r="D168" s="114" t="e">
        <f>VLOOKUP($C168,#REF!,5,0)</f>
        <v>#REF!</v>
      </c>
      <c r="E168" s="115" t="e">
        <f>VLOOKUP($C168,#REF!,6,0)</f>
        <v>#REF!</v>
      </c>
      <c r="F168" s="98" t="e">
        <f>VLOOKUP($C168,#REF!,7,0)</f>
        <v>#REF!</v>
      </c>
      <c r="G168" s="98" t="e">
        <f>VLOOKUP($C168,#REF!,8,0)</f>
        <v>#REF!</v>
      </c>
      <c r="H168" s="116" t="e">
        <f>VLOOKUP($C168,#REF!,9,0)</f>
        <v>#REF!</v>
      </c>
      <c r="I168" s="5"/>
      <c r="J168" s="118" t="e">
        <f>VLOOKUP($C168,#REF!,10,0)</f>
        <v>#REF!</v>
      </c>
      <c r="K168" s="119" t="e">
        <f>VLOOKUP($C168,#REF!,11,0)</f>
        <v>#REF!</v>
      </c>
      <c r="L168" s="34"/>
      <c r="M168" s="118" t="e">
        <f>VLOOKUP($C168,#REF!,12,0)</f>
        <v>#REF!</v>
      </c>
      <c r="N168" s="120" t="e">
        <f>VLOOKUP($C168,#REF!,13,0)</f>
        <v>#REF!</v>
      </c>
      <c r="O168" s="118" t="e">
        <f>VLOOKUP($C168,#REF!,14,0)</f>
        <v>#REF!</v>
      </c>
      <c r="P168" s="120" t="e">
        <f>VLOOKUP($C168,#REF!,15,0)</f>
        <v>#REF!</v>
      </c>
      <c r="Q168" s="118" t="e">
        <f>VLOOKUP($C168,#REF!,16,0)</f>
        <v>#REF!</v>
      </c>
      <c r="R168" s="119" t="e">
        <f>VLOOKUP($C168,#REF!,17,0)</f>
        <v>#REF!</v>
      </c>
      <c r="S168" s="120" t="e">
        <f>VLOOKUP($C168,#REF!,18,0)</f>
        <v>#REF!</v>
      </c>
      <c r="T168" s="119" t="e">
        <f>VLOOKUP($C168,#REF!,19,0)</f>
        <v>#REF!</v>
      </c>
      <c r="U168" s="34"/>
      <c r="V168" s="118" t="e">
        <f>VLOOKUP($C168,#REF!,20,0)</f>
        <v>#REF!</v>
      </c>
      <c r="W168" s="120" t="e">
        <f>VLOOKUP($C168,#REF!,21,0)</f>
        <v>#REF!</v>
      </c>
      <c r="X168" s="118" t="e">
        <f>VLOOKUP($C168,#REF!,22,0)</f>
        <v>#REF!</v>
      </c>
      <c r="Y168" s="120" t="e">
        <f>VLOOKUP($C168,#REF!,23,0)</f>
        <v>#REF!</v>
      </c>
      <c r="Z168" s="118" t="e">
        <f>VLOOKUP($C168,#REF!,24,0)</f>
        <v>#REF!</v>
      </c>
      <c r="AA168" s="119" t="e">
        <f>VLOOKUP($C168,#REF!,25,0)</f>
        <v>#REF!</v>
      </c>
      <c r="AB168" s="120" t="e">
        <f>VLOOKUP($C168,#REF!,26,0)</f>
        <v>#REF!</v>
      </c>
      <c r="AC168" s="119" t="e">
        <f>VLOOKUP($C168,#REF!,27,0)</f>
        <v>#REF!</v>
      </c>
      <c r="AD168" s="4"/>
      <c r="AE168" s="118" t="e">
        <f t="shared" si="53"/>
        <v>#REF!</v>
      </c>
      <c r="AF168" s="121" t="s">
        <v>320</v>
      </c>
      <c r="AG168" s="121" t="s">
        <v>321</v>
      </c>
      <c r="AH168" s="119" t="s">
        <v>322</v>
      </c>
      <c r="AI168" s="4"/>
      <c r="AJ168" s="118" t="s">
        <v>323</v>
      </c>
      <c r="AK168" s="121" t="s">
        <v>324</v>
      </c>
      <c r="AL168" s="121" t="s">
        <v>325</v>
      </c>
      <c r="AM168" s="121" t="s">
        <v>326</v>
      </c>
      <c r="AN168" s="121" t="s">
        <v>326</v>
      </c>
      <c r="AO168" s="119" t="s">
        <v>320</v>
      </c>
      <c r="AP168" s="4"/>
      <c r="AQ168" s="122">
        <v>17</v>
      </c>
      <c r="AR168" s="5"/>
      <c r="AS168" s="118">
        <v>0</v>
      </c>
      <c r="AT168" s="119">
        <v>0</v>
      </c>
      <c r="AU168" s="34"/>
      <c r="AV168" s="118">
        <f t="shared" si="50"/>
        <v>0</v>
      </c>
      <c r="AW168" s="119">
        <f t="shared" si="51"/>
        <v>0</v>
      </c>
      <c r="AX168" s="118">
        <f t="shared" si="54"/>
        <v>0</v>
      </c>
      <c r="AY168" s="119">
        <f t="shared" si="55"/>
        <v>0</v>
      </c>
      <c r="AZ168" s="118">
        <f t="shared" si="56"/>
        <v>0</v>
      </c>
      <c r="BA168" s="119">
        <f t="shared" si="57"/>
        <v>0</v>
      </c>
      <c r="BB168" s="120">
        <f t="shared" si="58"/>
        <v>0</v>
      </c>
      <c r="BC168" s="119">
        <f t="shared" si="59"/>
        <v>0</v>
      </c>
      <c r="BD168" s="34"/>
      <c r="BE168" s="118">
        <f t="shared" si="60"/>
        <v>0</v>
      </c>
      <c r="BF168" s="119">
        <f t="shared" si="61"/>
        <v>0</v>
      </c>
      <c r="BG168" s="118">
        <f t="shared" si="62"/>
        <v>0</v>
      </c>
      <c r="BH168" s="119">
        <f t="shared" si="63"/>
        <v>0</v>
      </c>
      <c r="BI168" s="120">
        <f t="shared" si="64"/>
        <v>0</v>
      </c>
      <c r="BJ168" s="119">
        <f t="shared" si="65"/>
        <v>0</v>
      </c>
      <c r="BK168" s="120">
        <f t="shared" si="66"/>
        <v>0</v>
      </c>
      <c r="BL168" s="119">
        <f t="shared" si="67"/>
        <v>0</v>
      </c>
      <c r="BM168" s="4"/>
      <c r="BN168" s="122">
        <v>0</v>
      </c>
      <c r="BO168" s="117"/>
      <c r="BP168" s="118">
        <v>0</v>
      </c>
      <c r="BQ168" s="119">
        <v>0</v>
      </c>
      <c r="BR168" s="120"/>
      <c r="BS168" s="118">
        <v>0</v>
      </c>
      <c r="BT168" s="119">
        <v>0</v>
      </c>
      <c r="BU168" s="118">
        <v>0</v>
      </c>
      <c r="BV168" s="119">
        <v>0</v>
      </c>
      <c r="BW168" s="118">
        <v>0</v>
      </c>
      <c r="BX168" s="119">
        <v>0</v>
      </c>
      <c r="BY168" s="118">
        <v>0</v>
      </c>
      <c r="BZ168" s="119">
        <v>0</v>
      </c>
      <c r="CA168" s="120"/>
      <c r="CB168" s="118">
        <v>0</v>
      </c>
      <c r="CC168" s="119">
        <v>0</v>
      </c>
      <c r="CD168" s="118">
        <v>0</v>
      </c>
      <c r="CE168" s="119">
        <v>0</v>
      </c>
      <c r="CF168" s="118">
        <v>0</v>
      </c>
      <c r="CG168" s="119">
        <v>0</v>
      </c>
      <c r="CH168" s="118">
        <v>0</v>
      </c>
      <c r="CI168" s="119">
        <v>0</v>
      </c>
      <c r="CJ168" s="4"/>
      <c r="CK168" s="79"/>
      <c r="CL168" s="5"/>
      <c r="CM168" s="39" t="str">
        <f t="shared" si="68"/>
        <v>-</v>
      </c>
      <c r="CN168" s="5"/>
      <c r="CO168" s="39" t="str">
        <f t="shared" si="69"/>
        <v>-</v>
      </c>
      <c r="CP168" s="39" t="str">
        <f t="shared" si="70"/>
        <v>-</v>
      </c>
      <c r="CQ168" s="39" t="str">
        <f t="shared" si="71"/>
        <v>-</v>
      </c>
      <c r="CR168" s="39" t="str">
        <f t="shared" si="71"/>
        <v>-</v>
      </c>
      <c r="CS168" s="5"/>
      <c r="CT168" s="39" t="str">
        <f t="shared" si="72"/>
        <v>-</v>
      </c>
      <c r="CU168" s="39" t="str">
        <f t="shared" si="73"/>
        <v>-</v>
      </c>
      <c r="CV168" s="39" t="str">
        <f t="shared" si="74"/>
        <v>-</v>
      </c>
      <c r="CW168" s="39" t="str">
        <f t="shared" si="75"/>
        <v>-</v>
      </c>
    </row>
    <row r="169" spans="2:101" s="4" customFormat="1" ht="12.75" customHeight="1">
      <c r="B169" s="102" t="s">
        <v>60</v>
      </c>
      <c r="C169" s="103" t="s">
        <v>116</v>
      </c>
      <c r="D169" s="104" t="e">
        <f>VLOOKUP($C169,#REF!,5,0)</f>
        <v>#REF!</v>
      </c>
      <c r="E169" s="109" t="e">
        <f>VLOOKUP($C169,#REF!,6,0)</f>
        <v>#REF!</v>
      </c>
      <c r="F169" s="103" t="e">
        <f>VLOOKUP($C169,#REF!,7,0)</f>
        <v>#REF!</v>
      </c>
      <c r="G169" s="103" t="e">
        <f>VLOOKUP($C169,#REF!,8,0)</f>
        <v>#REF!</v>
      </c>
      <c r="H169" s="110" t="e">
        <f>VLOOKUP($C169,#REF!,9,0)</f>
        <v>#REF!</v>
      </c>
      <c r="I169" s="5"/>
      <c r="J169" s="105" t="e">
        <f>VLOOKUP($C169,#REF!,10,0)</f>
        <v>#REF!</v>
      </c>
      <c r="K169" s="106" t="e">
        <f>VLOOKUP($C169,#REF!,11,0)</f>
        <v>#REF!</v>
      </c>
      <c r="L169" s="34"/>
      <c r="M169" s="105" t="e">
        <f>VLOOKUP($C169,#REF!,12,0)</f>
        <v>#REF!</v>
      </c>
      <c r="N169" s="34" t="e">
        <f>VLOOKUP($C169,#REF!,13,0)</f>
        <v>#REF!</v>
      </c>
      <c r="O169" s="105" t="e">
        <f>VLOOKUP($C169,#REF!,14,0)</f>
        <v>#REF!</v>
      </c>
      <c r="P169" s="34" t="e">
        <f>VLOOKUP($C169,#REF!,15,0)</f>
        <v>#REF!</v>
      </c>
      <c r="Q169" s="105" t="e">
        <f>VLOOKUP($C169,#REF!,16,0)</f>
        <v>#REF!</v>
      </c>
      <c r="R169" s="106" t="e">
        <f>VLOOKUP($C169,#REF!,17,0)</f>
        <v>#REF!</v>
      </c>
      <c r="S169" s="34" t="e">
        <f>VLOOKUP($C169,#REF!,18,0)</f>
        <v>#REF!</v>
      </c>
      <c r="T169" s="106" t="e">
        <f>VLOOKUP($C169,#REF!,19,0)</f>
        <v>#REF!</v>
      </c>
      <c r="U169" s="34"/>
      <c r="V169" s="105" t="e">
        <f>VLOOKUP($C169,#REF!,20,0)</f>
        <v>#REF!</v>
      </c>
      <c r="W169" s="34" t="e">
        <f>VLOOKUP($C169,#REF!,21,0)</f>
        <v>#REF!</v>
      </c>
      <c r="X169" s="105" t="e">
        <f>VLOOKUP($C169,#REF!,22,0)</f>
        <v>#REF!</v>
      </c>
      <c r="Y169" s="34" t="e">
        <f>VLOOKUP($C169,#REF!,23,0)</f>
        <v>#REF!</v>
      </c>
      <c r="Z169" s="105" t="e">
        <f>VLOOKUP($C169,#REF!,24,0)</f>
        <v>#REF!</v>
      </c>
      <c r="AA169" s="106" t="e">
        <f>VLOOKUP($C169,#REF!,25,0)</f>
        <v>#REF!</v>
      </c>
      <c r="AB169" s="34" t="e">
        <f>VLOOKUP($C169,#REF!,26,0)</f>
        <v>#REF!</v>
      </c>
      <c r="AC169" s="106" t="e">
        <f>VLOOKUP($C169,#REF!,27,0)</f>
        <v>#REF!</v>
      </c>
      <c r="AE169" s="105" t="e">
        <f t="shared" si="53"/>
        <v>#REF!</v>
      </c>
      <c r="AF169" s="107" t="s">
        <v>320</v>
      </c>
      <c r="AG169" s="107" t="s">
        <v>321</v>
      </c>
      <c r="AH169" s="106" t="s">
        <v>322</v>
      </c>
      <c r="AJ169" s="105" t="s">
        <v>323</v>
      </c>
      <c r="AK169" s="107" t="s">
        <v>324</v>
      </c>
      <c r="AL169" s="107" t="s">
        <v>325</v>
      </c>
      <c r="AM169" s="107" t="s">
        <v>326</v>
      </c>
      <c r="AN169" s="107" t="s">
        <v>326</v>
      </c>
      <c r="AO169" s="106" t="s">
        <v>320</v>
      </c>
      <c r="AQ169" s="108">
        <v>-2</v>
      </c>
      <c r="AR169" s="5"/>
      <c r="AS169" s="105">
        <v>0</v>
      </c>
      <c r="AT169" s="106">
        <v>0</v>
      </c>
      <c r="AU169" s="34"/>
      <c r="AV169" s="105">
        <f t="shared" si="50"/>
        <v>0</v>
      </c>
      <c r="AW169" s="106">
        <f t="shared" si="51"/>
        <v>0</v>
      </c>
      <c r="AX169" s="105">
        <f t="shared" si="54"/>
        <v>0</v>
      </c>
      <c r="AY169" s="106">
        <f t="shared" si="55"/>
        <v>0</v>
      </c>
      <c r="AZ169" s="105">
        <f t="shared" si="56"/>
        <v>0</v>
      </c>
      <c r="BA169" s="106">
        <f t="shared" si="57"/>
        <v>0</v>
      </c>
      <c r="BB169" s="34">
        <f t="shared" si="58"/>
        <v>0</v>
      </c>
      <c r="BC169" s="106">
        <f t="shared" si="59"/>
        <v>0</v>
      </c>
      <c r="BD169" s="34"/>
      <c r="BE169" s="105">
        <f t="shared" si="60"/>
        <v>0</v>
      </c>
      <c r="BF169" s="106">
        <f t="shared" si="61"/>
        <v>0</v>
      </c>
      <c r="BG169" s="105">
        <f t="shared" si="62"/>
        <v>0</v>
      </c>
      <c r="BH169" s="106">
        <f t="shared" si="63"/>
        <v>0</v>
      </c>
      <c r="BI169" s="34">
        <f t="shared" si="64"/>
        <v>0</v>
      </c>
      <c r="BJ169" s="106">
        <f t="shared" si="65"/>
        <v>0</v>
      </c>
      <c r="BK169" s="34">
        <f t="shared" si="66"/>
        <v>0</v>
      </c>
      <c r="BL169" s="106">
        <f t="shared" si="67"/>
        <v>0</v>
      </c>
      <c r="BN169" s="108">
        <v>0</v>
      </c>
      <c r="BO169" s="5"/>
      <c r="BP169" s="105">
        <v>0</v>
      </c>
      <c r="BQ169" s="106">
        <v>0</v>
      </c>
      <c r="BR169" s="34"/>
      <c r="BS169" s="105">
        <v>0</v>
      </c>
      <c r="BT169" s="106">
        <v>0</v>
      </c>
      <c r="BU169" s="105">
        <v>0</v>
      </c>
      <c r="BV169" s="106">
        <v>0</v>
      </c>
      <c r="BW169" s="105">
        <v>0</v>
      </c>
      <c r="BX169" s="106">
        <v>0</v>
      </c>
      <c r="BY169" s="105">
        <v>0</v>
      </c>
      <c r="BZ169" s="106">
        <v>0</v>
      </c>
      <c r="CA169" s="34"/>
      <c r="CB169" s="105">
        <v>0</v>
      </c>
      <c r="CC169" s="106">
        <v>0</v>
      </c>
      <c r="CD169" s="105">
        <v>0</v>
      </c>
      <c r="CE169" s="106">
        <v>0</v>
      </c>
      <c r="CF169" s="105">
        <v>0</v>
      </c>
      <c r="CG169" s="106">
        <v>0</v>
      </c>
      <c r="CH169" s="105">
        <v>0</v>
      </c>
      <c r="CI169" s="106">
        <v>0</v>
      </c>
      <c r="CK169" s="78"/>
      <c r="CL169" s="5"/>
      <c r="CM169" s="38" t="str">
        <f t="shared" si="68"/>
        <v>-</v>
      </c>
      <c r="CN169" s="5"/>
      <c r="CO169" s="38" t="str">
        <f t="shared" si="69"/>
        <v>-</v>
      </c>
      <c r="CP169" s="38" t="str">
        <f t="shared" si="70"/>
        <v>-</v>
      </c>
      <c r="CQ169" s="38" t="str">
        <f t="shared" si="71"/>
        <v>-</v>
      </c>
      <c r="CR169" s="38" t="str">
        <f t="shared" si="71"/>
        <v>-</v>
      </c>
      <c r="CS169" s="5"/>
      <c r="CT169" s="38" t="str">
        <f t="shared" si="72"/>
        <v>-</v>
      </c>
      <c r="CU169" s="38" t="str">
        <f t="shared" si="73"/>
        <v>-</v>
      </c>
      <c r="CV169" s="38" t="str">
        <f t="shared" si="74"/>
        <v>-</v>
      </c>
      <c r="CW169" s="38" t="str">
        <f t="shared" si="75"/>
        <v>-</v>
      </c>
    </row>
    <row r="170" spans="2:101" s="113" customFormat="1" ht="12.75" customHeight="1">
      <c r="B170" s="99" t="s">
        <v>60</v>
      </c>
      <c r="C170" s="98" t="s">
        <v>93</v>
      </c>
      <c r="D170" s="114" t="e">
        <f>VLOOKUP($C170,#REF!,5,0)</f>
        <v>#REF!</v>
      </c>
      <c r="E170" s="115" t="e">
        <f>VLOOKUP($C170,#REF!,6,0)</f>
        <v>#REF!</v>
      </c>
      <c r="F170" s="98" t="e">
        <f>VLOOKUP($C170,#REF!,7,0)</f>
        <v>#REF!</v>
      </c>
      <c r="G170" s="98" t="e">
        <f>VLOOKUP($C170,#REF!,8,0)</f>
        <v>#REF!</v>
      </c>
      <c r="H170" s="116" t="e">
        <f>VLOOKUP($C170,#REF!,9,0)</f>
        <v>#REF!</v>
      </c>
      <c r="I170" s="5"/>
      <c r="J170" s="118" t="e">
        <f>VLOOKUP($C170,#REF!,10,0)</f>
        <v>#REF!</v>
      </c>
      <c r="K170" s="119" t="e">
        <f>VLOOKUP($C170,#REF!,11,0)</f>
        <v>#REF!</v>
      </c>
      <c r="L170" s="34"/>
      <c r="M170" s="118" t="e">
        <f>VLOOKUP($C170,#REF!,12,0)</f>
        <v>#REF!</v>
      </c>
      <c r="N170" s="120" t="e">
        <f>VLOOKUP($C170,#REF!,13,0)</f>
        <v>#REF!</v>
      </c>
      <c r="O170" s="118" t="e">
        <f>VLOOKUP($C170,#REF!,14,0)</f>
        <v>#REF!</v>
      </c>
      <c r="P170" s="120" t="e">
        <f>VLOOKUP($C170,#REF!,15,0)</f>
        <v>#REF!</v>
      </c>
      <c r="Q170" s="118" t="e">
        <f>VLOOKUP($C170,#REF!,16,0)</f>
        <v>#REF!</v>
      </c>
      <c r="R170" s="119" t="e">
        <f>VLOOKUP($C170,#REF!,17,0)</f>
        <v>#REF!</v>
      </c>
      <c r="S170" s="120" t="e">
        <f>VLOOKUP($C170,#REF!,18,0)</f>
        <v>#REF!</v>
      </c>
      <c r="T170" s="119" t="e">
        <f>VLOOKUP($C170,#REF!,19,0)</f>
        <v>#REF!</v>
      </c>
      <c r="U170" s="34"/>
      <c r="V170" s="118" t="e">
        <f>VLOOKUP($C170,#REF!,20,0)</f>
        <v>#REF!</v>
      </c>
      <c r="W170" s="120" t="e">
        <f>VLOOKUP($C170,#REF!,21,0)</f>
        <v>#REF!</v>
      </c>
      <c r="X170" s="118" t="e">
        <f>VLOOKUP($C170,#REF!,22,0)</f>
        <v>#REF!</v>
      </c>
      <c r="Y170" s="120" t="e">
        <f>VLOOKUP($C170,#REF!,23,0)</f>
        <v>#REF!</v>
      </c>
      <c r="Z170" s="118" t="e">
        <f>VLOOKUP($C170,#REF!,24,0)</f>
        <v>#REF!</v>
      </c>
      <c r="AA170" s="119" t="e">
        <f>VLOOKUP($C170,#REF!,25,0)</f>
        <v>#REF!</v>
      </c>
      <c r="AB170" s="120" t="e">
        <f>VLOOKUP($C170,#REF!,26,0)</f>
        <v>#REF!</v>
      </c>
      <c r="AC170" s="119" t="e">
        <f>VLOOKUP($C170,#REF!,27,0)</f>
        <v>#REF!</v>
      </c>
      <c r="AD170" s="4"/>
      <c r="AE170" s="118" t="e">
        <f t="shared" si="53"/>
        <v>#REF!</v>
      </c>
      <c r="AF170" s="121" t="s">
        <v>320</v>
      </c>
      <c r="AG170" s="121" t="s">
        <v>321</v>
      </c>
      <c r="AH170" s="119" t="s">
        <v>322</v>
      </c>
      <c r="AI170" s="4"/>
      <c r="AJ170" s="118" t="s">
        <v>323</v>
      </c>
      <c r="AK170" s="121" t="s">
        <v>324</v>
      </c>
      <c r="AL170" s="121" t="s">
        <v>325</v>
      </c>
      <c r="AM170" s="121" t="s">
        <v>326</v>
      </c>
      <c r="AN170" s="121" t="s">
        <v>326</v>
      </c>
      <c r="AO170" s="119" t="s">
        <v>320</v>
      </c>
      <c r="AP170" s="4"/>
      <c r="AQ170" s="122">
        <v>214</v>
      </c>
      <c r="AR170" s="5"/>
      <c r="AS170" s="118">
        <v>0</v>
      </c>
      <c r="AT170" s="119">
        <v>0</v>
      </c>
      <c r="AU170" s="34"/>
      <c r="AV170" s="118">
        <f t="shared" si="50"/>
        <v>0</v>
      </c>
      <c r="AW170" s="119">
        <f t="shared" si="51"/>
        <v>0</v>
      </c>
      <c r="AX170" s="118">
        <f t="shared" si="54"/>
        <v>0</v>
      </c>
      <c r="AY170" s="119">
        <f t="shared" si="55"/>
        <v>0</v>
      </c>
      <c r="AZ170" s="118">
        <f t="shared" si="56"/>
        <v>0</v>
      </c>
      <c r="BA170" s="119">
        <f t="shared" si="57"/>
        <v>0</v>
      </c>
      <c r="BB170" s="120">
        <f t="shared" si="58"/>
        <v>0</v>
      </c>
      <c r="BC170" s="119">
        <f t="shared" si="59"/>
        <v>0</v>
      </c>
      <c r="BD170" s="34"/>
      <c r="BE170" s="118">
        <f t="shared" si="60"/>
        <v>0</v>
      </c>
      <c r="BF170" s="119">
        <f t="shared" si="61"/>
        <v>0</v>
      </c>
      <c r="BG170" s="118">
        <f t="shared" si="62"/>
        <v>0</v>
      </c>
      <c r="BH170" s="119">
        <f t="shared" si="63"/>
        <v>0</v>
      </c>
      <c r="BI170" s="120">
        <f t="shared" si="64"/>
        <v>0</v>
      </c>
      <c r="BJ170" s="119">
        <f t="shared" si="65"/>
        <v>0</v>
      </c>
      <c r="BK170" s="120">
        <f t="shared" si="66"/>
        <v>0</v>
      </c>
      <c r="BL170" s="119">
        <f t="shared" si="67"/>
        <v>0</v>
      </c>
      <c r="BM170" s="4"/>
      <c r="BN170" s="122">
        <v>0</v>
      </c>
      <c r="BO170" s="117"/>
      <c r="BP170" s="118">
        <v>0</v>
      </c>
      <c r="BQ170" s="119">
        <v>0</v>
      </c>
      <c r="BR170" s="120"/>
      <c r="BS170" s="118">
        <v>0</v>
      </c>
      <c r="BT170" s="119">
        <v>0</v>
      </c>
      <c r="BU170" s="118">
        <v>0</v>
      </c>
      <c r="BV170" s="119">
        <v>0</v>
      </c>
      <c r="BW170" s="118">
        <v>0</v>
      </c>
      <c r="BX170" s="119">
        <v>0</v>
      </c>
      <c r="BY170" s="118">
        <v>0</v>
      </c>
      <c r="BZ170" s="119">
        <v>0</v>
      </c>
      <c r="CA170" s="120"/>
      <c r="CB170" s="118">
        <v>0</v>
      </c>
      <c r="CC170" s="119">
        <v>0</v>
      </c>
      <c r="CD170" s="118">
        <v>0</v>
      </c>
      <c r="CE170" s="119">
        <v>0</v>
      </c>
      <c r="CF170" s="118">
        <v>0</v>
      </c>
      <c r="CG170" s="119">
        <v>0</v>
      </c>
      <c r="CH170" s="118">
        <v>0</v>
      </c>
      <c r="CI170" s="119">
        <v>0</v>
      </c>
      <c r="CJ170" s="4"/>
      <c r="CK170" s="79"/>
      <c r="CL170" s="5"/>
      <c r="CM170" s="39" t="str">
        <f t="shared" si="68"/>
        <v>-</v>
      </c>
      <c r="CN170" s="5"/>
      <c r="CO170" s="39" t="str">
        <f t="shared" si="69"/>
        <v>-</v>
      </c>
      <c r="CP170" s="39" t="str">
        <f t="shared" si="70"/>
        <v>-</v>
      </c>
      <c r="CQ170" s="39" t="str">
        <f t="shared" si="71"/>
        <v>-</v>
      </c>
      <c r="CR170" s="39" t="str">
        <f t="shared" si="71"/>
        <v>-</v>
      </c>
      <c r="CS170" s="5"/>
      <c r="CT170" s="39" t="str">
        <f t="shared" si="72"/>
        <v>-</v>
      </c>
      <c r="CU170" s="39" t="str">
        <f t="shared" si="73"/>
        <v>-</v>
      </c>
      <c r="CV170" s="39" t="str">
        <f t="shared" si="74"/>
        <v>-</v>
      </c>
      <c r="CW170" s="39" t="str">
        <f t="shared" si="75"/>
        <v>-</v>
      </c>
    </row>
    <row r="171" spans="2:101" s="4" customFormat="1" ht="12.75" customHeight="1">
      <c r="B171" s="111" t="s">
        <v>60</v>
      </c>
      <c r="C171" s="112" t="s">
        <v>360</v>
      </c>
      <c r="D171" s="104" t="e">
        <f>VLOOKUP($C171,#REF!,5,0)</f>
        <v>#REF!</v>
      </c>
      <c r="E171" s="109" t="e">
        <f>VLOOKUP($C171,#REF!,6,0)</f>
        <v>#REF!</v>
      </c>
      <c r="F171" s="103" t="e">
        <f>VLOOKUP($C171,#REF!,7,0)</f>
        <v>#REF!</v>
      </c>
      <c r="G171" s="103" t="e">
        <f>VLOOKUP($C171,#REF!,8,0)</f>
        <v>#REF!</v>
      </c>
      <c r="H171" s="110" t="e">
        <f>VLOOKUP($C171,#REF!,9,0)</f>
        <v>#REF!</v>
      </c>
      <c r="I171" s="5"/>
      <c r="J171" s="105" t="e">
        <f>VLOOKUP($C171,#REF!,10,0)</f>
        <v>#REF!</v>
      </c>
      <c r="K171" s="106" t="e">
        <f>VLOOKUP($C171,#REF!,11,0)</f>
        <v>#REF!</v>
      </c>
      <c r="L171" s="34"/>
      <c r="M171" s="105" t="e">
        <f>VLOOKUP($C171,#REF!,12,0)</f>
        <v>#REF!</v>
      </c>
      <c r="N171" s="34" t="e">
        <f>VLOOKUP($C171,#REF!,13,0)</f>
        <v>#REF!</v>
      </c>
      <c r="O171" s="105" t="e">
        <f>VLOOKUP($C171,#REF!,14,0)</f>
        <v>#REF!</v>
      </c>
      <c r="P171" s="34" t="e">
        <f>VLOOKUP($C171,#REF!,15,0)</f>
        <v>#REF!</v>
      </c>
      <c r="Q171" s="105" t="e">
        <f>VLOOKUP($C171,#REF!,16,0)</f>
        <v>#REF!</v>
      </c>
      <c r="R171" s="106" t="e">
        <f>VLOOKUP($C171,#REF!,17,0)</f>
        <v>#REF!</v>
      </c>
      <c r="S171" s="34" t="e">
        <f>VLOOKUP($C171,#REF!,18,0)</f>
        <v>#REF!</v>
      </c>
      <c r="T171" s="106" t="e">
        <f>VLOOKUP($C171,#REF!,19,0)</f>
        <v>#REF!</v>
      </c>
      <c r="U171" s="34"/>
      <c r="V171" s="105" t="e">
        <f>VLOOKUP($C171,#REF!,20,0)</f>
        <v>#REF!</v>
      </c>
      <c r="W171" s="34" t="e">
        <f>VLOOKUP($C171,#REF!,21,0)</f>
        <v>#REF!</v>
      </c>
      <c r="X171" s="105" t="e">
        <f>VLOOKUP($C171,#REF!,22,0)</f>
        <v>#REF!</v>
      </c>
      <c r="Y171" s="34" t="e">
        <f>VLOOKUP($C171,#REF!,23,0)</f>
        <v>#REF!</v>
      </c>
      <c r="Z171" s="105" t="e">
        <f>VLOOKUP($C171,#REF!,24,0)</f>
        <v>#REF!</v>
      </c>
      <c r="AA171" s="106" t="e">
        <f>VLOOKUP($C171,#REF!,25,0)</f>
        <v>#REF!</v>
      </c>
      <c r="AB171" s="34" t="e">
        <f>VLOOKUP($C171,#REF!,26,0)</f>
        <v>#REF!</v>
      </c>
      <c r="AC171" s="106" t="e">
        <f>VLOOKUP($C171,#REF!,27,0)</f>
        <v>#REF!</v>
      </c>
      <c r="AE171" s="105" t="e">
        <f t="shared" si="53"/>
        <v>#REF!</v>
      </c>
      <c r="AF171" s="107" t="s">
        <v>320</v>
      </c>
      <c r="AG171" s="107" t="s">
        <v>321</v>
      </c>
      <c r="AH171" s="106" t="s">
        <v>322</v>
      </c>
      <c r="AJ171" s="105" t="s">
        <v>323</v>
      </c>
      <c r="AK171" s="107" t="s">
        <v>324</v>
      </c>
      <c r="AL171" s="107" t="s">
        <v>325</v>
      </c>
      <c r="AM171" s="107" t="s">
        <v>326</v>
      </c>
      <c r="AN171" s="107" t="s">
        <v>326</v>
      </c>
      <c r="AO171" s="106" t="s">
        <v>320</v>
      </c>
      <c r="AQ171" s="108">
        <v>42</v>
      </c>
      <c r="AR171" s="5"/>
      <c r="AS171" s="105">
        <v>0</v>
      </c>
      <c r="AT171" s="106">
        <v>0</v>
      </c>
      <c r="AU171" s="34"/>
      <c r="AV171" s="105">
        <f t="shared" si="50"/>
        <v>0</v>
      </c>
      <c r="AW171" s="106">
        <f t="shared" si="51"/>
        <v>0</v>
      </c>
      <c r="AX171" s="105">
        <f t="shared" si="54"/>
        <v>0</v>
      </c>
      <c r="AY171" s="106">
        <f t="shared" si="55"/>
        <v>0</v>
      </c>
      <c r="AZ171" s="105">
        <f t="shared" si="56"/>
        <v>0</v>
      </c>
      <c r="BA171" s="106">
        <f t="shared" si="57"/>
        <v>0</v>
      </c>
      <c r="BB171" s="34">
        <f t="shared" si="58"/>
        <v>0</v>
      </c>
      <c r="BC171" s="106">
        <f t="shared" si="59"/>
        <v>0</v>
      </c>
      <c r="BD171" s="34"/>
      <c r="BE171" s="105">
        <f t="shared" si="60"/>
        <v>0</v>
      </c>
      <c r="BF171" s="106">
        <f t="shared" si="61"/>
        <v>0</v>
      </c>
      <c r="BG171" s="105">
        <f t="shared" si="62"/>
        <v>0</v>
      </c>
      <c r="BH171" s="106">
        <f t="shared" si="63"/>
        <v>0</v>
      </c>
      <c r="BI171" s="34">
        <f t="shared" si="64"/>
        <v>0</v>
      </c>
      <c r="BJ171" s="106">
        <f t="shared" si="65"/>
        <v>0</v>
      </c>
      <c r="BK171" s="34">
        <f t="shared" si="66"/>
        <v>0</v>
      </c>
      <c r="BL171" s="106">
        <f t="shared" si="67"/>
        <v>0</v>
      </c>
      <c r="BN171" s="108">
        <v>49.590000000000032</v>
      </c>
      <c r="BO171" s="5"/>
      <c r="BP171" s="105">
        <v>49.590000000000032</v>
      </c>
      <c r="BQ171" s="106">
        <v>0</v>
      </c>
      <c r="BR171" s="34"/>
      <c r="BS171" s="105">
        <v>0</v>
      </c>
      <c r="BT171" s="106">
        <v>0</v>
      </c>
      <c r="BU171" s="105">
        <v>0</v>
      </c>
      <c r="BV171" s="106">
        <v>0</v>
      </c>
      <c r="BW171" s="105">
        <v>-30</v>
      </c>
      <c r="BX171" s="106">
        <v>-2</v>
      </c>
      <c r="BY171" s="105">
        <v>-30</v>
      </c>
      <c r="BZ171" s="106">
        <v>-2</v>
      </c>
      <c r="CA171" s="34"/>
      <c r="CB171" s="105">
        <v>0</v>
      </c>
      <c r="CC171" s="106">
        <v>0</v>
      </c>
      <c r="CD171" s="105">
        <v>0</v>
      </c>
      <c r="CE171" s="106">
        <v>0</v>
      </c>
      <c r="CF171" s="105">
        <v>0</v>
      </c>
      <c r="CG171" s="106">
        <v>-3</v>
      </c>
      <c r="CH171" s="105">
        <v>0</v>
      </c>
      <c r="CI171" s="106">
        <v>-3</v>
      </c>
      <c r="CK171" s="78"/>
      <c r="CL171" s="5"/>
      <c r="CM171" s="38" t="str">
        <f t="shared" si="68"/>
        <v>-</v>
      </c>
      <c r="CN171" s="5"/>
      <c r="CO171" s="38" t="str">
        <f t="shared" si="69"/>
        <v>-</v>
      </c>
      <c r="CP171" s="38" t="str">
        <f t="shared" si="70"/>
        <v>-</v>
      </c>
      <c r="CQ171" s="38" t="str">
        <f t="shared" si="71"/>
        <v>-</v>
      </c>
      <c r="CR171" s="38" t="str">
        <f t="shared" si="71"/>
        <v>-</v>
      </c>
      <c r="CS171" s="5"/>
      <c r="CT171" s="38" t="str">
        <f t="shared" si="72"/>
        <v>-</v>
      </c>
      <c r="CU171" s="38" t="str">
        <f t="shared" si="73"/>
        <v>-</v>
      </c>
      <c r="CV171" s="38" t="str">
        <f t="shared" si="74"/>
        <v>-</v>
      </c>
      <c r="CW171" s="38" t="str">
        <f t="shared" si="75"/>
        <v>-</v>
      </c>
    </row>
    <row r="172" spans="2:101" s="113" customFormat="1" ht="12.75" customHeight="1">
      <c r="B172" s="124" t="s">
        <v>60</v>
      </c>
      <c r="C172" s="85" t="s">
        <v>209</v>
      </c>
      <c r="D172" s="114" t="e">
        <f>VLOOKUP($C172,#REF!,5,0)</f>
        <v>#REF!</v>
      </c>
      <c r="E172" s="115" t="e">
        <f>VLOOKUP($C172,#REF!,6,0)</f>
        <v>#REF!</v>
      </c>
      <c r="F172" s="98" t="e">
        <f>VLOOKUP($C172,#REF!,7,0)</f>
        <v>#REF!</v>
      </c>
      <c r="G172" s="98" t="e">
        <f>VLOOKUP($C172,#REF!,8,0)</f>
        <v>#REF!</v>
      </c>
      <c r="H172" s="116" t="e">
        <f>VLOOKUP($C172,#REF!,9,0)</f>
        <v>#REF!</v>
      </c>
      <c r="I172" s="5"/>
      <c r="J172" s="118" t="e">
        <f>VLOOKUP($C172,#REF!,10,0)</f>
        <v>#REF!</v>
      </c>
      <c r="K172" s="119" t="e">
        <f>VLOOKUP($C172,#REF!,11,0)</f>
        <v>#REF!</v>
      </c>
      <c r="L172" s="34"/>
      <c r="M172" s="118" t="e">
        <f>VLOOKUP($C172,#REF!,12,0)</f>
        <v>#REF!</v>
      </c>
      <c r="N172" s="120" t="e">
        <f>VLOOKUP($C172,#REF!,13,0)</f>
        <v>#REF!</v>
      </c>
      <c r="O172" s="118" t="e">
        <f>VLOOKUP($C172,#REF!,14,0)</f>
        <v>#REF!</v>
      </c>
      <c r="P172" s="120" t="e">
        <f>VLOOKUP($C172,#REF!,15,0)</f>
        <v>#REF!</v>
      </c>
      <c r="Q172" s="118" t="e">
        <f>VLOOKUP($C172,#REF!,16,0)</f>
        <v>#REF!</v>
      </c>
      <c r="R172" s="119" t="e">
        <f>VLOOKUP($C172,#REF!,17,0)</f>
        <v>#REF!</v>
      </c>
      <c r="S172" s="120" t="e">
        <f>VLOOKUP($C172,#REF!,18,0)</f>
        <v>#REF!</v>
      </c>
      <c r="T172" s="119" t="e">
        <f>VLOOKUP($C172,#REF!,19,0)</f>
        <v>#REF!</v>
      </c>
      <c r="U172" s="34"/>
      <c r="V172" s="118" t="e">
        <f>VLOOKUP($C172,#REF!,20,0)</f>
        <v>#REF!</v>
      </c>
      <c r="W172" s="120" t="e">
        <f>VLOOKUP($C172,#REF!,21,0)</f>
        <v>#REF!</v>
      </c>
      <c r="X172" s="118" t="e">
        <f>VLOOKUP($C172,#REF!,22,0)</f>
        <v>#REF!</v>
      </c>
      <c r="Y172" s="120" t="e">
        <f>VLOOKUP($C172,#REF!,23,0)</f>
        <v>#REF!</v>
      </c>
      <c r="Z172" s="118" t="e">
        <f>VLOOKUP($C172,#REF!,24,0)</f>
        <v>#REF!</v>
      </c>
      <c r="AA172" s="119" t="e">
        <f>VLOOKUP($C172,#REF!,25,0)</f>
        <v>#REF!</v>
      </c>
      <c r="AB172" s="120" t="e">
        <f>VLOOKUP($C172,#REF!,26,0)</f>
        <v>#REF!</v>
      </c>
      <c r="AC172" s="119" t="e">
        <f>VLOOKUP($C172,#REF!,27,0)</f>
        <v>#REF!</v>
      </c>
      <c r="AD172" s="4"/>
      <c r="AE172" s="118" t="e">
        <f t="shared" si="53"/>
        <v>#REF!</v>
      </c>
      <c r="AF172" s="121" t="s">
        <v>320</v>
      </c>
      <c r="AG172" s="121" t="s">
        <v>321</v>
      </c>
      <c r="AH172" s="119" t="s">
        <v>322</v>
      </c>
      <c r="AI172" s="4"/>
      <c r="AJ172" s="118" t="s">
        <v>323</v>
      </c>
      <c r="AK172" s="121" t="s">
        <v>324</v>
      </c>
      <c r="AL172" s="121" t="s">
        <v>325</v>
      </c>
      <c r="AM172" s="121" t="s">
        <v>326</v>
      </c>
      <c r="AN172" s="121" t="s">
        <v>326</v>
      </c>
      <c r="AO172" s="119" t="s">
        <v>320</v>
      </c>
      <c r="AP172" s="4"/>
      <c r="AQ172" s="122">
        <v>42</v>
      </c>
      <c r="AR172" s="5"/>
      <c r="AS172" s="118">
        <v>0</v>
      </c>
      <c r="AT172" s="119">
        <v>0</v>
      </c>
      <c r="AU172" s="34"/>
      <c r="AV172" s="118">
        <f t="shared" si="50"/>
        <v>0</v>
      </c>
      <c r="AW172" s="119">
        <f t="shared" si="51"/>
        <v>0</v>
      </c>
      <c r="AX172" s="118">
        <f t="shared" si="54"/>
        <v>0</v>
      </c>
      <c r="AY172" s="119">
        <f t="shared" si="55"/>
        <v>0</v>
      </c>
      <c r="AZ172" s="118">
        <f t="shared" si="56"/>
        <v>0</v>
      </c>
      <c r="BA172" s="119">
        <f t="shared" si="57"/>
        <v>0</v>
      </c>
      <c r="BB172" s="120">
        <f t="shared" si="58"/>
        <v>0</v>
      </c>
      <c r="BC172" s="119">
        <f t="shared" si="59"/>
        <v>0</v>
      </c>
      <c r="BD172" s="34"/>
      <c r="BE172" s="118">
        <f t="shared" si="60"/>
        <v>0</v>
      </c>
      <c r="BF172" s="119">
        <f t="shared" si="61"/>
        <v>0</v>
      </c>
      <c r="BG172" s="118">
        <f t="shared" si="62"/>
        <v>0</v>
      </c>
      <c r="BH172" s="119">
        <f t="shared" si="63"/>
        <v>0</v>
      </c>
      <c r="BI172" s="120">
        <f t="shared" si="64"/>
        <v>0</v>
      </c>
      <c r="BJ172" s="119">
        <f t="shared" si="65"/>
        <v>0</v>
      </c>
      <c r="BK172" s="120">
        <f t="shared" si="66"/>
        <v>0</v>
      </c>
      <c r="BL172" s="119">
        <f t="shared" si="67"/>
        <v>0</v>
      </c>
      <c r="BM172" s="4"/>
      <c r="BN172" s="122">
        <v>57.860000000000014</v>
      </c>
      <c r="BO172" s="117"/>
      <c r="BP172" s="118">
        <v>57.860000000000014</v>
      </c>
      <c r="BQ172" s="119">
        <v>0</v>
      </c>
      <c r="BR172" s="120"/>
      <c r="BS172" s="118">
        <v>0</v>
      </c>
      <c r="BT172" s="119">
        <v>0</v>
      </c>
      <c r="BU172" s="118">
        <v>0</v>
      </c>
      <c r="BV172" s="119">
        <v>0</v>
      </c>
      <c r="BW172" s="118">
        <v>-40</v>
      </c>
      <c r="BX172" s="119">
        <v>-1</v>
      </c>
      <c r="BY172" s="118">
        <v>-40</v>
      </c>
      <c r="BZ172" s="119">
        <v>-1</v>
      </c>
      <c r="CA172" s="120"/>
      <c r="CB172" s="118">
        <v>0</v>
      </c>
      <c r="CC172" s="119">
        <v>0</v>
      </c>
      <c r="CD172" s="118">
        <v>0</v>
      </c>
      <c r="CE172" s="119">
        <v>0</v>
      </c>
      <c r="CF172" s="118">
        <v>0</v>
      </c>
      <c r="CG172" s="119">
        <v>-1</v>
      </c>
      <c r="CH172" s="118">
        <v>0</v>
      </c>
      <c r="CI172" s="119">
        <v>-1</v>
      </c>
      <c r="CJ172" s="4"/>
      <c r="CK172" s="79"/>
      <c r="CL172" s="5"/>
      <c r="CM172" s="39" t="str">
        <f t="shared" si="68"/>
        <v>-</v>
      </c>
      <c r="CN172" s="5"/>
      <c r="CO172" s="39" t="str">
        <f t="shared" si="69"/>
        <v>-</v>
      </c>
      <c r="CP172" s="39" t="str">
        <f t="shared" si="70"/>
        <v>-</v>
      </c>
      <c r="CQ172" s="39" t="str">
        <f t="shared" si="71"/>
        <v>-</v>
      </c>
      <c r="CR172" s="39" t="str">
        <f t="shared" si="71"/>
        <v>-</v>
      </c>
      <c r="CS172" s="5"/>
      <c r="CT172" s="39" t="str">
        <f t="shared" si="72"/>
        <v>-</v>
      </c>
      <c r="CU172" s="39" t="str">
        <f t="shared" si="73"/>
        <v>-</v>
      </c>
      <c r="CV172" s="39" t="str">
        <f t="shared" si="74"/>
        <v>-</v>
      </c>
      <c r="CW172" s="39" t="str">
        <f t="shared" si="75"/>
        <v>-</v>
      </c>
    </row>
    <row r="173" spans="2:101" s="4" customFormat="1" ht="12.75" customHeight="1">
      <c r="B173" s="102" t="s">
        <v>60</v>
      </c>
      <c r="C173" s="103" t="s">
        <v>63</v>
      </c>
      <c r="D173" s="104" t="e">
        <f>VLOOKUP($C173,#REF!,5,0)</f>
        <v>#REF!</v>
      </c>
      <c r="E173" s="109" t="e">
        <f>VLOOKUP($C173,#REF!,6,0)</f>
        <v>#REF!</v>
      </c>
      <c r="F173" s="103" t="e">
        <f>VLOOKUP($C173,#REF!,7,0)</f>
        <v>#REF!</v>
      </c>
      <c r="G173" s="103" t="e">
        <f>VLOOKUP($C173,#REF!,8,0)</f>
        <v>#REF!</v>
      </c>
      <c r="H173" s="110" t="e">
        <f>VLOOKUP($C173,#REF!,9,0)</f>
        <v>#REF!</v>
      </c>
      <c r="I173" s="5"/>
      <c r="J173" s="105" t="e">
        <f>VLOOKUP($C173,#REF!,10,0)</f>
        <v>#REF!</v>
      </c>
      <c r="K173" s="106" t="e">
        <f>VLOOKUP($C173,#REF!,11,0)</f>
        <v>#REF!</v>
      </c>
      <c r="L173" s="34"/>
      <c r="M173" s="105" t="e">
        <f>VLOOKUP($C173,#REF!,12,0)</f>
        <v>#REF!</v>
      </c>
      <c r="N173" s="34" t="e">
        <f>VLOOKUP($C173,#REF!,13,0)</f>
        <v>#REF!</v>
      </c>
      <c r="O173" s="105" t="e">
        <f>VLOOKUP($C173,#REF!,14,0)</f>
        <v>#REF!</v>
      </c>
      <c r="P173" s="34" t="e">
        <f>VLOOKUP($C173,#REF!,15,0)</f>
        <v>#REF!</v>
      </c>
      <c r="Q173" s="105" t="e">
        <f>VLOOKUP($C173,#REF!,16,0)</f>
        <v>#REF!</v>
      </c>
      <c r="R173" s="106" t="e">
        <f>VLOOKUP($C173,#REF!,17,0)</f>
        <v>#REF!</v>
      </c>
      <c r="S173" s="34" t="e">
        <f>VLOOKUP($C173,#REF!,18,0)</f>
        <v>#REF!</v>
      </c>
      <c r="T173" s="106" t="e">
        <f>VLOOKUP($C173,#REF!,19,0)</f>
        <v>#REF!</v>
      </c>
      <c r="U173" s="34"/>
      <c r="V173" s="105" t="e">
        <f>VLOOKUP($C173,#REF!,20,0)</f>
        <v>#REF!</v>
      </c>
      <c r="W173" s="34" t="e">
        <f>VLOOKUP($C173,#REF!,21,0)</f>
        <v>#REF!</v>
      </c>
      <c r="X173" s="105" t="e">
        <f>VLOOKUP($C173,#REF!,22,0)</f>
        <v>#REF!</v>
      </c>
      <c r="Y173" s="34" t="e">
        <f>VLOOKUP($C173,#REF!,23,0)</f>
        <v>#REF!</v>
      </c>
      <c r="Z173" s="105" t="e">
        <f>VLOOKUP($C173,#REF!,24,0)</f>
        <v>#REF!</v>
      </c>
      <c r="AA173" s="106" t="e">
        <f>VLOOKUP($C173,#REF!,25,0)</f>
        <v>#REF!</v>
      </c>
      <c r="AB173" s="34" t="e">
        <f>VLOOKUP($C173,#REF!,26,0)</f>
        <v>#REF!</v>
      </c>
      <c r="AC173" s="106" t="e">
        <f>VLOOKUP($C173,#REF!,27,0)</f>
        <v>#REF!</v>
      </c>
      <c r="AE173" s="105" t="e">
        <f t="shared" si="53"/>
        <v>#REF!</v>
      </c>
      <c r="AF173" s="107" t="s">
        <v>320</v>
      </c>
      <c r="AG173" s="107" t="s">
        <v>321</v>
      </c>
      <c r="AH173" s="106" t="s">
        <v>322</v>
      </c>
      <c r="AJ173" s="105" t="s">
        <v>323</v>
      </c>
      <c r="AK173" s="107" t="s">
        <v>324</v>
      </c>
      <c r="AL173" s="107" t="s">
        <v>325</v>
      </c>
      <c r="AM173" s="107" t="s">
        <v>326</v>
      </c>
      <c r="AN173" s="107" t="s">
        <v>326</v>
      </c>
      <c r="AO173" s="106" t="s">
        <v>320</v>
      </c>
      <c r="AQ173" s="108">
        <v>2</v>
      </c>
      <c r="AR173" s="5"/>
      <c r="AS173" s="105">
        <v>0</v>
      </c>
      <c r="AT173" s="106">
        <v>0</v>
      </c>
      <c r="AU173" s="34"/>
      <c r="AV173" s="105">
        <f t="shared" si="50"/>
        <v>0</v>
      </c>
      <c r="AW173" s="106">
        <f t="shared" si="51"/>
        <v>0</v>
      </c>
      <c r="AX173" s="105">
        <f t="shared" si="54"/>
        <v>0</v>
      </c>
      <c r="AY173" s="106">
        <f t="shared" si="55"/>
        <v>0</v>
      </c>
      <c r="AZ173" s="105">
        <f t="shared" si="56"/>
        <v>0</v>
      </c>
      <c r="BA173" s="106">
        <f t="shared" si="57"/>
        <v>0</v>
      </c>
      <c r="BB173" s="34">
        <f t="shared" si="58"/>
        <v>0</v>
      </c>
      <c r="BC173" s="106">
        <f t="shared" si="59"/>
        <v>0</v>
      </c>
      <c r="BD173" s="34"/>
      <c r="BE173" s="105">
        <f t="shared" si="60"/>
        <v>0</v>
      </c>
      <c r="BF173" s="106">
        <f t="shared" si="61"/>
        <v>0</v>
      </c>
      <c r="BG173" s="105">
        <f t="shared" si="62"/>
        <v>0</v>
      </c>
      <c r="BH173" s="106">
        <f t="shared" si="63"/>
        <v>0</v>
      </c>
      <c r="BI173" s="34">
        <f t="shared" si="64"/>
        <v>0</v>
      </c>
      <c r="BJ173" s="106">
        <f t="shared" si="65"/>
        <v>0</v>
      </c>
      <c r="BK173" s="34">
        <f t="shared" si="66"/>
        <v>0</v>
      </c>
      <c r="BL173" s="106">
        <f t="shared" si="67"/>
        <v>0</v>
      </c>
      <c r="BN173" s="108" t="e">
        <v>#N/A</v>
      </c>
      <c r="BO173" s="5"/>
      <c r="BP173" s="105" t="e">
        <v>#N/A</v>
      </c>
      <c r="BQ173" s="106" t="e">
        <v>#N/A</v>
      </c>
      <c r="BR173" s="34"/>
      <c r="BS173" s="105" t="e">
        <v>#N/A</v>
      </c>
      <c r="BT173" s="106" t="e">
        <v>#N/A</v>
      </c>
      <c r="BU173" s="105" t="e">
        <v>#N/A</v>
      </c>
      <c r="BV173" s="106" t="e">
        <v>#N/A</v>
      </c>
      <c r="BW173" s="105" t="e">
        <v>#N/A</v>
      </c>
      <c r="BX173" s="106" t="e">
        <v>#N/A</v>
      </c>
      <c r="BY173" s="105" t="e">
        <v>#N/A</v>
      </c>
      <c r="BZ173" s="106" t="e">
        <v>#N/A</v>
      </c>
      <c r="CA173" s="34"/>
      <c r="CB173" s="105" t="e">
        <v>#N/A</v>
      </c>
      <c r="CC173" s="106" t="e">
        <v>#N/A</v>
      </c>
      <c r="CD173" s="105" t="e">
        <v>#N/A</v>
      </c>
      <c r="CE173" s="106" t="e">
        <v>#N/A</v>
      </c>
      <c r="CF173" s="105" t="e">
        <v>#N/A</v>
      </c>
      <c r="CG173" s="106" t="e">
        <v>#N/A</v>
      </c>
      <c r="CH173" s="105" t="e">
        <v>#N/A</v>
      </c>
      <c r="CI173" s="106" t="e">
        <v>#N/A</v>
      </c>
      <c r="CK173" s="78"/>
      <c r="CL173" s="5"/>
      <c r="CM173" s="38" t="str">
        <f t="shared" si="68"/>
        <v>-</v>
      </c>
      <c r="CN173" s="5"/>
      <c r="CO173" s="38" t="str">
        <f t="shared" si="69"/>
        <v>-</v>
      </c>
      <c r="CP173" s="38" t="str">
        <f t="shared" si="70"/>
        <v>-</v>
      </c>
      <c r="CQ173" s="38" t="str">
        <f t="shared" si="71"/>
        <v>-</v>
      </c>
      <c r="CR173" s="38" t="str">
        <f t="shared" si="71"/>
        <v>-</v>
      </c>
      <c r="CS173" s="5"/>
      <c r="CT173" s="38" t="str">
        <f t="shared" si="72"/>
        <v>-</v>
      </c>
      <c r="CU173" s="38" t="str">
        <f t="shared" si="73"/>
        <v>-</v>
      </c>
      <c r="CV173" s="38" t="str">
        <f t="shared" si="74"/>
        <v>-</v>
      </c>
      <c r="CW173" s="38" t="str">
        <f t="shared" si="75"/>
        <v>-</v>
      </c>
    </row>
    <row r="174" spans="2:101" s="113" customFormat="1" ht="12.75" customHeight="1">
      <c r="B174" s="99" t="s">
        <v>60</v>
      </c>
      <c r="C174" s="98" t="s">
        <v>80</v>
      </c>
      <c r="D174" s="114" t="e">
        <f>VLOOKUP($C174,#REF!,5,0)</f>
        <v>#REF!</v>
      </c>
      <c r="E174" s="115" t="e">
        <f>VLOOKUP($C174,#REF!,6,0)</f>
        <v>#REF!</v>
      </c>
      <c r="F174" s="98" t="e">
        <f>VLOOKUP($C174,#REF!,7,0)</f>
        <v>#REF!</v>
      </c>
      <c r="G174" s="98" t="e">
        <f>VLOOKUP($C174,#REF!,8,0)</f>
        <v>#REF!</v>
      </c>
      <c r="H174" s="116" t="e">
        <f>VLOOKUP($C174,#REF!,9,0)</f>
        <v>#REF!</v>
      </c>
      <c r="I174" s="5"/>
      <c r="J174" s="118" t="e">
        <f>VLOOKUP($C174,#REF!,10,0)</f>
        <v>#REF!</v>
      </c>
      <c r="K174" s="119" t="e">
        <f>VLOOKUP($C174,#REF!,11,0)</f>
        <v>#REF!</v>
      </c>
      <c r="L174" s="34"/>
      <c r="M174" s="118" t="e">
        <f>VLOOKUP($C174,#REF!,12,0)</f>
        <v>#REF!</v>
      </c>
      <c r="N174" s="120" t="e">
        <f>VLOOKUP($C174,#REF!,13,0)</f>
        <v>#REF!</v>
      </c>
      <c r="O174" s="118" t="e">
        <f>VLOOKUP($C174,#REF!,14,0)</f>
        <v>#REF!</v>
      </c>
      <c r="P174" s="120" t="e">
        <f>VLOOKUP($C174,#REF!,15,0)</f>
        <v>#REF!</v>
      </c>
      <c r="Q174" s="118" t="e">
        <f>VLOOKUP($C174,#REF!,16,0)</f>
        <v>#REF!</v>
      </c>
      <c r="R174" s="119" t="e">
        <f>VLOOKUP($C174,#REF!,17,0)</f>
        <v>#REF!</v>
      </c>
      <c r="S174" s="120" t="e">
        <f>VLOOKUP($C174,#REF!,18,0)</f>
        <v>#REF!</v>
      </c>
      <c r="T174" s="119" t="e">
        <f>VLOOKUP($C174,#REF!,19,0)</f>
        <v>#REF!</v>
      </c>
      <c r="U174" s="34"/>
      <c r="V174" s="118" t="e">
        <f>VLOOKUP($C174,#REF!,20,0)</f>
        <v>#REF!</v>
      </c>
      <c r="W174" s="120" t="e">
        <f>VLOOKUP($C174,#REF!,21,0)</f>
        <v>#REF!</v>
      </c>
      <c r="X174" s="118" t="e">
        <f>VLOOKUP($C174,#REF!,22,0)</f>
        <v>#REF!</v>
      </c>
      <c r="Y174" s="120" t="e">
        <f>VLOOKUP($C174,#REF!,23,0)</f>
        <v>#REF!</v>
      </c>
      <c r="Z174" s="118" t="e">
        <f>VLOOKUP($C174,#REF!,24,0)</f>
        <v>#REF!</v>
      </c>
      <c r="AA174" s="119" t="e">
        <f>VLOOKUP($C174,#REF!,25,0)</f>
        <v>#REF!</v>
      </c>
      <c r="AB174" s="120" t="e">
        <f>VLOOKUP($C174,#REF!,26,0)</f>
        <v>#REF!</v>
      </c>
      <c r="AC174" s="119" t="e">
        <f>VLOOKUP($C174,#REF!,27,0)</f>
        <v>#REF!</v>
      </c>
      <c r="AD174" s="4"/>
      <c r="AE174" s="118" t="e">
        <f t="shared" si="53"/>
        <v>#REF!</v>
      </c>
      <c r="AF174" s="121" t="s">
        <v>320</v>
      </c>
      <c r="AG174" s="121" t="s">
        <v>321</v>
      </c>
      <c r="AH174" s="119" t="s">
        <v>322</v>
      </c>
      <c r="AI174" s="4"/>
      <c r="AJ174" s="118" t="s">
        <v>323</v>
      </c>
      <c r="AK174" s="121" t="s">
        <v>324</v>
      </c>
      <c r="AL174" s="121" t="s">
        <v>325</v>
      </c>
      <c r="AM174" s="121" t="s">
        <v>326</v>
      </c>
      <c r="AN174" s="121" t="s">
        <v>326</v>
      </c>
      <c r="AO174" s="119" t="s">
        <v>320</v>
      </c>
      <c r="AP174" s="4"/>
      <c r="AQ174" s="122">
        <v>2</v>
      </c>
      <c r="AR174" s="5"/>
      <c r="AS174" s="118">
        <v>0</v>
      </c>
      <c r="AT174" s="119">
        <v>0</v>
      </c>
      <c r="AU174" s="34"/>
      <c r="AV174" s="118">
        <f t="shared" si="50"/>
        <v>0</v>
      </c>
      <c r="AW174" s="119">
        <f t="shared" si="51"/>
        <v>0</v>
      </c>
      <c r="AX174" s="118">
        <f t="shared" si="54"/>
        <v>0</v>
      </c>
      <c r="AY174" s="119">
        <f t="shared" si="55"/>
        <v>0</v>
      </c>
      <c r="AZ174" s="118">
        <f t="shared" si="56"/>
        <v>0</v>
      </c>
      <c r="BA174" s="119">
        <f t="shared" si="57"/>
        <v>0</v>
      </c>
      <c r="BB174" s="120">
        <f t="shared" si="58"/>
        <v>0</v>
      </c>
      <c r="BC174" s="119">
        <f t="shared" si="59"/>
        <v>0</v>
      </c>
      <c r="BD174" s="34"/>
      <c r="BE174" s="118">
        <f t="shared" si="60"/>
        <v>0</v>
      </c>
      <c r="BF174" s="119">
        <f t="shared" si="61"/>
        <v>0</v>
      </c>
      <c r="BG174" s="118">
        <f t="shared" si="62"/>
        <v>0</v>
      </c>
      <c r="BH174" s="119">
        <f t="shared" si="63"/>
        <v>0</v>
      </c>
      <c r="BI174" s="120">
        <f t="shared" si="64"/>
        <v>0</v>
      </c>
      <c r="BJ174" s="119">
        <f t="shared" si="65"/>
        <v>0</v>
      </c>
      <c r="BK174" s="120">
        <f t="shared" si="66"/>
        <v>0</v>
      </c>
      <c r="BL174" s="119">
        <f t="shared" si="67"/>
        <v>0</v>
      </c>
      <c r="BM174" s="4"/>
      <c r="BN174" s="122">
        <v>0</v>
      </c>
      <c r="BO174" s="117"/>
      <c r="BP174" s="118">
        <v>0</v>
      </c>
      <c r="BQ174" s="119">
        <v>0</v>
      </c>
      <c r="BR174" s="120"/>
      <c r="BS174" s="118">
        <v>0</v>
      </c>
      <c r="BT174" s="119">
        <v>0</v>
      </c>
      <c r="BU174" s="118">
        <v>0</v>
      </c>
      <c r="BV174" s="119">
        <v>0</v>
      </c>
      <c r="BW174" s="118">
        <v>0</v>
      </c>
      <c r="BX174" s="119">
        <v>0</v>
      </c>
      <c r="BY174" s="118">
        <v>0</v>
      </c>
      <c r="BZ174" s="119">
        <v>0</v>
      </c>
      <c r="CA174" s="120"/>
      <c r="CB174" s="118">
        <v>0</v>
      </c>
      <c r="CC174" s="119">
        <v>0</v>
      </c>
      <c r="CD174" s="118">
        <v>0</v>
      </c>
      <c r="CE174" s="119">
        <v>0</v>
      </c>
      <c r="CF174" s="118">
        <v>0</v>
      </c>
      <c r="CG174" s="119">
        <v>0</v>
      </c>
      <c r="CH174" s="118">
        <v>0</v>
      </c>
      <c r="CI174" s="119">
        <v>0</v>
      </c>
      <c r="CJ174" s="4"/>
      <c r="CK174" s="79"/>
      <c r="CL174" s="5"/>
      <c r="CM174" s="39" t="str">
        <f t="shared" si="68"/>
        <v>-</v>
      </c>
      <c r="CN174" s="5"/>
      <c r="CO174" s="39" t="str">
        <f t="shared" si="69"/>
        <v>-</v>
      </c>
      <c r="CP174" s="39" t="str">
        <f t="shared" si="70"/>
        <v>-</v>
      </c>
      <c r="CQ174" s="39" t="str">
        <f t="shared" si="71"/>
        <v>-</v>
      </c>
      <c r="CR174" s="39" t="str">
        <f t="shared" si="71"/>
        <v>-</v>
      </c>
      <c r="CS174" s="5"/>
      <c r="CT174" s="39" t="str">
        <f t="shared" si="72"/>
        <v>-</v>
      </c>
      <c r="CU174" s="39" t="str">
        <f t="shared" si="73"/>
        <v>-</v>
      </c>
      <c r="CV174" s="39" t="str">
        <f t="shared" si="74"/>
        <v>-</v>
      </c>
      <c r="CW174" s="39" t="str">
        <f t="shared" si="75"/>
        <v>-</v>
      </c>
    </row>
    <row r="175" spans="2:101" s="4" customFormat="1" ht="12.75" customHeight="1">
      <c r="B175" s="102" t="s">
        <v>60</v>
      </c>
      <c r="C175" s="103" t="s">
        <v>65</v>
      </c>
      <c r="D175" s="104" t="e">
        <f>VLOOKUP($C175,#REF!,5,0)</f>
        <v>#REF!</v>
      </c>
      <c r="E175" s="109" t="e">
        <f>VLOOKUP($C175,#REF!,6,0)</f>
        <v>#REF!</v>
      </c>
      <c r="F175" s="103" t="e">
        <f>VLOOKUP($C175,#REF!,7,0)</f>
        <v>#REF!</v>
      </c>
      <c r="G175" s="103" t="e">
        <f>VLOOKUP($C175,#REF!,8,0)</f>
        <v>#REF!</v>
      </c>
      <c r="H175" s="110" t="e">
        <f>VLOOKUP($C175,#REF!,9,0)</f>
        <v>#REF!</v>
      </c>
      <c r="I175" s="5"/>
      <c r="J175" s="105" t="e">
        <f>VLOOKUP($C175,#REF!,10,0)</f>
        <v>#REF!</v>
      </c>
      <c r="K175" s="106" t="e">
        <f>VLOOKUP($C175,#REF!,11,0)</f>
        <v>#REF!</v>
      </c>
      <c r="L175" s="34"/>
      <c r="M175" s="105" t="e">
        <f>VLOOKUP($C175,#REF!,12,0)</f>
        <v>#REF!</v>
      </c>
      <c r="N175" s="34" t="e">
        <f>VLOOKUP($C175,#REF!,13,0)</f>
        <v>#REF!</v>
      </c>
      <c r="O175" s="105" t="e">
        <f>VLOOKUP($C175,#REF!,14,0)</f>
        <v>#REF!</v>
      </c>
      <c r="P175" s="34" t="e">
        <f>VLOOKUP($C175,#REF!,15,0)</f>
        <v>#REF!</v>
      </c>
      <c r="Q175" s="105" t="e">
        <f>VLOOKUP($C175,#REF!,16,0)</f>
        <v>#REF!</v>
      </c>
      <c r="R175" s="106" t="e">
        <f>VLOOKUP($C175,#REF!,17,0)</f>
        <v>#REF!</v>
      </c>
      <c r="S175" s="34" t="e">
        <f>VLOOKUP($C175,#REF!,18,0)</f>
        <v>#REF!</v>
      </c>
      <c r="T175" s="106" t="e">
        <f>VLOOKUP($C175,#REF!,19,0)</f>
        <v>#REF!</v>
      </c>
      <c r="U175" s="34"/>
      <c r="V175" s="105" t="e">
        <f>VLOOKUP($C175,#REF!,20,0)</f>
        <v>#REF!</v>
      </c>
      <c r="W175" s="34" t="e">
        <f>VLOOKUP($C175,#REF!,21,0)</f>
        <v>#REF!</v>
      </c>
      <c r="X175" s="105" t="e">
        <f>VLOOKUP($C175,#REF!,22,0)</f>
        <v>#REF!</v>
      </c>
      <c r="Y175" s="34" t="e">
        <f>VLOOKUP($C175,#REF!,23,0)</f>
        <v>#REF!</v>
      </c>
      <c r="Z175" s="105" t="e">
        <f>VLOOKUP($C175,#REF!,24,0)</f>
        <v>#REF!</v>
      </c>
      <c r="AA175" s="106" t="e">
        <f>VLOOKUP($C175,#REF!,25,0)</f>
        <v>#REF!</v>
      </c>
      <c r="AB175" s="34" t="e">
        <f>VLOOKUP($C175,#REF!,26,0)</f>
        <v>#REF!</v>
      </c>
      <c r="AC175" s="106" t="e">
        <f>VLOOKUP($C175,#REF!,27,0)</f>
        <v>#REF!</v>
      </c>
      <c r="AE175" s="105" t="e">
        <f t="shared" si="53"/>
        <v>#REF!</v>
      </c>
      <c r="AF175" s="107" t="s">
        <v>320</v>
      </c>
      <c r="AG175" s="107" t="s">
        <v>321</v>
      </c>
      <c r="AH175" s="106" t="s">
        <v>322</v>
      </c>
      <c r="AJ175" s="105" t="s">
        <v>323</v>
      </c>
      <c r="AK175" s="107" t="s">
        <v>324</v>
      </c>
      <c r="AL175" s="107" t="s">
        <v>325</v>
      </c>
      <c r="AM175" s="107" t="s">
        <v>326</v>
      </c>
      <c r="AN175" s="107" t="s">
        <v>326</v>
      </c>
      <c r="AO175" s="106" t="s">
        <v>320</v>
      </c>
      <c r="AQ175" s="108">
        <v>0</v>
      </c>
      <c r="AR175" s="5"/>
      <c r="AS175" s="105">
        <v>0</v>
      </c>
      <c r="AT175" s="106">
        <v>0</v>
      </c>
      <c r="AU175" s="34"/>
      <c r="AV175" s="105">
        <f t="shared" si="50"/>
        <v>0</v>
      </c>
      <c r="AW175" s="106">
        <f t="shared" si="51"/>
        <v>0</v>
      </c>
      <c r="AX175" s="105">
        <f t="shared" si="54"/>
        <v>0</v>
      </c>
      <c r="AY175" s="106">
        <f t="shared" si="55"/>
        <v>0</v>
      </c>
      <c r="AZ175" s="105">
        <f t="shared" si="56"/>
        <v>0</v>
      </c>
      <c r="BA175" s="106">
        <f t="shared" si="57"/>
        <v>0</v>
      </c>
      <c r="BB175" s="34">
        <f t="shared" si="58"/>
        <v>0</v>
      </c>
      <c r="BC175" s="106">
        <f t="shared" si="59"/>
        <v>0</v>
      </c>
      <c r="BD175" s="34"/>
      <c r="BE175" s="105">
        <f t="shared" si="60"/>
        <v>0</v>
      </c>
      <c r="BF175" s="106">
        <f t="shared" si="61"/>
        <v>0</v>
      </c>
      <c r="BG175" s="105">
        <f t="shared" si="62"/>
        <v>0</v>
      </c>
      <c r="BH175" s="106">
        <f t="shared" si="63"/>
        <v>0</v>
      </c>
      <c r="BI175" s="34">
        <f t="shared" si="64"/>
        <v>0</v>
      </c>
      <c r="BJ175" s="106">
        <f t="shared" si="65"/>
        <v>0</v>
      </c>
      <c r="BK175" s="34">
        <f t="shared" si="66"/>
        <v>0</v>
      </c>
      <c r="BL175" s="106">
        <f t="shared" si="67"/>
        <v>0</v>
      </c>
      <c r="BN175" s="108">
        <v>0</v>
      </c>
      <c r="BO175" s="5"/>
      <c r="BP175" s="105">
        <v>0</v>
      </c>
      <c r="BQ175" s="106">
        <v>0</v>
      </c>
      <c r="BR175" s="34"/>
      <c r="BS175" s="105">
        <v>0</v>
      </c>
      <c r="BT175" s="106">
        <v>0</v>
      </c>
      <c r="BU175" s="105">
        <v>0</v>
      </c>
      <c r="BV175" s="106">
        <v>0</v>
      </c>
      <c r="BW175" s="105">
        <v>0</v>
      </c>
      <c r="BX175" s="106">
        <v>0</v>
      </c>
      <c r="BY175" s="105">
        <v>0</v>
      </c>
      <c r="BZ175" s="106">
        <v>0</v>
      </c>
      <c r="CA175" s="34"/>
      <c r="CB175" s="105">
        <v>0</v>
      </c>
      <c r="CC175" s="106">
        <v>0</v>
      </c>
      <c r="CD175" s="105">
        <v>0</v>
      </c>
      <c r="CE175" s="106">
        <v>0</v>
      </c>
      <c r="CF175" s="105">
        <v>0</v>
      </c>
      <c r="CG175" s="106">
        <v>0</v>
      </c>
      <c r="CH175" s="105">
        <v>0</v>
      </c>
      <c r="CI175" s="106">
        <v>0</v>
      </c>
      <c r="CK175" s="78"/>
      <c r="CL175" s="5"/>
      <c r="CM175" s="38" t="str">
        <f t="shared" si="68"/>
        <v>-</v>
      </c>
      <c r="CN175" s="5"/>
      <c r="CO175" s="38" t="str">
        <f t="shared" si="69"/>
        <v>-</v>
      </c>
      <c r="CP175" s="38" t="str">
        <f t="shared" si="70"/>
        <v>-</v>
      </c>
      <c r="CQ175" s="38" t="str">
        <f t="shared" si="71"/>
        <v>-</v>
      </c>
      <c r="CR175" s="38" t="str">
        <f t="shared" si="71"/>
        <v>-</v>
      </c>
      <c r="CS175" s="5"/>
      <c r="CT175" s="38" t="str">
        <f t="shared" si="72"/>
        <v>-</v>
      </c>
      <c r="CU175" s="38" t="str">
        <f t="shared" si="73"/>
        <v>-</v>
      </c>
      <c r="CV175" s="38" t="str">
        <f t="shared" si="74"/>
        <v>-</v>
      </c>
      <c r="CW175" s="38" t="str">
        <f t="shared" si="75"/>
        <v>-</v>
      </c>
    </row>
    <row r="176" spans="2:101" s="113" customFormat="1" ht="12.75" customHeight="1">
      <c r="B176" s="99" t="s">
        <v>60</v>
      </c>
      <c r="C176" s="98" t="s">
        <v>265</v>
      </c>
      <c r="D176" s="114" t="e">
        <f>VLOOKUP($C176,#REF!,5,0)</f>
        <v>#REF!</v>
      </c>
      <c r="E176" s="115" t="e">
        <f>VLOOKUP($C176,#REF!,6,0)</f>
        <v>#REF!</v>
      </c>
      <c r="F176" s="98" t="e">
        <f>VLOOKUP($C176,#REF!,7,0)</f>
        <v>#REF!</v>
      </c>
      <c r="G176" s="98" t="e">
        <f>VLOOKUP($C176,#REF!,8,0)</f>
        <v>#REF!</v>
      </c>
      <c r="H176" s="116" t="e">
        <f>VLOOKUP($C176,#REF!,9,0)</f>
        <v>#REF!</v>
      </c>
      <c r="I176" s="5"/>
      <c r="J176" s="118" t="e">
        <f>VLOOKUP($C176,#REF!,10,0)</f>
        <v>#REF!</v>
      </c>
      <c r="K176" s="119" t="e">
        <f>VLOOKUP($C176,#REF!,11,0)</f>
        <v>#REF!</v>
      </c>
      <c r="L176" s="34"/>
      <c r="M176" s="118" t="e">
        <f>VLOOKUP($C176,#REF!,12,0)</f>
        <v>#REF!</v>
      </c>
      <c r="N176" s="120" t="e">
        <f>VLOOKUP($C176,#REF!,13,0)</f>
        <v>#REF!</v>
      </c>
      <c r="O176" s="118" t="e">
        <f>VLOOKUP($C176,#REF!,14,0)</f>
        <v>#REF!</v>
      </c>
      <c r="P176" s="120" t="e">
        <f>VLOOKUP($C176,#REF!,15,0)</f>
        <v>#REF!</v>
      </c>
      <c r="Q176" s="118" t="e">
        <f>VLOOKUP($C176,#REF!,16,0)</f>
        <v>#REF!</v>
      </c>
      <c r="R176" s="119" t="e">
        <f>VLOOKUP($C176,#REF!,17,0)</f>
        <v>#REF!</v>
      </c>
      <c r="S176" s="120" t="e">
        <f>VLOOKUP($C176,#REF!,18,0)</f>
        <v>#REF!</v>
      </c>
      <c r="T176" s="119" t="e">
        <f>VLOOKUP($C176,#REF!,19,0)</f>
        <v>#REF!</v>
      </c>
      <c r="U176" s="34"/>
      <c r="V176" s="118" t="e">
        <f>VLOOKUP($C176,#REF!,20,0)</f>
        <v>#REF!</v>
      </c>
      <c r="W176" s="120" t="e">
        <f>VLOOKUP($C176,#REF!,21,0)</f>
        <v>#REF!</v>
      </c>
      <c r="X176" s="118" t="e">
        <f>VLOOKUP($C176,#REF!,22,0)</f>
        <v>#REF!</v>
      </c>
      <c r="Y176" s="120" t="e">
        <f>VLOOKUP($C176,#REF!,23,0)</f>
        <v>#REF!</v>
      </c>
      <c r="Z176" s="118" t="e">
        <f>VLOOKUP($C176,#REF!,24,0)</f>
        <v>#REF!</v>
      </c>
      <c r="AA176" s="119" t="e">
        <f>VLOOKUP($C176,#REF!,25,0)</f>
        <v>#REF!</v>
      </c>
      <c r="AB176" s="120" t="e">
        <f>VLOOKUP($C176,#REF!,26,0)</f>
        <v>#REF!</v>
      </c>
      <c r="AC176" s="119" t="e">
        <f>VLOOKUP($C176,#REF!,27,0)</f>
        <v>#REF!</v>
      </c>
      <c r="AD176" s="4"/>
      <c r="AE176" s="118" t="e">
        <f t="shared" si="53"/>
        <v>#REF!</v>
      </c>
      <c r="AF176" s="121" t="s">
        <v>320</v>
      </c>
      <c r="AG176" s="121" t="s">
        <v>321</v>
      </c>
      <c r="AH176" s="119" t="s">
        <v>322</v>
      </c>
      <c r="AI176" s="4"/>
      <c r="AJ176" s="118" t="s">
        <v>323</v>
      </c>
      <c r="AK176" s="121" t="s">
        <v>324</v>
      </c>
      <c r="AL176" s="121" t="s">
        <v>325</v>
      </c>
      <c r="AM176" s="121" t="s">
        <v>326</v>
      </c>
      <c r="AN176" s="121" t="s">
        <v>326</v>
      </c>
      <c r="AO176" s="119" t="s">
        <v>320</v>
      </c>
      <c r="AP176" s="4"/>
      <c r="AQ176" s="122">
        <v>-1</v>
      </c>
      <c r="AR176" s="5"/>
      <c r="AS176" s="118">
        <v>0</v>
      </c>
      <c r="AT176" s="119">
        <v>0</v>
      </c>
      <c r="AU176" s="34"/>
      <c r="AV176" s="118">
        <f t="shared" si="50"/>
        <v>0</v>
      </c>
      <c r="AW176" s="119">
        <f t="shared" si="51"/>
        <v>0</v>
      </c>
      <c r="AX176" s="118">
        <f t="shared" si="54"/>
        <v>0</v>
      </c>
      <c r="AY176" s="119">
        <f t="shared" si="55"/>
        <v>0</v>
      </c>
      <c r="AZ176" s="118">
        <f t="shared" si="56"/>
        <v>0</v>
      </c>
      <c r="BA176" s="119">
        <f t="shared" si="57"/>
        <v>0</v>
      </c>
      <c r="BB176" s="120">
        <f t="shared" si="58"/>
        <v>0</v>
      </c>
      <c r="BC176" s="119">
        <f t="shared" si="59"/>
        <v>0</v>
      </c>
      <c r="BD176" s="34"/>
      <c r="BE176" s="118">
        <f t="shared" si="60"/>
        <v>0</v>
      </c>
      <c r="BF176" s="119">
        <f t="shared" si="61"/>
        <v>0</v>
      </c>
      <c r="BG176" s="118">
        <f t="shared" si="62"/>
        <v>0</v>
      </c>
      <c r="BH176" s="119">
        <f t="shared" si="63"/>
        <v>0</v>
      </c>
      <c r="BI176" s="120">
        <f t="shared" si="64"/>
        <v>0</v>
      </c>
      <c r="BJ176" s="119">
        <f t="shared" si="65"/>
        <v>0</v>
      </c>
      <c r="BK176" s="120">
        <f t="shared" si="66"/>
        <v>0</v>
      </c>
      <c r="BL176" s="119">
        <f t="shared" si="67"/>
        <v>0</v>
      </c>
      <c r="BM176" s="4"/>
      <c r="BN176" s="122">
        <v>0</v>
      </c>
      <c r="BO176" s="117"/>
      <c r="BP176" s="118">
        <v>0</v>
      </c>
      <c r="BQ176" s="119">
        <v>0</v>
      </c>
      <c r="BR176" s="120"/>
      <c r="BS176" s="118">
        <v>0</v>
      </c>
      <c r="BT176" s="119">
        <v>0</v>
      </c>
      <c r="BU176" s="118">
        <v>0</v>
      </c>
      <c r="BV176" s="119">
        <v>0</v>
      </c>
      <c r="BW176" s="118">
        <v>0</v>
      </c>
      <c r="BX176" s="119">
        <v>0</v>
      </c>
      <c r="BY176" s="118">
        <v>0</v>
      </c>
      <c r="BZ176" s="119">
        <v>0</v>
      </c>
      <c r="CA176" s="120"/>
      <c r="CB176" s="118">
        <v>0</v>
      </c>
      <c r="CC176" s="119">
        <v>0</v>
      </c>
      <c r="CD176" s="118">
        <v>0</v>
      </c>
      <c r="CE176" s="119">
        <v>0</v>
      </c>
      <c r="CF176" s="118">
        <v>0</v>
      </c>
      <c r="CG176" s="119">
        <v>0</v>
      </c>
      <c r="CH176" s="118">
        <v>0</v>
      </c>
      <c r="CI176" s="119">
        <v>0</v>
      </c>
      <c r="CJ176" s="4"/>
      <c r="CK176" s="79"/>
      <c r="CL176" s="5"/>
      <c r="CM176" s="39" t="str">
        <f t="shared" si="68"/>
        <v>-</v>
      </c>
      <c r="CN176" s="5"/>
      <c r="CO176" s="39" t="str">
        <f t="shared" si="69"/>
        <v>-</v>
      </c>
      <c r="CP176" s="39" t="str">
        <f t="shared" si="70"/>
        <v>-</v>
      </c>
      <c r="CQ176" s="39" t="str">
        <f t="shared" si="71"/>
        <v>-</v>
      </c>
      <c r="CR176" s="39" t="str">
        <f t="shared" si="71"/>
        <v>-</v>
      </c>
      <c r="CS176" s="5"/>
      <c r="CT176" s="39" t="str">
        <f t="shared" si="72"/>
        <v>-</v>
      </c>
      <c r="CU176" s="39" t="str">
        <f t="shared" si="73"/>
        <v>-</v>
      </c>
      <c r="CV176" s="39" t="str">
        <f t="shared" si="74"/>
        <v>-</v>
      </c>
      <c r="CW176" s="39" t="str">
        <f t="shared" si="75"/>
        <v>-</v>
      </c>
    </row>
    <row r="177" spans="2:101" s="4" customFormat="1" ht="12.75" customHeight="1">
      <c r="B177" s="102" t="s">
        <v>79</v>
      </c>
      <c r="C177" s="103" t="s">
        <v>135</v>
      </c>
      <c r="D177" s="104" t="e">
        <f>VLOOKUP($C177,#REF!,5,0)</f>
        <v>#REF!</v>
      </c>
      <c r="E177" s="109" t="e">
        <f>VLOOKUP($C177,#REF!,6,0)</f>
        <v>#REF!</v>
      </c>
      <c r="F177" s="103" t="e">
        <f>VLOOKUP($C177,#REF!,7,0)</f>
        <v>#REF!</v>
      </c>
      <c r="G177" s="103" t="e">
        <f>VLOOKUP($C177,#REF!,8,0)</f>
        <v>#REF!</v>
      </c>
      <c r="H177" s="110" t="e">
        <f>VLOOKUP($C177,#REF!,9,0)</f>
        <v>#REF!</v>
      </c>
      <c r="I177" s="5"/>
      <c r="J177" s="105" t="e">
        <f>VLOOKUP($C177,#REF!,10,0)</f>
        <v>#REF!</v>
      </c>
      <c r="K177" s="106" t="e">
        <f>VLOOKUP($C177,#REF!,11,0)</f>
        <v>#REF!</v>
      </c>
      <c r="L177" s="34"/>
      <c r="M177" s="105" t="e">
        <f>VLOOKUP($C177,#REF!,12,0)</f>
        <v>#REF!</v>
      </c>
      <c r="N177" s="34" t="e">
        <f>VLOOKUP($C177,#REF!,13,0)</f>
        <v>#REF!</v>
      </c>
      <c r="O177" s="105" t="e">
        <f>VLOOKUP($C177,#REF!,14,0)</f>
        <v>#REF!</v>
      </c>
      <c r="P177" s="34" t="e">
        <f>VLOOKUP($C177,#REF!,15,0)</f>
        <v>#REF!</v>
      </c>
      <c r="Q177" s="105" t="e">
        <f>VLOOKUP($C177,#REF!,16,0)</f>
        <v>#REF!</v>
      </c>
      <c r="R177" s="106" t="e">
        <f>VLOOKUP($C177,#REF!,17,0)</f>
        <v>#REF!</v>
      </c>
      <c r="S177" s="34" t="e">
        <f>VLOOKUP($C177,#REF!,18,0)</f>
        <v>#REF!</v>
      </c>
      <c r="T177" s="106" t="e">
        <f>VLOOKUP($C177,#REF!,19,0)</f>
        <v>#REF!</v>
      </c>
      <c r="U177" s="34"/>
      <c r="V177" s="105" t="e">
        <f>VLOOKUP($C177,#REF!,20,0)</f>
        <v>#REF!</v>
      </c>
      <c r="W177" s="34" t="e">
        <f>VLOOKUP($C177,#REF!,21,0)</f>
        <v>#REF!</v>
      </c>
      <c r="X177" s="105" t="e">
        <f>VLOOKUP($C177,#REF!,22,0)</f>
        <v>#REF!</v>
      </c>
      <c r="Y177" s="34" t="e">
        <f>VLOOKUP($C177,#REF!,23,0)</f>
        <v>#REF!</v>
      </c>
      <c r="Z177" s="105" t="e">
        <f>VLOOKUP($C177,#REF!,24,0)</f>
        <v>#REF!</v>
      </c>
      <c r="AA177" s="106" t="e">
        <f>VLOOKUP($C177,#REF!,25,0)</f>
        <v>#REF!</v>
      </c>
      <c r="AB177" s="34" t="e">
        <f>VLOOKUP($C177,#REF!,26,0)</f>
        <v>#REF!</v>
      </c>
      <c r="AC177" s="106" t="e">
        <f>VLOOKUP($C177,#REF!,27,0)</f>
        <v>#REF!</v>
      </c>
      <c r="AE177" s="105" t="e">
        <f t="shared" si="53"/>
        <v>#REF!</v>
      </c>
      <c r="AF177" s="107" t="s">
        <v>320</v>
      </c>
      <c r="AG177" s="107" t="s">
        <v>321</v>
      </c>
      <c r="AH177" s="106" t="s">
        <v>322</v>
      </c>
      <c r="AJ177" s="105" t="s">
        <v>323</v>
      </c>
      <c r="AK177" s="107" t="s">
        <v>324</v>
      </c>
      <c r="AL177" s="107" t="s">
        <v>325</v>
      </c>
      <c r="AM177" s="107" t="s">
        <v>326</v>
      </c>
      <c r="AN177" s="107" t="s">
        <v>326</v>
      </c>
      <c r="AO177" s="106" t="s">
        <v>320</v>
      </c>
      <c r="AQ177" s="108">
        <v>1</v>
      </c>
      <c r="AR177" s="5"/>
      <c r="AS177" s="105">
        <v>0</v>
      </c>
      <c r="AT177" s="106">
        <v>0</v>
      </c>
      <c r="AU177" s="34"/>
      <c r="AV177" s="105">
        <f t="shared" si="50"/>
        <v>0</v>
      </c>
      <c r="AW177" s="106">
        <f t="shared" si="51"/>
        <v>0</v>
      </c>
      <c r="AX177" s="105">
        <f t="shared" si="54"/>
        <v>0</v>
      </c>
      <c r="AY177" s="106">
        <f t="shared" si="55"/>
        <v>0</v>
      </c>
      <c r="AZ177" s="105">
        <f t="shared" si="56"/>
        <v>0</v>
      </c>
      <c r="BA177" s="106">
        <f t="shared" si="57"/>
        <v>0</v>
      </c>
      <c r="BB177" s="34">
        <f t="shared" si="58"/>
        <v>0</v>
      </c>
      <c r="BC177" s="106">
        <f t="shared" si="59"/>
        <v>0</v>
      </c>
      <c r="BD177" s="34"/>
      <c r="BE177" s="105">
        <f t="shared" si="60"/>
        <v>0</v>
      </c>
      <c r="BF177" s="106">
        <f t="shared" si="61"/>
        <v>0</v>
      </c>
      <c r="BG177" s="105">
        <f t="shared" si="62"/>
        <v>0</v>
      </c>
      <c r="BH177" s="106">
        <f t="shared" si="63"/>
        <v>0</v>
      </c>
      <c r="BI177" s="34">
        <f t="shared" si="64"/>
        <v>0</v>
      </c>
      <c r="BJ177" s="106">
        <f t="shared" si="65"/>
        <v>0</v>
      </c>
      <c r="BK177" s="34">
        <f t="shared" si="66"/>
        <v>0</v>
      </c>
      <c r="BL177" s="106">
        <f t="shared" si="67"/>
        <v>0</v>
      </c>
      <c r="BN177" s="108">
        <v>0</v>
      </c>
      <c r="BO177" s="5"/>
      <c r="BP177" s="105">
        <v>0</v>
      </c>
      <c r="BQ177" s="106">
        <v>0</v>
      </c>
      <c r="BR177" s="34"/>
      <c r="BS177" s="105">
        <v>0</v>
      </c>
      <c r="BT177" s="106">
        <v>0</v>
      </c>
      <c r="BU177" s="105">
        <v>0</v>
      </c>
      <c r="BV177" s="106">
        <v>0</v>
      </c>
      <c r="BW177" s="105">
        <v>0</v>
      </c>
      <c r="BX177" s="106">
        <v>0</v>
      </c>
      <c r="BY177" s="105">
        <v>0</v>
      </c>
      <c r="BZ177" s="106">
        <v>0</v>
      </c>
      <c r="CA177" s="34"/>
      <c r="CB177" s="105">
        <v>0</v>
      </c>
      <c r="CC177" s="106">
        <v>0</v>
      </c>
      <c r="CD177" s="105">
        <v>0</v>
      </c>
      <c r="CE177" s="106">
        <v>0</v>
      </c>
      <c r="CF177" s="105">
        <v>0</v>
      </c>
      <c r="CG177" s="106">
        <v>0</v>
      </c>
      <c r="CH177" s="105">
        <v>0</v>
      </c>
      <c r="CI177" s="106">
        <v>0</v>
      </c>
      <c r="CK177" s="78"/>
      <c r="CL177" s="5"/>
      <c r="CM177" s="38" t="str">
        <f t="shared" si="68"/>
        <v>-</v>
      </c>
      <c r="CN177" s="5"/>
      <c r="CO177" s="38" t="str">
        <f t="shared" si="69"/>
        <v>-</v>
      </c>
      <c r="CP177" s="38" t="str">
        <f t="shared" si="70"/>
        <v>-</v>
      </c>
      <c r="CQ177" s="38" t="str">
        <f t="shared" si="71"/>
        <v>-</v>
      </c>
      <c r="CR177" s="38" t="str">
        <f t="shared" si="71"/>
        <v>-</v>
      </c>
      <c r="CS177" s="5"/>
      <c r="CT177" s="38" t="str">
        <f t="shared" si="72"/>
        <v>-</v>
      </c>
      <c r="CU177" s="38" t="str">
        <f t="shared" si="73"/>
        <v>-</v>
      </c>
      <c r="CV177" s="38" t="str">
        <f t="shared" si="74"/>
        <v>-</v>
      </c>
      <c r="CW177" s="38" t="str">
        <f t="shared" si="75"/>
        <v>-</v>
      </c>
    </row>
    <row r="178" spans="2:101" s="113" customFormat="1" ht="12.75" customHeight="1">
      <c r="B178" s="99" t="s">
        <v>79</v>
      </c>
      <c r="C178" s="98" t="s">
        <v>232</v>
      </c>
      <c r="D178" s="114" t="e">
        <f>VLOOKUP($C178,#REF!,5,0)</f>
        <v>#REF!</v>
      </c>
      <c r="E178" s="115" t="e">
        <f>VLOOKUP($C178,#REF!,6,0)</f>
        <v>#REF!</v>
      </c>
      <c r="F178" s="98" t="e">
        <f>VLOOKUP($C178,#REF!,7,0)</f>
        <v>#REF!</v>
      </c>
      <c r="G178" s="98" t="e">
        <f>VLOOKUP($C178,#REF!,8,0)</f>
        <v>#REF!</v>
      </c>
      <c r="H178" s="116" t="e">
        <f>VLOOKUP($C178,#REF!,9,0)</f>
        <v>#REF!</v>
      </c>
      <c r="I178" s="5"/>
      <c r="J178" s="118" t="e">
        <f>VLOOKUP($C178,#REF!,10,0)</f>
        <v>#REF!</v>
      </c>
      <c r="K178" s="119" t="e">
        <f>VLOOKUP($C178,#REF!,11,0)</f>
        <v>#REF!</v>
      </c>
      <c r="L178" s="34"/>
      <c r="M178" s="118" t="e">
        <f>VLOOKUP($C178,#REF!,12,0)</f>
        <v>#REF!</v>
      </c>
      <c r="N178" s="120" t="e">
        <f>VLOOKUP($C178,#REF!,13,0)</f>
        <v>#REF!</v>
      </c>
      <c r="O178" s="118" t="e">
        <f>VLOOKUP($C178,#REF!,14,0)</f>
        <v>#REF!</v>
      </c>
      <c r="P178" s="120" t="e">
        <f>VLOOKUP($C178,#REF!,15,0)</f>
        <v>#REF!</v>
      </c>
      <c r="Q178" s="118" t="e">
        <f>VLOOKUP($C178,#REF!,16,0)</f>
        <v>#REF!</v>
      </c>
      <c r="R178" s="119" t="e">
        <f>VLOOKUP($C178,#REF!,17,0)</f>
        <v>#REF!</v>
      </c>
      <c r="S178" s="120" t="e">
        <f>VLOOKUP($C178,#REF!,18,0)</f>
        <v>#REF!</v>
      </c>
      <c r="T178" s="119" t="e">
        <f>VLOOKUP($C178,#REF!,19,0)</f>
        <v>#REF!</v>
      </c>
      <c r="U178" s="34"/>
      <c r="V178" s="118" t="e">
        <f>VLOOKUP($C178,#REF!,20,0)</f>
        <v>#REF!</v>
      </c>
      <c r="W178" s="120" t="e">
        <f>VLOOKUP($C178,#REF!,21,0)</f>
        <v>#REF!</v>
      </c>
      <c r="X178" s="118" t="e">
        <f>VLOOKUP($C178,#REF!,22,0)</f>
        <v>#REF!</v>
      </c>
      <c r="Y178" s="120" t="e">
        <f>VLOOKUP($C178,#REF!,23,0)</f>
        <v>#REF!</v>
      </c>
      <c r="Z178" s="118" t="e">
        <f>VLOOKUP($C178,#REF!,24,0)</f>
        <v>#REF!</v>
      </c>
      <c r="AA178" s="119" t="e">
        <f>VLOOKUP($C178,#REF!,25,0)</f>
        <v>#REF!</v>
      </c>
      <c r="AB178" s="120" t="e">
        <f>VLOOKUP($C178,#REF!,26,0)</f>
        <v>#REF!</v>
      </c>
      <c r="AC178" s="119" t="e">
        <f>VLOOKUP($C178,#REF!,27,0)</f>
        <v>#REF!</v>
      </c>
      <c r="AD178" s="4"/>
      <c r="AE178" s="118" t="e">
        <f t="shared" si="53"/>
        <v>#REF!</v>
      </c>
      <c r="AF178" s="121" t="s">
        <v>320</v>
      </c>
      <c r="AG178" s="121" t="s">
        <v>321</v>
      </c>
      <c r="AH178" s="119" t="s">
        <v>322</v>
      </c>
      <c r="AI178" s="4"/>
      <c r="AJ178" s="118" t="s">
        <v>323</v>
      </c>
      <c r="AK178" s="121" t="s">
        <v>324</v>
      </c>
      <c r="AL178" s="121" t="s">
        <v>325</v>
      </c>
      <c r="AM178" s="121" t="s">
        <v>326</v>
      </c>
      <c r="AN178" s="121" t="s">
        <v>326</v>
      </c>
      <c r="AO178" s="119" t="s">
        <v>320</v>
      </c>
      <c r="AP178" s="4"/>
      <c r="AQ178" s="122">
        <v>-41</v>
      </c>
      <c r="AR178" s="5"/>
      <c r="AS178" s="118">
        <v>0</v>
      </c>
      <c r="AT178" s="119">
        <v>0</v>
      </c>
      <c r="AU178" s="34"/>
      <c r="AV178" s="118">
        <f t="shared" ref="AV178:AV240" si="76">IFERROR(ROUND($D178-M178-AW178,0),0)</f>
        <v>0</v>
      </c>
      <c r="AW178" s="119">
        <f t="shared" ref="AW178:AW240" si="77">IFERROR(N178*$G178,0)</f>
        <v>0</v>
      </c>
      <c r="AX178" s="118">
        <f t="shared" si="54"/>
        <v>0</v>
      </c>
      <c r="AY178" s="119">
        <f t="shared" si="55"/>
        <v>0</v>
      </c>
      <c r="AZ178" s="118">
        <f t="shared" si="56"/>
        <v>0</v>
      </c>
      <c r="BA178" s="119">
        <f t="shared" si="57"/>
        <v>0</v>
      </c>
      <c r="BB178" s="120">
        <f t="shared" si="58"/>
        <v>0</v>
      </c>
      <c r="BC178" s="119">
        <f t="shared" si="59"/>
        <v>0</v>
      </c>
      <c r="BD178" s="34"/>
      <c r="BE178" s="118">
        <f t="shared" si="60"/>
        <v>0</v>
      </c>
      <c r="BF178" s="119">
        <f t="shared" si="61"/>
        <v>0</v>
      </c>
      <c r="BG178" s="118">
        <f t="shared" si="62"/>
        <v>0</v>
      </c>
      <c r="BH178" s="119">
        <f t="shared" si="63"/>
        <v>0</v>
      </c>
      <c r="BI178" s="120">
        <f t="shared" si="64"/>
        <v>0</v>
      </c>
      <c r="BJ178" s="119">
        <f t="shared" si="65"/>
        <v>0</v>
      </c>
      <c r="BK178" s="120">
        <f t="shared" si="66"/>
        <v>0</v>
      </c>
      <c r="BL178" s="119">
        <f t="shared" si="67"/>
        <v>0</v>
      </c>
      <c r="BM178" s="4"/>
      <c r="BN178" s="122">
        <v>0</v>
      </c>
      <c r="BO178" s="117"/>
      <c r="BP178" s="118">
        <v>0</v>
      </c>
      <c r="BQ178" s="119">
        <v>0</v>
      </c>
      <c r="BR178" s="120"/>
      <c r="BS178" s="118">
        <v>0</v>
      </c>
      <c r="BT178" s="119">
        <v>0</v>
      </c>
      <c r="BU178" s="118">
        <v>0</v>
      </c>
      <c r="BV178" s="119">
        <v>0</v>
      </c>
      <c r="BW178" s="118">
        <v>0</v>
      </c>
      <c r="BX178" s="119">
        <v>0</v>
      </c>
      <c r="BY178" s="118">
        <v>0</v>
      </c>
      <c r="BZ178" s="119">
        <v>0</v>
      </c>
      <c r="CA178" s="120"/>
      <c r="CB178" s="118">
        <v>0</v>
      </c>
      <c r="CC178" s="119">
        <v>0</v>
      </c>
      <c r="CD178" s="118">
        <v>0</v>
      </c>
      <c r="CE178" s="119">
        <v>0</v>
      </c>
      <c r="CF178" s="118">
        <v>0</v>
      </c>
      <c r="CG178" s="119">
        <v>0</v>
      </c>
      <c r="CH178" s="118">
        <v>0</v>
      </c>
      <c r="CI178" s="119">
        <v>0</v>
      </c>
      <c r="CJ178" s="4"/>
      <c r="CK178" s="79"/>
      <c r="CL178" s="5"/>
      <c r="CM178" s="39" t="str">
        <f t="shared" si="68"/>
        <v>-</v>
      </c>
      <c r="CN178" s="5"/>
      <c r="CO178" s="39" t="str">
        <f t="shared" si="69"/>
        <v>-</v>
      </c>
      <c r="CP178" s="39" t="str">
        <f t="shared" si="70"/>
        <v>-</v>
      </c>
      <c r="CQ178" s="39" t="str">
        <f t="shared" si="71"/>
        <v>-</v>
      </c>
      <c r="CR178" s="39" t="str">
        <f t="shared" si="71"/>
        <v>-</v>
      </c>
      <c r="CS178" s="5"/>
      <c r="CT178" s="39" t="str">
        <f t="shared" si="72"/>
        <v>-</v>
      </c>
      <c r="CU178" s="39" t="str">
        <f t="shared" si="73"/>
        <v>-</v>
      </c>
      <c r="CV178" s="39" t="str">
        <f t="shared" si="74"/>
        <v>-</v>
      </c>
      <c r="CW178" s="39" t="str">
        <f t="shared" si="75"/>
        <v>-</v>
      </c>
    </row>
    <row r="179" spans="2:101" s="4" customFormat="1" ht="12.75" customHeight="1">
      <c r="B179" s="102" t="s">
        <v>79</v>
      </c>
      <c r="C179" s="103" t="s">
        <v>289</v>
      </c>
      <c r="D179" s="104" t="e">
        <f>VLOOKUP($C179,#REF!,5,0)</f>
        <v>#REF!</v>
      </c>
      <c r="E179" s="109" t="e">
        <f>VLOOKUP($C179,#REF!,6,0)</f>
        <v>#REF!</v>
      </c>
      <c r="F179" s="103" t="e">
        <f>VLOOKUP($C179,#REF!,7,0)</f>
        <v>#REF!</v>
      </c>
      <c r="G179" s="103" t="e">
        <f>VLOOKUP($C179,#REF!,8,0)</f>
        <v>#REF!</v>
      </c>
      <c r="H179" s="110" t="e">
        <f>VLOOKUP($C179,#REF!,9,0)</f>
        <v>#REF!</v>
      </c>
      <c r="I179" s="5"/>
      <c r="J179" s="105" t="e">
        <f>VLOOKUP($C179,#REF!,10,0)</f>
        <v>#REF!</v>
      </c>
      <c r="K179" s="106" t="e">
        <f>VLOOKUP($C179,#REF!,11,0)</f>
        <v>#REF!</v>
      </c>
      <c r="L179" s="34"/>
      <c r="M179" s="105" t="e">
        <f>VLOOKUP($C179,#REF!,12,0)</f>
        <v>#REF!</v>
      </c>
      <c r="N179" s="34" t="e">
        <f>VLOOKUP($C179,#REF!,13,0)</f>
        <v>#REF!</v>
      </c>
      <c r="O179" s="105" t="e">
        <f>VLOOKUP($C179,#REF!,14,0)</f>
        <v>#REF!</v>
      </c>
      <c r="P179" s="34" t="e">
        <f>VLOOKUP($C179,#REF!,15,0)</f>
        <v>#REF!</v>
      </c>
      <c r="Q179" s="105" t="e">
        <f>VLOOKUP($C179,#REF!,16,0)</f>
        <v>#REF!</v>
      </c>
      <c r="R179" s="106" t="e">
        <f>VLOOKUP($C179,#REF!,17,0)</f>
        <v>#REF!</v>
      </c>
      <c r="S179" s="34" t="e">
        <f>VLOOKUP($C179,#REF!,18,0)</f>
        <v>#REF!</v>
      </c>
      <c r="T179" s="106" t="e">
        <f>VLOOKUP($C179,#REF!,19,0)</f>
        <v>#REF!</v>
      </c>
      <c r="U179" s="34"/>
      <c r="V179" s="105" t="e">
        <f>VLOOKUP($C179,#REF!,20,0)</f>
        <v>#REF!</v>
      </c>
      <c r="W179" s="34" t="e">
        <f>VLOOKUP($C179,#REF!,21,0)</f>
        <v>#REF!</v>
      </c>
      <c r="X179" s="105" t="e">
        <f>VLOOKUP($C179,#REF!,22,0)</f>
        <v>#REF!</v>
      </c>
      <c r="Y179" s="34" t="e">
        <f>VLOOKUP($C179,#REF!,23,0)</f>
        <v>#REF!</v>
      </c>
      <c r="Z179" s="105" t="e">
        <f>VLOOKUP($C179,#REF!,24,0)</f>
        <v>#REF!</v>
      </c>
      <c r="AA179" s="106" t="e">
        <f>VLOOKUP($C179,#REF!,25,0)</f>
        <v>#REF!</v>
      </c>
      <c r="AB179" s="34" t="e">
        <f>VLOOKUP($C179,#REF!,26,0)</f>
        <v>#REF!</v>
      </c>
      <c r="AC179" s="106" t="e">
        <f>VLOOKUP($C179,#REF!,27,0)</f>
        <v>#REF!</v>
      </c>
      <c r="AE179" s="105" t="e">
        <f t="shared" si="53"/>
        <v>#REF!</v>
      </c>
      <c r="AF179" s="107" t="s">
        <v>320</v>
      </c>
      <c r="AG179" s="107" t="s">
        <v>321</v>
      </c>
      <c r="AH179" s="106" t="s">
        <v>322</v>
      </c>
      <c r="AJ179" s="105" t="s">
        <v>323</v>
      </c>
      <c r="AK179" s="107" t="s">
        <v>324</v>
      </c>
      <c r="AL179" s="107" t="s">
        <v>325</v>
      </c>
      <c r="AM179" s="107" t="s">
        <v>326</v>
      </c>
      <c r="AN179" s="107" t="s">
        <v>326</v>
      </c>
      <c r="AO179" s="106" t="s">
        <v>320</v>
      </c>
      <c r="AQ179" s="108">
        <v>82</v>
      </c>
      <c r="AR179" s="5"/>
      <c r="AS179" s="105">
        <v>0</v>
      </c>
      <c r="AT179" s="106">
        <v>0</v>
      </c>
      <c r="AU179" s="34"/>
      <c r="AV179" s="105">
        <f t="shared" si="76"/>
        <v>0</v>
      </c>
      <c r="AW179" s="106">
        <f t="shared" si="77"/>
        <v>0</v>
      </c>
      <c r="AX179" s="105">
        <f t="shared" si="54"/>
        <v>0</v>
      </c>
      <c r="AY179" s="106">
        <f t="shared" si="55"/>
        <v>0</v>
      </c>
      <c r="AZ179" s="105">
        <f t="shared" si="56"/>
        <v>0</v>
      </c>
      <c r="BA179" s="106">
        <f t="shared" si="57"/>
        <v>0</v>
      </c>
      <c r="BB179" s="34">
        <f t="shared" si="58"/>
        <v>0</v>
      </c>
      <c r="BC179" s="106">
        <f t="shared" si="59"/>
        <v>0</v>
      </c>
      <c r="BD179" s="34"/>
      <c r="BE179" s="105">
        <f t="shared" si="60"/>
        <v>0</v>
      </c>
      <c r="BF179" s="106">
        <f t="shared" si="61"/>
        <v>0</v>
      </c>
      <c r="BG179" s="105">
        <f t="shared" si="62"/>
        <v>0</v>
      </c>
      <c r="BH179" s="106">
        <f t="shared" si="63"/>
        <v>0</v>
      </c>
      <c r="BI179" s="34">
        <f t="shared" si="64"/>
        <v>0</v>
      </c>
      <c r="BJ179" s="106">
        <f t="shared" si="65"/>
        <v>0</v>
      </c>
      <c r="BK179" s="34">
        <f t="shared" si="66"/>
        <v>0</v>
      </c>
      <c r="BL179" s="106">
        <f t="shared" si="67"/>
        <v>0</v>
      </c>
      <c r="BN179" s="108">
        <v>0</v>
      </c>
      <c r="BO179" s="5"/>
      <c r="BP179" s="105">
        <v>0</v>
      </c>
      <c r="BQ179" s="106">
        <v>0</v>
      </c>
      <c r="BR179" s="34"/>
      <c r="BS179" s="105">
        <v>0</v>
      </c>
      <c r="BT179" s="106">
        <v>0</v>
      </c>
      <c r="BU179" s="105">
        <v>0</v>
      </c>
      <c r="BV179" s="106">
        <v>1</v>
      </c>
      <c r="BW179" s="105">
        <v>0</v>
      </c>
      <c r="BX179" s="106">
        <v>0</v>
      </c>
      <c r="BY179" s="105">
        <v>0</v>
      </c>
      <c r="BZ179" s="106">
        <v>0</v>
      </c>
      <c r="CA179" s="34"/>
      <c r="CB179" s="105">
        <v>0</v>
      </c>
      <c r="CC179" s="106">
        <v>0</v>
      </c>
      <c r="CD179" s="105">
        <v>0</v>
      </c>
      <c r="CE179" s="106">
        <v>0</v>
      </c>
      <c r="CF179" s="105">
        <v>0</v>
      </c>
      <c r="CG179" s="106">
        <v>0</v>
      </c>
      <c r="CH179" s="105">
        <v>0</v>
      </c>
      <c r="CI179" s="106">
        <v>0</v>
      </c>
      <c r="CK179" s="78"/>
      <c r="CL179" s="5"/>
      <c r="CM179" s="38" t="str">
        <f t="shared" si="68"/>
        <v>-</v>
      </c>
      <c r="CN179" s="5"/>
      <c r="CO179" s="38" t="str">
        <f t="shared" si="69"/>
        <v>-</v>
      </c>
      <c r="CP179" s="38" t="str">
        <f t="shared" si="70"/>
        <v>-</v>
      </c>
      <c r="CQ179" s="38" t="str">
        <f t="shared" si="71"/>
        <v>-</v>
      </c>
      <c r="CR179" s="38" t="str">
        <f t="shared" si="71"/>
        <v>-</v>
      </c>
      <c r="CS179" s="5"/>
      <c r="CT179" s="38" t="str">
        <f t="shared" si="72"/>
        <v>-</v>
      </c>
      <c r="CU179" s="38" t="str">
        <f t="shared" si="73"/>
        <v>-</v>
      </c>
      <c r="CV179" s="38" t="str">
        <f t="shared" si="74"/>
        <v>-</v>
      </c>
      <c r="CW179" s="38" t="str">
        <f t="shared" si="75"/>
        <v>-</v>
      </c>
    </row>
    <row r="180" spans="2:101" s="113" customFormat="1" ht="12.75" customHeight="1">
      <c r="B180" s="99" t="s">
        <v>79</v>
      </c>
      <c r="C180" s="98" t="s">
        <v>85</v>
      </c>
      <c r="D180" s="114" t="e">
        <f>VLOOKUP($C180,#REF!,5,0)</f>
        <v>#REF!</v>
      </c>
      <c r="E180" s="115" t="e">
        <f>VLOOKUP($C180,#REF!,6,0)</f>
        <v>#REF!</v>
      </c>
      <c r="F180" s="98" t="e">
        <f>VLOOKUP($C180,#REF!,7,0)</f>
        <v>#REF!</v>
      </c>
      <c r="G180" s="98" t="e">
        <f>VLOOKUP($C180,#REF!,8,0)</f>
        <v>#REF!</v>
      </c>
      <c r="H180" s="116" t="e">
        <f>VLOOKUP($C180,#REF!,9,0)</f>
        <v>#REF!</v>
      </c>
      <c r="I180" s="5"/>
      <c r="J180" s="118" t="e">
        <f>VLOOKUP($C180,#REF!,10,0)</f>
        <v>#REF!</v>
      </c>
      <c r="K180" s="119" t="e">
        <f>VLOOKUP($C180,#REF!,11,0)</f>
        <v>#REF!</v>
      </c>
      <c r="L180" s="34"/>
      <c r="M180" s="118" t="e">
        <f>VLOOKUP($C180,#REF!,12,0)</f>
        <v>#REF!</v>
      </c>
      <c r="N180" s="120" t="e">
        <f>VLOOKUP($C180,#REF!,13,0)</f>
        <v>#REF!</v>
      </c>
      <c r="O180" s="118" t="e">
        <f>VLOOKUP($C180,#REF!,14,0)</f>
        <v>#REF!</v>
      </c>
      <c r="P180" s="120" t="e">
        <f>VLOOKUP($C180,#REF!,15,0)</f>
        <v>#REF!</v>
      </c>
      <c r="Q180" s="118" t="e">
        <f>VLOOKUP($C180,#REF!,16,0)</f>
        <v>#REF!</v>
      </c>
      <c r="R180" s="119" t="e">
        <f>VLOOKUP($C180,#REF!,17,0)</f>
        <v>#REF!</v>
      </c>
      <c r="S180" s="120" t="e">
        <f>VLOOKUP($C180,#REF!,18,0)</f>
        <v>#REF!</v>
      </c>
      <c r="T180" s="119" t="e">
        <f>VLOOKUP($C180,#REF!,19,0)</f>
        <v>#REF!</v>
      </c>
      <c r="U180" s="34"/>
      <c r="V180" s="118" t="e">
        <f>VLOOKUP($C180,#REF!,20,0)</f>
        <v>#REF!</v>
      </c>
      <c r="W180" s="120" t="e">
        <f>VLOOKUP($C180,#REF!,21,0)</f>
        <v>#REF!</v>
      </c>
      <c r="X180" s="118" t="e">
        <f>VLOOKUP($C180,#REF!,22,0)</f>
        <v>#REF!</v>
      </c>
      <c r="Y180" s="120" t="e">
        <f>VLOOKUP($C180,#REF!,23,0)</f>
        <v>#REF!</v>
      </c>
      <c r="Z180" s="118" t="e">
        <f>VLOOKUP($C180,#REF!,24,0)</f>
        <v>#REF!</v>
      </c>
      <c r="AA180" s="119" t="e">
        <f>VLOOKUP($C180,#REF!,25,0)</f>
        <v>#REF!</v>
      </c>
      <c r="AB180" s="120" t="e">
        <f>VLOOKUP($C180,#REF!,26,0)</f>
        <v>#REF!</v>
      </c>
      <c r="AC180" s="119" t="e">
        <f>VLOOKUP($C180,#REF!,27,0)</f>
        <v>#REF!</v>
      </c>
      <c r="AD180" s="4"/>
      <c r="AE180" s="118" t="e">
        <f t="shared" si="53"/>
        <v>#REF!</v>
      </c>
      <c r="AF180" s="121" t="s">
        <v>320</v>
      </c>
      <c r="AG180" s="121" t="s">
        <v>321</v>
      </c>
      <c r="AH180" s="119" t="s">
        <v>322</v>
      </c>
      <c r="AI180" s="4"/>
      <c r="AJ180" s="118" t="s">
        <v>323</v>
      </c>
      <c r="AK180" s="121" t="s">
        <v>324</v>
      </c>
      <c r="AL180" s="121" t="s">
        <v>325</v>
      </c>
      <c r="AM180" s="121" t="s">
        <v>326</v>
      </c>
      <c r="AN180" s="121" t="s">
        <v>326</v>
      </c>
      <c r="AO180" s="119" t="s">
        <v>320</v>
      </c>
      <c r="AP180" s="4"/>
      <c r="AQ180" s="122">
        <v>67</v>
      </c>
      <c r="AR180" s="5"/>
      <c r="AS180" s="118">
        <v>0</v>
      </c>
      <c r="AT180" s="119">
        <v>0</v>
      </c>
      <c r="AU180" s="34"/>
      <c r="AV180" s="118">
        <f t="shared" si="76"/>
        <v>0</v>
      </c>
      <c r="AW180" s="119">
        <f t="shared" si="77"/>
        <v>0</v>
      </c>
      <c r="AX180" s="118">
        <f t="shared" si="54"/>
        <v>0</v>
      </c>
      <c r="AY180" s="119">
        <f t="shared" si="55"/>
        <v>0</v>
      </c>
      <c r="AZ180" s="118">
        <f t="shared" si="56"/>
        <v>0</v>
      </c>
      <c r="BA180" s="119">
        <f t="shared" si="57"/>
        <v>0</v>
      </c>
      <c r="BB180" s="120">
        <f t="shared" si="58"/>
        <v>0</v>
      </c>
      <c r="BC180" s="119">
        <f t="shared" si="59"/>
        <v>0</v>
      </c>
      <c r="BD180" s="34"/>
      <c r="BE180" s="118">
        <f t="shared" si="60"/>
        <v>0</v>
      </c>
      <c r="BF180" s="119">
        <f t="shared" si="61"/>
        <v>0</v>
      </c>
      <c r="BG180" s="118">
        <f t="shared" si="62"/>
        <v>0</v>
      </c>
      <c r="BH180" s="119">
        <f t="shared" si="63"/>
        <v>0</v>
      </c>
      <c r="BI180" s="120">
        <f t="shared" si="64"/>
        <v>0</v>
      </c>
      <c r="BJ180" s="119">
        <f t="shared" si="65"/>
        <v>0</v>
      </c>
      <c r="BK180" s="120">
        <f t="shared" si="66"/>
        <v>0</v>
      </c>
      <c r="BL180" s="119">
        <f t="shared" si="67"/>
        <v>0</v>
      </c>
      <c r="BM180" s="4"/>
      <c r="BN180" s="122">
        <v>-33.06</v>
      </c>
      <c r="BO180" s="117"/>
      <c r="BP180" s="118">
        <v>-33.06</v>
      </c>
      <c r="BQ180" s="119">
        <v>0</v>
      </c>
      <c r="BR180" s="120"/>
      <c r="BS180" s="118">
        <v>0</v>
      </c>
      <c r="BT180" s="119">
        <v>0</v>
      </c>
      <c r="BU180" s="118">
        <v>0</v>
      </c>
      <c r="BV180" s="119">
        <v>0</v>
      </c>
      <c r="BW180" s="118">
        <v>0</v>
      </c>
      <c r="BX180" s="119">
        <v>-1</v>
      </c>
      <c r="BY180" s="118">
        <v>0</v>
      </c>
      <c r="BZ180" s="119">
        <v>-1</v>
      </c>
      <c r="CA180" s="120"/>
      <c r="CB180" s="118">
        <v>0</v>
      </c>
      <c r="CC180" s="119">
        <v>0</v>
      </c>
      <c r="CD180" s="118">
        <v>0</v>
      </c>
      <c r="CE180" s="119">
        <v>0</v>
      </c>
      <c r="CF180" s="118">
        <v>0</v>
      </c>
      <c r="CG180" s="119">
        <v>-1</v>
      </c>
      <c r="CH180" s="118">
        <v>0</v>
      </c>
      <c r="CI180" s="119">
        <v>-1</v>
      </c>
      <c r="CJ180" s="4"/>
      <c r="CK180" s="79"/>
      <c r="CL180" s="5"/>
      <c r="CM180" s="39" t="str">
        <f t="shared" si="68"/>
        <v>-</v>
      </c>
      <c r="CN180" s="5"/>
      <c r="CO180" s="39" t="str">
        <f t="shared" si="69"/>
        <v>-</v>
      </c>
      <c r="CP180" s="39" t="str">
        <f t="shared" si="70"/>
        <v>-</v>
      </c>
      <c r="CQ180" s="39" t="str">
        <f t="shared" si="71"/>
        <v>-</v>
      </c>
      <c r="CR180" s="39" t="str">
        <f t="shared" si="71"/>
        <v>-</v>
      </c>
      <c r="CS180" s="5"/>
      <c r="CT180" s="39" t="str">
        <f t="shared" si="72"/>
        <v>-</v>
      </c>
      <c r="CU180" s="39" t="str">
        <f t="shared" si="73"/>
        <v>-</v>
      </c>
      <c r="CV180" s="39" t="str">
        <f t="shared" si="74"/>
        <v>-</v>
      </c>
      <c r="CW180" s="39" t="str">
        <f t="shared" si="75"/>
        <v>-</v>
      </c>
    </row>
    <row r="181" spans="2:101" s="4" customFormat="1" ht="12.75" customHeight="1">
      <c r="B181" s="102" t="s">
        <v>79</v>
      </c>
      <c r="C181" s="103" t="s">
        <v>86</v>
      </c>
      <c r="D181" s="104" t="e">
        <f>VLOOKUP($C181,#REF!,5,0)</f>
        <v>#REF!</v>
      </c>
      <c r="E181" s="109" t="e">
        <f>VLOOKUP($C181,#REF!,6,0)</f>
        <v>#REF!</v>
      </c>
      <c r="F181" s="103" t="e">
        <f>VLOOKUP($C181,#REF!,7,0)</f>
        <v>#REF!</v>
      </c>
      <c r="G181" s="103" t="e">
        <f>VLOOKUP($C181,#REF!,8,0)</f>
        <v>#REF!</v>
      </c>
      <c r="H181" s="110" t="e">
        <f>VLOOKUP($C181,#REF!,9,0)</f>
        <v>#REF!</v>
      </c>
      <c r="I181" s="5"/>
      <c r="J181" s="105" t="e">
        <f>VLOOKUP($C181,#REF!,10,0)</f>
        <v>#REF!</v>
      </c>
      <c r="K181" s="106" t="e">
        <f>VLOOKUP($C181,#REF!,11,0)</f>
        <v>#REF!</v>
      </c>
      <c r="L181" s="34"/>
      <c r="M181" s="105" t="e">
        <f>VLOOKUP($C181,#REF!,12,0)</f>
        <v>#REF!</v>
      </c>
      <c r="N181" s="34" t="e">
        <f>VLOOKUP($C181,#REF!,13,0)</f>
        <v>#REF!</v>
      </c>
      <c r="O181" s="105" t="e">
        <f>VLOOKUP($C181,#REF!,14,0)</f>
        <v>#REF!</v>
      </c>
      <c r="P181" s="34" t="e">
        <f>VLOOKUP($C181,#REF!,15,0)</f>
        <v>#REF!</v>
      </c>
      <c r="Q181" s="105" t="e">
        <f>VLOOKUP($C181,#REF!,16,0)</f>
        <v>#REF!</v>
      </c>
      <c r="R181" s="106" t="e">
        <f>VLOOKUP($C181,#REF!,17,0)</f>
        <v>#REF!</v>
      </c>
      <c r="S181" s="34" t="e">
        <f>VLOOKUP($C181,#REF!,18,0)</f>
        <v>#REF!</v>
      </c>
      <c r="T181" s="106" t="e">
        <f>VLOOKUP($C181,#REF!,19,0)</f>
        <v>#REF!</v>
      </c>
      <c r="U181" s="34"/>
      <c r="V181" s="105" t="e">
        <f>VLOOKUP($C181,#REF!,20,0)</f>
        <v>#REF!</v>
      </c>
      <c r="W181" s="34" t="e">
        <f>VLOOKUP($C181,#REF!,21,0)</f>
        <v>#REF!</v>
      </c>
      <c r="X181" s="105" t="e">
        <f>VLOOKUP($C181,#REF!,22,0)</f>
        <v>#REF!</v>
      </c>
      <c r="Y181" s="34" t="e">
        <f>VLOOKUP($C181,#REF!,23,0)</f>
        <v>#REF!</v>
      </c>
      <c r="Z181" s="105" t="e">
        <f>VLOOKUP($C181,#REF!,24,0)</f>
        <v>#REF!</v>
      </c>
      <c r="AA181" s="106" t="e">
        <f>VLOOKUP($C181,#REF!,25,0)</f>
        <v>#REF!</v>
      </c>
      <c r="AB181" s="34" t="e">
        <f>VLOOKUP($C181,#REF!,26,0)</f>
        <v>#REF!</v>
      </c>
      <c r="AC181" s="106" t="e">
        <f>VLOOKUP($C181,#REF!,27,0)</f>
        <v>#REF!</v>
      </c>
      <c r="AE181" s="105" t="e">
        <f t="shared" si="53"/>
        <v>#REF!</v>
      </c>
      <c r="AF181" s="107" t="s">
        <v>320</v>
      </c>
      <c r="AG181" s="107" t="s">
        <v>321</v>
      </c>
      <c r="AH181" s="106" t="s">
        <v>322</v>
      </c>
      <c r="AJ181" s="105" t="s">
        <v>323</v>
      </c>
      <c r="AK181" s="107" t="s">
        <v>324</v>
      </c>
      <c r="AL181" s="107" t="s">
        <v>325</v>
      </c>
      <c r="AM181" s="107" t="s">
        <v>326</v>
      </c>
      <c r="AN181" s="107" t="s">
        <v>326</v>
      </c>
      <c r="AO181" s="106" t="s">
        <v>320</v>
      </c>
      <c r="AQ181" s="108">
        <v>66</v>
      </c>
      <c r="AR181" s="5"/>
      <c r="AS181" s="105">
        <v>0</v>
      </c>
      <c r="AT181" s="106">
        <v>0</v>
      </c>
      <c r="AU181" s="34"/>
      <c r="AV181" s="105">
        <f t="shared" si="76"/>
        <v>0</v>
      </c>
      <c r="AW181" s="106">
        <f t="shared" si="77"/>
        <v>0</v>
      </c>
      <c r="AX181" s="105">
        <f t="shared" si="54"/>
        <v>0</v>
      </c>
      <c r="AY181" s="106">
        <f t="shared" si="55"/>
        <v>0</v>
      </c>
      <c r="AZ181" s="105">
        <f t="shared" si="56"/>
        <v>0</v>
      </c>
      <c r="BA181" s="106">
        <f t="shared" si="57"/>
        <v>0</v>
      </c>
      <c r="BB181" s="34">
        <f t="shared" si="58"/>
        <v>0</v>
      </c>
      <c r="BC181" s="106">
        <f t="shared" si="59"/>
        <v>0</v>
      </c>
      <c r="BD181" s="34"/>
      <c r="BE181" s="105">
        <f t="shared" si="60"/>
        <v>0</v>
      </c>
      <c r="BF181" s="106">
        <f t="shared" si="61"/>
        <v>0</v>
      </c>
      <c r="BG181" s="105">
        <f t="shared" si="62"/>
        <v>0</v>
      </c>
      <c r="BH181" s="106">
        <f t="shared" si="63"/>
        <v>0</v>
      </c>
      <c r="BI181" s="34">
        <f t="shared" si="64"/>
        <v>0</v>
      </c>
      <c r="BJ181" s="106">
        <f t="shared" si="65"/>
        <v>0</v>
      </c>
      <c r="BK181" s="34">
        <f t="shared" si="66"/>
        <v>0</v>
      </c>
      <c r="BL181" s="106">
        <f t="shared" si="67"/>
        <v>0</v>
      </c>
      <c r="BN181" s="108">
        <v>-8.2700000000000102</v>
      </c>
      <c r="BO181" s="5"/>
      <c r="BP181" s="105">
        <v>-8.2700000000000102</v>
      </c>
      <c r="BQ181" s="106">
        <v>0</v>
      </c>
      <c r="BR181" s="34"/>
      <c r="BS181" s="105">
        <v>0</v>
      </c>
      <c r="BT181" s="106">
        <v>0</v>
      </c>
      <c r="BU181" s="105">
        <v>0</v>
      </c>
      <c r="BV181" s="106">
        <v>0</v>
      </c>
      <c r="BW181" s="105">
        <v>0</v>
      </c>
      <c r="BX181" s="106">
        <v>0</v>
      </c>
      <c r="BY181" s="105">
        <v>0</v>
      </c>
      <c r="BZ181" s="106">
        <v>0</v>
      </c>
      <c r="CA181" s="34"/>
      <c r="CB181" s="105">
        <v>0</v>
      </c>
      <c r="CC181" s="106">
        <v>0</v>
      </c>
      <c r="CD181" s="105">
        <v>0</v>
      </c>
      <c r="CE181" s="106">
        <v>0</v>
      </c>
      <c r="CF181" s="105">
        <v>0</v>
      </c>
      <c r="CG181" s="106">
        <v>0</v>
      </c>
      <c r="CH181" s="105">
        <v>0</v>
      </c>
      <c r="CI181" s="106">
        <v>0</v>
      </c>
      <c r="CK181" s="78"/>
      <c r="CL181" s="5"/>
      <c r="CM181" s="38" t="str">
        <f t="shared" si="68"/>
        <v>-</v>
      </c>
      <c r="CN181" s="5"/>
      <c r="CO181" s="38" t="str">
        <f t="shared" si="69"/>
        <v>-</v>
      </c>
      <c r="CP181" s="38" t="str">
        <f t="shared" si="70"/>
        <v>-</v>
      </c>
      <c r="CQ181" s="38" t="str">
        <f t="shared" si="71"/>
        <v>-</v>
      </c>
      <c r="CR181" s="38" t="str">
        <f t="shared" si="71"/>
        <v>-</v>
      </c>
      <c r="CS181" s="5"/>
      <c r="CT181" s="38" t="str">
        <f t="shared" si="72"/>
        <v>-</v>
      </c>
      <c r="CU181" s="38" t="str">
        <f t="shared" si="73"/>
        <v>-</v>
      </c>
      <c r="CV181" s="38" t="str">
        <f t="shared" si="74"/>
        <v>-</v>
      </c>
      <c r="CW181" s="38" t="str">
        <f t="shared" si="75"/>
        <v>-</v>
      </c>
    </row>
    <row r="182" spans="2:101" s="113" customFormat="1" ht="12.75" customHeight="1">
      <c r="B182" s="99" t="s">
        <v>79</v>
      </c>
      <c r="C182" s="98" t="s">
        <v>136</v>
      </c>
      <c r="D182" s="114" t="e">
        <f>VLOOKUP($C182,#REF!,5,0)</f>
        <v>#REF!</v>
      </c>
      <c r="E182" s="115" t="e">
        <f>VLOOKUP($C182,#REF!,6,0)</f>
        <v>#REF!</v>
      </c>
      <c r="F182" s="98" t="e">
        <f>VLOOKUP($C182,#REF!,7,0)</f>
        <v>#REF!</v>
      </c>
      <c r="G182" s="98" t="e">
        <f>VLOOKUP($C182,#REF!,8,0)</f>
        <v>#REF!</v>
      </c>
      <c r="H182" s="116" t="e">
        <f>VLOOKUP($C182,#REF!,9,0)</f>
        <v>#REF!</v>
      </c>
      <c r="I182" s="5"/>
      <c r="J182" s="118" t="e">
        <f>VLOOKUP($C182,#REF!,10,0)</f>
        <v>#REF!</v>
      </c>
      <c r="K182" s="119" t="e">
        <f>VLOOKUP($C182,#REF!,11,0)</f>
        <v>#REF!</v>
      </c>
      <c r="L182" s="34"/>
      <c r="M182" s="118" t="e">
        <f>VLOOKUP($C182,#REF!,12,0)</f>
        <v>#REF!</v>
      </c>
      <c r="N182" s="120" t="e">
        <f>VLOOKUP($C182,#REF!,13,0)</f>
        <v>#REF!</v>
      </c>
      <c r="O182" s="118" t="e">
        <f>VLOOKUP($C182,#REF!,14,0)</f>
        <v>#REF!</v>
      </c>
      <c r="P182" s="120" t="e">
        <f>VLOOKUP($C182,#REF!,15,0)</f>
        <v>#REF!</v>
      </c>
      <c r="Q182" s="118" t="e">
        <f>VLOOKUP($C182,#REF!,16,0)</f>
        <v>#REF!</v>
      </c>
      <c r="R182" s="119" t="e">
        <f>VLOOKUP($C182,#REF!,17,0)</f>
        <v>#REF!</v>
      </c>
      <c r="S182" s="120" t="e">
        <f>VLOOKUP($C182,#REF!,18,0)</f>
        <v>#REF!</v>
      </c>
      <c r="T182" s="119" t="e">
        <f>VLOOKUP($C182,#REF!,19,0)</f>
        <v>#REF!</v>
      </c>
      <c r="U182" s="34"/>
      <c r="V182" s="118" t="e">
        <f>VLOOKUP($C182,#REF!,20,0)</f>
        <v>#REF!</v>
      </c>
      <c r="W182" s="120" t="e">
        <f>VLOOKUP($C182,#REF!,21,0)</f>
        <v>#REF!</v>
      </c>
      <c r="X182" s="118" t="e">
        <f>VLOOKUP($C182,#REF!,22,0)</f>
        <v>#REF!</v>
      </c>
      <c r="Y182" s="120" t="e">
        <f>VLOOKUP($C182,#REF!,23,0)</f>
        <v>#REF!</v>
      </c>
      <c r="Z182" s="118" t="e">
        <f>VLOOKUP($C182,#REF!,24,0)</f>
        <v>#REF!</v>
      </c>
      <c r="AA182" s="119" t="e">
        <f>VLOOKUP($C182,#REF!,25,0)</f>
        <v>#REF!</v>
      </c>
      <c r="AB182" s="120" t="e">
        <f>VLOOKUP($C182,#REF!,26,0)</f>
        <v>#REF!</v>
      </c>
      <c r="AC182" s="119" t="e">
        <f>VLOOKUP($C182,#REF!,27,0)</f>
        <v>#REF!</v>
      </c>
      <c r="AD182" s="4"/>
      <c r="AE182" s="118" t="e">
        <f t="shared" si="53"/>
        <v>#REF!</v>
      </c>
      <c r="AF182" s="121" t="s">
        <v>320</v>
      </c>
      <c r="AG182" s="121" t="s">
        <v>321</v>
      </c>
      <c r="AH182" s="119" t="s">
        <v>322</v>
      </c>
      <c r="AI182" s="4"/>
      <c r="AJ182" s="118" t="s">
        <v>323</v>
      </c>
      <c r="AK182" s="121" t="s">
        <v>324</v>
      </c>
      <c r="AL182" s="121" t="s">
        <v>325</v>
      </c>
      <c r="AM182" s="121" t="s">
        <v>326</v>
      </c>
      <c r="AN182" s="121" t="s">
        <v>326</v>
      </c>
      <c r="AO182" s="119" t="s">
        <v>320</v>
      </c>
      <c r="AP182" s="4"/>
      <c r="AQ182" s="122">
        <v>1</v>
      </c>
      <c r="AR182" s="5"/>
      <c r="AS182" s="118">
        <v>0</v>
      </c>
      <c r="AT182" s="119">
        <v>0</v>
      </c>
      <c r="AU182" s="34"/>
      <c r="AV182" s="118">
        <f t="shared" si="76"/>
        <v>0</v>
      </c>
      <c r="AW182" s="119">
        <f t="shared" si="77"/>
        <v>0</v>
      </c>
      <c r="AX182" s="118">
        <f t="shared" si="54"/>
        <v>0</v>
      </c>
      <c r="AY182" s="119">
        <f t="shared" si="55"/>
        <v>0</v>
      </c>
      <c r="AZ182" s="118">
        <f t="shared" si="56"/>
        <v>0</v>
      </c>
      <c r="BA182" s="119">
        <f t="shared" si="57"/>
        <v>0</v>
      </c>
      <c r="BB182" s="120">
        <f t="shared" si="58"/>
        <v>0</v>
      </c>
      <c r="BC182" s="119">
        <f t="shared" si="59"/>
        <v>0</v>
      </c>
      <c r="BD182" s="34"/>
      <c r="BE182" s="118">
        <f t="shared" si="60"/>
        <v>0</v>
      </c>
      <c r="BF182" s="119">
        <f t="shared" si="61"/>
        <v>0</v>
      </c>
      <c r="BG182" s="118">
        <f t="shared" si="62"/>
        <v>0</v>
      </c>
      <c r="BH182" s="119">
        <f t="shared" si="63"/>
        <v>0</v>
      </c>
      <c r="BI182" s="120">
        <f t="shared" si="64"/>
        <v>0</v>
      </c>
      <c r="BJ182" s="119">
        <f t="shared" si="65"/>
        <v>0</v>
      </c>
      <c r="BK182" s="120">
        <f t="shared" si="66"/>
        <v>0</v>
      </c>
      <c r="BL182" s="119">
        <f t="shared" si="67"/>
        <v>0</v>
      </c>
      <c r="BM182" s="4"/>
      <c r="BN182" s="122">
        <v>0</v>
      </c>
      <c r="BO182" s="117"/>
      <c r="BP182" s="118">
        <v>0</v>
      </c>
      <c r="BQ182" s="119">
        <v>0</v>
      </c>
      <c r="BR182" s="120"/>
      <c r="BS182" s="118">
        <v>0</v>
      </c>
      <c r="BT182" s="119">
        <v>0</v>
      </c>
      <c r="BU182" s="118">
        <v>0</v>
      </c>
      <c r="BV182" s="119">
        <v>0</v>
      </c>
      <c r="BW182" s="118">
        <v>0</v>
      </c>
      <c r="BX182" s="119">
        <v>-1</v>
      </c>
      <c r="BY182" s="118">
        <v>0</v>
      </c>
      <c r="BZ182" s="119">
        <v>-1</v>
      </c>
      <c r="CA182" s="120"/>
      <c r="CB182" s="118">
        <v>0</v>
      </c>
      <c r="CC182" s="119">
        <v>0</v>
      </c>
      <c r="CD182" s="118">
        <v>0</v>
      </c>
      <c r="CE182" s="119">
        <v>0</v>
      </c>
      <c r="CF182" s="118">
        <v>0</v>
      </c>
      <c r="CG182" s="119">
        <v>-1</v>
      </c>
      <c r="CH182" s="118">
        <v>0</v>
      </c>
      <c r="CI182" s="119">
        <v>-1</v>
      </c>
      <c r="CJ182" s="4"/>
      <c r="CK182" s="79"/>
      <c r="CL182" s="5"/>
      <c r="CM182" s="39" t="str">
        <f t="shared" si="68"/>
        <v>-</v>
      </c>
      <c r="CN182" s="5"/>
      <c r="CO182" s="39" t="str">
        <f t="shared" si="69"/>
        <v>-</v>
      </c>
      <c r="CP182" s="39" t="str">
        <f t="shared" si="70"/>
        <v>-</v>
      </c>
      <c r="CQ182" s="39" t="str">
        <f t="shared" si="71"/>
        <v>-</v>
      </c>
      <c r="CR182" s="39" t="str">
        <f t="shared" si="71"/>
        <v>-</v>
      </c>
      <c r="CS182" s="5"/>
      <c r="CT182" s="39" t="str">
        <f t="shared" si="72"/>
        <v>-</v>
      </c>
      <c r="CU182" s="39" t="str">
        <f t="shared" si="73"/>
        <v>-</v>
      </c>
      <c r="CV182" s="39" t="str">
        <f t="shared" si="74"/>
        <v>-</v>
      </c>
      <c r="CW182" s="39" t="str">
        <f t="shared" si="75"/>
        <v>-</v>
      </c>
    </row>
    <row r="183" spans="2:101" s="4" customFormat="1" ht="12.75" customHeight="1">
      <c r="B183" s="111" t="s">
        <v>79</v>
      </c>
      <c r="C183" s="112" t="s">
        <v>362</v>
      </c>
      <c r="D183" s="104" t="e">
        <f>VLOOKUP($C183,#REF!,5,0)</f>
        <v>#REF!</v>
      </c>
      <c r="E183" s="109" t="e">
        <f>VLOOKUP($C183,#REF!,6,0)</f>
        <v>#REF!</v>
      </c>
      <c r="F183" s="103" t="e">
        <f>VLOOKUP($C183,#REF!,7,0)</f>
        <v>#REF!</v>
      </c>
      <c r="G183" s="103" t="e">
        <f>VLOOKUP($C183,#REF!,8,0)</f>
        <v>#REF!</v>
      </c>
      <c r="H183" s="110" t="e">
        <f>VLOOKUP($C183,#REF!,9,0)</f>
        <v>#REF!</v>
      </c>
      <c r="I183" s="5"/>
      <c r="J183" s="105" t="e">
        <f>VLOOKUP($C183,#REF!,10,0)</f>
        <v>#REF!</v>
      </c>
      <c r="K183" s="106" t="e">
        <f>VLOOKUP($C183,#REF!,11,0)</f>
        <v>#REF!</v>
      </c>
      <c r="L183" s="34"/>
      <c r="M183" s="105" t="e">
        <f>VLOOKUP($C183,#REF!,12,0)</f>
        <v>#REF!</v>
      </c>
      <c r="N183" s="34" t="e">
        <f>VLOOKUP($C183,#REF!,13,0)</f>
        <v>#REF!</v>
      </c>
      <c r="O183" s="105" t="e">
        <f>VLOOKUP($C183,#REF!,14,0)</f>
        <v>#REF!</v>
      </c>
      <c r="P183" s="34" t="e">
        <f>VLOOKUP($C183,#REF!,15,0)</f>
        <v>#REF!</v>
      </c>
      <c r="Q183" s="105" t="e">
        <f>VLOOKUP($C183,#REF!,16,0)</f>
        <v>#REF!</v>
      </c>
      <c r="R183" s="106" t="e">
        <f>VLOOKUP($C183,#REF!,17,0)</f>
        <v>#REF!</v>
      </c>
      <c r="S183" s="34" t="e">
        <f>VLOOKUP($C183,#REF!,18,0)</f>
        <v>#REF!</v>
      </c>
      <c r="T183" s="106" t="e">
        <f>VLOOKUP($C183,#REF!,19,0)</f>
        <v>#REF!</v>
      </c>
      <c r="U183" s="34"/>
      <c r="V183" s="105" t="e">
        <f>VLOOKUP($C183,#REF!,20,0)</f>
        <v>#REF!</v>
      </c>
      <c r="W183" s="34" t="e">
        <f>VLOOKUP($C183,#REF!,21,0)</f>
        <v>#REF!</v>
      </c>
      <c r="X183" s="105" t="e">
        <f>VLOOKUP($C183,#REF!,22,0)</f>
        <v>#REF!</v>
      </c>
      <c r="Y183" s="34" t="e">
        <f>VLOOKUP($C183,#REF!,23,0)</f>
        <v>#REF!</v>
      </c>
      <c r="Z183" s="105" t="e">
        <f>VLOOKUP($C183,#REF!,24,0)</f>
        <v>#REF!</v>
      </c>
      <c r="AA183" s="106" t="e">
        <f>VLOOKUP($C183,#REF!,25,0)</f>
        <v>#REF!</v>
      </c>
      <c r="AB183" s="34" t="e">
        <f>VLOOKUP($C183,#REF!,26,0)</f>
        <v>#REF!</v>
      </c>
      <c r="AC183" s="106" t="e">
        <f>VLOOKUP($C183,#REF!,27,0)</f>
        <v>#REF!</v>
      </c>
      <c r="AE183" s="105" t="e">
        <f t="shared" si="53"/>
        <v>#REF!</v>
      </c>
      <c r="AF183" s="107" t="s">
        <v>320</v>
      </c>
      <c r="AG183" s="107" t="s">
        <v>321</v>
      </c>
      <c r="AH183" s="106" t="s">
        <v>322</v>
      </c>
      <c r="AJ183" s="105" t="s">
        <v>323</v>
      </c>
      <c r="AK183" s="107" t="s">
        <v>324</v>
      </c>
      <c r="AL183" s="107" t="s">
        <v>325</v>
      </c>
      <c r="AM183" s="107" t="s">
        <v>326</v>
      </c>
      <c r="AN183" s="107" t="s">
        <v>326</v>
      </c>
      <c r="AO183" s="106" t="s">
        <v>320</v>
      </c>
      <c r="AQ183" s="108">
        <v>156</v>
      </c>
      <c r="AR183" s="5"/>
      <c r="AS183" s="105">
        <v>0</v>
      </c>
      <c r="AT183" s="106">
        <v>0</v>
      </c>
      <c r="AU183" s="34"/>
      <c r="AV183" s="105">
        <f t="shared" si="76"/>
        <v>0</v>
      </c>
      <c r="AW183" s="106">
        <f t="shared" si="77"/>
        <v>0</v>
      </c>
      <c r="AX183" s="105">
        <f t="shared" si="54"/>
        <v>0</v>
      </c>
      <c r="AY183" s="106">
        <f t="shared" si="55"/>
        <v>0</v>
      </c>
      <c r="AZ183" s="105">
        <f t="shared" si="56"/>
        <v>0</v>
      </c>
      <c r="BA183" s="106">
        <f t="shared" si="57"/>
        <v>0</v>
      </c>
      <c r="BB183" s="34">
        <f t="shared" si="58"/>
        <v>0</v>
      </c>
      <c r="BC183" s="106">
        <f t="shared" si="59"/>
        <v>0</v>
      </c>
      <c r="BD183" s="34"/>
      <c r="BE183" s="105">
        <f t="shared" si="60"/>
        <v>0</v>
      </c>
      <c r="BF183" s="106">
        <f t="shared" si="61"/>
        <v>0</v>
      </c>
      <c r="BG183" s="105">
        <f t="shared" si="62"/>
        <v>0</v>
      </c>
      <c r="BH183" s="106">
        <f t="shared" si="63"/>
        <v>0</v>
      </c>
      <c r="BI183" s="34">
        <f t="shared" si="64"/>
        <v>0</v>
      </c>
      <c r="BJ183" s="106">
        <f t="shared" si="65"/>
        <v>0</v>
      </c>
      <c r="BK183" s="34">
        <f t="shared" si="66"/>
        <v>0</v>
      </c>
      <c r="BL183" s="106">
        <f t="shared" si="67"/>
        <v>0</v>
      </c>
      <c r="BN183" s="108">
        <v>-15.699999999999989</v>
      </c>
      <c r="BO183" s="5"/>
      <c r="BP183" s="105">
        <v>-15.699999999999989</v>
      </c>
      <c r="BQ183" s="106">
        <v>0</v>
      </c>
      <c r="BR183" s="34"/>
      <c r="BS183" s="105">
        <v>0</v>
      </c>
      <c r="BT183" s="106">
        <v>0</v>
      </c>
      <c r="BU183" s="105">
        <v>0</v>
      </c>
      <c r="BV183" s="106">
        <v>0</v>
      </c>
      <c r="BW183" s="105">
        <v>0</v>
      </c>
      <c r="BX183" s="106">
        <v>0</v>
      </c>
      <c r="BY183" s="105">
        <v>0</v>
      </c>
      <c r="BZ183" s="106">
        <v>0</v>
      </c>
      <c r="CA183" s="34"/>
      <c r="CB183" s="105">
        <v>0</v>
      </c>
      <c r="CC183" s="106">
        <v>0</v>
      </c>
      <c r="CD183" s="105">
        <v>0</v>
      </c>
      <c r="CE183" s="106">
        <v>0</v>
      </c>
      <c r="CF183" s="105">
        <v>0</v>
      </c>
      <c r="CG183" s="106">
        <v>0</v>
      </c>
      <c r="CH183" s="105">
        <v>0</v>
      </c>
      <c r="CI183" s="106">
        <v>0</v>
      </c>
      <c r="CK183" s="78"/>
      <c r="CL183" s="5"/>
      <c r="CM183" s="38" t="str">
        <f t="shared" si="68"/>
        <v>-</v>
      </c>
      <c r="CN183" s="5"/>
      <c r="CO183" s="38" t="str">
        <f t="shared" si="69"/>
        <v>-</v>
      </c>
      <c r="CP183" s="38" t="str">
        <f t="shared" si="70"/>
        <v>-</v>
      </c>
      <c r="CQ183" s="38" t="str">
        <f t="shared" si="71"/>
        <v>-</v>
      </c>
      <c r="CR183" s="38" t="str">
        <f t="shared" si="71"/>
        <v>-</v>
      </c>
      <c r="CS183" s="5"/>
      <c r="CT183" s="38" t="str">
        <f t="shared" si="72"/>
        <v>-</v>
      </c>
      <c r="CU183" s="38" t="str">
        <f t="shared" si="73"/>
        <v>-</v>
      </c>
      <c r="CV183" s="38" t="str">
        <f t="shared" si="74"/>
        <v>-</v>
      </c>
      <c r="CW183" s="38" t="str">
        <f t="shared" si="75"/>
        <v>-</v>
      </c>
    </row>
    <row r="184" spans="2:101" s="113" customFormat="1" ht="12.75" customHeight="1">
      <c r="B184" s="100" t="s">
        <v>79</v>
      </c>
      <c r="C184" s="101" t="s">
        <v>363</v>
      </c>
      <c r="D184" s="114" t="e">
        <f>VLOOKUP($C184,#REF!,5,0)</f>
        <v>#REF!</v>
      </c>
      <c r="E184" s="115" t="e">
        <f>VLOOKUP($C184,#REF!,6,0)</f>
        <v>#REF!</v>
      </c>
      <c r="F184" s="98" t="e">
        <f>VLOOKUP($C184,#REF!,7,0)</f>
        <v>#REF!</v>
      </c>
      <c r="G184" s="98" t="e">
        <f>VLOOKUP($C184,#REF!,8,0)</f>
        <v>#REF!</v>
      </c>
      <c r="H184" s="116" t="e">
        <f>VLOOKUP($C184,#REF!,9,0)</f>
        <v>#REF!</v>
      </c>
      <c r="I184" s="5"/>
      <c r="J184" s="118" t="e">
        <f>VLOOKUP($C184,#REF!,10,0)</f>
        <v>#REF!</v>
      </c>
      <c r="K184" s="119" t="e">
        <f>VLOOKUP($C184,#REF!,11,0)</f>
        <v>#REF!</v>
      </c>
      <c r="L184" s="34"/>
      <c r="M184" s="118" t="e">
        <f>VLOOKUP($C184,#REF!,12,0)</f>
        <v>#REF!</v>
      </c>
      <c r="N184" s="120" t="e">
        <f>VLOOKUP($C184,#REF!,13,0)</f>
        <v>#REF!</v>
      </c>
      <c r="O184" s="118" t="e">
        <f>VLOOKUP($C184,#REF!,14,0)</f>
        <v>#REF!</v>
      </c>
      <c r="P184" s="120" t="e">
        <f>VLOOKUP($C184,#REF!,15,0)</f>
        <v>#REF!</v>
      </c>
      <c r="Q184" s="118" t="e">
        <f>VLOOKUP($C184,#REF!,16,0)</f>
        <v>#REF!</v>
      </c>
      <c r="R184" s="119" t="e">
        <f>VLOOKUP($C184,#REF!,17,0)</f>
        <v>#REF!</v>
      </c>
      <c r="S184" s="120" t="e">
        <f>VLOOKUP($C184,#REF!,18,0)</f>
        <v>#REF!</v>
      </c>
      <c r="T184" s="119" t="e">
        <f>VLOOKUP($C184,#REF!,19,0)</f>
        <v>#REF!</v>
      </c>
      <c r="U184" s="34"/>
      <c r="V184" s="118" t="e">
        <f>VLOOKUP($C184,#REF!,20,0)</f>
        <v>#REF!</v>
      </c>
      <c r="W184" s="120" t="e">
        <f>VLOOKUP($C184,#REF!,21,0)</f>
        <v>#REF!</v>
      </c>
      <c r="X184" s="118" t="e">
        <f>VLOOKUP($C184,#REF!,22,0)</f>
        <v>#REF!</v>
      </c>
      <c r="Y184" s="120" t="e">
        <f>VLOOKUP($C184,#REF!,23,0)</f>
        <v>#REF!</v>
      </c>
      <c r="Z184" s="118" t="e">
        <f>VLOOKUP($C184,#REF!,24,0)</f>
        <v>#REF!</v>
      </c>
      <c r="AA184" s="119" t="e">
        <f>VLOOKUP($C184,#REF!,25,0)</f>
        <v>#REF!</v>
      </c>
      <c r="AB184" s="120" t="e">
        <f>VLOOKUP($C184,#REF!,26,0)</f>
        <v>#REF!</v>
      </c>
      <c r="AC184" s="119" t="e">
        <f>VLOOKUP($C184,#REF!,27,0)</f>
        <v>#REF!</v>
      </c>
      <c r="AD184" s="4"/>
      <c r="AE184" s="118" t="e">
        <f t="shared" si="53"/>
        <v>#REF!</v>
      </c>
      <c r="AF184" s="121" t="s">
        <v>320</v>
      </c>
      <c r="AG184" s="121" t="s">
        <v>321</v>
      </c>
      <c r="AH184" s="119" t="s">
        <v>322</v>
      </c>
      <c r="AI184" s="4"/>
      <c r="AJ184" s="118" t="s">
        <v>323</v>
      </c>
      <c r="AK184" s="121" t="s">
        <v>324</v>
      </c>
      <c r="AL184" s="121" t="s">
        <v>325</v>
      </c>
      <c r="AM184" s="121" t="s">
        <v>326</v>
      </c>
      <c r="AN184" s="121" t="s">
        <v>326</v>
      </c>
      <c r="AO184" s="119" t="s">
        <v>320</v>
      </c>
      <c r="AP184" s="4"/>
      <c r="AQ184" s="122">
        <v>1</v>
      </c>
      <c r="AR184" s="5"/>
      <c r="AS184" s="118">
        <v>0</v>
      </c>
      <c r="AT184" s="119">
        <v>0</v>
      </c>
      <c r="AU184" s="34"/>
      <c r="AV184" s="118">
        <f t="shared" si="76"/>
        <v>0</v>
      </c>
      <c r="AW184" s="119">
        <f t="shared" si="77"/>
        <v>0</v>
      </c>
      <c r="AX184" s="118">
        <f t="shared" si="54"/>
        <v>0</v>
      </c>
      <c r="AY184" s="119">
        <f t="shared" si="55"/>
        <v>0</v>
      </c>
      <c r="AZ184" s="118">
        <f t="shared" si="56"/>
        <v>0</v>
      </c>
      <c r="BA184" s="119">
        <f t="shared" si="57"/>
        <v>0</v>
      </c>
      <c r="BB184" s="120">
        <f t="shared" si="58"/>
        <v>0</v>
      </c>
      <c r="BC184" s="119">
        <f t="shared" si="59"/>
        <v>0</v>
      </c>
      <c r="BD184" s="34"/>
      <c r="BE184" s="118">
        <f t="shared" si="60"/>
        <v>0</v>
      </c>
      <c r="BF184" s="119">
        <f t="shared" si="61"/>
        <v>0</v>
      </c>
      <c r="BG184" s="118">
        <f t="shared" si="62"/>
        <v>0</v>
      </c>
      <c r="BH184" s="119">
        <f t="shared" si="63"/>
        <v>0</v>
      </c>
      <c r="BI184" s="120">
        <f t="shared" si="64"/>
        <v>0</v>
      </c>
      <c r="BJ184" s="119">
        <f t="shared" si="65"/>
        <v>0</v>
      </c>
      <c r="BK184" s="120">
        <f t="shared" si="66"/>
        <v>0</v>
      </c>
      <c r="BL184" s="119">
        <f t="shared" si="67"/>
        <v>0</v>
      </c>
      <c r="BM184" s="4"/>
      <c r="BN184" s="122">
        <v>0</v>
      </c>
      <c r="BO184" s="117"/>
      <c r="BP184" s="118">
        <v>0</v>
      </c>
      <c r="BQ184" s="119">
        <v>0</v>
      </c>
      <c r="BR184" s="120"/>
      <c r="BS184" s="118">
        <v>0</v>
      </c>
      <c r="BT184" s="119">
        <v>0</v>
      </c>
      <c r="BU184" s="118">
        <v>0</v>
      </c>
      <c r="BV184" s="119">
        <v>0</v>
      </c>
      <c r="BW184" s="118">
        <v>0</v>
      </c>
      <c r="BX184" s="119">
        <v>-6</v>
      </c>
      <c r="BY184" s="118">
        <v>0</v>
      </c>
      <c r="BZ184" s="119">
        <v>-6</v>
      </c>
      <c r="CA184" s="120"/>
      <c r="CB184" s="118">
        <v>0</v>
      </c>
      <c r="CC184" s="119">
        <v>0</v>
      </c>
      <c r="CD184" s="118">
        <v>0</v>
      </c>
      <c r="CE184" s="119">
        <v>0</v>
      </c>
      <c r="CF184" s="118">
        <v>0</v>
      </c>
      <c r="CG184" s="119">
        <v>-7</v>
      </c>
      <c r="CH184" s="118">
        <v>0</v>
      </c>
      <c r="CI184" s="119">
        <v>-7</v>
      </c>
      <c r="CJ184" s="4"/>
      <c r="CK184" s="79"/>
      <c r="CL184" s="5"/>
      <c r="CM184" s="39" t="str">
        <f t="shared" si="68"/>
        <v>-</v>
      </c>
      <c r="CN184" s="5"/>
      <c r="CO184" s="39" t="str">
        <f t="shared" si="69"/>
        <v>-</v>
      </c>
      <c r="CP184" s="39" t="str">
        <f t="shared" si="70"/>
        <v>-</v>
      </c>
      <c r="CQ184" s="39" t="str">
        <f t="shared" si="71"/>
        <v>-</v>
      </c>
      <c r="CR184" s="39" t="str">
        <f t="shared" si="71"/>
        <v>-</v>
      </c>
      <c r="CS184" s="5"/>
      <c r="CT184" s="39" t="str">
        <f t="shared" si="72"/>
        <v>-</v>
      </c>
      <c r="CU184" s="39" t="str">
        <f t="shared" si="73"/>
        <v>-</v>
      </c>
      <c r="CV184" s="39" t="str">
        <f t="shared" si="74"/>
        <v>-</v>
      </c>
      <c r="CW184" s="39" t="str">
        <f t="shared" si="75"/>
        <v>-</v>
      </c>
    </row>
    <row r="185" spans="2:101" s="4" customFormat="1" ht="12.75" customHeight="1">
      <c r="B185" s="102" t="s">
        <v>79</v>
      </c>
      <c r="C185" s="103" t="s">
        <v>117</v>
      </c>
      <c r="D185" s="104" t="e">
        <f>VLOOKUP($C185,#REF!,5,0)</f>
        <v>#REF!</v>
      </c>
      <c r="E185" s="109" t="e">
        <f>VLOOKUP($C185,#REF!,6,0)</f>
        <v>#REF!</v>
      </c>
      <c r="F185" s="103" t="e">
        <f>VLOOKUP($C185,#REF!,7,0)</f>
        <v>#REF!</v>
      </c>
      <c r="G185" s="103" t="e">
        <f>VLOOKUP($C185,#REF!,8,0)</f>
        <v>#REF!</v>
      </c>
      <c r="H185" s="110" t="e">
        <f>VLOOKUP($C185,#REF!,9,0)</f>
        <v>#REF!</v>
      </c>
      <c r="I185" s="5"/>
      <c r="J185" s="105" t="e">
        <f>VLOOKUP($C185,#REF!,10,0)</f>
        <v>#REF!</v>
      </c>
      <c r="K185" s="106" t="e">
        <f>VLOOKUP($C185,#REF!,11,0)</f>
        <v>#REF!</v>
      </c>
      <c r="L185" s="34"/>
      <c r="M185" s="105" t="e">
        <f>VLOOKUP($C185,#REF!,12,0)</f>
        <v>#REF!</v>
      </c>
      <c r="N185" s="34" t="e">
        <f>VLOOKUP($C185,#REF!,13,0)</f>
        <v>#REF!</v>
      </c>
      <c r="O185" s="105" t="e">
        <f>VLOOKUP($C185,#REF!,14,0)</f>
        <v>#REF!</v>
      </c>
      <c r="P185" s="34" t="e">
        <f>VLOOKUP($C185,#REF!,15,0)</f>
        <v>#REF!</v>
      </c>
      <c r="Q185" s="105" t="e">
        <f>VLOOKUP($C185,#REF!,16,0)</f>
        <v>#REF!</v>
      </c>
      <c r="R185" s="106" t="e">
        <f>VLOOKUP($C185,#REF!,17,0)</f>
        <v>#REF!</v>
      </c>
      <c r="S185" s="34" t="e">
        <f>VLOOKUP($C185,#REF!,18,0)</f>
        <v>#REF!</v>
      </c>
      <c r="T185" s="106" t="e">
        <f>VLOOKUP($C185,#REF!,19,0)</f>
        <v>#REF!</v>
      </c>
      <c r="U185" s="34"/>
      <c r="V185" s="105" t="e">
        <f>VLOOKUP($C185,#REF!,20,0)</f>
        <v>#REF!</v>
      </c>
      <c r="W185" s="34" t="e">
        <f>VLOOKUP($C185,#REF!,21,0)</f>
        <v>#REF!</v>
      </c>
      <c r="X185" s="105" t="e">
        <f>VLOOKUP($C185,#REF!,22,0)</f>
        <v>#REF!</v>
      </c>
      <c r="Y185" s="34" t="e">
        <f>VLOOKUP($C185,#REF!,23,0)</f>
        <v>#REF!</v>
      </c>
      <c r="Z185" s="105" t="e">
        <f>VLOOKUP($C185,#REF!,24,0)</f>
        <v>#REF!</v>
      </c>
      <c r="AA185" s="106" t="e">
        <f>VLOOKUP($C185,#REF!,25,0)</f>
        <v>#REF!</v>
      </c>
      <c r="AB185" s="34" t="e">
        <f>VLOOKUP($C185,#REF!,26,0)</f>
        <v>#REF!</v>
      </c>
      <c r="AC185" s="106" t="e">
        <f>VLOOKUP($C185,#REF!,27,0)</f>
        <v>#REF!</v>
      </c>
      <c r="AE185" s="105" t="e">
        <f t="shared" si="53"/>
        <v>#REF!</v>
      </c>
      <c r="AF185" s="107" t="s">
        <v>320</v>
      </c>
      <c r="AG185" s="107" t="s">
        <v>321</v>
      </c>
      <c r="AH185" s="106" t="s">
        <v>322</v>
      </c>
      <c r="AJ185" s="105" t="s">
        <v>323</v>
      </c>
      <c r="AK185" s="107" t="s">
        <v>324</v>
      </c>
      <c r="AL185" s="107" t="s">
        <v>325</v>
      </c>
      <c r="AM185" s="107" t="s">
        <v>326</v>
      </c>
      <c r="AN185" s="107" t="s">
        <v>326</v>
      </c>
      <c r="AO185" s="106" t="s">
        <v>320</v>
      </c>
      <c r="AQ185" s="108">
        <v>32</v>
      </c>
      <c r="AR185" s="5"/>
      <c r="AS185" s="105">
        <v>0</v>
      </c>
      <c r="AT185" s="106">
        <v>0</v>
      </c>
      <c r="AU185" s="34"/>
      <c r="AV185" s="105">
        <f t="shared" si="76"/>
        <v>0</v>
      </c>
      <c r="AW185" s="106">
        <f t="shared" si="77"/>
        <v>0</v>
      </c>
      <c r="AX185" s="105">
        <f t="shared" si="54"/>
        <v>0</v>
      </c>
      <c r="AY185" s="106">
        <f t="shared" si="55"/>
        <v>0</v>
      </c>
      <c r="AZ185" s="105">
        <f t="shared" si="56"/>
        <v>0</v>
      </c>
      <c r="BA185" s="106">
        <f t="shared" si="57"/>
        <v>0</v>
      </c>
      <c r="BB185" s="34">
        <f t="shared" si="58"/>
        <v>0</v>
      </c>
      <c r="BC185" s="106">
        <f t="shared" si="59"/>
        <v>0</v>
      </c>
      <c r="BD185" s="34"/>
      <c r="BE185" s="105">
        <f t="shared" si="60"/>
        <v>0</v>
      </c>
      <c r="BF185" s="106">
        <f t="shared" si="61"/>
        <v>0</v>
      </c>
      <c r="BG185" s="105">
        <f t="shared" si="62"/>
        <v>0</v>
      </c>
      <c r="BH185" s="106">
        <f t="shared" si="63"/>
        <v>0</v>
      </c>
      <c r="BI185" s="34">
        <f t="shared" si="64"/>
        <v>0</v>
      </c>
      <c r="BJ185" s="106">
        <f t="shared" si="65"/>
        <v>0</v>
      </c>
      <c r="BK185" s="34">
        <f t="shared" si="66"/>
        <v>0</v>
      </c>
      <c r="BL185" s="106">
        <f t="shared" si="67"/>
        <v>0</v>
      </c>
      <c r="BN185" s="108">
        <v>0</v>
      </c>
      <c r="BO185" s="5"/>
      <c r="BP185" s="105">
        <v>0</v>
      </c>
      <c r="BQ185" s="106">
        <v>0</v>
      </c>
      <c r="BR185" s="34"/>
      <c r="BS185" s="105">
        <v>0</v>
      </c>
      <c r="BT185" s="106">
        <v>0</v>
      </c>
      <c r="BU185" s="105">
        <v>0</v>
      </c>
      <c r="BV185" s="106">
        <v>0</v>
      </c>
      <c r="BW185" s="105">
        <v>0</v>
      </c>
      <c r="BX185" s="106">
        <v>0</v>
      </c>
      <c r="BY185" s="105">
        <v>0</v>
      </c>
      <c r="BZ185" s="106">
        <v>0</v>
      </c>
      <c r="CA185" s="34"/>
      <c r="CB185" s="105">
        <v>0</v>
      </c>
      <c r="CC185" s="106">
        <v>0</v>
      </c>
      <c r="CD185" s="105">
        <v>0</v>
      </c>
      <c r="CE185" s="106">
        <v>0</v>
      </c>
      <c r="CF185" s="105">
        <v>0</v>
      </c>
      <c r="CG185" s="106">
        <v>0</v>
      </c>
      <c r="CH185" s="105">
        <v>0</v>
      </c>
      <c r="CI185" s="106">
        <v>0</v>
      </c>
      <c r="CK185" s="78"/>
      <c r="CL185" s="5"/>
      <c r="CM185" s="38" t="str">
        <f t="shared" si="68"/>
        <v>-</v>
      </c>
      <c r="CN185" s="5"/>
      <c r="CO185" s="38" t="str">
        <f t="shared" si="69"/>
        <v>-</v>
      </c>
      <c r="CP185" s="38" t="str">
        <f t="shared" si="70"/>
        <v>-</v>
      </c>
      <c r="CQ185" s="38" t="str">
        <f t="shared" si="71"/>
        <v>-</v>
      </c>
      <c r="CR185" s="38" t="str">
        <f t="shared" si="71"/>
        <v>-</v>
      </c>
      <c r="CS185" s="5"/>
      <c r="CT185" s="38" t="str">
        <f t="shared" si="72"/>
        <v>-</v>
      </c>
      <c r="CU185" s="38" t="str">
        <f t="shared" si="73"/>
        <v>-</v>
      </c>
      <c r="CV185" s="38" t="str">
        <f t="shared" si="74"/>
        <v>-</v>
      </c>
      <c r="CW185" s="38" t="str">
        <f t="shared" si="75"/>
        <v>-</v>
      </c>
    </row>
    <row r="186" spans="2:101" s="113" customFormat="1" ht="12.75" customHeight="1">
      <c r="B186" s="99" t="s">
        <v>79</v>
      </c>
      <c r="C186" s="98" t="s">
        <v>247</v>
      </c>
      <c r="D186" s="114" t="e">
        <f>VLOOKUP($C186,#REF!,5,0)</f>
        <v>#REF!</v>
      </c>
      <c r="E186" s="115" t="e">
        <f>VLOOKUP($C186,#REF!,6,0)</f>
        <v>#REF!</v>
      </c>
      <c r="F186" s="98" t="e">
        <f>VLOOKUP($C186,#REF!,7,0)</f>
        <v>#REF!</v>
      </c>
      <c r="G186" s="98" t="e">
        <f>VLOOKUP($C186,#REF!,8,0)</f>
        <v>#REF!</v>
      </c>
      <c r="H186" s="116" t="e">
        <f>VLOOKUP($C186,#REF!,9,0)</f>
        <v>#REF!</v>
      </c>
      <c r="I186" s="5"/>
      <c r="J186" s="118" t="e">
        <f>VLOOKUP($C186,#REF!,10,0)</f>
        <v>#REF!</v>
      </c>
      <c r="K186" s="119" t="e">
        <f>VLOOKUP($C186,#REF!,11,0)</f>
        <v>#REF!</v>
      </c>
      <c r="L186" s="34"/>
      <c r="M186" s="118" t="e">
        <f>VLOOKUP($C186,#REF!,12,0)</f>
        <v>#REF!</v>
      </c>
      <c r="N186" s="120" t="e">
        <f>VLOOKUP($C186,#REF!,13,0)</f>
        <v>#REF!</v>
      </c>
      <c r="O186" s="118" t="e">
        <f>VLOOKUP($C186,#REF!,14,0)</f>
        <v>#REF!</v>
      </c>
      <c r="P186" s="120" t="e">
        <f>VLOOKUP($C186,#REF!,15,0)</f>
        <v>#REF!</v>
      </c>
      <c r="Q186" s="118" t="e">
        <f>VLOOKUP($C186,#REF!,16,0)</f>
        <v>#REF!</v>
      </c>
      <c r="R186" s="119" t="e">
        <f>VLOOKUP($C186,#REF!,17,0)</f>
        <v>#REF!</v>
      </c>
      <c r="S186" s="120" t="e">
        <f>VLOOKUP($C186,#REF!,18,0)</f>
        <v>#REF!</v>
      </c>
      <c r="T186" s="119" t="e">
        <f>VLOOKUP($C186,#REF!,19,0)</f>
        <v>#REF!</v>
      </c>
      <c r="U186" s="34"/>
      <c r="V186" s="118" t="e">
        <f>VLOOKUP($C186,#REF!,20,0)</f>
        <v>#REF!</v>
      </c>
      <c r="W186" s="120" t="e">
        <f>VLOOKUP($C186,#REF!,21,0)</f>
        <v>#REF!</v>
      </c>
      <c r="X186" s="118" t="e">
        <f>VLOOKUP($C186,#REF!,22,0)</f>
        <v>#REF!</v>
      </c>
      <c r="Y186" s="120" t="e">
        <f>VLOOKUP($C186,#REF!,23,0)</f>
        <v>#REF!</v>
      </c>
      <c r="Z186" s="118" t="e">
        <f>VLOOKUP($C186,#REF!,24,0)</f>
        <v>#REF!</v>
      </c>
      <c r="AA186" s="119" t="e">
        <f>VLOOKUP($C186,#REF!,25,0)</f>
        <v>#REF!</v>
      </c>
      <c r="AB186" s="120" t="e">
        <f>VLOOKUP($C186,#REF!,26,0)</f>
        <v>#REF!</v>
      </c>
      <c r="AC186" s="119" t="e">
        <f>VLOOKUP($C186,#REF!,27,0)</f>
        <v>#REF!</v>
      </c>
      <c r="AD186" s="4"/>
      <c r="AE186" s="118" t="e">
        <f t="shared" si="53"/>
        <v>#REF!</v>
      </c>
      <c r="AF186" s="121" t="s">
        <v>320</v>
      </c>
      <c r="AG186" s="121" t="s">
        <v>321</v>
      </c>
      <c r="AH186" s="119" t="s">
        <v>322</v>
      </c>
      <c r="AI186" s="4"/>
      <c r="AJ186" s="118" t="s">
        <v>323</v>
      </c>
      <c r="AK186" s="121" t="s">
        <v>324</v>
      </c>
      <c r="AL186" s="121" t="s">
        <v>325</v>
      </c>
      <c r="AM186" s="121" t="s">
        <v>326</v>
      </c>
      <c r="AN186" s="121" t="s">
        <v>326</v>
      </c>
      <c r="AO186" s="119" t="s">
        <v>320</v>
      </c>
      <c r="AP186" s="4"/>
      <c r="AQ186" s="122">
        <v>17</v>
      </c>
      <c r="AR186" s="5"/>
      <c r="AS186" s="118">
        <v>0</v>
      </c>
      <c r="AT186" s="119">
        <v>0</v>
      </c>
      <c r="AU186" s="34"/>
      <c r="AV186" s="118">
        <f t="shared" si="76"/>
        <v>0</v>
      </c>
      <c r="AW186" s="119">
        <f t="shared" si="77"/>
        <v>0</v>
      </c>
      <c r="AX186" s="118">
        <f t="shared" si="54"/>
        <v>0</v>
      </c>
      <c r="AY186" s="119">
        <f t="shared" si="55"/>
        <v>0</v>
      </c>
      <c r="AZ186" s="118">
        <f t="shared" si="56"/>
        <v>0</v>
      </c>
      <c r="BA186" s="119">
        <f t="shared" si="57"/>
        <v>0</v>
      </c>
      <c r="BB186" s="120">
        <f t="shared" si="58"/>
        <v>0</v>
      </c>
      <c r="BC186" s="119">
        <f t="shared" si="59"/>
        <v>0</v>
      </c>
      <c r="BD186" s="34"/>
      <c r="BE186" s="118">
        <f t="shared" si="60"/>
        <v>0</v>
      </c>
      <c r="BF186" s="119">
        <f t="shared" si="61"/>
        <v>0</v>
      </c>
      <c r="BG186" s="118">
        <f t="shared" si="62"/>
        <v>0</v>
      </c>
      <c r="BH186" s="119">
        <f t="shared" si="63"/>
        <v>0</v>
      </c>
      <c r="BI186" s="120">
        <f t="shared" si="64"/>
        <v>0</v>
      </c>
      <c r="BJ186" s="119">
        <f t="shared" si="65"/>
        <v>0</v>
      </c>
      <c r="BK186" s="120">
        <f t="shared" si="66"/>
        <v>0</v>
      </c>
      <c r="BL186" s="119">
        <f t="shared" si="67"/>
        <v>0</v>
      </c>
      <c r="BM186" s="4"/>
      <c r="BN186" s="122">
        <v>0</v>
      </c>
      <c r="BO186" s="117"/>
      <c r="BP186" s="118">
        <v>0</v>
      </c>
      <c r="BQ186" s="119">
        <v>0</v>
      </c>
      <c r="BR186" s="120"/>
      <c r="BS186" s="118">
        <v>0</v>
      </c>
      <c r="BT186" s="119">
        <v>0</v>
      </c>
      <c r="BU186" s="118">
        <v>0</v>
      </c>
      <c r="BV186" s="119">
        <v>0</v>
      </c>
      <c r="BW186" s="118">
        <v>0</v>
      </c>
      <c r="BX186" s="119">
        <v>0</v>
      </c>
      <c r="BY186" s="118">
        <v>0</v>
      </c>
      <c r="BZ186" s="119">
        <v>0</v>
      </c>
      <c r="CA186" s="120"/>
      <c r="CB186" s="118">
        <v>0</v>
      </c>
      <c r="CC186" s="119">
        <v>0</v>
      </c>
      <c r="CD186" s="118">
        <v>0</v>
      </c>
      <c r="CE186" s="119">
        <v>0</v>
      </c>
      <c r="CF186" s="118">
        <v>0</v>
      </c>
      <c r="CG186" s="119">
        <v>0</v>
      </c>
      <c r="CH186" s="118">
        <v>0</v>
      </c>
      <c r="CI186" s="119">
        <v>0</v>
      </c>
      <c r="CJ186" s="4"/>
      <c r="CK186" s="79"/>
      <c r="CL186" s="5"/>
      <c r="CM186" s="39" t="str">
        <f t="shared" si="68"/>
        <v>-</v>
      </c>
      <c r="CN186" s="5"/>
      <c r="CO186" s="39" t="str">
        <f t="shared" si="69"/>
        <v>-</v>
      </c>
      <c r="CP186" s="39" t="str">
        <f t="shared" si="70"/>
        <v>-</v>
      </c>
      <c r="CQ186" s="39" t="str">
        <f t="shared" si="71"/>
        <v>-</v>
      </c>
      <c r="CR186" s="39" t="str">
        <f t="shared" si="71"/>
        <v>-</v>
      </c>
      <c r="CS186" s="5"/>
      <c r="CT186" s="39" t="str">
        <f t="shared" si="72"/>
        <v>-</v>
      </c>
      <c r="CU186" s="39" t="str">
        <f t="shared" si="73"/>
        <v>-</v>
      </c>
      <c r="CV186" s="39" t="str">
        <f t="shared" si="74"/>
        <v>-</v>
      </c>
      <c r="CW186" s="39" t="str">
        <f t="shared" si="75"/>
        <v>-</v>
      </c>
    </row>
    <row r="187" spans="2:101" s="4" customFormat="1" ht="12.75" customHeight="1">
      <c r="B187" s="111" t="s">
        <v>79</v>
      </c>
      <c r="C187" s="112" t="s">
        <v>361</v>
      </c>
      <c r="D187" s="104" t="e">
        <f>VLOOKUP($C187,#REF!,5,0)</f>
        <v>#REF!</v>
      </c>
      <c r="E187" s="109" t="e">
        <f>VLOOKUP($C187,#REF!,6,0)</f>
        <v>#REF!</v>
      </c>
      <c r="F187" s="103" t="e">
        <f>VLOOKUP($C187,#REF!,7,0)</f>
        <v>#REF!</v>
      </c>
      <c r="G187" s="103" t="e">
        <f>VLOOKUP($C187,#REF!,8,0)</f>
        <v>#REF!</v>
      </c>
      <c r="H187" s="110" t="e">
        <f>VLOOKUP($C187,#REF!,9,0)</f>
        <v>#REF!</v>
      </c>
      <c r="I187" s="5"/>
      <c r="J187" s="105" t="e">
        <f>VLOOKUP($C187,#REF!,10,0)</f>
        <v>#REF!</v>
      </c>
      <c r="K187" s="106" t="e">
        <f>VLOOKUP($C187,#REF!,11,0)</f>
        <v>#REF!</v>
      </c>
      <c r="L187" s="34"/>
      <c r="M187" s="105" t="e">
        <f>VLOOKUP($C187,#REF!,12,0)</f>
        <v>#REF!</v>
      </c>
      <c r="N187" s="34" t="e">
        <f>VLOOKUP($C187,#REF!,13,0)</f>
        <v>#REF!</v>
      </c>
      <c r="O187" s="105" t="e">
        <f>VLOOKUP($C187,#REF!,14,0)</f>
        <v>#REF!</v>
      </c>
      <c r="P187" s="34" t="e">
        <f>VLOOKUP($C187,#REF!,15,0)</f>
        <v>#REF!</v>
      </c>
      <c r="Q187" s="105" t="e">
        <f>VLOOKUP($C187,#REF!,16,0)</f>
        <v>#REF!</v>
      </c>
      <c r="R187" s="106" t="e">
        <f>VLOOKUP($C187,#REF!,17,0)</f>
        <v>#REF!</v>
      </c>
      <c r="S187" s="34" t="e">
        <f>VLOOKUP($C187,#REF!,18,0)</f>
        <v>#REF!</v>
      </c>
      <c r="T187" s="106" t="e">
        <f>VLOOKUP($C187,#REF!,19,0)</f>
        <v>#REF!</v>
      </c>
      <c r="U187" s="34"/>
      <c r="V187" s="105" t="e">
        <f>VLOOKUP($C187,#REF!,20,0)</f>
        <v>#REF!</v>
      </c>
      <c r="W187" s="34" t="e">
        <f>VLOOKUP($C187,#REF!,21,0)</f>
        <v>#REF!</v>
      </c>
      <c r="X187" s="105" t="e">
        <f>VLOOKUP($C187,#REF!,22,0)</f>
        <v>#REF!</v>
      </c>
      <c r="Y187" s="34" t="e">
        <f>VLOOKUP($C187,#REF!,23,0)</f>
        <v>#REF!</v>
      </c>
      <c r="Z187" s="105" t="e">
        <f>VLOOKUP($C187,#REF!,24,0)</f>
        <v>#REF!</v>
      </c>
      <c r="AA187" s="106" t="e">
        <f>VLOOKUP($C187,#REF!,25,0)</f>
        <v>#REF!</v>
      </c>
      <c r="AB187" s="34" t="e">
        <f>VLOOKUP($C187,#REF!,26,0)</f>
        <v>#REF!</v>
      </c>
      <c r="AC187" s="106" t="e">
        <f>VLOOKUP($C187,#REF!,27,0)</f>
        <v>#REF!</v>
      </c>
      <c r="AE187" s="105" t="e">
        <f t="shared" si="53"/>
        <v>#REF!</v>
      </c>
      <c r="AF187" s="107" t="s">
        <v>320</v>
      </c>
      <c r="AG187" s="107" t="s">
        <v>321</v>
      </c>
      <c r="AH187" s="106" t="s">
        <v>322</v>
      </c>
      <c r="AJ187" s="105" t="s">
        <v>323</v>
      </c>
      <c r="AK187" s="107" t="s">
        <v>324</v>
      </c>
      <c r="AL187" s="107" t="s">
        <v>325</v>
      </c>
      <c r="AM187" s="107" t="s">
        <v>326</v>
      </c>
      <c r="AN187" s="107" t="s">
        <v>326</v>
      </c>
      <c r="AO187" s="106" t="s">
        <v>320</v>
      </c>
      <c r="AQ187" s="108">
        <v>99</v>
      </c>
      <c r="AR187" s="5"/>
      <c r="AS187" s="105">
        <v>0</v>
      </c>
      <c r="AT187" s="106">
        <v>0</v>
      </c>
      <c r="AU187" s="34"/>
      <c r="AV187" s="105">
        <f t="shared" si="76"/>
        <v>0</v>
      </c>
      <c r="AW187" s="106">
        <f t="shared" si="77"/>
        <v>0</v>
      </c>
      <c r="AX187" s="105">
        <f t="shared" si="54"/>
        <v>0</v>
      </c>
      <c r="AY187" s="106">
        <f t="shared" si="55"/>
        <v>0</v>
      </c>
      <c r="AZ187" s="105">
        <f t="shared" si="56"/>
        <v>0</v>
      </c>
      <c r="BA187" s="106">
        <f t="shared" si="57"/>
        <v>0</v>
      </c>
      <c r="BB187" s="34">
        <f t="shared" si="58"/>
        <v>0</v>
      </c>
      <c r="BC187" s="106">
        <f t="shared" si="59"/>
        <v>0</v>
      </c>
      <c r="BD187" s="34"/>
      <c r="BE187" s="105">
        <f t="shared" si="60"/>
        <v>0</v>
      </c>
      <c r="BF187" s="106">
        <f t="shared" si="61"/>
        <v>0</v>
      </c>
      <c r="BG187" s="105">
        <f t="shared" si="62"/>
        <v>0</v>
      </c>
      <c r="BH187" s="106">
        <f t="shared" si="63"/>
        <v>0</v>
      </c>
      <c r="BI187" s="34">
        <f t="shared" si="64"/>
        <v>0</v>
      </c>
      <c r="BJ187" s="106">
        <f t="shared" si="65"/>
        <v>0</v>
      </c>
      <c r="BK187" s="34">
        <f t="shared" si="66"/>
        <v>0</v>
      </c>
      <c r="BL187" s="106">
        <f t="shared" si="67"/>
        <v>0</v>
      </c>
      <c r="BN187" s="108">
        <v>0</v>
      </c>
      <c r="BO187" s="5"/>
      <c r="BP187" s="105">
        <v>0</v>
      </c>
      <c r="BQ187" s="106">
        <v>0</v>
      </c>
      <c r="BR187" s="34"/>
      <c r="BS187" s="105">
        <v>0</v>
      </c>
      <c r="BT187" s="106">
        <v>0</v>
      </c>
      <c r="BU187" s="105">
        <v>0</v>
      </c>
      <c r="BV187" s="106">
        <v>0</v>
      </c>
      <c r="BW187" s="105">
        <v>0</v>
      </c>
      <c r="BX187" s="106">
        <v>0</v>
      </c>
      <c r="BY187" s="105">
        <v>0</v>
      </c>
      <c r="BZ187" s="106">
        <v>0</v>
      </c>
      <c r="CA187" s="34"/>
      <c r="CB187" s="105">
        <v>0</v>
      </c>
      <c r="CC187" s="106">
        <v>0</v>
      </c>
      <c r="CD187" s="105">
        <v>0</v>
      </c>
      <c r="CE187" s="106">
        <v>0</v>
      </c>
      <c r="CF187" s="105">
        <v>0</v>
      </c>
      <c r="CG187" s="106">
        <v>0</v>
      </c>
      <c r="CH187" s="105">
        <v>0</v>
      </c>
      <c r="CI187" s="106">
        <v>0</v>
      </c>
      <c r="CK187" s="78"/>
      <c r="CL187" s="5"/>
      <c r="CM187" s="38" t="str">
        <f t="shared" si="68"/>
        <v>-</v>
      </c>
      <c r="CN187" s="5"/>
      <c r="CO187" s="38" t="str">
        <f t="shared" si="69"/>
        <v>-</v>
      </c>
      <c r="CP187" s="38" t="str">
        <f t="shared" si="70"/>
        <v>-</v>
      </c>
      <c r="CQ187" s="38" t="str">
        <f t="shared" si="71"/>
        <v>-</v>
      </c>
      <c r="CR187" s="38" t="str">
        <f t="shared" si="71"/>
        <v>-</v>
      </c>
      <c r="CS187" s="5"/>
      <c r="CT187" s="38" t="str">
        <f t="shared" si="72"/>
        <v>-</v>
      </c>
      <c r="CU187" s="38" t="str">
        <f t="shared" si="73"/>
        <v>-</v>
      </c>
      <c r="CV187" s="38" t="str">
        <f t="shared" si="74"/>
        <v>-</v>
      </c>
      <c r="CW187" s="38" t="str">
        <f t="shared" si="75"/>
        <v>-</v>
      </c>
    </row>
    <row r="188" spans="2:101" s="113" customFormat="1" ht="12.75" customHeight="1">
      <c r="B188" s="99" t="s">
        <v>79</v>
      </c>
      <c r="C188" s="98" t="s">
        <v>195</v>
      </c>
      <c r="D188" s="114" t="e">
        <f>VLOOKUP($C188,#REF!,5,0)</f>
        <v>#REF!</v>
      </c>
      <c r="E188" s="115" t="e">
        <f>VLOOKUP($C188,#REF!,6,0)</f>
        <v>#REF!</v>
      </c>
      <c r="F188" s="98" t="e">
        <f>VLOOKUP($C188,#REF!,7,0)</f>
        <v>#REF!</v>
      </c>
      <c r="G188" s="98" t="e">
        <f>VLOOKUP($C188,#REF!,8,0)</f>
        <v>#REF!</v>
      </c>
      <c r="H188" s="116" t="e">
        <f>VLOOKUP($C188,#REF!,9,0)</f>
        <v>#REF!</v>
      </c>
      <c r="I188" s="5"/>
      <c r="J188" s="118" t="e">
        <f>VLOOKUP($C188,#REF!,10,0)</f>
        <v>#REF!</v>
      </c>
      <c r="K188" s="119" t="e">
        <f>VLOOKUP($C188,#REF!,11,0)</f>
        <v>#REF!</v>
      </c>
      <c r="L188" s="34"/>
      <c r="M188" s="118" t="e">
        <f>VLOOKUP($C188,#REF!,12,0)</f>
        <v>#REF!</v>
      </c>
      <c r="N188" s="120" t="e">
        <f>VLOOKUP($C188,#REF!,13,0)</f>
        <v>#REF!</v>
      </c>
      <c r="O188" s="118" t="e">
        <f>VLOOKUP($C188,#REF!,14,0)</f>
        <v>#REF!</v>
      </c>
      <c r="P188" s="120" t="e">
        <f>VLOOKUP($C188,#REF!,15,0)</f>
        <v>#REF!</v>
      </c>
      <c r="Q188" s="118" t="e">
        <f>VLOOKUP($C188,#REF!,16,0)</f>
        <v>#REF!</v>
      </c>
      <c r="R188" s="119" t="e">
        <f>VLOOKUP($C188,#REF!,17,0)</f>
        <v>#REF!</v>
      </c>
      <c r="S188" s="120" t="e">
        <f>VLOOKUP($C188,#REF!,18,0)</f>
        <v>#REF!</v>
      </c>
      <c r="T188" s="119" t="e">
        <f>VLOOKUP($C188,#REF!,19,0)</f>
        <v>#REF!</v>
      </c>
      <c r="U188" s="34"/>
      <c r="V188" s="118" t="e">
        <f>VLOOKUP($C188,#REF!,20,0)</f>
        <v>#REF!</v>
      </c>
      <c r="W188" s="120" t="e">
        <f>VLOOKUP($C188,#REF!,21,0)</f>
        <v>#REF!</v>
      </c>
      <c r="X188" s="118" t="e">
        <f>VLOOKUP($C188,#REF!,22,0)</f>
        <v>#REF!</v>
      </c>
      <c r="Y188" s="120" t="e">
        <f>VLOOKUP($C188,#REF!,23,0)</f>
        <v>#REF!</v>
      </c>
      <c r="Z188" s="118" t="e">
        <f>VLOOKUP($C188,#REF!,24,0)</f>
        <v>#REF!</v>
      </c>
      <c r="AA188" s="119" t="e">
        <f>VLOOKUP($C188,#REF!,25,0)</f>
        <v>#REF!</v>
      </c>
      <c r="AB188" s="120" t="e">
        <f>VLOOKUP($C188,#REF!,26,0)</f>
        <v>#REF!</v>
      </c>
      <c r="AC188" s="119" t="e">
        <f>VLOOKUP($C188,#REF!,27,0)</f>
        <v>#REF!</v>
      </c>
      <c r="AD188" s="4"/>
      <c r="AE188" s="118" t="e">
        <f t="shared" si="53"/>
        <v>#REF!</v>
      </c>
      <c r="AF188" s="121" t="s">
        <v>320</v>
      </c>
      <c r="AG188" s="121" t="s">
        <v>321</v>
      </c>
      <c r="AH188" s="119" t="s">
        <v>322</v>
      </c>
      <c r="AI188" s="4"/>
      <c r="AJ188" s="118" t="s">
        <v>323</v>
      </c>
      <c r="AK188" s="121" t="s">
        <v>324</v>
      </c>
      <c r="AL188" s="121" t="s">
        <v>325</v>
      </c>
      <c r="AM188" s="121" t="s">
        <v>326</v>
      </c>
      <c r="AN188" s="121" t="s">
        <v>326</v>
      </c>
      <c r="AO188" s="119" t="s">
        <v>320</v>
      </c>
      <c r="AP188" s="4"/>
      <c r="AQ188" s="122">
        <v>58</v>
      </c>
      <c r="AR188" s="5"/>
      <c r="AS188" s="118">
        <v>0</v>
      </c>
      <c r="AT188" s="119">
        <v>0</v>
      </c>
      <c r="AU188" s="34"/>
      <c r="AV188" s="118">
        <f t="shared" si="76"/>
        <v>0</v>
      </c>
      <c r="AW188" s="119">
        <f t="shared" si="77"/>
        <v>0</v>
      </c>
      <c r="AX188" s="118">
        <f t="shared" si="54"/>
        <v>0</v>
      </c>
      <c r="AY188" s="119">
        <f t="shared" si="55"/>
        <v>0</v>
      </c>
      <c r="AZ188" s="118">
        <f t="shared" si="56"/>
        <v>0</v>
      </c>
      <c r="BA188" s="119">
        <f t="shared" si="57"/>
        <v>0</v>
      </c>
      <c r="BB188" s="120">
        <f t="shared" si="58"/>
        <v>0</v>
      </c>
      <c r="BC188" s="119">
        <f t="shared" si="59"/>
        <v>0</v>
      </c>
      <c r="BD188" s="34"/>
      <c r="BE188" s="118">
        <f t="shared" si="60"/>
        <v>0</v>
      </c>
      <c r="BF188" s="119">
        <f t="shared" si="61"/>
        <v>0</v>
      </c>
      <c r="BG188" s="118">
        <f t="shared" si="62"/>
        <v>0</v>
      </c>
      <c r="BH188" s="119">
        <f t="shared" si="63"/>
        <v>0</v>
      </c>
      <c r="BI188" s="120">
        <f t="shared" si="64"/>
        <v>0</v>
      </c>
      <c r="BJ188" s="119">
        <f t="shared" si="65"/>
        <v>0</v>
      </c>
      <c r="BK188" s="120">
        <f t="shared" si="66"/>
        <v>0</v>
      </c>
      <c r="BL188" s="119">
        <f t="shared" si="67"/>
        <v>0</v>
      </c>
      <c r="BM188" s="4"/>
      <c r="BN188" s="122">
        <v>-8.2699999999999818</v>
      </c>
      <c r="BO188" s="117"/>
      <c r="BP188" s="118">
        <v>-8.2699999999999818</v>
      </c>
      <c r="BQ188" s="119">
        <v>0</v>
      </c>
      <c r="BR188" s="120"/>
      <c r="BS188" s="118">
        <v>0</v>
      </c>
      <c r="BT188" s="119">
        <v>0</v>
      </c>
      <c r="BU188" s="118">
        <v>0</v>
      </c>
      <c r="BV188" s="119">
        <v>0</v>
      </c>
      <c r="BW188" s="118">
        <v>0</v>
      </c>
      <c r="BX188" s="119">
        <v>0</v>
      </c>
      <c r="BY188" s="118">
        <v>0</v>
      </c>
      <c r="BZ188" s="119">
        <v>0</v>
      </c>
      <c r="CA188" s="120"/>
      <c r="CB188" s="118">
        <v>0</v>
      </c>
      <c r="CC188" s="119">
        <v>0</v>
      </c>
      <c r="CD188" s="118">
        <v>0</v>
      </c>
      <c r="CE188" s="119">
        <v>0</v>
      </c>
      <c r="CF188" s="118">
        <v>0</v>
      </c>
      <c r="CG188" s="119">
        <v>0</v>
      </c>
      <c r="CH188" s="118">
        <v>0</v>
      </c>
      <c r="CI188" s="119">
        <v>0</v>
      </c>
      <c r="CJ188" s="4"/>
      <c r="CK188" s="79"/>
      <c r="CL188" s="5"/>
      <c r="CM188" s="39" t="str">
        <f t="shared" si="68"/>
        <v>-</v>
      </c>
      <c r="CN188" s="5"/>
      <c r="CO188" s="39" t="str">
        <f t="shared" si="69"/>
        <v>-</v>
      </c>
      <c r="CP188" s="39" t="str">
        <f t="shared" si="70"/>
        <v>-</v>
      </c>
      <c r="CQ188" s="39" t="str">
        <f t="shared" si="71"/>
        <v>-</v>
      </c>
      <c r="CR188" s="39" t="str">
        <f t="shared" si="71"/>
        <v>-</v>
      </c>
      <c r="CS188" s="5"/>
      <c r="CT188" s="39" t="str">
        <f t="shared" si="72"/>
        <v>-</v>
      </c>
      <c r="CU188" s="39" t="str">
        <f t="shared" si="73"/>
        <v>-</v>
      </c>
      <c r="CV188" s="39" t="str">
        <f t="shared" si="74"/>
        <v>-</v>
      </c>
      <c r="CW188" s="39" t="str">
        <f t="shared" si="75"/>
        <v>-</v>
      </c>
    </row>
    <row r="189" spans="2:101" s="4" customFormat="1" ht="12.75" customHeight="1">
      <c r="B189" s="102" t="s">
        <v>79</v>
      </c>
      <c r="C189" s="103" t="s">
        <v>210</v>
      </c>
      <c r="D189" s="104" t="e">
        <f>VLOOKUP($C189,#REF!,5,0)</f>
        <v>#REF!</v>
      </c>
      <c r="E189" s="109" t="e">
        <f>VLOOKUP($C189,#REF!,6,0)</f>
        <v>#REF!</v>
      </c>
      <c r="F189" s="103" t="e">
        <f>VLOOKUP($C189,#REF!,7,0)</f>
        <v>#REF!</v>
      </c>
      <c r="G189" s="103" t="e">
        <f>VLOOKUP($C189,#REF!,8,0)</f>
        <v>#REF!</v>
      </c>
      <c r="H189" s="110" t="e">
        <f>VLOOKUP($C189,#REF!,9,0)</f>
        <v>#REF!</v>
      </c>
      <c r="I189" s="5"/>
      <c r="J189" s="105" t="e">
        <f>VLOOKUP($C189,#REF!,10,0)</f>
        <v>#REF!</v>
      </c>
      <c r="K189" s="106" t="e">
        <f>VLOOKUP($C189,#REF!,11,0)</f>
        <v>#REF!</v>
      </c>
      <c r="L189" s="34"/>
      <c r="M189" s="105" t="e">
        <f>VLOOKUP($C189,#REF!,12,0)</f>
        <v>#REF!</v>
      </c>
      <c r="N189" s="34" t="e">
        <f>VLOOKUP($C189,#REF!,13,0)</f>
        <v>#REF!</v>
      </c>
      <c r="O189" s="105" t="e">
        <f>VLOOKUP($C189,#REF!,14,0)</f>
        <v>#REF!</v>
      </c>
      <c r="P189" s="34" t="e">
        <f>VLOOKUP($C189,#REF!,15,0)</f>
        <v>#REF!</v>
      </c>
      <c r="Q189" s="105" t="e">
        <f>VLOOKUP($C189,#REF!,16,0)</f>
        <v>#REF!</v>
      </c>
      <c r="R189" s="106" t="e">
        <f>VLOOKUP($C189,#REF!,17,0)</f>
        <v>#REF!</v>
      </c>
      <c r="S189" s="34" t="e">
        <f>VLOOKUP($C189,#REF!,18,0)</f>
        <v>#REF!</v>
      </c>
      <c r="T189" s="106" t="e">
        <f>VLOOKUP($C189,#REF!,19,0)</f>
        <v>#REF!</v>
      </c>
      <c r="U189" s="34"/>
      <c r="V189" s="105" t="e">
        <f>VLOOKUP($C189,#REF!,20,0)</f>
        <v>#REF!</v>
      </c>
      <c r="W189" s="34" t="e">
        <f>VLOOKUP($C189,#REF!,21,0)</f>
        <v>#REF!</v>
      </c>
      <c r="X189" s="105" t="e">
        <f>VLOOKUP($C189,#REF!,22,0)</f>
        <v>#REF!</v>
      </c>
      <c r="Y189" s="34" t="e">
        <f>VLOOKUP($C189,#REF!,23,0)</f>
        <v>#REF!</v>
      </c>
      <c r="Z189" s="105" t="e">
        <f>VLOOKUP($C189,#REF!,24,0)</f>
        <v>#REF!</v>
      </c>
      <c r="AA189" s="106" t="e">
        <f>VLOOKUP($C189,#REF!,25,0)</f>
        <v>#REF!</v>
      </c>
      <c r="AB189" s="34" t="e">
        <f>VLOOKUP($C189,#REF!,26,0)</f>
        <v>#REF!</v>
      </c>
      <c r="AC189" s="106" t="e">
        <f>VLOOKUP($C189,#REF!,27,0)</f>
        <v>#REF!</v>
      </c>
      <c r="AE189" s="105" t="e">
        <f t="shared" si="53"/>
        <v>#REF!</v>
      </c>
      <c r="AF189" s="107" t="s">
        <v>320</v>
      </c>
      <c r="AG189" s="107" t="s">
        <v>321</v>
      </c>
      <c r="AH189" s="106" t="s">
        <v>322</v>
      </c>
      <c r="AJ189" s="105" t="s">
        <v>323</v>
      </c>
      <c r="AK189" s="107" t="s">
        <v>324</v>
      </c>
      <c r="AL189" s="107" t="s">
        <v>325</v>
      </c>
      <c r="AM189" s="107" t="s">
        <v>326</v>
      </c>
      <c r="AN189" s="107" t="s">
        <v>326</v>
      </c>
      <c r="AO189" s="106" t="s">
        <v>320</v>
      </c>
      <c r="AQ189" s="108">
        <v>0</v>
      </c>
      <c r="AR189" s="5"/>
      <c r="AS189" s="105">
        <v>0</v>
      </c>
      <c r="AT189" s="106">
        <v>0</v>
      </c>
      <c r="AU189" s="34"/>
      <c r="AV189" s="105">
        <f t="shared" si="76"/>
        <v>0</v>
      </c>
      <c r="AW189" s="106">
        <f t="shared" si="77"/>
        <v>0</v>
      </c>
      <c r="AX189" s="105">
        <f t="shared" si="54"/>
        <v>0</v>
      </c>
      <c r="AY189" s="106">
        <f t="shared" si="55"/>
        <v>0</v>
      </c>
      <c r="AZ189" s="105">
        <f t="shared" si="56"/>
        <v>0</v>
      </c>
      <c r="BA189" s="106">
        <f t="shared" si="57"/>
        <v>0</v>
      </c>
      <c r="BB189" s="34">
        <f t="shared" si="58"/>
        <v>0</v>
      </c>
      <c r="BC189" s="106">
        <f t="shared" si="59"/>
        <v>0</v>
      </c>
      <c r="BD189" s="34"/>
      <c r="BE189" s="105">
        <f t="shared" si="60"/>
        <v>0</v>
      </c>
      <c r="BF189" s="106">
        <f t="shared" si="61"/>
        <v>0</v>
      </c>
      <c r="BG189" s="105">
        <f t="shared" si="62"/>
        <v>0</v>
      </c>
      <c r="BH189" s="106">
        <f t="shared" si="63"/>
        <v>0</v>
      </c>
      <c r="BI189" s="34">
        <f t="shared" si="64"/>
        <v>0</v>
      </c>
      <c r="BJ189" s="106">
        <f t="shared" si="65"/>
        <v>0</v>
      </c>
      <c r="BK189" s="34">
        <f t="shared" si="66"/>
        <v>0</v>
      </c>
      <c r="BL189" s="106">
        <f t="shared" si="67"/>
        <v>0</v>
      </c>
      <c r="BN189" s="108">
        <v>0</v>
      </c>
      <c r="BO189" s="5"/>
      <c r="BP189" s="105">
        <v>0</v>
      </c>
      <c r="BQ189" s="106">
        <v>0</v>
      </c>
      <c r="BR189" s="34"/>
      <c r="BS189" s="105">
        <v>0</v>
      </c>
      <c r="BT189" s="106">
        <v>0</v>
      </c>
      <c r="BU189" s="105">
        <v>0</v>
      </c>
      <c r="BV189" s="106">
        <v>0</v>
      </c>
      <c r="BW189" s="105">
        <v>0</v>
      </c>
      <c r="BX189" s="106">
        <v>0</v>
      </c>
      <c r="BY189" s="105">
        <v>0</v>
      </c>
      <c r="BZ189" s="106">
        <v>0</v>
      </c>
      <c r="CA189" s="34"/>
      <c r="CB189" s="105">
        <v>0</v>
      </c>
      <c r="CC189" s="106">
        <v>0</v>
      </c>
      <c r="CD189" s="105">
        <v>0</v>
      </c>
      <c r="CE189" s="106">
        <v>0</v>
      </c>
      <c r="CF189" s="105">
        <v>0</v>
      </c>
      <c r="CG189" s="106">
        <v>0</v>
      </c>
      <c r="CH189" s="105">
        <v>0</v>
      </c>
      <c r="CI189" s="106">
        <v>0</v>
      </c>
      <c r="CK189" s="78"/>
      <c r="CL189" s="5"/>
      <c r="CM189" s="38" t="str">
        <f t="shared" si="68"/>
        <v>-</v>
      </c>
      <c r="CN189" s="5"/>
      <c r="CO189" s="38" t="str">
        <f t="shared" si="69"/>
        <v>-</v>
      </c>
      <c r="CP189" s="38" t="str">
        <f t="shared" si="70"/>
        <v>-</v>
      </c>
      <c r="CQ189" s="38" t="str">
        <f t="shared" si="71"/>
        <v>-</v>
      </c>
      <c r="CR189" s="38" t="str">
        <f t="shared" si="71"/>
        <v>-</v>
      </c>
      <c r="CS189" s="5"/>
      <c r="CT189" s="38" t="str">
        <f t="shared" si="72"/>
        <v>-</v>
      </c>
      <c r="CU189" s="38" t="str">
        <f t="shared" si="73"/>
        <v>-</v>
      </c>
      <c r="CV189" s="38" t="str">
        <f t="shared" si="74"/>
        <v>-</v>
      </c>
      <c r="CW189" s="38" t="str">
        <f t="shared" si="75"/>
        <v>-</v>
      </c>
    </row>
    <row r="190" spans="2:101" s="113" customFormat="1" ht="12.75" customHeight="1">
      <c r="B190" s="99" t="s">
        <v>79</v>
      </c>
      <c r="C190" s="98" t="s">
        <v>264</v>
      </c>
      <c r="D190" s="114" t="e">
        <f>VLOOKUP($C190,#REF!,5,0)</f>
        <v>#REF!</v>
      </c>
      <c r="E190" s="115" t="e">
        <f>VLOOKUP($C190,#REF!,6,0)</f>
        <v>#REF!</v>
      </c>
      <c r="F190" s="98" t="e">
        <f>VLOOKUP($C190,#REF!,7,0)</f>
        <v>#REF!</v>
      </c>
      <c r="G190" s="98" t="e">
        <f>VLOOKUP($C190,#REF!,8,0)</f>
        <v>#REF!</v>
      </c>
      <c r="H190" s="116" t="e">
        <f>VLOOKUP($C190,#REF!,9,0)</f>
        <v>#REF!</v>
      </c>
      <c r="I190" s="5"/>
      <c r="J190" s="118" t="e">
        <f>VLOOKUP($C190,#REF!,10,0)</f>
        <v>#REF!</v>
      </c>
      <c r="K190" s="119" t="e">
        <f>VLOOKUP($C190,#REF!,11,0)</f>
        <v>#REF!</v>
      </c>
      <c r="L190" s="34"/>
      <c r="M190" s="118" t="e">
        <f>VLOOKUP($C190,#REF!,12,0)</f>
        <v>#REF!</v>
      </c>
      <c r="N190" s="120" t="e">
        <f>VLOOKUP($C190,#REF!,13,0)</f>
        <v>#REF!</v>
      </c>
      <c r="O190" s="118" t="e">
        <f>VLOOKUP($C190,#REF!,14,0)</f>
        <v>#REF!</v>
      </c>
      <c r="P190" s="120" t="e">
        <f>VLOOKUP($C190,#REF!,15,0)</f>
        <v>#REF!</v>
      </c>
      <c r="Q190" s="118" t="e">
        <f>VLOOKUP($C190,#REF!,16,0)</f>
        <v>#REF!</v>
      </c>
      <c r="R190" s="119" t="e">
        <f>VLOOKUP($C190,#REF!,17,0)</f>
        <v>#REF!</v>
      </c>
      <c r="S190" s="120" t="e">
        <f>VLOOKUP($C190,#REF!,18,0)</f>
        <v>#REF!</v>
      </c>
      <c r="T190" s="119" t="e">
        <f>VLOOKUP($C190,#REF!,19,0)</f>
        <v>#REF!</v>
      </c>
      <c r="U190" s="34"/>
      <c r="V190" s="118" t="e">
        <f>VLOOKUP($C190,#REF!,20,0)</f>
        <v>#REF!</v>
      </c>
      <c r="W190" s="120" t="e">
        <f>VLOOKUP($C190,#REF!,21,0)</f>
        <v>#REF!</v>
      </c>
      <c r="X190" s="118" t="e">
        <f>VLOOKUP($C190,#REF!,22,0)</f>
        <v>#REF!</v>
      </c>
      <c r="Y190" s="120" t="e">
        <f>VLOOKUP($C190,#REF!,23,0)</f>
        <v>#REF!</v>
      </c>
      <c r="Z190" s="118" t="e">
        <f>VLOOKUP($C190,#REF!,24,0)</f>
        <v>#REF!</v>
      </c>
      <c r="AA190" s="119" t="e">
        <f>VLOOKUP($C190,#REF!,25,0)</f>
        <v>#REF!</v>
      </c>
      <c r="AB190" s="120" t="e">
        <f>VLOOKUP($C190,#REF!,26,0)</f>
        <v>#REF!</v>
      </c>
      <c r="AC190" s="119" t="e">
        <f>VLOOKUP($C190,#REF!,27,0)</f>
        <v>#REF!</v>
      </c>
      <c r="AD190" s="4"/>
      <c r="AE190" s="118" t="e">
        <f t="shared" si="53"/>
        <v>#REF!</v>
      </c>
      <c r="AF190" s="121" t="s">
        <v>320</v>
      </c>
      <c r="AG190" s="121" t="s">
        <v>321</v>
      </c>
      <c r="AH190" s="119" t="s">
        <v>322</v>
      </c>
      <c r="AI190" s="4"/>
      <c r="AJ190" s="118" t="s">
        <v>323</v>
      </c>
      <c r="AK190" s="121" t="s">
        <v>324</v>
      </c>
      <c r="AL190" s="121" t="s">
        <v>325</v>
      </c>
      <c r="AM190" s="121" t="s">
        <v>326</v>
      </c>
      <c r="AN190" s="121" t="s">
        <v>326</v>
      </c>
      <c r="AO190" s="119" t="s">
        <v>320</v>
      </c>
      <c r="AP190" s="4"/>
      <c r="AQ190" s="122">
        <v>91</v>
      </c>
      <c r="AR190" s="5"/>
      <c r="AS190" s="118">
        <v>0</v>
      </c>
      <c r="AT190" s="119">
        <v>0</v>
      </c>
      <c r="AU190" s="34"/>
      <c r="AV190" s="118">
        <f t="shared" si="76"/>
        <v>0</v>
      </c>
      <c r="AW190" s="119">
        <f t="shared" si="77"/>
        <v>0</v>
      </c>
      <c r="AX190" s="118">
        <f t="shared" si="54"/>
        <v>0</v>
      </c>
      <c r="AY190" s="119">
        <f t="shared" si="55"/>
        <v>0</v>
      </c>
      <c r="AZ190" s="118">
        <f t="shared" si="56"/>
        <v>0</v>
      </c>
      <c r="BA190" s="119">
        <f t="shared" si="57"/>
        <v>0</v>
      </c>
      <c r="BB190" s="120">
        <f t="shared" si="58"/>
        <v>0</v>
      </c>
      <c r="BC190" s="119">
        <f t="shared" si="59"/>
        <v>0</v>
      </c>
      <c r="BD190" s="34"/>
      <c r="BE190" s="118">
        <f t="shared" si="60"/>
        <v>0</v>
      </c>
      <c r="BF190" s="119">
        <f t="shared" si="61"/>
        <v>0</v>
      </c>
      <c r="BG190" s="118">
        <f t="shared" si="62"/>
        <v>0</v>
      </c>
      <c r="BH190" s="119">
        <f t="shared" si="63"/>
        <v>0</v>
      </c>
      <c r="BI190" s="120">
        <f t="shared" si="64"/>
        <v>0</v>
      </c>
      <c r="BJ190" s="119">
        <f t="shared" si="65"/>
        <v>0</v>
      </c>
      <c r="BK190" s="120">
        <f t="shared" si="66"/>
        <v>0</v>
      </c>
      <c r="BL190" s="119">
        <f t="shared" si="67"/>
        <v>0</v>
      </c>
      <c r="BM190" s="4"/>
      <c r="BN190" s="122">
        <v>-8.2600000000000193</v>
      </c>
      <c r="BO190" s="117"/>
      <c r="BP190" s="118">
        <v>-8.2600000000000193</v>
      </c>
      <c r="BQ190" s="119">
        <v>0</v>
      </c>
      <c r="BR190" s="120"/>
      <c r="BS190" s="118">
        <v>0</v>
      </c>
      <c r="BT190" s="119">
        <v>0</v>
      </c>
      <c r="BU190" s="118">
        <v>0</v>
      </c>
      <c r="BV190" s="119">
        <v>0</v>
      </c>
      <c r="BW190" s="118">
        <v>0</v>
      </c>
      <c r="BX190" s="119">
        <v>0</v>
      </c>
      <c r="BY190" s="118">
        <v>0</v>
      </c>
      <c r="BZ190" s="119">
        <v>0</v>
      </c>
      <c r="CA190" s="120"/>
      <c r="CB190" s="118">
        <v>0</v>
      </c>
      <c r="CC190" s="119">
        <v>0</v>
      </c>
      <c r="CD190" s="118">
        <v>0</v>
      </c>
      <c r="CE190" s="119">
        <v>0</v>
      </c>
      <c r="CF190" s="118">
        <v>0</v>
      </c>
      <c r="CG190" s="119">
        <v>0</v>
      </c>
      <c r="CH190" s="118">
        <v>0</v>
      </c>
      <c r="CI190" s="119">
        <v>0</v>
      </c>
      <c r="CJ190" s="4"/>
      <c r="CK190" s="79"/>
      <c r="CL190" s="5"/>
      <c r="CM190" s="39" t="str">
        <f t="shared" si="68"/>
        <v>-</v>
      </c>
      <c r="CN190" s="5"/>
      <c r="CO190" s="39" t="str">
        <f t="shared" si="69"/>
        <v>-</v>
      </c>
      <c r="CP190" s="39" t="str">
        <f t="shared" si="70"/>
        <v>-</v>
      </c>
      <c r="CQ190" s="39" t="str">
        <f t="shared" ref="CQ190:CR221" si="78">IFERROR(+$H190-($Q190+$R190*$G190),"-")</f>
        <v>-</v>
      </c>
      <c r="CR190" s="39" t="str">
        <f t="shared" si="78"/>
        <v>-</v>
      </c>
      <c r="CS190" s="5"/>
      <c r="CT190" s="39" t="str">
        <f t="shared" si="72"/>
        <v>-</v>
      </c>
      <c r="CU190" s="39" t="str">
        <f t="shared" si="73"/>
        <v>-</v>
      </c>
      <c r="CV190" s="39" t="str">
        <f t="shared" si="74"/>
        <v>-</v>
      </c>
      <c r="CW190" s="39" t="str">
        <f t="shared" si="75"/>
        <v>-</v>
      </c>
    </row>
    <row r="191" spans="2:101" s="4" customFormat="1" ht="12.75" customHeight="1">
      <c r="B191" s="102" t="s">
        <v>79</v>
      </c>
      <c r="C191" s="103" t="s">
        <v>290</v>
      </c>
      <c r="D191" s="104" t="e">
        <f>VLOOKUP($C191,#REF!,5,0)</f>
        <v>#REF!</v>
      </c>
      <c r="E191" s="109" t="e">
        <f>VLOOKUP($C191,#REF!,6,0)</f>
        <v>#REF!</v>
      </c>
      <c r="F191" s="103" t="e">
        <f>VLOOKUP($C191,#REF!,7,0)</f>
        <v>#REF!</v>
      </c>
      <c r="G191" s="103" t="e">
        <f>VLOOKUP($C191,#REF!,8,0)</f>
        <v>#REF!</v>
      </c>
      <c r="H191" s="110" t="e">
        <f>VLOOKUP($C191,#REF!,9,0)</f>
        <v>#REF!</v>
      </c>
      <c r="I191" s="5"/>
      <c r="J191" s="105" t="e">
        <f>VLOOKUP($C191,#REF!,10,0)</f>
        <v>#REF!</v>
      </c>
      <c r="K191" s="106" t="e">
        <f>VLOOKUP($C191,#REF!,11,0)</f>
        <v>#REF!</v>
      </c>
      <c r="L191" s="34"/>
      <c r="M191" s="105" t="e">
        <f>VLOOKUP($C191,#REF!,12,0)</f>
        <v>#REF!</v>
      </c>
      <c r="N191" s="34" t="e">
        <f>VLOOKUP($C191,#REF!,13,0)</f>
        <v>#REF!</v>
      </c>
      <c r="O191" s="105" t="e">
        <f>VLOOKUP($C191,#REF!,14,0)</f>
        <v>#REF!</v>
      </c>
      <c r="P191" s="34" t="e">
        <f>VLOOKUP($C191,#REF!,15,0)</f>
        <v>#REF!</v>
      </c>
      <c r="Q191" s="105" t="e">
        <f>VLOOKUP($C191,#REF!,16,0)</f>
        <v>#REF!</v>
      </c>
      <c r="R191" s="106" t="e">
        <f>VLOOKUP($C191,#REF!,17,0)</f>
        <v>#REF!</v>
      </c>
      <c r="S191" s="34" t="e">
        <f>VLOOKUP($C191,#REF!,18,0)</f>
        <v>#REF!</v>
      </c>
      <c r="T191" s="106" t="e">
        <f>VLOOKUP($C191,#REF!,19,0)</f>
        <v>#REF!</v>
      </c>
      <c r="U191" s="34"/>
      <c r="V191" s="105" t="e">
        <f>VLOOKUP($C191,#REF!,20,0)</f>
        <v>#REF!</v>
      </c>
      <c r="W191" s="34" t="e">
        <f>VLOOKUP($C191,#REF!,21,0)</f>
        <v>#REF!</v>
      </c>
      <c r="X191" s="105" t="e">
        <f>VLOOKUP($C191,#REF!,22,0)</f>
        <v>#REF!</v>
      </c>
      <c r="Y191" s="34" t="e">
        <f>VLOOKUP($C191,#REF!,23,0)</f>
        <v>#REF!</v>
      </c>
      <c r="Z191" s="105" t="e">
        <f>VLOOKUP($C191,#REF!,24,0)</f>
        <v>#REF!</v>
      </c>
      <c r="AA191" s="106" t="e">
        <f>VLOOKUP($C191,#REF!,25,0)</f>
        <v>#REF!</v>
      </c>
      <c r="AB191" s="34" t="e">
        <f>VLOOKUP($C191,#REF!,26,0)</f>
        <v>#REF!</v>
      </c>
      <c r="AC191" s="106" t="e">
        <f>VLOOKUP($C191,#REF!,27,0)</f>
        <v>#REF!</v>
      </c>
      <c r="AE191" s="105" t="e">
        <f t="shared" si="53"/>
        <v>#REF!</v>
      </c>
      <c r="AF191" s="107" t="s">
        <v>320</v>
      </c>
      <c r="AG191" s="107" t="s">
        <v>321</v>
      </c>
      <c r="AH191" s="106" t="s">
        <v>322</v>
      </c>
      <c r="AJ191" s="105" t="s">
        <v>323</v>
      </c>
      <c r="AK191" s="107" t="s">
        <v>324</v>
      </c>
      <c r="AL191" s="107" t="s">
        <v>325</v>
      </c>
      <c r="AM191" s="107" t="s">
        <v>326</v>
      </c>
      <c r="AN191" s="107" t="s">
        <v>326</v>
      </c>
      <c r="AO191" s="106" t="s">
        <v>320</v>
      </c>
      <c r="AQ191" s="108">
        <v>0</v>
      </c>
      <c r="AR191" s="5"/>
      <c r="AS191" s="105">
        <v>0</v>
      </c>
      <c r="AT191" s="106">
        <v>0</v>
      </c>
      <c r="AU191" s="34"/>
      <c r="AV191" s="105">
        <f t="shared" si="76"/>
        <v>0</v>
      </c>
      <c r="AW191" s="106">
        <f t="shared" si="77"/>
        <v>0</v>
      </c>
      <c r="AX191" s="105">
        <f t="shared" si="54"/>
        <v>0</v>
      </c>
      <c r="AY191" s="106">
        <f t="shared" si="55"/>
        <v>0</v>
      </c>
      <c r="AZ191" s="105">
        <f t="shared" si="56"/>
        <v>0</v>
      </c>
      <c r="BA191" s="106">
        <f t="shared" si="57"/>
        <v>0</v>
      </c>
      <c r="BB191" s="34">
        <f t="shared" si="58"/>
        <v>0</v>
      </c>
      <c r="BC191" s="106">
        <f t="shared" si="59"/>
        <v>0</v>
      </c>
      <c r="BD191" s="34"/>
      <c r="BE191" s="105">
        <f t="shared" si="60"/>
        <v>0</v>
      </c>
      <c r="BF191" s="106">
        <f t="shared" si="61"/>
        <v>0</v>
      </c>
      <c r="BG191" s="105">
        <f t="shared" si="62"/>
        <v>0</v>
      </c>
      <c r="BH191" s="106">
        <f t="shared" si="63"/>
        <v>0</v>
      </c>
      <c r="BI191" s="34">
        <f t="shared" si="64"/>
        <v>0</v>
      </c>
      <c r="BJ191" s="106">
        <f t="shared" si="65"/>
        <v>0</v>
      </c>
      <c r="BK191" s="34">
        <f t="shared" si="66"/>
        <v>0</v>
      </c>
      <c r="BL191" s="106">
        <f t="shared" si="67"/>
        <v>0</v>
      </c>
      <c r="BN191" s="108">
        <v>0</v>
      </c>
      <c r="BO191" s="5"/>
      <c r="BP191" s="105">
        <v>0</v>
      </c>
      <c r="BQ191" s="106">
        <v>0</v>
      </c>
      <c r="BR191" s="34"/>
      <c r="BS191" s="105">
        <v>0</v>
      </c>
      <c r="BT191" s="106">
        <v>0</v>
      </c>
      <c r="BU191" s="105">
        <v>0</v>
      </c>
      <c r="BV191" s="106">
        <v>-13</v>
      </c>
      <c r="BW191" s="105">
        <v>0</v>
      </c>
      <c r="BX191" s="106">
        <v>0</v>
      </c>
      <c r="BY191" s="105">
        <v>0</v>
      </c>
      <c r="BZ191" s="106">
        <v>0</v>
      </c>
      <c r="CA191" s="34"/>
      <c r="CB191" s="105">
        <v>0</v>
      </c>
      <c r="CC191" s="106">
        <v>0</v>
      </c>
      <c r="CD191" s="105">
        <v>0</v>
      </c>
      <c r="CE191" s="106">
        <v>0</v>
      </c>
      <c r="CF191" s="105">
        <v>0</v>
      </c>
      <c r="CG191" s="106">
        <v>0</v>
      </c>
      <c r="CH191" s="105">
        <v>0</v>
      </c>
      <c r="CI191" s="106">
        <v>0</v>
      </c>
      <c r="CK191" s="78"/>
      <c r="CL191" s="5"/>
      <c r="CM191" s="38" t="str">
        <f t="shared" si="68"/>
        <v>-</v>
      </c>
      <c r="CN191" s="5"/>
      <c r="CO191" s="38" t="str">
        <f t="shared" si="69"/>
        <v>-</v>
      </c>
      <c r="CP191" s="38" t="str">
        <f t="shared" si="70"/>
        <v>-</v>
      </c>
      <c r="CQ191" s="38" t="str">
        <f t="shared" si="78"/>
        <v>-</v>
      </c>
      <c r="CR191" s="38" t="str">
        <f t="shared" si="78"/>
        <v>-</v>
      </c>
      <c r="CS191" s="5"/>
      <c r="CT191" s="38" t="str">
        <f t="shared" si="72"/>
        <v>-</v>
      </c>
      <c r="CU191" s="38" t="str">
        <f t="shared" si="73"/>
        <v>-</v>
      </c>
      <c r="CV191" s="38" t="str">
        <f t="shared" si="74"/>
        <v>-</v>
      </c>
      <c r="CW191" s="38" t="str">
        <f t="shared" si="75"/>
        <v>-</v>
      </c>
    </row>
    <row r="192" spans="2:101" s="113" customFormat="1" ht="12.75" customHeight="1">
      <c r="B192" s="99" t="s">
        <v>79</v>
      </c>
      <c r="C192" s="98" t="s">
        <v>306</v>
      </c>
      <c r="D192" s="114" t="e">
        <f>VLOOKUP($C192,#REF!,5,0)</f>
        <v>#REF!</v>
      </c>
      <c r="E192" s="115" t="e">
        <f>VLOOKUP($C192,#REF!,6,0)</f>
        <v>#REF!</v>
      </c>
      <c r="F192" s="98" t="e">
        <f>VLOOKUP($C192,#REF!,7,0)</f>
        <v>#REF!</v>
      </c>
      <c r="G192" s="98" t="e">
        <f>VLOOKUP($C192,#REF!,8,0)</f>
        <v>#REF!</v>
      </c>
      <c r="H192" s="116" t="e">
        <f>VLOOKUP($C192,#REF!,9,0)</f>
        <v>#REF!</v>
      </c>
      <c r="I192" s="5"/>
      <c r="J192" s="118" t="e">
        <f>VLOOKUP($C192,#REF!,10,0)</f>
        <v>#REF!</v>
      </c>
      <c r="K192" s="119" t="e">
        <f>VLOOKUP($C192,#REF!,11,0)</f>
        <v>#REF!</v>
      </c>
      <c r="L192" s="34"/>
      <c r="M192" s="118" t="e">
        <f>VLOOKUP($C192,#REF!,12,0)</f>
        <v>#REF!</v>
      </c>
      <c r="N192" s="120" t="e">
        <f>VLOOKUP($C192,#REF!,13,0)</f>
        <v>#REF!</v>
      </c>
      <c r="O192" s="118" t="e">
        <f>VLOOKUP($C192,#REF!,14,0)</f>
        <v>#REF!</v>
      </c>
      <c r="P192" s="120" t="e">
        <f>VLOOKUP($C192,#REF!,15,0)</f>
        <v>#REF!</v>
      </c>
      <c r="Q192" s="118" t="e">
        <f>VLOOKUP($C192,#REF!,16,0)</f>
        <v>#REF!</v>
      </c>
      <c r="R192" s="119" t="e">
        <f>VLOOKUP($C192,#REF!,17,0)</f>
        <v>#REF!</v>
      </c>
      <c r="S192" s="120" t="e">
        <f>VLOOKUP($C192,#REF!,18,0)</f>
        <v>#REF!</v>
      </c>
      <c r="T192" s="119" t="e">
        <f>VLOOKUP($C192,#REF!,19,0)</f>
        <v>#REF!</v>
      </c>
      <c r="U192" s="34"/>
      <c r="V192" s="118" t="e">
        <f>VLOOKUP($C192,#REF!,20,0)</f>
        <v>#REF!</v>
      </c>
      <c r="W192" s="120" t="e">
        <f>VLOOKUP($C192,#REF!,21,0)</f>
        <v>#REF!</v>
      </c>
      <c r="X192" s="118" t="e">
        <f>VLOOKUP($C192,#REF!,22,0)</f>
        <v>#REF!</v>
      </c>
      <c r="Y192" s="120" t="e">
        <f>VLOOKUP($C192,#REF!,23,0)</f>
        <v>#REF!</v>
      </c>
      <c r="Z192" s="118" t="e">
        <f>VLOOKUP($C192,#REF!,24,0)</f>
        <v>#REF!</v>
      </c>
      <c r="AA192" s="119" t="e">
        <f>VLOOKUP($C192,#REF!,25,0)</f>
        <v>#REF!</v>
      </c>
      <c r="AB192" s="120" t="e">
        <f>VLOOKUP($C192,#REF!,26,0)</f>
        <v>#REF!</v>
      </c>
      <c r="AC192" s="119" t="e">
        <f>VLOOKUP($C192,#REF!,27,0)</f>
        <v>#REF!</v>
      </c>
      <c r="AD192" s="4"/>
      <c r="AE192" s="118" t="e">
        <f t="shared" si="53"/>
        <v>#REF!</v>
      </c>
      <c r="AF192" s="121" t="s">
        <v>320</v>
      </c>
      <c r="AG192" s="121" t="s">
        <v>321</v>
      </c>
      <c r="AH192" s="119" t="s">
        <v>322</v>
      </c>
      <c r="AI192" s="4"/>
      <c r="AJ192" s="118" t="s">
        <v>323</v>
      </c>
      <c r="AK192" s="121" t="s">
        <v>324</v>
      </c>
      <c r="AL192" s="121" t="s">
        <v>325</v>
      </c>
      <c r="AM192" s="121" t="s">
        <v>326</v>
      </c>
      <c r="AN192" s="121" t="s">
        <v>326</v>
      </c>
      <c r="AO192" s="119" t="s">
        <v>320</v>
      </c>
      <c r="AP192" s="4"/>
      <c r="AQ192" s="122">
        <v>1</v>
      </c>
      <c r="AR192" s="5"/>
      <c r="AS192" s="118">
        <v>0</v>
      </c>
      <c r="AT192" s="119">
        <v>0</v>
      </c>
      <c r="AU192" s="34"/>
      <c r="AV192" s="118">
        <f t="shared" si="76"/>
        <v>0</v>
      </c>
      <c r="AW192" s="119">
        <f t="shared" si="77"/>
        <v>0</v>
      </c>
      <c r="AX192" s="118">
        <f t="shared" si="54"/>
        <v>0</v>
      </c>
      <c r="AY192" s="119">
        <f t="shared" si="55"/>
        <v>0</v>
      </c>
      <c r="AZ192" s="118">
        <f t="shared" si="56"/>
        <v>0</v>
      </c>
      <c r="BA192" s="119">
        <f t="shared" si="57"/>
        <v>0</v>
      </c>
      <c r="BB192" s="120">
        <f t="shared" si="58"/>
        <v>0</v>
      </c>
      <c r="BC192" s="119">
        <f t="shared" si="59"/>
        <v>0</v>
      </c>
      <c r="BD192" s="34"/>
      <c r="BE192" s="118">
        <f t="shared" si="60"/>
        <v>0</v>
      </c>
      <c r="BF192" s="119">
        <f t="shared" si="61"/>
        <v>0</v>
      </c>
      <c r="BG192" s="118">
        <f t="shared" si="62"/>
        <v>0</v>
      </c>
      <c r="BH192" s="119">
        <f t="shared" si="63"/>
        <v>0</v>
      </c>
      <c r="BI192" s="120">
        <f t="shared" si="64"/>
        <v>0</v>
      </c>
      <c r="BJ192" s="119">
        <f t="shared" si="65"/>
        <v>0</v>
      </c>
      <c r="BK192" s="120">
        <f t="shared" si="66"/>
        <v>0</v>
      </c>
      <c r="BL192" s="119">
        <f t="shared" si="67"/>
        <v>0</v>
      </c>
      <c r="BM192" s="4"/>
      <c r="BN192" s="122">
        <v>0</v>
      </c>
      <c r="BO192" s="117"/>
      <c r="BP192" s="118">
        <v>0</v>
      </c>
      <c r="BQ192" s="119">
        <v>0</v>
      </c>
      <c r="BR192" s="120"/>
      <c r="BS192" s="118">
        <v>0</v>
      </c>
      <c r="BT192" s="119">
        <v>0</v>
      </c>
      <c r="BU192" s="118">
        <v>0</v>
      </c>
      <c r="BV192" s="119">
        <v>0</v>
      </c>
      <c r="BW192" s="118">
        <v>0</v>
      </c>
      <c r="BX192" s="119">
        <v>0</v>
      </c>
      <c r="BY192" s="118">
        <v>0</v>
      </c>
      <c r="BZ192" s="119">
        <v>0</v>
      </c>
      <c r="CA192" s="120"/>
      <c r="CB192" s="118">
        <v>0</v>
      </c>
      <c r="CC192" s="119">
        <v>0</v>
      </c>
      <c r="CD192" s="118">
        <v>0</v>
      </c>
      <c r="CE192" s="119">
        <v>0</v>
      </c>
      <c r="CF192" s="118">
        <v>0</v>
      </c>
      <c r="CG192" s="119">
        <v>0</v>
      </c>
      <c r="CH192" s="118">
        <v>0</v>
      </c>
      <c r="CI192" s="119">
        <v>0</v>
      </c>
      <c r="CJ192" s="4"/>
      <c r="CK192" s="79"/>
      <c r="CL192" s="5"/>
      <c r="CM192" s="39" t="str">
        <f t="shared" si="68"/>
        <v>-</v>
      </c>
      <c r="CN192" s="5"/>
      <c r="CO192" s="39" t="str">
        <f t="shared" si="69"/>
        <v>-</v>
      </c>
      <c r="CP192" s="39" t="str">
        <f t="shared" si="70"/>
        <v>-</v>
      </c>
      <c r="CQ192" s="39" t="str">
        <f t="shared" si="78"/>
        <v>-</v>
      </c>
      <c r="CR192" s="39" t="str">
        <f t="shared" si="78"/>
        <v>-</v>
      </c>
      <c r="CS192" s="5"/>
      <c r="CT192" s="39" t="str">
        <f t="shared" si="72"/>
        <v>-</v>
      </c>
      <c r="CU192" s="39" t="str">
        <f t="shared" si="73"/>
        <v>-</v>
      </c>
      <c r="CV192" s="39" t="str">
        <f t="shared" si="74"/>
        <v>-</v>
      </c>
      <c r="CW192" s="39" t="str">
        <f t="shared" si="75"/>
        <v>-</v>
      </c>
    </row>
    <row r="193" spans="2:101" s="4" customFormat="1" ht="12.75" customHeight="1">
      <c r="B193" s="102" t="s">
        <v>55</v>
      </c>
      <c r="C193" s="103" t="s">
        <v>94</v>
      </c>
      <c r="D193" s="104" t="e">
        <f>VLOOKUP($C193,#REF!,5,0)</f>
        <v>#REF!</v>
      </c>
      <c r="E193" s="109" t="e">
        <f>VLOOKUP($C193,#REF!,6,0)</f>
        <v>#REF!</v>
      </c>
      <c r="F193" s="103" t="e">
        <f>VLOOKUP($C193,#REF!,7,0)</f>
        <v>#REF!</v>
      </c>
      <c r="G193" s="103" t="e">
        <f>VLOOKUP($C193,#REF!,8,0)</f>
        <v>#REF!</v>
      </c>
      <c r="H193" s="110" t="e">
        <f>VLOOKUP($C193,#REF!,9,0)</f>
        <v>#REF!</v>
      </c>
      <c r="I193" s="5"/>
      <c r="J193" s="105" t="e">
        <f>VLOOKUP($C193,#REF!,10,0)</f>
        <v>#REF!</v>
      </c>
      <c r="K193" s="106" t="e">
        <f>VLOOKUP($C193,#REF!,11,0)</f>
        <v>#REF!</v>
      </c>
      <c r="L193" s="34"/>
      <c r="M193" s="105" t="e">
        <f>VLOOKUP($C193,#REF!,12,0)</f>
        <v>#REF!</v>
      </c>
      <c r="N193" s="34" t="e">
        <f>VLOOKUP($C193,#REF!,13,0)</f>
        <v>#REF!</v>
      </c>
      <c r="O193" s="105" t="e">
        <f>VLOOKUP($C193,#REF!,14,0)</f>
        <v>#REF!</v>
      </c>
      <c r="P193" s="34" t="e">
        <f>VLOOKUP($C193,#REF!,15,0)</f>
        <v>#REF!</v>
      </c>
      <c r="Q193" s="105" t="e">
        <f>VLOOKUP($C193,#REF!,16,0)</f>
        <v>#REF!</v>
      </c>
      <c r="R193" s="106" t="e">
        <f>VLOOKUP($C193,#REF!,17,0)</f>
        <v>#REF!</v>
      </c>
      <c r="S193" s="34" t="e">
        <f>VLOOKUP($C193,#REF!,18,0)</f>
        <v>#REF!</v>
      </c>
      <c r="T193" s="106" t="e">
        <f>VLOOKUP($C193,#REF!,19,0)</f>
        <v>#REF!</v>
      </c>
      <c r="U193" s="34"/>
      <c r="V193" s="105" t="e">
        <f>VLOOKUP($C193,#REF!,20,0)</f>
        <v>#REF!</v>
      </c>
      <c r="W193" s="34" t="e">
        <f>VLOOKUP($C193,#REF!,21,0)</f>
        <v>#REF!</v>
      </c>
      <c r="X193" s="105" t="e">
        <f>VLOOKUP($C193,#REF!,22,0)</f>
        <v>#REF!</v>
      </c>
      <c r="Y193" s="34" t="e">
        <f>VLOOKUP($C193,#REF!,23,0)</f>
        <v>#REF!</v>
      </c>
      <c r="Z193" s="105" t="e">
        <f>VLOOKUP($C193,#REF!,24,0)</f>
        <v>#REF!</v>
      </c>
      <c r="AA193" s="106" t="e">
        <f>VLOOKUP($C193,#REF!,25,0)</f>
        <v>#REF!</v>
      </c>
      <c r="AB193" s="34" t="e">
        <f>VLOOKUP($C193,#REF!,26,0)</f>
        <v>#REF!</v>
      </c>
      <c r="AC193" s="106" t="e">
        <f>VLOOKUP($C193,#REF!,27,0)</f>
        <v>#REF!</v>
      </c>
      <c r="AE193" s="105" t="e">
        <f t="shared" si="53"/>
        <v>#REF!</v>
      </c>
      <c r="AF193" s="107" t="s">
        <v>320</v>
      </c>
      <c r="AG193" s="107" t="s">
        <v>321</v>
      </c>
      <c r="AH193" s="106" t="s">
        <v>322</v>
      </c>
      <c r="AJ193" s="105" t="s">
        <v>323</v>
      </c>
      <c r="AK193" s="107" t="s">
        <v>324</v>
      </c>
      <c r="AL193" s="107" t="s">
        <v>325</v>
      </c>
      <c r="AM193" s="107" t="s">
        <v>326</v>
      </c>
      <c r="AN193" s="107" t="s">
        <v>326</v>
      </c>
      <c r="AO193" s="106" t="s">
        <v>320</v>
      </c>
      <c r="AQ193" s="108">
        <v>1</v>
      </c>
      <c r="AR193" s="5"/>
      <c r="AS193" s="105">
        <v>0</v>
      </c>
      <c r="AT193" s="106">
        <v>0</v>
      </c>
      <c r="AU193" s="34"/>
      <c r="AV193" s="105">
        <f t="shared" si="76"/>
        <v>0</v>
      </c>
      <c r="AW193" s="106">
        <f t="shared" si="77"/>
        <v>0</v>
      </c>
      <c r="AX193" s="105">
        <f t="shared" si="54"/>
        <v>0</v>
      </c>
      <c r="AY193" s="106">
        <f t="shared" si="55"/>
        <v>0</v>
      </c>
      <c r="AZ193" s="105">
        <f t="shared" si="56"/>
        <v>0</v>
      </c>
      <c r="BA193" s="106">
        <f t="shared" si="57"/>
        <v>0</v>
      </c>
      <c r="BB193" s="34">
        <f t="shared" si="58"/>
        <v>0</v>
      </c>
      <c r="BC193" s="106">
        <f t="shared" si="59"/>
        <v>0</v>
      </c>
      <c r="BD193" s="34"/>
      <c r="BE193" s="105">
        <f t="shared" si="60"/>
        <v>0</v>
      </c>
      <c r="BF193" s="106">
        <f t="shared" si="61"/>
        <v>0</v>
      </c>
      <c r="BG193" s="105">
        <f t="shared" si="62"/>
        <v>0</v>
      </c>
      <c r="BH193" s="106">
        <f t="shared" si="63"/>
        <v>0</v>
      </c>
      <c r="BI193" s="34">
        <f t="shared" si="64"/>
        <v>0</v>
      </c>
      <c r="BJ193" s="106">
        <f t="shared" si="65"/>
        <v>0</v>
      </c>
      <c r="BK193" s="34">
        <f t="shared" si="66"/>
        <v>0</v>
      </c>
      <c r="BL193" s="106">
        <f t="shared" si="67"/>
        <v>0</v>
      </c>
      <c r="BN193" s="108">
        <v>0</v>
      </c>
      <c r="BO193" s="5"/>
      <c r="BP193" s="105">
        <v>0</v>
      </c>
      <c r="BQ193" s="106">
        <v>0</v>
      </c>
      <c r="BR193" s="34"/>
      <c r="BS193" s="105">
        <v>0</v>
      </c>
      <c r="BT193" s="106">
        <v>0</v>
      </c>
      <c r="BU193" s="105">
        <v>0</v>
      </c>
      <c r="BV193" s="106">
        <v>0</v>
      </c>
      <c r="BW193" s="105">
        <v>0</v>
      </c>
      <c r="BX193" s="106">
        <v>0</v>
      </c>
      <c r="BY193" s="105">
        <v>0</v>
      </c>
      <c r="BZ193" s="106">
        <v>0</v>
      </c>
      <c r="CA193" s="34"/>
      <c r="CB193" s="105">
        <v>0</v>
      </c>
      <c r="CC193" s="106">
        <v>0</v>
      </c>
      <c r="CD193" s="105">
        <v>0</v>
      </c>
      <c r="CE193" s="106">
        <v>0</v>
      </c>
      <c r="CF193" s="105">
        <v>0</v>
      </c>
      <c r="CG193" s="106">
        <v>0</v>
      </c>
      <c r="CH193" s="105">
        <v>0</v>
      </c>
      <c r="CI193" s="106">
        <v>0</v>
      </c>
      <c r="CK193" s="78"/>
      <c r="CL193" s="5"/>
      <c r="CM193" s="38" t="str">
        <f t="shared" si="68"/>
        <v>-</v>
      </c>
      <c r="CN193" s="5"/>
      <c r="CO193" s="38" t="str">
        <f t="shared" si="69"/>
        <v>-</v>
      </c>
      <c r="CP193" s="38" t="str">
        <f t="shared" si="70"/>
        <v>-</v>
      </c>
      <c r="CQ193" s="38" t="str">
        <f t="shared" si="78"/>
        <v>-</v>
      </c>
      <c r="CR193" s="38" t="str">
        <f t="shared" si="78"/>
        <v>-</v>
      </c>
      <c r="CS193" s="5"/>
      <c r="CT193" s="38" t="str">
        <f t="shared" si="72"/>
        <v>-</v>
      </c>
      <c r="CU193" s="38" t="str">
        <f t="shared" si="73"/>
        <v>-</v>
      </c>
      <c r="CV193" s="38" t="str">
        <f t="shared" si="74"/>
        <v>-</v>
      </c>
      <c r="CW193" s="38" t="str">
        <f t="shared" si="75"/>
        <v>-</v>
      </c>
    </row>
    <row r="194" spans="2:101" s="113" customFormat="1" ht="12.75" customHeight="1">
      <c r="B194" s="99" t="s">
        <v>212</v>
      </c>
      <c r="C194" s="98" t="s">
        <v>211</v>
      </c>
      <c r="D194" s="114">
        <v>827</v>
      </c>
      <c r="E194" s="115">
        <v>0</v>
      </c>
      <c r="F194" s="98" t="s">
        <v>327</v>
      </c>
      <c r="G194" s="98">
        <v>24</v>
      </c>
      <c r="H194" s="116">
        <v>825.61983471074382</v>
      </c>
      <c r="I194" s="5"/>
      <c r="J194" s="118" t="s">
        <v>3</v>
      </c>
      <c r="K194" s="119" t="s">
        <v>3</v>
      </c>
      <c r="L194" s="34"/>
      <c r="M194" s="118" t="s">
        <v>3</v>
      </c>
      <c r="N194" s="120" t="s">
        <v>3</v>
      </c>
      <c r="O194" s="118">
        <v>249</v>
      </c>
      <c r="P194" s="120">
        <v>19</v>
      </c>
      <c r="Q194" s="118">
        <v>209</v>
      </c>
      <c r="R194" s="119">
        <v>17</v>
      </c>
      <c r="S194" s="120">
        <v>209</v>
      </c>
      <c r="T194" s="119">
        <v>17</v>
      </c>
      <c r="U194" s="34"/>
      <c r="V194" s="118">
        <v>329.75</v>
      </c>
      <c r="W194" s="120">
        <v>14.75</v>
      </c>
      <c r="X194" s="118">
        <v>0</v>
      </c>
      <c r="Y194" s="120">
        <v>28.75</v>
      </c>
      <c r="Z194" s="118">
        <v>0</v>
      </c>
      <c r="AA194" s="119">
        <v>27.75</v>
      </c>
      <c r="AB194" s="120">
        <v>0</v>
      </c>
      <c r="AC194" s="119">
        <v>26.75</v>
      </c>
      <c r="AD194" s="4"/>
      <c r="AE194" s="118" t="str">
        <f t="shared" si="53"/>
        <v>-</v>
      </c>
      <c r="AF194" s="121" t="s">
        <v>320</v>
      </c>
      <c r="AG194" s="121" t="s">
        <v>321</v>
      </c>
      <c r="AH194" s="119" t="s">
        <v>322</v>
      </c>
      <c r="AI194" s="4"/>
      <c r="AJ194" s="118" t="s">
        <v>323</v>
      </c>
      <c r="AK194" s="121" t="s">
        <v>324</v>
      </c>
      <c r="AL194" s="121" t="s">
        <v>325</v>
      </c>
      <c r="AM194" s="121" t="s">
        <v>326</v>
      </c>
      <c r="AN194" s="121" t="s">
        <v>326</v>
      </c>
      <c r="AO194" s="119" t="s">
        <v>320</v>
      </c>
      <c r="AP194" s="4"/>
      <c r="AQ194" s="122"/>
      <c r="AR194" s="5"/>
      <c r="AS194" s="118">
        <v>0</v>
      </c>
      <c r="AT194" s="119">
        <v>0</v>
      </c>
      <c r="AU194" s="34"/>
      <c r="AV194" s="118">
        <v>0</v>
      </c>
      <c r="AW194" s="119">
        <v>0</v>
      </c>
      <c r="AX194" s="118">
        <v>122</v>
      </c>
      <c r="AY194" s="119">
        <v>456</v>
      </c>
      <c r="AZ194" s="118">
        <v>210</v>
      </c>
      <c r="BA194" s="119">
        <v>408</v>
      </c>
      <c r="BB194" s="120">
        <v>210</v>
      </c>
      <c r="BC194" s="119">
        <v>408</v>
      </c>
      <c r="BD194" s="34"/>
      <c r="BE194" s="118">
        <v>143</v>
      </c>
      <c r="BF194" s="119">
        <v>354</v>
      </c>
      <c r="BG194" s="118">
        <v>137</v>
      </c>
      <c r="BH194" s="119">
        <v>690</v>
      </c>
      <c r="BI194" s="120">
        <v>161</v>
      </c>
      <c r="BJ194" s="119">
        <v>666</v>
      </c>
      <c r="BK194" s="120">
        <v>185</v>
      </c>
      <c r="BL194" s="119">
        <v>642</v>
      </c>
      <c r="BM194" s="4"/>
      <c r="BN194" s="122"/>
      <c r="BO194" s="117"/>
      <c r="BP194" s="118"/>
      <c r="BQ194" s="119"/>
      <c r="BR194" s="120"/>
      <c r="BS194" s="118"/>
      <c r="BT194" s="119"/>
      <c r="BU194" s="118"/>
      <c r="BV194" s="119"/>
      <c r="BW194" s="118"/>
      <c r="BX194" s="119"/>
      <c r="BY194" s="118"/>
      <c r="BZ194" s="119"/>
      <c r="CA194" s="120"/>
      <c r="CB194" s="118"/>
      <c r="CC194" s="119"/>
      <c r="CD194" s="118"/>
      <c r="CE194" s="119"/>
      <c r="CF194" s="118"/>
      <c r="CG194" s="119"/>
      <c r="CH194" s="118"/>
      <c r="CI194" s="119"/>
      <c r="CJ194" s="4"/>
      <c r="CK194" s="79"/>
      <c r="CL194" s="5"/>
      <c r="CM194" s="39" t="str">
        <f t="shared" si="68"/>
        <v>-</v>
      </c>
      <c r="CN194" s="5"/>
      <c r="CO194" s="39" t="str">
        <f t="shared" si="69"/>
        <v>-</v>
      </c>
      <c r="CP194" s="39">
        <f t="shared" si="70"/>
        <v>120.61983471074382</v>
      </c>
      <c r="CQ194" s="39">
        <f t="shared" si="78"/>
        <v>208.61983471074382</v>
      </c>
      <c r="CR194" s="39">
        <f t="shared" si="78"/>
        <v>208.61983471074382</v>
      </c>
      <c r="CS194" s="5"/>
      <c r="CT194" s="39">
        <f t="shared" si="72"/>
        <v>141.86983471074382</v>
      </c>
      <c r="CU194" s="39">
        <f t="shared" si="73"/>
        <v>135.61983471074382</v>
      </c>
      <c r="CV194" s="39">
        <f t="shared" si="74"/>
        <v>159.61983471074382</v>
      </c>
      <c r="CW194" s="39">
        <f t="shared" si="75"/>
        <v>183.61983471074382</v>
      </c>
    </row>
    <row r="195" spans="2:101" s="113" customFormat="1" ht="12.75" customHeight="1">
      <c r="B195" s="99" t="s">
        <v>57</v>
      </c>
      <c r="C195" s="98" t="s">
        <v>370</v>
      </c>
      <c r="D195" s="114" t="e">
        <f>VLOOKUP($C195,#REF!,5,0)</f>
        <v>#REF!</v>
      </c>
      <c r="E195" s="115" t="e">
        <f>VLOOKUP($C195,#REF!,6,0)</f>
        <v>#REF!</v>
      </c>
      <c r="F195" s="98" t="e">
        <f>VLOOKUP($C195,#REF!,7,0)</f>
        <v>#REF!</v>
      </c>
      <c r="G195" s="98" t="e">
        <f>VLOOKUP($C195,#REF!,8,0)</f>
        <v>#REF!</v>
      </c>
      <c r="H195" s="116" t="e">
        <f>VLOOKUP($C195,#REF!,9,0)</f>
        <v>#REF!</v>
      </c>
      <c r="I195" s="5"/>
      <c r="J195" s="118" t="e">
        <f>VLOOKUP($C195,#REF!,10,0)</f>
        <v>#REF!</v>
      </c>
      <c r="K195" s="119" t="e">
        <f>VLOOKUP($C195,#REF!,11,0)</f>
        <v>#REF!</v>
      </c>
      <c r="L195" s="34"/>
      <c r="M195" s="118" t="e">
        <f>VLOOKUP($C195,#REF!,12,0)</f>
        <v>#REF!</v>
      </c>
      <c r="N195" s="120" t="e">
        <f>VLOOKUP($C195,#REF!,13,0)</f>
        <v>#REF!</v>
      </c>
      <c r="O195" s="118" t="e">
        <f>VLOOKUP($C195,#REF!,14,0)</f>
        <v>#REF!</v>
      </c>
      <c r="P195" s="120" t="e">
        <f>VLOOKUP($C195,#REF!,15,0)</f>
        <v>#REF!</v>
      </c>
      <c r="Q195" s="118" t="e">
        <f>VLOOKUP($C195,#REF!,16,0)</f>
        <v>#REF!</v>
      </c>
      <c r="R195" s="119" t="e">
        <f>VLOOKUP($C195,#REF!,17,0)</f>
        <v>#REF!</v>
      </c>
      <c r="S195" s="120" t="e">
        <f>VLOOKUP($C195,#REF!,18,0)</f>
        <v>#REF!</v>
      </c>
      <c r="T195" s="119" t="e">
        <f>VLOOKUP($C195,#REF!,19,0)</f>
        <v>#REF!</v>
      </c>
      <c r="U195" s="34"/>
      <c r="V195" s="118" t="e">
        <f>VLOOKUP($C195,#REF!,20,0)</f>
        <v>#REF!</v>
      </c>
      <c r="W195" s="120" t="e">
        <f>VLOOKUP($C195,#REF!,21,0)</f>
        <v>#REF!</v>
      </c>
      <c r="X195" s="118" t="e">
        <f>VLOOKUP($C195,#REF!,22,0)</f>
        <v>#REF!</v>
      </c>
      <c r="Y195" s="120" t="e">
        <f>VLOOKUP($C195,#REF!,23,0)</f>
        <v>#REF!</v>
      </c>
      <c r="Z195" s="118" t="e">
        <f>VLOOKUP($C195,#REF!,24,0)</f>
        <v>#REF!</v>
      </c>
      <c r="AA195" s="119" t="e">
        <f>VLOOKUP($C195,#REF!,25,0)</f>
        <v>#REF!</v>
      </c>
      <c r="AB195" s="120" t="e">
        <f>VLOOKUP($C195,#REF!,26,0)</f>
        <v>#REF!</v>
      </c>
      <c r="AC195" s="119" t="e">
        <f>VLOOKUP($C195,#REF!,27,0)</f>
        <v>#REF!</v>
      </c>
      <c r="AD195" s="4"/>
      <c r="AE195" s="118" t="e">
        <f>IF(M195="-","-","0,5 GB")</f>
        <v>#REF!</v>
      </c>
      <c r="AF195" s="121" t="s">
        <v>320</v>
      </c>
      <c r="AG195" s="121" t="s">
        <v>321</v>
      </c>
      <c r="AH195" s="119" t="s">
        <v>322</v>
      </c>
      <c r="AI195" s="4"/>
      <c r="AJ195" s="118" t="s">
        <v>323</v>
      </c>
      <c r="AK195" s="121" t="s">
        <v>324</v>
      </c>
      <c r="AL195" s="121" t="s">
        <v>325</v>
      </c>
      <c r="AM195" s="121" t="s">
        <v>326</v>
      </c>
      <c r="AN195" s="121" t="s">
        <v>326</v>
      </c>
      <c r="AO195" s="119" t="s">
        <v>320</v>
      </c>
      <c r="AP195" s="4"/>
      <c r="AQ195" s="122">
        <v>0</v>
      </c>
      <c r="AR195" s="5"/>
      <c r="AS195" s="118">
        <v>0</v>
      </c>
      <c r="AT195" s="119">
        <v>0</v>
      </c>
      <c r="AU195" s="34"/>
      <c r="AV195" s="118">
        <f>IFERROR(ROUND($D195-M195-AW195,0),0)</f>
        <v>0</v>
      </c>
      <c r="AW195" s="119">
        <f>IFERROR(N195*$G195,0)</f>
        <v>0</v>
      </c>
      <c r="AX195" s="118">
        <f>IFERROR(ROUND($D195-O195-AY195,0),0)</f>
        <v>0</v>
      </c>
      <c r="AY195" s="119">
        <f>IFERROR(P195*$G195,0)</f>
        <v>0</v>
      </c>
      <c r="AZ195" s="118">
        <f>IFERROR(ROUND($D195-Q195-BA195,0),0)</f>
        <v>0</v>
      </c>
      <c r="BA195" s="119">
        <f>IFERROR(R195*$G195,0)</f>
        <v>0</v>
      </c>
      <c r="BB195" s="120">
        <f>IFERROR(ROUND($D195-S195-BC195,0),0)</f>
        <v>0</v>
      </c>
      <c r="BC195" s="119">
        <f>IFERROR(T195*$G195,0)</f>
        <v>0</v>
      </c>
      <c r="BD195" s="34"/>
      <c r="BE195" s="118">
        <f>IFERROR(ROUND($D195-V195-BF195,0),0)</f>
        <v>0</v>
      </c>
      <c r="BF195" s="119">
        <f>IFERROR(W195*$G195,0)</f>
        <v>0</v>
      </c>
      <c r="BG195" s="118">
        <f>IFERROR(ROUND($D195-X195-BH195,0),0)</f>
        <v>0</v>
      </c>
      <c r="BH195" s="119">
        <f>IFERROR(Y195*$G195,0)</f>
        <v>0</v>
      </c>
      <c r="BI195" s="120">
        <f>IFERROR(ROUND($D195-Z195-BJ195,0),0)</f>
        <v>0</v>
      </c>
      <c r="BJ195" s="119">
        <f>IFERROR(AA195*$G195,0)</f>
        <v>0</v>
      </c>
      <c r="BK195" s="120">
        <f>IFERROR(ROUND($D195-AB195-BL195,0),0)</f>
        <v>0</v>
      </c>
      <c r="BL195" s="119">
        <f>IFERROR(AC195*$G195,0)</f>
        <v>0</v>
      </c>
      <c r="BM195" s="4"/>
      <c r="BN195" s="122">
        <v>0</v>
      </c>
      <c r="BO195" s="117"/>
      <c r="BP195" s="118">
        <v>0</v>
      </c>
      <c r="BQ195" s="119">
        <v>0</v>
      </c>
      <c r="BR195" s="120"/>
      <c r="BS195" s="118">
        <v>0</v>
      </c>
      <c r="BT195" s="119">
        <v>0</v>
      </c>
      <c r="BU195" s="118">
        <v>0</v>
      </c>
      <c r="BV195" s="119">
        <v>0</v>
      </c>
      <c r="BW195" s="118">
        <v>0</v>
      </c>
      <c r="BX195" s="119">
        <v>0</v>
      </c>
      <c r="BY195" s="118">
        <v>0</v>
      </c>
      <c r="BZ195" s="119">
        <v>0</v>
      </c>
      <c r="CA195" s="120"/>
      <c r="CB195" s="118">
        <v>0</v>
      </c>
      <c r="CC195" s="119">
        <v>0</v>
      </c>
      <c r="CD195" s="118">
        <v>0</v>
      </c>
      <c r="CE195" s="119">
        <v>0</v>
      </c>
      <c r="CF195" s="118">
        <v>0</v>
      </c>
      <c r="CG195" s="119">
        <v>0</v>
      </c>
      <c r="CH195" s="118">
        <v>0</v>
      </c>
      <c r="CI195" s="119">
        <v>0</v>
      </c>
      <c r="CJ195" s="4"/>
      <c r="CK195" s="78"/>
      <c r="CL195" s="5"/>
      <c r="CM195" s="38" t="str">
        <f t="shared" si="68"/>
        <v>-</v>
      </c>
      <c r="CN195" s="5"/>
      <c r="CO195" s="38" t="str">
        <f t="shared" si="69"/>
        <v>-</v>
      </c>
      <c r="CP195" s="38" t="str">
        <f t="shared" si="70"/>
        <v>-</v>
      </c>
      <c r="CQ195" s="38" t="str">
        <f t="shared" si="78"/>
        <v>-</v>
      </c>
      <c r="CR195" s="38" t="str">
        <f t="shared" si="78"/>
        <v>-</v>
      </c>
      <c r="CS195" s="5"/>
      <c r="CT195" s="38" t="str">
        <f t="shared" si="72"/>
        <v>-</v>
      </c>
      <c r="CU195" s="38" t="str">
        <f t="shared" si="73"/>
        <v>-</v>
      </c>
      <c r="CV195" s="38" t="str">
        <f t="shared" si="74"/>
        <v>-</v>
      </c>
      <c r="CW195" s="38" t="str">
        <f t="shared" si="75"/>
        <v>-</v>
      </c>
    </row>
    <row r="196" spans="2:101" s="113" customFormat="1" ht="12.75" customHeight="1">
      <c r="B196" s="99" t="s">
        <v>57</v>
      </c>
      <c r="C196" s="98" t="s">
        <v>371</v>
      </c>
      <c r="D196" s="114" t="e">
        <f>VLOOKUP($C196,#REF!,5,0)</f>
        <v>#REF!</v>
      </c>
      <c r="E196" s="115" t="e">
        <f>VLOOKUP($C196,#REF!,6,0)</f>
        <v>#REF!</v>
      </c>
      <c r="F196" s="98" t="e">
        <f>VLOOKUP($C196,#REF!,7,0)</f>
        <v>#REF!</v>
      </c>
      <c r="G196" s="98" t="e">
        <f>VLOOKUP($C196,#REF!,8,0)</f>
        <v>#REF!</v>
      </c>
      <c r="H196" s="116" t="e">
        <f>VLOOKUP($C196,#REF!,9,0)</f>
        <v>#REF!</v>
      </c>
      <c r="I196" s="5"/>
      <c r="J196" s="118" t="e">
        <f>VLOOKUP($C196,#REF!,10,0)</f>
        <v>#REF!</v>
      </c>
      <c r="K196" s="119" t="e">
        <f>VLOOKUP($C196,#REF!,11,0)</f>
        <v>#REF!</v>
      </c>
      <c r="L196" s="34"/>
      <c r="M196" s="118" t="e">
        <f>VLOOKUP($C196,#REF!,12,0)</f>
        <v>#REF!</v>
      </c>
      <c r="N196" s="120" t="e">
        <f>VLOOKUP($C196,#REF!,13,0)</f>
        <v>#REF!</v>
      </c>
      <c r="O196" s="118" t="e">
        <f>VLOOKUP($C196,#REF!,14,0)</f>
        <v>#REF!</v>
      </c>
      <c r="P196" s="120" t="e">
        <f>VLOOKUP($C196,#REF!,15,0)</f>
        <v>#REF!</v>
      </c>
      <c r="Q196" s="118" t="e">
        <f>VLOOKUP($C196,#REF!,16,0)</f>
        <v>#REF!</v>
      </c>
      <c r="R196" s="119" t="e">
        <f>VLOOKUP($C196,#REF!,17,0)</f>
        <v>#REF!</v>
      </c>
      <c r="S196" s="120" t="e">
        <f>VLOOKUP($C196,#REF!,18,0)</f>
        <v>#REF!</v>
      </c>
      <c r="T196" s="119" t="e">
        <f>VLOOKUP($C196,#REF!,19,0)</f>
        <v>#REF!</v>
      </c>
      <c r="U196" s="34"/>
      <c r="V196" s="118" t="e">
        <f>VLOOKUP($C196,#REF!,20,0)</f>
        <v>#REF!</v>
      </c>
      <c r="W196" s="120" t="e">
        <f>VLOOKUP($C196,#REF!,21,0)</f>
        <v>#REF!</v>
      </c>
      <c r="X196" s="118" t="e">
        <f>VLOOKUP($C196,#REF!,22,0)</f>
        <v>#REF!</v>
      </c>
      <c r="Y196" s="120" t="e">
        <f>VLOOKUP($C196,#REF!,23,0)</f>
        <v>#REF!</v>
      </c>
      <c r="Z196" s="118" t="e">
        <f>VLOOKUP($C196,#REF!,24,0)</f>
        <v>#REF!</v>
      </c>
      <c r="AA196" s="119" t="e">
        <f>VLOOKUP($C196,#REF!,25,0)</f>
        <v>#REF!</v>
      </c>
      <c r="AB196" s="120" t="e">
        <f>VLOOKUP($C196,#REF!,26,0)</f>
        <v>#REF!</v>
      </c>
      <c r="AC196" s="119" t="e">
        <f>VLOOKUP($C196,#REF!,27,0)</f>
        <v>#REF!</v>
      </c>
      <c r="AD196" s="4"/>
      <c r="AE196" s="118" t="e">
        <f>IF(M196="-","-","0,5 GB")</f>
        <v>#REF!</v>
      </c>
      <c r="AF196" s="121" t="s">
        <v>320</v>
      </c>
      <c r="AG196" s="121" t="s">
        <v>321</v>
      </c>
      <c r="AH196" s="119" t="s">
        <v>322</v>
      </c>
      <c r="AI196" s="4"/>
      <c r="AJ196" s="118" t="s">
        <v>323</v>
      </c>
      <c r="AK196" s="121" t="s">
        <v>324</v>
      </c>
      <c r="AL196" s="121" t="s">
        <v>325</v>
      </c>
      <c r="AM196" s="121" t="s">
        <v>326</v>
      </c>
      <c r="AN196" s="121" t="s">
        <v>326</v>
      </c>
      <c r="AO196" s="119" t="s">
        <v>320</v>
      </c>
      <c r="AP196" s="4"/>
      <c r="AQ196" s="122">
        <v>0</v>
      </c>
      <c r="AR196" s="5"/>
      <c r="AS196" s="118">
        <v>0</v>
      </c>
      <c r="AT196" s="119">
        <v>0</v>
      </c>
      <c r="AU196" s="34"/>
      <c r="AV196" s="118">
        <f>IFERROR(ROUND($D196-M196-AW196,0),0)</f>
        <v>0</v>
      </c>
      <c r="AW196" s="119">
        <f>IFERROR(N196*$G196,0)</f>
        <v>0</v>
      </c>
      <c r="AX196" s="118">
        <f>IFERROR(ROUND($D196-O196-AY196,0),0)</f>
        <v>0</v>
      </c>
      <c r="AY196" s="119">
        <f>IFERROR(P196*$G196,0)</f>
        <v>0</v>
      </c>
      <c r="AZ196" s="118">
        <f>IFERROR(ROUND($D196-Q196-BA196,0),0)</f>
        <v>0</v>
      </c>
      <c r="BA196" s="119">
        <f>IFERROR(R196*$G196,0)</f>
        <v>0</v>
      </c>
      <c r="BB196" s="120">
        <f>IFERROR(ROUND($D196-S196-BC196,0),0)</f>
        <v>0</v>
      </c>
      <c r="BC196" s="119">
        <f>IFERROR(T196*$G196,0)</f>
        <v>0</v>
      </c>
      <c r="BD196" s="34"/>
      <c r="BE196" s="118">
        <f>IFERROR(ROUND($D196-V196-BF196,0),0)</f>
        <v>0</v>
      </c>
      <c r="BF196" s="119">
        <f>IFERROR(W196*$G196,0)</f>
        <v>0</v>
      </c>
      <c r="BG196" s="118">
        <f>IFERROR(ROUND($D196-X196-BH196,0),0)</f>
        <v>0</v>
      </c>
      <c r="BH196" s="119">
        <f>IFERROR(Y196*$G196,0)</f>
        <v>0</v>
      </c>
      <c r="BI196" s="120">
        <f>IFERROR(ROUND($D196-Z196-BJ196,0),0)</f>
        <v>0</v>
      </c>
      <c r="BJ196" s="119">
        <f>IFERROR(AA196*$G196,0)</f>
        <v>0</v>
      </c>
      <c r="BK196" s="120">
        <f>IFERROR(ROUND($D196-AB196-BL196,0),0)</f>
        <v>0</v>
      </c>
      <c r="BL196" s="119">
        <f>IFERROR(AC196*$G196,0)</f>
        <v>0</v>
      </c>
      <c r="BM196" s="4"/>
      <c r="BN196" s="122">
        <v>0</v>
      </c>
      <c r="BO196" s="117"/>
      <c r="BP196" s="118">
        <v>0</v>
      </c>
      <c r="BQ196" s="119">
        <v>0</v>
      </c>
      <c r="BR196" s="120"/>
      <c r="BS196" s="118">
        <v>0</v>
      </c>
      <c r="BT196" s="119">
        <v>0</v>
      </c>
      <c r="BU196" s="118">
        <v>0</v>
      </c>
      <c r="BV196" s="119">
        <v>0</v>
      </c>
      <c r="BW196" s="118">
        <v>0</v>
      </c>
      <c r="BX196" s="119">
        <v>0</v>
      </c>
      <c r="BY196" s="118">
        <v>0</v>
      </c>
      <c r="BZ196" s="119">
        <v>0</v>
      </c>
      <c r="CA196" s="120"/>
      <c r="CB196" s="118">
        <v>0</v>
      </c>
      <c r="CC196" s="119">
        <v>0</v>
      </c>
      <c r="CD196" s="118">
        <v>0</v>
      </c>
      <c r="CE196" s="119">
        <v>0</v>
      </c>
      <c r="CF196" s="118">
        <v>0</v>
      </c>
      <c r="CG196" s="119">
        <v>0</v>
      </c>
      <c r="CH196" s="118">
        <v>0</v>
      </c>
      <c r="CI196" s="119">
        <v>0</v>
      </c>
      <c r="CJ196" s="4"/>
      <c r="CK196" s="79"/>
      <c r="CL196" s="5"/>
      <c r="CM196" s="39" t="str">
        <f t="shared" si="68"/>
        <v>-</v>
      </c>
      <c r="CN196" s="5"/>
      <c r="CO196" s="39" t="str">
        <f t="shared" si="69"/>
        <v>-</v>
      </c>
      <c r="CP196" s="39" t="str">
        <f t="shared" si="70"/>
        <v>-</v>
      </c>
      <c r="CQ196" s="39" t="str">
        <f t="shared" si="78"/>
        <v>-</v>
      </c>
      <c r="CR196" s="39" t="str">
        <f t="shared" si="78"/>
        <v>-</v>
      </c>
      <c r="CS196" s="5"/>
      <c r="CT196" s="39" t="str">
        <f t="shared" si="72"/>
        <v>-</v>
      </c>
      <c r="CU196" s="39" t="str">
        <f t="shared" si="73"/>
        <v>-</v>
      </c>
      <c r="CV196" s="39" t="str">
        <f t="shared" si="74"/>
        <v>-</v>
      </c>
      <c r="CW196" s="39" t="str">
        <f t="shared" si="75"/>
        <v>-</v>
      </c>
    </row>
    <row r="197" spans="2:101" s="4" customFormat="1" ht="12.75" customHeight="1">
      <c r="B197" s="111" t="s">
        <v>182</v>
      </c>
      <c r="C197" s="112" t="s">
        <v>366</v>
      </c>
      <c r="D197" s="104" t="e">
        <f>VLOOKUP($C197,#REF!,5,0)</f>
        <v>#REF!</v>
      </c>
      <c r="E197" s="109" t="e">
        <f>VLOOKUP($C197,#REF!,6,0)</f>
        <v>#REF!</v>
      </c>
      <c r="F197" s="103" t="e">
        <f>VLOOKUP($C197,#REF!,7,0)</f>
        <v>#REF!</v>
      </c>
      <c r="G197" s="103" t="e">
        <f>VLOOKUP($C197,#REF!,8,0)</f>
        <v>#REF!</v>
      </c>
      <c r="H197" s="110" t="e">
        <f>VLOOKUP($C197,#REF!,9,0)</f>
        <v>#REF!</v>
      </c>
      <c r="I197" s="5"/>
      <c r="J197" s="105" t="e">
        <f>VLOOKUP($C197,#REF!,10,0)</f>
        <v>#REF!</v>
      </c>
      <c r="K197" s="106" t="e">
        <f>VLOOKUP($C197,#REF!,11,0)</f>
        <v>#REF!</v>
      </c>
      <c r="L197" s="34"/>
      <c r="M197" s="105" t="e">
        <f>VLOOKUP($C197,#REF!,12,0)</f>
        <v>#REF!</v>
      </c>
      <c r="N197" s="34" t="e">
        <f>VLOOKUP($C197,#REF!,13,0)</f>
        <v>#REF!</v>
      </c>
      <c r="O197" s="105" t="e">
        <f>VLOOKUP($C197,#REF!,14,0)</f>
        <v>#REF!</v>
      </c>
      <c r="P197" s="34" t="e">
        <f>VLOOKUP($C197,#REF!,15,0)</f>
        <v>#REF!</v>
      </c>
      <c r="Q197" s="105" t="e">
        <f>VLOOKUP($C197,#REF!,16,0)</f>
        <v>#REF!</v>
      </c>
      <c r="R197" s="106" t="e">
        <f>VLOOKUP($C197,#REF!,17,0)</f>
        <v>#REF!</v>
      </c>
      <c r="S197" s="34" t="e">
        <f>VLOOKUP($C197,#REF!,18,0)</f>
        <v>#REF!</v>
      </c>
      <c r="T197" s="106" t="e">
        <f>VLOOKUP($C197,#REF!,19,0)</f>
        <v>#REF!</v>
      </c>
      <c r="U197" s="34"/>
      <c r="V197" s="105" t="e">
        <f>VLOOKUP($C197,#REF!,20,0)</f>
        <v>#REF!</v>
      </c>
      <c r="W197" s="34" t="e">
        <f>VLOOKUP($C197,#REF!,21,0)</f>
        <v>#REF!</v>
      </c>
      <c r="X197" s="105" t="e">
        <f>VLOOKUP($C197,#REF!,22,0)</f>
        <v>#REF!</v>
      </c>
      <c r="Y197" s="34" t="e">
        <f>VLOOKUP($C197,#REF!,23,0)</f>
        <v>#REF!</v>
      </c>
      <c r="Z197" s="105" t="e">
        <f>VLOOKUP($C197,#REF!,24,0)</f>
        <v>#REF!</v>
      </c>
      <c r="AA197" s="106" t="e">
        <f>VLOOKUP($C197,#REF!,25,0)</f>
        <v>#REF!</v>
      </c>
      <c r="AB197" s="34" t="e">
        <f>VLOOKUP($C197,#REF!,26,0)</f>
        <v>#REF!</v>
      </c>
      <c r="AC197" s="106" t="e">
        <f>VLOOKUP($C197,#REF!,27,0)</f>
        <v>#REF!</v>
      </c>
      <c r="AE197" s="105" t="e">
        <f t="shared" si="53"/>
        <v>#REF!</v>
      </c>
      <c r="AF197" s="107" t="s">
        <v>320</v>
      </c>
      <c r="AG197" s="107" t="s">
        <v>321</v>
      </c>
      <c r="AH197" s="106" t="s">
        <v>322</v>
      </c>
      <c r="AJ197" s="105" t="s">
        <v>323</v>
      </c>
      <c r="AK197" s="107" t="s">
        <v>324</v>
      </c>
      <c r="AL197" s="107" t="s">
        <v>325</v>
      </c>
      <c r="AM197" s="107" t="s">
        <v>326</v>
      </c>
      <c r="AN197" s="107" t="s">
        <v>326</v>
      </c>
      <c r="AO197" s="106" t="s">
        <v>320</v>
      </c>
      <c r="AQ197" s="108">
        <v>1</v>
      </c>
      <c r="AR197" s="5"/>
      <c r="AS197" s="105">
        <v>0</v>
      </c>
      <c r="AT197" s="106">
        <v>0</v>
      </c>
      <c r="AU197" s="34"/>
      <c r="AV197" s="105">
        <f t="shared" si="76"/>
        <v>0</v>
      </c>
      <c r="AW197" s="106">
        <f t="shared" si="77"/>
        <v>0</v>
      </c>
      <c r="AX197" s="105">
        <f t="shared" si="54"/>
        <v>0</v>
      </c>
      <c r="AY197" s="106">
        <f t="shared" si="55"/>
        <v>0</v>
      </c>
      <c r="AZ197" s="105">
        <f t="shared" si="56"/>
        <v>0</v>
      </c>
      <c r="BA197" s="106">
        <f t="shared" si="57"/>
        <v>0</v>
      </c>
      <c r="BB197" s="34">
        <f t="shared" si="58"/>
        <v>0</v>
      </c>
      <c r="BC197" s="106">
        <f t="shared" si="59"/>
        <v>0</v>
      </c>
      <c r="BD197" s="34"/>
      <c r="BE197" s="105">
        <f t="shared" si="60"/>
        <v>0</v>
      </c>
      <c r="BF197" s="106">
        <f t="shared" si="61"/>
        <v>0</v>
      </c>
      <c r="BG197" s="105">
        <f t="shared" si="62"/>
        <v>0</v>
      </c>
      <c r="BH197" s="106">
        <f t="shared" si="63"/>
        <v>0</v>
      </c>
      <c r="BI197" s="34">
        <f t="shared" si="64"/>
        <v>0</v>
      </c>
      <c r="BJ197" s="106">
        <f t="shared" si="65"/>
        <v>0</v>
      </c>
      <c r="BK197" s="34">
        <f t="shared" si="66"/>
        <v>0</v>
      </c>
      <c r="BL197" s="106">
        <f t="shared" si="67"/>
        <v>0</v>
      </c>
      <c r="BN197" s="108">
        <v>0</v>
      </c>
      <c r="BO197" s="5"/>
      <c r="BP197" s="105">
        <v>0</v>
      </c>
      <c r="BQ197" s="106">
        <v>0</v>
      </c>
      <c r="BR197" s="34"/>
      <c r="BS197" s="105">
        <v>0</v>
      </c>
      <c r="BT197" s="106">
        <v>0</v>
      </c>
      <c r="BU197" s="105">
        <v>0</v>
      </c>
      <c r="BV197" s="106">
        <v>0</v>
      </c>
      <c r="BW197" s="105">
        <v>0</v>
      </c>
      <c r="BX197" s="106">
        <v>0</v>
      </c>
      <c r="BY197" s="105">
        <v>0</v>
      </c>
      <c r="BZ197" s="106">
        <v>0</v>
      </c>
      <c r="CA197" s="34"/>
      <c r="CB197" s="105">
        <v>0</v>
      </c>
      <c r="CC197" s="106">
        <v>0</v>
      </c>
      <c r="CD197" s="105">
        <v>0</v>
      </c>
      <c r="CE197" s="106">
        <v>0</v>
      </c>
      <c r="CF197" s="105">
        <v>0</v>
      </c>
      <c r="CG197" s="106">
        <v>0</v>
      </c>
      <c r="CH197" s="105">
        <v>0</v>
      </c>
      <c r="CI197" s="106">
        <v>0</v>
      </c>
      <c r="CK197" s="78"/>
      <c r="CL197" s="5"/>
      <c r="CM197" s="38" t="str">
        <f t="shared" si="68"/>
        <v>-</v>
      </c>
      <c r="CN197" s="5"/>
      <c r="CO197" s="38" t="str">
        <f t="shared" si="69"/>
        <v>-</v>
      </c>
      <c r="CP197" s="38" t="str">
        <f t="shared" si="70"/>
        <v>-</v>
      </c>
      <c r="CQ197" s="38" t="str">
        <f t="shared" si="78"/>
        <v>-</v>
      </c>
      <c r="CR197" s="38" t="str">
        <f t="shared" si="78"/>
        <v>-</v>
      </c>
      <c r="CS197" s="5"/>
      <c r="CT197" s="38" t="str">
        <f t="shared" si="72"/>
        <v>-</v>
      </c>
      <c r="CU197" s="38" t="str">
        <f t="shared" si="73"/>
        <v>-</v>
      </c>
      <c r="CV197" s="38" t="str">
        <f t="shared" si="74"/>
        <v>-</v>
      </c>
      <c r="CW197" s="38" t="str">
        <f t="shared" si="75"/>
        <v>-</v>
      </c>
    </row>
    <row r="198" spans="2:101" s="113" customFormat="1" ht="12.75" customHeight="1">
      <c r="B198" s="100" t="s">
        <v>182</v>
      </c>
      <c r="C198" s="101" t="s">
        <v>367</v>
      </c>
      <c r="D198" s="114" t="e">
        <f>VLOOKUP($C198,#REF!,5,0)</f>
        <v>#REF!</v>
      </c>
      <c r="E198" s="115" t="e">
        <f>VLOOKUP($C198,#REF!,6,0)</f>
        <v>#REF!</v>
      </c>
      <c r="F198" s="98" t="e">
        <f>VLOOKUP($C198,#REF!,7,0)</f>
        <v>#REF!</v>
      </c>
      <c r="G198" s="98" t="e">
        <f>VLOOKUP($C198,#REF!,8,0)</f>
        <v>#REF!</v>
      </c>
      <c r="H198" s="116" t="e">
        <f>VLOOKUP($C198,#REF!,9,0)</f>
        <v>#REF!</v>
      </c>
      <c r="I198" s="5"/>
      <c r="J198" s="118" t="e">
        <f>VLOOKUP($C198,#REF!,10,0)</f>
        <v>#REF!</v>
      </c>
      <c r="K198" s="119" t="e">
        <f>VLOOKUP($C198,#REF!,11,0)</f>
        <v>#REF!</v>
      </c>
      <c r="L198" s="34"/>
      <c r="M198" s="118" t="e">
        <f>VLOOKUP($C198,#REF!,12,0)</f>
        <v>#REF!</v>
      </c>
      <c r="N198" s="120" t="e">
        <f>VLOOKUP($C198,#REF!,13,0)</f>
        <v>#REF!</v>
      </c>
      <c r="O198" s="118" t="e">
        <f>VLOOKUP($C198,#REF!,14,0)</f>
        <v>#REF!</v>
      </c>
      <c r="P198" s="120" t="e">
        <f>VLOOKUP($C198,#REF!,15,0)</f>
        <v>#REF!</v>
      </c>
      <c r="Q198" s="118" t="e">
        <f>VLOOKUP($C198,#REF!,16,0)</f>
        <v>#REF!</v>
      </c>
      <c r="R198" s="119" t="e">
        <f>VLOOKUP($C198,#REF!,17,0)</f>
        <v>#REF!</v>
      </c>
      <c r="S198" s="120" t="e">
        <f>VLOOKUP($C198,#REF!,18,0)</f>
        <v>#REF!</v>
      </c>
      <c r="T198" s="119" t="e">
        <f>VLOOKUP($C198,#REF!,19,0)</f>
        <v>#REF!</v>
      </c>
      <c r="U198" s="34"/>
      <c r="V198" s="118" t="e">
        <f>VLOOKUP($C198,#REF!,20,0)</f>
        <v>#REF!</v>
      </c>
      <c r="W198" s="120" t="e">
        <f>VLOOKUP($C198,#REF!,21,0)</f>
        <v>#REF!</v>
      </c>
      <c r="X198" s="118" t="e">
        <f>VLOOKUP($C198,#REF!,22,0)</f>
        <v>#REF!</v>
      </c>
      <c r="Y198" s="120" t="e">
        <f>VLOOKUP($C198,#REF!,23,0)</f>
        <v>#REF!</v>
      </c>
      <c r="Z198" s="118" t="e">
        <f>VLOOKUP($C198,#REF!,24,0)</f>
        <v>#REF!</v>
      </c>
      <c r="AA198" s="119" t="e">
        <f>VLOOKUP($C198,#REF!,25,0)</f>
        <v>#REF!</v>
      </c>
      <c r="AB198" s="120" t="e">
        <f>VLOOKUP($C198,#REF!,26,0)</f>
        <v>#REF!</v>
      </c>
      <c r="AC198" s="119" t="e">
        <f>VLOOKUP($C198,#REF!,27,0)</f>
        <v>#REF!</v>
      </c>
      <c r="AD198" s="4"/>
      <c r="AE198" s="118" t="e">
        <f t="shared" si="53"/>
        <v>#REF!</v>
      </c>
      <c r="AF198" s="121" t="s">
        <v>320</v>
      </c>
      <c r="AG198" s="121" t="s">
        <v>321</v>
      </c>
      <c r="AH198" s="119" t="s">
        <v>322</v>
      </c>
      <c r="AI198" s="4"/>
      <c r="AJ198" s="118" t="s">
        <v>323</v>
      </c>
      <c r="AK198" s="121" t="s">
        <v>324</v>
      </c>
      <c r="AL198" s="121" t="s">
        <v>325</v>
      </c>
      <c r="AM198" s="121" t="s">
        <v>326</v>
      </c>
      <c r="AN198" s="121" t="s">
        <v>326</v>
      </c>
      <c r="AO198" s="119" t="s">
        <v>320</v>
      </c>
      <c r="AP198" s="4"/>
      <c r="AQ198" s="122"/>
      <c r="AR198" s="5"/>
      <c r="AS198" s="118">
        <v>0</v>
      </c>
      <c r="AT198" s="119">
        <v>0</v>
      </c>
      <c r="AU198" s="34"/>
      <c r="AV198" s="118">
        <f t="shared" si="76"/>
        <v>0</v>
      </c>
      <c r="AW198" s="119">
        <f t="shared" si="77"/>
        <v>0</v>
      </c>
      <c r="AX198" s="118">
        <f t="shared" si="54"/>
        <v>0</v>
      </c>
      <c r="AY198" s="119">
        <f t="shared" si="55"/>
        <v>0</v>
      </c>
      <c r="AZ198" s="118">
        <f t="shared" si="56"/>
        <v>0</v>
      </c>
      <c r="BA198" s="119">
        <f t="shared" si="57"/>
        <v>0</v>
      </c>
      <c r="BB198" s="120">
        <f t="shared" si="58"/>
        <v>0</v>
      </c>
      <c r="BC198" s="119">
        <f t="shared" si="59"/>
        <v>0</v>
      </c>
      <c r="BD198" s="34"/>
      <c r="BE198" s="118">
        <f t="shared" si="60"/>
        <v>0</v>
      </c>
      <c r="BF198" s="119">
        <f t="shared" si="61"/>
        <v>0</v>
      </c>
      <c r="BG198" s="118">
        <f t="shared" si="62"/>
        <v>0</v>
      </c>
      <c r="BH198" s="119">
        <f t="shared" si="63"/>
        <v>0</v>
      </c>
      <c r="BI198" s="120">
        <f t="shared" si="64"/>
        <v>0</v>
      </c>
      <c r="BJ198" s="119">
        <f t="shared" si="65"/>
        <v>0</v>
      </c>
      <c r="BK198" s="120">
        <f t="shared" si="66"/>
        <v>0</v>
      </c>
      <c r="BL198" s="119">
        <f t="shared" si="67"/>
        <v>0</v>
      </c>
      <c r="BM198" s="4"/>
      <c r="BN198" s="122"/>
      <c r="BO198" s="117"/>
      <c r="BP198" s="118"/>
      <c r="BQ198" s="119"/>
      <c r="BR198" s="120"/>
      <c r="BS198" s="118"/>
      <c r="BT198" s="119"/>
      <c r="BU198" s="118"/>
      <c r="BV198" s="119"/>
      <c r="BW198" s="118"/>
      <c r="BX198" s="119"/>
      <c r="BY198" s="118"/>
      <c r="BZ198" s="119"/>
      <c r="CA198" s="120"/>
      <c r="CB198" s="118"/>
      <c r="CC198" s="119"/>
      <c r="CD198" s="118"/>
      <c r="CE198" s="119"/>
      <c r="CF198" s="118"/>
      <c r="CG198" s="119"/>
      <c r="CH198" s="118"/>
      <c r="CI198" s="119"/>
      <c r="CJ198" s="4"/>
      <c r="CK198" s="79"/>
      <c r="CL198" s="5"/>
      <c r="CM198" s="39" t="str">
        <f t="shared" si="68"/>
        <v>-</v>
      </c>
      <c r="CN198" s="5"/>
      <c r="CO198" s="39" t="str">
        <f t="shared" si="69"/>
        <v>-</v>
      </c>
      <c r="CP198" s="39" t="str">
        <f t="shared" si="70"/>
        <v>-</v>
      </c>
      <c r="CQ198" s="39" t="str">
        <f t="shared" si="78"/>
        <v>-</v>
      </c>
      <c r="CR198" s="39" t="str">
        <f t="shared" si="78"/>
        <v>-</v>
      </c>
      <c r="CS198" s="5"/>
      <c r="CT198" s="39" t="str">
        <f t="shared" si="72"/>
        <v>-</v>
      </c>
      <c r="CU198" s="39" t="str">
        <f t="shared" si="73"/>
        <v>-</v>
      </c>
      <c r="CV198" s="39" t="str">
        <f t="shared" si="74"/>
        <v>-</v>
      </c>
      <c r="CW198" s="39" t="str">
        <f t="shared" si="75"/>
        <v>-</v>
      </c>
    </row>
    <row r="199" spans="2:101" s="4" customFormat="1" ht="12.75" customHeight="1">
      <c r="B199" s="111" t="s">
        <v>182</v>
      </c>
      <c r="C199" s="112" t="s">
        <v>365</v>
      </c>
      <c r="D199" s="104" t="e">
        <f>VLOOKUP($C199,#REF!,5,0)</f>
        <v>#REF!</v>
      </c>
      <c r="E199" s="109" t="e">
        <f>VLOOKUP($C199,#REF!,6,0)</f>
        <v>#REF!</v>
      </c>
      <c r="F199" s="103" t="e">
        <f>VLOOKUP($C199,#REF!,7,0)</f>
        <v>#REF!</v>
      </c>
      <c r="G199" s="103" t="e">
        <f>VLOOKUP($C199,#REF!,8,0)</f>
        <v>#REF!</v>
      </c>
      <c r="H199" s="110" t="e">
        <f>VLOOKUP($C199,#REF!,9,0)</f>
        <v>#REF!</v>
      </c>
      <c r="I199" s="5"/>
      <c r="J199" s="105" t="e">
        <f>VLOOKUP($C199,#REF!,10,0)</f>
        <v>#REF!</v>
      </c>
      <c r="K199" s="106" t="e">
        <f>VLOOKUP($C199,#REF!,11,0)</f>
        <v>#REF!</v>
      </c>
      <c r="L199" s="34"/>
      <c r="M199" s="105" t="e">
        <f>VLOOKUP($C199,#REF!,12,0)</f>
        <v>#REF!</v>
      </c>
      <c r="N199" s="34" t="e">
        <f>VLOOKUP($C199,#REF!,13,0)</f>
        <v>#REF!</v>
      </c>
      <c r="O199" s="105" t="e">
        <f>VLOOKUP($C199,#REF!,14,0)</f>
        <v>#REF!</v>
      </c>
      <c r="P199" s="34" t="e">
        <f>VLOOKUP($C199,#REF!,15,0)</f>
        <v>#REF!</v>
      </c>
      <c r="Q199" s="105" t="e">
        <f>VLOOKUP($C199,#REF!,16,0)</f>
        <v>#REF!</v>
      </c>
      <c r="R199" s="106" t="e">
        <f>VLOOKUP($C199,#REF!,17,0)</f>
        <v>#REF!</v>
      </c>
      <c r="S199" s="34" t="e">
        <f>VLOOKUP($C199,#REF!,18,0)</f>
        <v>#REF!</v>
      </c>
      <c r="T199" s="106" t="e">
        <f>VLOOKUP($C199,#REF!,19,0)</f>
        <v>#REF!</v>
      </c>
      <c r="U199" s="34"/>
      <c r="V199" s="105" t="e">
        <f>VLOOKUP($C199,#REF!,20,0)</f>
        <v>#REF!</v>
      </c>
      <c r="W199" s="34" t="e">
        <f>VLOOKUP($C199,#REF!,21,0)</f>
        <v>#REF!</v>
      </c>
      <c r="X199" s="105" t="e">
        <f>VLOOKUP($C199,#REF!,22,0)</f>
        <v>#REF!</v>
      </c>
      <c r="Y199" s="34" t="e">
        <f>VLOOKUP($C199,#REF!,23,0)</f>
        <v>#REF!</v>
      </c>
      <c r="Z199" s="105" t="e">
        <f>VLOOKUP($C199,#REF!,24,0)</f>
        <v>#REF!</v>
      </c>
      <c r="AA199" s="106" t="e">
        <f>VLOOKUP($C199,#REF!,25,0)</f>
        <v>#REF!</v>
      </c>
      <c r="AB199" s="34" t="e">
        <f>VLOOKUP($C199,#REF!,26,0)</f>
        <v>#REF!</v>
      </c>
      <c r="AC199" s="106" t="e">
        <f>VLOOKUP($C199,#REF!,27,0)</f>
        <v>#REF!</v>
      </c>
      <c r="AE199" s="105" t="e">
        <f t="shared" si="53"/>
        <v>#REF!</v>
      </c>
      <c r="AF199" s="107" t="s">
        <v>320</v>
      </c>
      <c r="AG199" s="107" t="s">
        <v>321</v>
      </c>
      <c r="AH199" s="106" t="s">
        <v>322</v>
      </c>
      <c r="AJ199" s="105" t="s">
        <v>323</v>
      </c>
      <c r="AK199" s="107" t="s">
        <v>324</v>
      </c>
      <c r="AL199" s="107" t="s">
        <v>325</v>
      </c>
      <c r="AM199" s="107" t="s">
        <v>326</v>
      </c>
      <c r="AN199" s="107" t="s">
        <v>326</v>
      </c>
      <c r="AO199" s="106" t="s">
        <v>320</v>
      </c>
      <c r="AQ199" s="108"/>
      <c r="AR199" s="5"/>
      <c r="AS199" s="105">
        <v>0</v>
      </c>
      <c r="AT199" s="106">
        <v>0</v>
      </c>
      <c r="AU199" s="34"/>
      <c r="AV199" s="105">
        <f t="shared" si="76"/>
        <v>0</v>
      </c>
      <c r="AW199" s="106">
        <f t="shared" si="77"/>
        <v>0</v>
      </c>
      <c r="AX199" s="105">
        <f t="shared" si="54"/>
        <v>0</v>
      </c>
      <c r="AY199" s="106">
        <f t="shared" si="55"/>
        <v>0</v>
      </c>
      <c r="AZ199" s="105">
        <f t="shared" si="56"/>
        <v>0</v>
      </c>
      <c r="BA199" s="106">
        <f t="shared" si="57"/>
        <v>0</v>
      </c>
      <c r="BB199" s="34">
        <f t="shared" si="58"/>
        <v>0</v>
      </c>
      <c r="BC199" s="106">
        <f t="shared" si="59"/>
        <v>0</v>
      </c>
      <c r="BD199" s="34"/>
      <c r="BE199" s="105">
        <f t="shared" si="60"/>
        <v>0</v>
      </c>
      <c r="BF199" s="106">
        <f t="shared" si="61"/>
        <v>0</v>
      </c>
      <c r="BG199" s="105">
        <f t="shared" si="62"/>
        <v>0</v>
      </c>
      <c r="BH199" s="106">
        <f t="shared" si="63"/>
        <v>0</v>
      </c>
      <c r="BI199" s="34">
        <f t="shared" si="64"/>
        <v>0</v>
      </c>
      <c r="BJ199" s="106">
        <f t="shared" si="65"/>
        <v>0</v>
      </c>
      <c r="BK199" s="34">
        <f t="shared" si="66"/>
        <v>0</v>
      </c>
      <c r="BL199" s="106">
        <f t="shared" si="67"/>
        <v>0</v>
      </c>
      <c r="BN199" s="108"/>
      <c r="BO199" s="5"/>
      <c r="BP199" s="105"/>
      <c r="BQ199" s="106"/>
      <c r="BR199" s="34"/>
      <c r="BS199" s="105"/>
      <c r="BT199" s="106"/>
      <c r="BU199" s="105"/>
      <c r="BV199" s="106"/>
      <c r="BW199" s="105"/>
      <c r="BX199" s="106"/>
      <c r="BY199" s="105"/>
      <c r="BZ199" s="106"/>
      <c r="CA199" s="34"/>
      <c r="CB199" s="105"/>
      <c r="CC199" s="106"/>
      <c r="CD199" s="105"/>
      <c r="CE199" s="106"/>
      <c r="CF199" s="105"/>
      <c r="CG199" s="106"/>
      <c r="CH199" s="105"/>
      <c r="CI199" s="106"/>
      <c r="CK199" s="78"/>
      <c r="CL199" s="5"/>
      <c r="CM199" s="38" t="str">
        <f t="shared" si="68"/>
        <v>-</v>
      </c>
      <c r="CN199" s="5"/>
      <c r="CO199" s="38" t="str">
        <f t="shared" si="69"/>
        <v>-</v>
      </c>
      <c r="CP199" s="38" t="str">
        <f t="shared" si="70"/>
        <v>-</v>
      </c>
      <c r="CQ199" s="38" t="str">
        <f t="shared" si="78"/>
        <v>-</v>
      </c>
      <c r="CR199" s="38" t="str">
        <f t="shared" si="78"/>
        <v>-</v>
      </c>
      <c r="CS199" s="5"/>
      <c r="CT199" s="38" t="str">
        <f t="shared" si="72"/>
        <v>-</v>
      </c>
      <c r="CU199" s="38" t="str">
        <f t="shared" si="73"/>
        <v>-</v>
      </c>
      <c r="CV199" s="38" t="str">
        <f t="shared" si="74"/>
        <v>-</v>
      </c>
      <c r="CW199" s="38" t="str">
        <f t="shared" si="75"/>
        <v>-</v>
      </c>
    </row>
    <row r="200" spans="2:101" s="113" customFormat="1" ht="12.75" customHeight="1">
      <c r="B200" s="99" t="s">
        <v>146</v>
      </c>
      <c r="C200" s="98" t="s">
        <v>147</v>
      </c>
      <c r="D200" s="114" t="e">
        <f>VLOOKUP($C200,#REF!,5,0)</f>
        <v>#REF!</v>
      </c>
      <c r="E200" s="115" t="e">
        <f>VLOOKUP($C200,#REF!,6,0)</f>
        <v>#REF!</v>
      </c>
      <c r="F200" s="98" t="e">
        <f>VLOOKUP($C200,#REF!,7,0)</f>
        <v>#REF!</v>
      </c>
      <c r="G200" s="98" t="e">
        <f>VLOOKUP($C200,#REF!,8,0)</f>
        <v>#REF!</v>
      </c>
      <c r="H200" s="116" t="e">
        <f>VLOOKUP($C200,#REF!,9,0)</f>
        <v>#REF!</v>
      </c>
      <c r="I200" s="5"/>
      <c r="J200" s="118" t="e">
        <f>VLOOKUP($C200,#REF!,10,0)</f>
        <v>#REF!</v>
      </c>
      <c r="K200" s="119" t="e">
        <f>VLOOKUP($C200,#REF!,11,0)</f>
        <v>#REF!</v>
      </c>
      <c r="L200" s="34"/>
      <c r="M200" s="118" t="e">
        <f>VLOOKUP($C200,#REF!,12,0)</f>
        <v>#REF!</v>
      </c>
      <c r="N200" s="120" t="e">
        <f>VLOOKUP($C200,#REF!,13,0)</f>
        <v>#REF!</v>
      </c>
      <c r="O200" s="118" t="e">
        <f>VLOOKUP($C200,#REF!,14,0)</f>
        <v>#REF!</v>
      </c>
      <c r="P200" s="120" t="e">
        <f>VLOOKUP($C200,#REF!,15,0)</f>
        <v>#REF!</v>
      </c>
      <c r="Q200" s="118" t="e">
        <f>VLOOKUP($C200,#REF!,16,0)</f>
        <v>#REF!</v>
      </c>
      <c r="R200" s="119" t="e">
        <f>VLOOKUP($C200,#REF!,17,0)</f>
        <v>#REF!</v>
      </c>
      <c r="S200" s="120" t="e">
        <f>VLOOKUP($C200,#REF!,18,0)</f>
        <v>#REF!</v>
      </c>
      <c r="T200" s="119" t="e">
        <f>VLOOKUP($C200,#REF!,19,0)</f>
        <v>#REF!</v>
      </c>
      <c r="U200" s="34"/>
      <c r="V200" s="118" t="e">
        <f>VLOOKUP($C200,#REF!,20,0)</f>
        <v>#REF!</v>
      </c>
      <c r="W200" s="120" t="e">
        <f>VLOOKUP($C200,#REF!,21,0)</f>
        <v>#REF!</v>
      </c>
      <c r="X200" s="118" t="e">
        <f>VLOOKUP($C200,#REF!,22,0)</f>
        <v>#REF!</v>
      </c>
      <c r="Y200" s="120" t="e">
        <f>VLOOKUP($C200,#REF!,23,0)</f>
        <v>#REF!</v>
      </c>
      <c r="Z200" s="118" t="e">
        <f>VLOOKUP($C200,#REF!,24,0)</f>
        <v>#REF!</v>
      </c>
      <c r="AA200" s="119" t="e">
        <f>VLOOKUP($C200,#REF!,25,0)</f>
        <v>#REF!</v>
      </c>
      <c r="AB200" s="120" t="e">
        <f>VLOOKUP($C200,#REF!,26,0)</f>
        <v>#REF!</v>
      </c>
      <c r="AC200" s="119" t="e">
        <f>VLOOKUP($C200,#REF!,27,0)</f>
        <v>#REF!</v>
      </c>
      <c r="AD200" s="4"/>
      <c r="AE200" s="118" t="e">
        <f t="shared" si="53"/>
        <v>#REF!</v>
      </c>
      <c r="AF200" s="121" t="s">
        <v>320</v>
      </c>
      <c r="AG200" s="121" t="s">
        <v>321</v>
      </c>
      <c r="AH200" s="119" t="s">
        <v>322</v>
      </c>
      <c r="AI200" s="4"/>
      <c r="AJ200" s="118" t="s">
        <v>323</v>
      </c>
      <c r="AK200" s="121" t="s">
        <v>324</v>
      </c>
      <c r="AL200" s="121" t="s">
        <v>325</v>
      </c>
      <c r="AM200" s="121" t="s">
        <v>326</v>
      </c>
      <c r="AN200" s="121" t="s">
        <v>326</v>
      </c>
      <c r="AO200" s="119" t="s">
        <v>320</v>
      </c>
      <c r="AP200" s="4"/>
      <c r="AQ200" s="122">
        <v>8</v>
      </c>
      <c r="AR200" s="5"/>
      <c r="AS200" s="118">
        <v>0</v>
      </c>
      <c r="AT200" s="119">
        <v>0</v>
      </c>
      <c r="AU200" s="34"/>
      <c r="AV200" s="118">
        <f t="shared" si="76"/>
        <v>0</v>
      </c>
      <c r="AW200" s="119">
        <f t="shared" si="77"/>
        <v>0</v>
      </c>
      <c r="AX200" s="118">
        <f t="shared" si="54"/>
        <v>0</v>
      </c>
      <c r="AY200" s="119">
        <f t="shared" si="55"/>
        <v>0</v>
      </c>
      <c r="AZ200" s="118">
        <f t="shared" si="56"/>
        <v>0</v>
      </c>
      <c r="BA200" s="119">
        <f t="shared" si="57"/>
        <v>0</v>
      </c>
      <c r="BB200" s="120">
        <f t="shared" si="58"/>
        <v>0</v>
      </c>
      <c r="BC200" s="119">
        <f t="shared" si="59"/>
        <v>0</v>
      </c>
      <c r="BD200" s="34"/>
      <c r="BE200" s="118">
        <f t="shared" si="60"/>
        <v>0</v>
      </c>
      <c r="BF200" s="119">
        <f t="shared" si="61"/>
        <v>0</v>
      </c>
      <c r="BG200" s="118">
        <f t="shared" si="62"/>
        <v>0</v>
      </c>
      <c r="BH200" s="119">
        <f t="shared" si="63"/>
        <v>0</v>
      </c>
      <c r="BI200" s="120">
        <f t="shared" si="64"/>
        <v>0</v>
      </c>
      <c r="BJ200" s="119">
        <f t="shared" si="65"/>
        <v>0</v>
      </c>
      <c r="BK200" s="120">
        <f t="shared" si="66"/>
        <v>0</v>
      </c>
      <c r="BL200" s="119">
        <f t="shared" si="67"/>
        <v>0</v>
      </c>
      <c r="BM200" s="4"/>
      <c r="BN200" s="122">
        <v>0</v>
      </c>
      <c r="BO200" s="117"/>
      <c r="BP200" s="118">
        <v>0</v>
      </c>
      <c r="BQ200" s="119">
        <v>0</v>
      </c>
      <c r="BR200" s="120"/>
      <c r="BS200" s="118">
        <v>0</v>
      </c>
      <c r="BT200" s="119">
        <v>0</v>
      </c>
      <c r="BU200" s="118">
        <v>0</v>
      </c>
      <c r="BV200" s="119">
        <v>0</v>
      </c>
      <c r="BW200" s="118">
        <v>0</v>
      </c>
      <c r="BX200" s="119">
        <v>0</v>
      </c>
      <c r="BY200" s="118">
        <v>0</v>
      </c>
      <c r="BZ200" s="119">
        <v>0</v>
      </c>
      <c r="CA200" s="120"/>
      <c r="CB200" s="118">
        <v>0</v>
      </c>
      <c r="CC200" s="119">
        <v>0</v>
      </c>
      <c r="CD200" s="118">
        <v>0</v>
      </c>
      <c r="CE200" s="119">
        <v>0</v>
      </c>
      <c r="CF200" s="118">
        <v>0</v>
      </c>
      <c r="CG200" s="119">
        <v>0</v>
      </c>
      <c r="CH200" s="118">
        <v>0</v>
      </c>
      <c r="CI200" s="119">
        <v>0</v>
      </c>
      <c r="CJ200" s="4"/>
      <c r="CK200" s="79"/>
      <c r="CL200" s="5"/>
      <c r="CM200" s="39" t="str">
        <f t="shared" si="68"/>
        <v>-</v>
      </c>
      <c r="CN200" s="5"/>
      <c r="CO200" s="39" t="str">
        <f t="shared" si="69"/>
        <v>-</v>
      </c>
      <c r="CP200" s="39" t="str">
        <f t="shared" si="70"/>
        <v>-</v>
      </c>
      <c r="CQ200" s="39" t="str">
        <f t="shared" si="78"/>
        <v>-</v>
      </c>
      <c r="CR200" s="39" t="str">
        <f t="shared" si="78"/>
        <v>-</v>
      </c>
      <c r="CS200" s="5"/>
      <c r="CT200" s="39" t="str">
        <f t="shared" si="72"/>
        <v>-</v>
      </c>
      <c r="CU200" s="39" t="str">
        <f t="shared" si="73"/>
        <v>-</v>
      </c>
      <c r="CV200" s="39" t="str">
        <f t="shared" si="74"/>
        <v>-</v>
      </c>
      <c r="CW200" s="39" t="str">
        <f t="shared" si="75"/>
        <v>-</v>
      </c>
    </row>
    <row r="201" spans="2:101" s="4" customFormat="1" ht="12.75" customHeight="1">
      <c r="B201" s="102" t="s">
        <v>188</v>
      </c>
      <c r="C201" s="103" t="s">
        <v>159</v>
      </c>
      <c r="D201" s="104" t="e">
        <f>VLOOKUP($C201,#REF!,5,0)</f>
        <v>#REF!</v>
      </c>
      <c r="E201" s="109" t="e">
        <f>VLOOKUP($C201,#REF!,6,0)</f>
        <v>#REF!</v>
      </c>
      <c r="F201" s="103" t="e">
        <f>VLOOKUP($C201,#REF!,7,0)</f>
        <v>#REF!</v>
      </c>
      <c r="G201" s="103" t="e">
        <f>VLOOKUP($C201,#REF!,8,0)</f>
        <v>#REF!</v>
      </c>
      <c r="H201" s="110" t="e">
        <f>VLOOKUP($C201,#REF!,9,0)</f>
        <v>#REF!</v>
      </c>
      <c r="I201" s="5"/>
      <c r="J201" s="105" t="e">
        <f>VLOOKUP($C201,#REF!,10,0)</f>
        <v>#REF!</v>
      </c>
      <c r="K201" s="106" t="e">
        <f>VLOOKUP($C201,#REF!,11,0)</f>
        <v>#REF!</v>
      </c>
      <c r="L201" s="34"/>
      <c r="M201" s="105" t="e">
        <f>VLOOKUP($C201,#REF!,12,0)</f>
        <v>#REF!</v>
      </c>
      <c r="N201" s="34" t="e">
        <f>VLOOKUP($C201,#REF!,13,0)</f>
        <v>#REF!</v>
      </c>
      <c r="O201" s="105" t="e">
        <f>VLOOKUP($C201,#REF!,14,0)</f>
        <v>#REF!</v>
      </c>
      <c r="P201" s="34" t="e">
        <f>VLOOKUP($C201,#REF!,15,0)</f>
        <v>#REF!</v>
      </c>
      <c r="Q201" s="105" t="e">
        <f>VLOOKUP($C201,#REF!,16,0)</f>
        <v>#REF!</v>
      </c>
      <c r="R201" s="106" t="e">
        <f>VLOOKUP($C201,#REF!,17,0)</f>
        <v>#REF!</v>
      </c>
      <c r="S201" s="34" t="e">
        <f>VLOOKUP($C201,#REF!,18,0)</f>
        <v>#REF!</v>
      </c>
      <c r="T201" s="106" t="e">
        <f>VLOOKUP($C201,#REF!,19,0)</f>
        <v>#REF!</v>
      </c>
      <c r="U201" s="34"/>
      <c r="V201" s="105" t="e">
        <f>VLOOKUP($C201,#REF!,20,0)</f>
        <v>#REF!</v>
      </c>
      <c r="W201" s="34" t="e">
        <f>VLOOKUP($C201,#REF!,21,0)</f>
        <v>#REF!</v>
      </c>
      <c r="X201" s="105" t="e">
        <f>VLOOKUP($C201,#REF!,22,0)</f>
        <v>#REF!</v>
      </c>
      <c r="Y201" s="34" t="e">
        <f>VLOOKUP($C201,#REF!,23,0)</f>
        <v>#REF!</v>
      </c>
      <c r="Z201" s="105" t="e">
        <f>VLOOKUP($C201,#REF!,24,0)</f>
        <v>#REF!</v>
      </c>
      <c r="AA201" s="106" t="e">
        <f>VLOOKUP($C201,#REF!,25,0)</f>
        <v>#REF!</v>
      </c>
      <c r="AB201" s="34" t="e">
        <f>VLOOKUP($C201,#REF!,26,0)</f>
        <v>#REF!</v>
      </c>
      <c r="AC201" s="106" t="e">
        <f>VLOOKUP($C201,#REF!,27,0)</f>
        <v>#REF!</v>
      </c>
      <c r="AE201" s="105" t="e">
        <f t="shared" si="53"/>
        <v>#REF!</v>
      </c>
      <c r="AF201" s="107" t="s">
        <v>320</v>
      </c>
      <c r="AG201" s="107" t="s">
        <v>321</v>
      </c>
      <c r="AH201" s="106" t="s">
        <v>322</v>
      </c>
      <c r="AJ201" s="105" t="s">
        <v>323</v>
      </c>
      <c r="AK201" s="107" t="s">
        <v>324</v>
      </c>
      <c r="AL201" s="107" t="s">
        <v>325</v>
      </c>
      <c r="AM201" s="107" t="s">
        <v>326</v>
      </c>
      <c r="AN201" s="107" t="s">
        <v>326</v>
      </c>
      <c r="AO201" s="106" t="s">
        <v>320</v>
      </c>
      <c r="AQ201" s="108">
        <v>1</v>
      </c>
      <c r="AR201" s="5"/>
      <c r="AS201" s="105">
        <v>0</v>
      </c>
      <c r="AT201" s="106">
        <v>0</v>
      </c>
      <c r="AU201" s="34"/>
      <c r="AV201" s="105">
        <f t="shared" si="76"/>
        <v>0</v>
      </c>
      <c r="AW201" s="106">
        <f t="shared" si="77"/>
        <v>0</v>
      </c>
      <c r="AX201" s="105">
        <f t="shared" si="54"/>
        <v>0</v>
      </c>
      <c r="AY201" s="106">
        <f t="shared" si="55"/>
        <v>0</v>
      </c>
      <c r="AZ201" s="105">
        <f t="shared" si="56"/>
        <v>0</v>
      </c>
      <c r="BA201" s="106">
        <f t="shared" si="57"/>
        <v>0</v>
      </c>
      <c r="BB201" s="34">
        <f t="shared" si="58"/>
        <v>0</v>
      </c>
      <c r="BC201" s="106">
        <f t="shared" si="59"/>
        <v>0</v>
      </c>
      <c r="BD201" s="34"/>
      <c r="BE201" s="105">
        <f t="shared" si="60"/>
        <v>0</v>
      </c>
      <c r="BF201" s="106">
        <f t="shared" si="61"/>
        <v>0</v>
      </c>
      <c r="BG201" s="105">
        <f t="shared" si="62"/>
        <v>0</v>
      </c>
      <c r="BH201" s="106">
        <f t="shared" si="63"/>
        <v>0</v>
      </c>
      <c r="BI201" s="34">
        <f t="shared" si="64"/>
        <v>0</v>
      </c>
      <c r="BJ201" s="106">
        <f t="shared" si="65"/>
        <v>0</v>
      </c>
      <c r="BK201" s="34">
        <f t="shared" si="66"/>
        <v>0</v>
      </c>
      <c r="BL201" s="106">
        <f t="shared" si="67"/>
        <v>0</v>
      </c>
      <c r="BN201" s="108" t="e">
        <v>#N/A</v>
      </c>
      <c r="BO201" s="5"/>
      <c r="BP201" s="105" t="e">
        <v>#N/A</v>
      </c>
      <c r="BQ201" s="106" t="e">
        <v>#N/A</v>
      </c>
      <c r="BR201" s="34"/>
      <c r="BS201" s="105" t="e">
        <v>#N/A</v>
      </c>
      <c r="BT201" s="106" t="e">
        <v>#N/A</v>
      </c>
      <c r="BU201" s="105" t="e">
        <v>#N/A</v>
      </c>
      <c r="BV201" s="106" t="e">
        <v>#N/A</v>
      </c>
      <c r="BW201" s="105" t="e">
        <v>#N/A</v>
      </c>
      <c r="BX201" s="106" t="e">
        <v>#N/A</v>
      </c>
      <c r="BY201" s="105" t="e">
        <v>#N/A</v>
      </c>
      <c r="BZ201" s="106" t="e">
        <v>#N/A</v>
      </c>
      <c r="CA201" s="34"/>
      <c r="CB201" s="105" t="e">
        <v>#N/A</v>
      </c>
      <c r="CC201" s="106" t="e">
        <v>#N/A</v>
      </c>
      <c r="CD201" s="105" t="e">
        <v>#N/A</v>
      </c>
      <c r="CE201" s="106" t="e">
        <v>#N/A</v>
      </c>
      <c r="CF201" s="105" t="e">
        <v>#N/A</v>
      </c>
      <c r="CG201" s="106" t="e">
        <v>#N/A</v>
      </c>
      <c r="CH201" s="105" t="e">
        <v>#N/A</v>
      </c>
      <c r="CI201" s="106" t="e">
        <v>#N/A</v>
      </c>
      <c r="CK201" s="78"/>
      <c r="CL201" s="5"/>
      <c r="CM201" s="38" t="str">
        <f t="shared" si="68"/>
        <v>-</v>
      </c>
      <c r="CN201" s="5"/>
      <c r="CO201" s="38" t="str">
        <f t="shared" si="69"/>
        <v>-</v>
      </c>
      <c r="CP201" s="38" t="str">
        <f t="shared" si="70"/>
        <v>-</v>
      </c>
      <c r="CQ201" s="38" t="str">
        <f t="shared" si="78"/>
        <v>-</v>
      </c>
      <c r="CR201" s="38" t="str">
        <f t="shared" si="78"/>
        <v>-</v>
      </c>
      <c r="CS201" s="5"/>
      <c r="CT201" s="38" t="str">
        <f t="shared" si="72"/>
        <v>-</v>
      </c>
      <c r="CU201" s="38" t="str">
        <f t="shared" si="73"/>
        <v>-</v>
      </c>
      <c r="CV201" s="38" t="str">
        <f t="shared" si="74"/>
        <v>-</v>
      </c>
      <c r="CW201" s="38" t="str">
        <f t="shared" si="75"/>
        <v>-</v>
      </c>
    </row>
    <row r="202" spans="2:101" s="113" customFormat="1" ht="12.75" customHeight="1">
      <c r="B202" s="99" t="s">
        <v>55</v>
      </c>
      <c r="C202" s="98" t="s">
        <v>160</v>
      </c>
      <c r="D202" s="114" t="e">
        <f>VLOOKUP($C202,#REF!,5,0)</f>
        <v>#REF!</v>
      </c>
      <c r="E202" s="115" t="e">
        <f>VLOOKUP($C202,#REF!,6,0)</f>
        <v>#REF!</v>
      </c>
      <c r="F202" s="98" t="e">
        <f>VLOOKUP($C202,#REF!,7,0)</f>
        <v>#REF!</v>
      </c>
      <c r="G202" s="98" t="e">
        <f>VLOOKUP($C202,#REF!,8,0)</f>
        <v>#REF!</v>
      </c>
      <c r="H202" s="116" t="e">
        <f>VLOOKUP($C202,#REF!,9,0)</f>
        <v>#REF!</v>
      </c>
      <c r="I202" s="5"/>
      <c r="J202" s="118" t="e">
        <f>VLOOKUP($C202,#REF!,10,0)</f>
        <v>#REF!</v>
      </c>
      <c r="K202" s="119" t="e">
        <f>VLOOKUP($C202,#REF!,11,0)</f>
        <v>#REF!</v>
      </c>
      <c r="L202" s="34"/>
      <c r="M202" s="118" t="e">
        <f>VLOOKUP($C202,#REF!,12,0)</f>
        <v>#REF!</v>
      </c>
      <c r="N202" s="120" t="e">
        <f>VLOOKUP($C202,#REF!,13,0)</f>
        <v>#REF!</v>
      </c>
      <c r="O202" s="118" t="e">
        <f>VLOOKUP($C202,#REF!,14,0)</f>
        <v>#REF!</v>
      </c>
      <c r="P202" s="120" t="e">
        <f>VLOOKUP($C202,#REF!,15,0)</f>
        <v>#REF!</v>
      </c>
      <c r="Q202" s="118" t="e">
        <f>VLOOKUP($C202,#REF!,16,0)</f>
        <v>#REF!</v>
      </c>
      <c r="R202" s="119" t="e">
        <f>VLOOKUP($C202,#REF!,17,0)</f>
        <v>#REF!</v>
      </c>
      <c r="S202" s="120" t="e">
        <f>VLOOKUP($C202,#REF!,18,0)</f>
        <v>#REF!</v>
      </c>
      <c r="T202" s="119" t="e">
        <f>VLOOKUP($C202,#REF!,19,0)</f>
        <v>#REF!</v>
      </c>
      <c r="U202" s="34"/>
      <c r="V202" s="118" t="e">
        <f>VLOOKUP($C202,#REF!,20,0)</f>
        <v>#REF!</v>
      </c>
      <c r="W202" s="120" t="e">
        <f>VLOOKUP($C202,#REF!,21,0)</f>
        <v>#REF!</v>
      </c>
      <c r="X202" s="118" t="e">
        <f>VLOOKUP($C202,#REF!,22,0)</f>
        <v>#REF!</v>
      </c>
      <c r="Y202" s="120" t="e">
        <f>VLOOKUP($C202,#REF!,23,0)</f>
        <v>#REF!</v>
      </c>
      <c r="Z202" s="118" t="e">
        <f>VLOOKUP($C202,#REF!,24,0)</f>
        <v>#REF!</v>
      </c>
      <c r="AA202" s="119" t="e">
        <f>VLOOKUP($C202,#REF!,25,0)</f>
        <v>#REF!</v>
      </c>
      <c r="AB202" s="120" t="e">
        <f>VLOOKUP($C202,#REF!,26,0)</f>
        <v>#REF!</v>
      </c>
      <c r="AC202" s="119" t="e">
        <f>VLOOKUP($C202,#REF!,27,0)</f>
        <v>#REF!</v>
      </c>
      <c r="AD202" s="4"/>
      <c r="AE202" s="118" t="e">
        <f t="shared" si="53"/>
        <v>#REF!</v>
      </c>
      <c r="AF202" s="121" t="s">
        <v>320</v>
      </c>
      <c r="AG202" s="121" t="s">
        <v>321</v>
      </c>
      <c r="AH202" s="119" t="s">
        <v>322</v>
      </c>
      <c r="AI202" s="4"/>
      <c r="AJ202" s="118" t="s">
        <v>323</v>
      </c>
      <c r="AK202" s="121" t="s">
        <v>324</v>
      </c>
      <c r="AL202" s="121" t="s">
        <v>325</v>
      </c>
      <c r="AM202" s="121" t="s">
        <v>326</v>
      </c>
      <c r="AN202" s="121" t="s">
        <v>326</v>
      </c>
      <c r="AO202" s="119" t="s">
        <v>320</v>
      </c>
      <c r="AP202" s="4"/>
      <c r="AQ202" s="122">
        <v>0</v>
      </c>
      <c r="AR202" s="5"/>
      <c r="AS202" s="118">
        <v>0</v>
      </c>
      <c r="AT202" s="119">
        <v>0</v>
      </c>
      <c r="AU202" s="34"/>
      <c r="AV202" s="118">
        <f t="shared" si="76"/>
        <v>0</v>
      </c>
      <c r="AW202" s="119">
        <f t="shared" si="77"/>
        <v>0</v>
      </c>
      <c r="AX202" s="118">
        <f t="shared" si="54"/>
        <v>0</v>
      </c>
      <c r="AY202" s="119">
        <f t="shared" si="55"/>
        <v>0</v>
      </c>
      <c r="AZ202" s="118">
        <f t="shared" si="56"/>
        <v>0</v>
      </c>
      <c r="BA202" s="119">
        <f t="shared" si="57"/>
        <v>0</v>
      </c>
      <c r="BB202" s="120">
        <f t="shared" si="58"/>
        <v>0</v>
      </c>
      <c r="BC202" s="119">
        <f t="shared" si="59"/>
        <v>0</v>
      </c>
      <c r="BD202" s="34"/>
      <c r="BE202" s="118">
        <f t="shared" si="60"/>
        <v>0</v>
      </c>
      <c r="BF202" s="119">
        <f t="shared" si="61"/>
        <v>0</v>
      </c>
      <c r="BG202" s="118">
        <f t="shared" si="62"/>
        <v>0</v>
      </c>
      <c r="BH202" s="119">
        <f t="shared" si="63"/>
        <v>0</v>
      </c>
      <c r="BI202" s="120">
        <f t="shared" si="64"/>
        <v>0</v>
      </c>
      <c r="BJ202" s="119">
        <f t="shared" si="65"/>
        <v>0</v>
      </c>
      <c r="BK202" s="120">
        <f t="shared" si="66"/>
        <v>0</v>
      </c>
      <c r="BL202" s="119">
        <f t="shared" si="67"/>
        <v>0</v>
      </c>
      <c r="BM202" s="4"/>
      <c r="BN202" s="122" t="e">
        <v>#N/A</v>
      </c>
      <c r="BO202" s="117"/>
      <c r="BP202" s="118" t="e">
        <v>#N/A</v>
      </c>
      <c r="BQ202" s="119" t="e">
        <v>#N/A</v>
      </c>
      <c r="BR202" s="120"/>
      <c r="BS202" s="118" t="e">
        <v>#N/A</v>
      </c>
      <c r="BT202" s="119" t="e">
        <v>#N/A</v>
      </c>
      <c r="BU202" s="118" t="e">
        <v>#N/A</v>
      </c>
      <c r="BV202" s="119" t="e">
        <v>#N/A</v>
      </c>
      <c r="BW202" s="118" t="e">
        <v>#N/A</v>
      </c>
      <c r="BX202" s="119" t="e">
        <v>#N/A</v>
      </c>
      <c r="BY202" s="118" t="e">
        <v>#N/A</v>
      </c>
      <c r="BZ202" s="119" t="e">
        <v>#N/A</v>
      </c>
      <c r="CA202" s="120"/>
      <c r="CB202" s="118" t="e">
        <v>#N/A</v>
      </c>
      <c r="CC202" s="119" t="e">
        <v>#N/A</v>
      </c>
      <c r="CD202" s="118" t="e">
        <v>#N/A</v>
      </c>
      <c r="CE202" s="119" t="e">
        <v>#N/A</v>
      </c>
      <c r="CF202" s="118" t="e">
        <v>#N/A</v>
      </c>
      <c r="CG202" s="119" t="e">
        <v>#N/A</v>
      </c>
      <c r="CH202" s="118" t="e">
        <v>#N/A</v>
      </c>
      <c r="CI202" s="119" t="e">
        <v>#N/A</v>
      </c>
      <c r="CJ202" s="4"/>
      <c r="CK202" s="79"/>
      <c r="CL202" s="5"/>
      <c r="CM202" s="39" t="str">
        <f t="shared" si="68"/>
        <v>-</v>
      </c>
      <c r="CN202" s="5"/>
      <c r="CO202" s="39" t="str">
        <f t="shared" si="69"/>
        <v>-</v>
      </c>
      <c r="CP202" s="39" t="str">
        <f t="shared" si="70"/>
        <v>-</v>
      </c>
      <c r="CQ202" s="39" t="str">
        <f t="shared" si="78"/>
        <v>-</v>
      </c>
      <c r="CR202" s="39" t="str">
        <f t="shared" si="78"/>
        <v>-</v>
      </c>
      <c r="CS202" s="5"/>
      <c r="CT202" s="39" t="str">
        <f t="shared" si="72"/>
        <v>-</v>
      </c>
      <c r="CU202" s="39" t="str">
        <f t="shared" si="73"/>
        <v>-</v>
      </c>
      <c r="CV202" s="39" t="str">
        <f t="shared" si="74"/>
        <v>-</v>
      </c>
      <c r="CW202" s="39" t="str">
        <f t="shared" si="75"/>
        <v>-</v>
      </c>
    </row>
    <row r="203" spans="2:101" s="4" customFormat="1" ht="12.75" customHeight="1">
      <c r="B203" s="102" t="s">
        <v>180</v>
      </c>
      <c r="C203" s="103" t="s">
        <v>161</v>
      </c>
      <c r="D203" s="104" t="e">
        <f>VLOOKUP($C203,#REF!,5,0)</f>
        <v>#REF!</v>
      </c>
      <c r="E203" s="109" t="e">
        <f>VLOOKUP($C203,#REF!,6,0)</f>
        <v>#REF!</v>
      </c>
      <c r="F203" s="103" t="e">
        <f>VLOOKUP($C203,#REF!,7,0)</f>
        <v>#REF!</v>
      </c>
      <c r="G203" s="103" t="e">
        <f>VLOOKUP($C203,#REF!,8,0)</f>
        <v>#REF!</v>
      </c>
      <c r="H203" s="110" t="e">
        <f>VLOOKUP($C203,#REF!,9,0)</f>
        <v>#REF!</v>
      </c>
      <c r="I203" s="5"/>
      <c r="J203" s="105" t="e">
        <f>VLOOKUP($C203,#REF!,10,0)</f>
        <v>#REF!</v>
      </c>
      <c r="K203" s="106" t="e">
        <f>VLOOKUP($C203,#REF!,11,0)</f>
        <v>#REF!</v>
      </c>
      <c r="L203" s="34"/>
      <c r="M203" s="105" t="e">
        <f>VLOOKUP($C203,#REF!,12,0)</f>
        <v>#REF!</v>
      </c>
      <c r="N203" s="34" t="e">
        <f>VLOOKUP($C203,#REF!,13,0)</f>
        <v>#REF!</v>
      </c>
      <c r="O203" s="105" t="e">
        <f>VLOOKUP($C203,#REF!,14,0)</f>
        <v>#REF!</v>
      </c>
      <c r="P203" s="34" t="e">
        <f>VLOOKUP($C203,#REF!,15,0)</f>
        <v>#REF!</v>
      </c>
      <c r="Q203" s="105" t="e">
        <f>VLOOKUP($C203,#REF!,16,0)</f>
        <v>#REF!</v>
      </c>
      <c r="R203" s="106" t="e">
        <f>VLOOKUP($C203,#REF!,17,0)</f>
        <v>#REF!</v>
      </c>
      <c r="S203" s="34" t="e">
        <f>VLOOKUP($C203,#REF!,18,0)</f>
        <v>#REF!</v>
      </c>
      <c r="T203" s="106" t="e">
        <f>VLOOKUP($C203,#REF!,19,0)</f>
        <v>#REF!</v>
      </c>
      <c r="U203" s="34"/>
      <c r="V203" s="105" t="e">
        <f>VLOOKUP($C203,#REF!,20,0)</f>
        <v>#REF!</v>
      </c>
      <c r="W203" s="34" t="e">
        <f>VLOOKUP($C203,#REF!,21,0)</f>
        <v>#REF!</v>
      </c>
      <c r="X203" s="105" t="e">
        <f>VLOOKUP($C203,#REF!,22,0)</f>
        <v>#REF!</v>
      </c>
      <c r="Y203" s="34" t="e">
        <f>VLOOKUP($C203,#REF!,23,0)</f>
        <v>#REF!</v>
      </c>
      <c r="Z203" s="105" t="e">
        <f>VLOOKUP($C203,#REF!,24,0)</f>
        <v>#REF!</v>
      </c>
      <c r="AA203" s="106" t="e">
        <f>VLOOKUP($C203,#REF!,25,0)</f>
        <v>#REF!</v>
      </c>
      <c r="AB203" s="34" t="e">
        <f>VLOOKUP($C203,#REF!,26,0)</f>
        <v>#REF!</v>
      </c>
      <c r="AC203" s="106" t="e">
        <f>VLOOKUP($C203,#REF!,27,0)</f>
        <v>#REF!</v>
      </c>
      <c r="AE203" s="105" t="e">
        <f t="shared" si="53"/>
        <v>#REF!</v>
      </c>
      <c r="AF203" s="107" t="s">
        <v>320</v>
      </c>
      <c r="AG203" s="107" t="s">
        <v>321</v>
      </c>
      <c r="AH203" s="106" t="s">
        <v>322</v>
      </c>
      <c r="AJ203" s="105" t="s">
        <v>323</v>
      </c>
      <c r="AK203" s="107" t="s">
        <v>324</v>
      </c>
      <c r="AL203" s="107" t="s">
        <v>325</v>
      </c>
      <c r="AM203" s="107" t="s">
        <v>326</v>
      </c>
      <c r="AN203" s="107" t="s">
        <v>326</v>
      </c>
      <c r="AO203" s="106" t="s">
        <v>320</v>
      </c>
      <c r="AQ203" s="108">
        <v>0</v>
      </c>
      <c r="AR203" s="5"/>
      <c r="AS203" s="105">
        <v>0</v>
      </c>
      <c r="AT203" s="106">
        <v>0</v>
      </c>
      <c r="AU203" s="34"/>
      <c r="AV203" s="105">
        <f t="shared" si="76"/>
        <v>0</v>
      </c>
      <c r="AW203" s="106">
        <f t="shared" si="77"/>
        <v>0</v>
      </c>
      <c r="AX203" s="105">
        <f t="shared" si="54"/>
        <v>0</v>
      </c>
      <c r="AY203" s="106">
        <f t="shared" si="55"/>
        <v>0</v>
      </c>
      <c r="AZ203" s="105">
        <f t="shared" si="56"/>
        <v>0</v>
      </c>
      <c r="BA203" s="106">
        <f t="shared" si="57"/>
        <v>0</v>
      </c>
      <c r="BB203" s="34">
        <f t="shared" si="58"/>
        <v>0</v>
      </c>
      <c r="BC203" s="106">
        <f t="shared" si="59"/>
        <v>0</v>
      </c>
      <c r="BD203" s="34"/>
      <c r="BE203" s="105">
        <f t="shared" si="60"/>
        <v>0</v>
      </c>
      <c r="BF203" s="106">
        <f t="shared" si="61"/>
        <v>0</v>
      </c>
      <c r="BG203" s="105">
        <f t="shared" si="62"/>
        <v>0</v>
      </c>
      <c r="BH203" s="106">
        <f t="shared" si="63"/>
        <v>0</v>
      </c>
      <c r="BI203" s="34">
        <f t="shared" si="64"/>
        <v>0</v>
      </c>
      <c r="BJ203" s="106">
        <f t="shared" si="65"/>
        <v>0</v>
      </c>
      <c r="BK203" s="34">
        <f t="shared" si="66"/>
        <v>0</v>
      </c>
      <c r="BL203" s="106">
        <f t="shared" si="67"/>
        <v>0</v>
      </c>
      <c r="BN203" s="108" t="e">
        <v>#N/A</v>
      </c>
      <c r="BO203" s="5"/>
      <c r="BP203" s="105" t="e">
        <v>#N/A</v>
      </c>
      <c r="BQ203" s="106" t="e">
        <v>#N/A</v>
      </c>
      <c r="BR203" s="34"/>
      <c r="BS203" s="105" t="e">
        <v>#N/A</v>
      </c>
      <c r="BT203" s="106" t="e">
        <v>#N/A</v>
      </c>
      <c r="BU203" s="105" t="e">
        <v>#N/A</v>
      </c>
      <c r="BV203" s="106" t="e">
        <v>#N/A</v>
      </c>
      <c r="BW203" s="105" t="e">
        <v>#N/A</v>
      </c>
      <c r="BX203" s="106" t="e">
        <v>#N/A</v>
      </c>
      <c r="BY203" s="105" t="e">
        <v>#N/A</v>
      </c>
      <c r="BZ203" s="106" t="e">
        <v>#N/A</v>
      </c>
      <c r="CA203" s="34"/>
      <c r="CB203" s="105" t="e">
        <v>#N/A</v>
      </c>
      <c r="CC203" s="106" t="e">
        <v>#N/A</v>
      </c>
      <c r="CD203" s="105" t="e">
        <v>#N/A</v>
      </c>
      <c r="CE203" s="106" t="e">
        <v>#N/A</v>
      </c>
      <c r="CF203" s="105" t="e">
        <v>#N/A</v>
      </c>
      <c r="CG203" s="106" t="e">
        <v>#N/A</v>
      </c>
      <c r="CH203" s="105" t="e">
        <v>#N/A</v>
      </c>
      <c r="CI203" s="106" t="e">
        <v>#N/A</v>
      </c>
      <c r="CK203" s="78"/>
      <c r="CL203" s="5"/>
      <c r="CM203" s="38" t="str">
        <f t="shared" si="68"/>
        <v>-</v>
      </c>
      <c r="CN203" s="5"/>
      <c r="CO203" s="38" t="str">
        <f t="shared" si="69"/>
        <v>-</v>
      </c>
      <c r="CP203" s="38" t="str">
        <f t="shared" si="70"/>
        <v>-</v>
      </c>
      <c r="CQ203" s="38" t="str">
        <f t="shared" si="78"/>
        <v>-</v>
      </c>
      <c r="CR203" s="38" t="str">
        <f t="shared" si="78"/>
        <v>-</v>
      </c>
      <c r="CS203" s="5"/>
      <c r="CT203" s="38" t="str">
        <f t="shared" si="72"/>
        <v>-</v>
      </c>
      <c r="CU203" s="38" t="str">
        <f t="shared" si="73"/>
        <v>-</v>
      </c>
      <c r="CV203" s="38" t="str">
        <f t="shared" si="74"/>
        <v>-</v>
      </c>
      <c r="CW203" s="38" t="str">
        <f t="shared" si="75"/>
        <v>-</v>
      </c>
    </row>
    <row r="204" spans="2:101" s="113" customFormat="1" ht="12.75" customHeight="1">
      <c r="B204" s="99" t="s">
        <v>180</v>
      </c>
      <c r="C204" s="98" t="s">
        <v>162</v>
      </c>
      <c r="D204" s="114" t="e">
        <f>VLOOKUP($C204,#REF!,5,0)</f>
        <v>#REF!</v>
      </c>
      <c r="E204" s="115" t="e">
        <f>VLOOKUP($C204,#REF!,6,0)</f>
        <v>#REF!</v>
      </c>
      <c r="F204" s="98" t="e">
        <f>VLOOKUP($C204,#REF!,7,0)</f>
        <v>#REF!</v>
      </c>
      <c r="G204" s="98" t="e">
        <f>VLOOKUP($C204,#REF!,8,0)</f>
        <v>#REF!</v>
      </c>
      <c r="H204" s="116" t="e">
        <f>VLOOKUP($C204,#REF!,9,0)</f>
        <v>#REF!</v>
      </c>
      <c r="I204" s="5"/>
      <c r="J204" s="118" t="e">
        <f>VLOOKUP($C204,#REF!,10,0)</f>
        <v>#REF!</v>
      </c>
      <c r="K204" s="119" t="e">
        <f>VLOOKUP($C204,#REF!,11,0)</f>
        <v>#REF!</v>
      </c>
      <c r="L204" s="34"/>
      <c r="M204" s="118" t="e">
        <f>VLOOKUP($C204,#REF!,12,0)</f>
        <v>#REF!</v>
      </c>
      <c r="N204" s="120" t="e">
        <f>VLOOKUP($C204,#REF!,13,0)</f>
        <v>#REF!</v>
      </c>
      <c r="O204" s="118" t="e">
        <f>VLOOKUP($C204,#REF!,14,0)</f>
        <v>#REF!</v>
      </c>
      <c r="P204" s="120" t="e">
        <f>VLOOKUP($C204,#REF!,15,0)</f>
        <v>#REF!</v>
      </c>
      <c r="Q204" s="118" t="e">
        <f>VLOOKUP($C204,#REF!,16,0)</f>
        <v>#REF!</v>
      </c>
      <c r="R204" s="119" t="e">
        <f>VLOOKUP($C204,#REF!,17,0)</f>
        <v>#REF!</v>
      </c>
      <c r="S204" s="120" t="e">
        <f>VLOOKUP($C204,#REF!,18,0)</f>
        <v>#REF!</v>
      </c>
      <c r="T204" s="119" t="e">
        <f>VLOOKUP($C204,#REF!,19,0)</f>
        <v>#REF!</v>
      </c>
      <c r="U204" s="34"/>
      <c r="V204" s="118" t="e">
        <f>VLOOKUP($C204,#REF!,20,0)</f>
        <v>#REF!</v>
      </c>
      <c r="W204" s="120" t="e">
        <f>VLOOKUP($C204,#REF!,21,0)</f>
        <v>#REF!</v>
      </c>
      <c r="X204" s="118" t="e">
        <f>VLOOKUP($C204,#REF!,22,0)</f>
        <v>#REF!</v>
      </c>
      <c r="Y204" s="120" t="e">
        <f>VLOOKUP($C204,#REF!,23,0)</f>
        <v>#REF!</v>
      </c>
      <c r="Z204" s="118" t="e">
        <f>VLOOKUP($C204,#REF!,24,0)</f>
        <v>#REF!</v>
      </c>
      <c r="AA204" s="119" t="e">
        <f>VLOOKUP($C204,#REF!,25,0)</f>
        <v>#REF!</v>
      </c>
      <c r="AB204" s="120" t="e">
        <f>VLOOKUP($C204,#REF!,26,0)</f>
        <v>#REF!</v>
      </c>
      <c r="AC204" s="119" t="e">
        <f>VLOOKUP($C204,#REF!,27,0)</f>
        <v>#REF!</v>
      </c>
      <c r="AD204" s="4"/>
      <c r="AE204" s="118" t="e">
        <f t="shared" si="53"/>
        <v>#REF!</v>
      </c>
      <c r="AF204" s="121" t="s">
        <v>320</v>
      </c>
      <c r="AG204" s="121" t="s">
        <v>321</v>
      </c>
      <c r="AH204" s="119" t="s">
        <v>322</v>
      </c>
      <c r="AI204" s="4"/>
      <c r="AJ204" s="118" t="s">
        <v>323</v>
      </c>
      <c r="AK204" s="121" t="s">
        <v>324</v>
      </c>
      <c r="AL204" s="121" t="s">
        <v>325</v>
      </c>
      <c r="AM204" s="121" t="s">
        <v>326</v>
      </c>
      <c r="AN204" s="121" t="s">
        <v>326</v>
      </c>
      <c r="AO204" s="119" t="s">
        <v>320</v>
      </c>
      <c r="AP204" s="4"/>
      <c r="AQ204" s="122">
        <v>1</v>
      </c>
      <c r="AR204" s="5"/>
      <c r="AS204" s="118">
        <v>0</v>
      </c>
      <c r="AT204" s="119">
        <v>0</v>
      </c>
      <c r="AU204" s="34"/>
      <c r="AV204" s="118">
        <f t="shared" si="76"/>
        <v>0</v>
      </c>
      <c r="AW204" s="119">
        <f t="shared" si="77"/>
        <v>0</v>
      </c>
      <c r="AX204" s="118">
        <f t="shared" si="54"/>
        <v>0</v>
      </c>
      <c r="AY204" s="119">
        <f t="shared" si="55"/>
        <v>0</v>
      </c>
      <c r="AZ204" s="118">
        <f t="shared" si="56"/>
        <v>0</v>
      </c>
      <c r="BA204" s="119">
        <f t="shared" si="57"/>
        <v>0</v>
      </c>
      <c r="BB204" s="120">
        <f t="shared" si="58"/>
        <v>0</v>
      </c>
      <c r="BC204" s="119">
        <f t="shared" si="59"/>
        <v>0</v>
      </c>
      <c r="BD204" s="34"/>
      <c r="BE204" s="118">
        <f t="shared" si="60"/>
        <v>0</v>
      </c>
      <c r="BF204" s="119">
        <f t="shared" si="61"/>
        <v>0</v>
      </c>
      <c r="BG204" s="118">
        <f t="shared" si="62"/>
        <v>0</v>
      </c>
      <c r="BH204" s="119">
        <f t="shared" si="63"/>
        <v>0</v>
      </c>
      <c r="BI204" s="120">
        <f t="shared" si="64"/>
        <v>0</v>
      </c>
      <c r="BJ204" s="119">
        <f t="shared" si="65"/>
        <v>0</v>
      </c>
      <c r="BK204" s="120">
        <f t="shared" si="66"/>
        <v>0</v>
      </c>
      <c r="BL204" s="119">
        <f t="shared" si="67"/>
        <v>0</v>
      </c>
      <c r="BM204" s="4"/>
      <c r="BN204" s="122" t="e">
        <v>#N/A</v>
      </c>
      <c r="BO204" s="117"/>
      <c r="BP204" s="118" t="e">
        <v>#N/A</v>
      </c>
      <c r="BQ204" s="119" t="e">
        <v>#N/A</v>
      </c>
      <c r="BR204" s="120"/>
      <c r="BS204" s="118" t="e">
        <v>#N/A</v>
      </c>
      <c r="BT204" s="119" t="e">
        <v>#N/A</v>
      </c>
      <c r="BU204" s="118" t="e">
        <v>#N/A</v>
      </c>
      <c r="BV204" s="119" t="e">
        <v>#N/A</v>
      </c>
      <c r="BW204" s="118" t="e">
        <v>#N/A</v>
      </c>
      <c r="BX204" s="119" t="e">
        <v>#N/A</v>
      </c>
      <c r="BY204" s="118" t="e">
        <v>#N/A</v>
      </c>
      <c r="BZ204" s="119" t="e">
        <v>#N/A</v>
      </c>
      <c r="CA204" s="120"/>
      <c r="CB204" s="118" t="e">
        <v>#N/A</v>
      </c>
      <c r="CC204" s="119" t="e">
        <v>#N/A</v>
      </c>
      <c r="CD204" s="118" t="e">
        <v>#N/A</v>
      </c>
      <c r="CE204" s="119" t="e">
        <v>#N/A</v>
      </c>
      <c r="CF204" s="118" t="e">
        <v>#N/A</v>
      </c>
      <c r="CG204" s="119" t="e">
        <v>#N/A</v>
      </c>
      <c r="CH204" s="118" t="e">
        <v>#N/A</v>
      </c>
      <c r="CI204" s="119" t="e">
        <v>#N/A</v>
      </c>
      <c r="CJ204" s="4"/>
      <c r="CK204" s="79"/>
      <c r="CL204" s="5"/>
      <c r="CM204" s="39" t="str">
        <f t="shared" si="68"/>
        <v>-</v>
      </c>
      <c r="CN204" s="5"/>
      <c r="CO204" s="39" t="str">
        <f t="shared" si="69"/>
        <v>-</v>
      </c>
      <c r="CP204" s="39" t="str">
        <f t="shared" si="70"/>
        <v>-</v>
      </c>
      <c r="CQ204" s="39" t="str">
        <f t="shared" si="78"/>
        <v>-</v>
      </c>
      <c r="CR204" s="39" t="str">
        <f t="shared" si="78"/>
        <v>-</v>
      </c>
      <c r="CS204" s="5"/>
      <c r="CT204" s="39" t="str">
        <f t="shared" si="72"/>
        <v>-</v>
      </c>
      <c r="CU204" s="39" t="str">
        <f t="shared" si="73"/>
        <v>-</v>
      </c>
      <c r="CV204" s="39" t="str">
        <f t="shared" si="74"/>
        <v>-</v>
      </c>
      <c r="CW204" s="39" t="str">
        <f t="shared" si="75"/>
        <v>-</v>
      </c>
    </row>
    <row r="205" spans="2:101" s="4" customFormat="1" ht="12.75" customHeight="1">
      <c r="B205" s="102" t="s">
        <v>146</v>
      </c>
      <c r="C205" s="103" t="s">
        <v>220</v>
      </c>
      <c r="D205" s="104" t="e">
        <f>VLOOKUP($C205,#REF!,5,0)</f>
        <v>#REF!</v>
      </c>
      <c r="E205" s="109" t="e">
        <f>VLOOKUP($C205,#REF!,6,0)</f>
        <v>#REF!</v>
      </c>
      <c r="F205" s="103" t="e">
        <f>VLOOKUP($C205,#REF!,7,0)</f>
        <v>#REF!</v>
      </c>
      <c r="G205" s="103" t="e">
        <f>VLOOKUP($C205,#REF!,8,0)</f>
        <v>#REF!</v>
      </c>
      <c r="H205" s="110" t="e">
        <f>VLOOKUP($C205,#REF!,9,0)</f>
        <v>#REF!</v>
      </c>
      <c r="I205" s="5"/>
      <c r="J205" s="105" t="e">
        <f>VLOOKUP($C205,#REF!,10,0)</f>
        <v>#REF!</v>
      </c>
      <c r="K205" s="106" t="e">
        <f>VLOOKUP($C205,#REF!,11,0)</f>
        <v>#REF!</v>
      </c>
      <c r="L205" s="34"/>
      <c r="M205" s="105" t="e">
        <f>VLOOKUP($C205,#REF!,12,0)</f>
        <v>#REF!</v>
      </c>
      <c r="N205" s="34" t="e">
        <f>VLOOKUP($C205,#REF!,13,0)</f>
        <v>#REF!</v>
      </c>
      <c r="O205" s="105" t="e">
        <f>VLOOKUP($C205,#REF!,14,0)</f>
        <v>#REF!</v>
      </c>
      <c r="P205" s="34" t="e">
        <f>VLOOKUP($C205,#REF!,15,0)</f>
        <v>#REF!</v>
      </c>
      <c r="Q205" s="105" t="e">
        <f>VLOOKUP($C205,#REF!,16,0)</f>
        <v>#REF!</v>
      </c>
      <c r="R205" s="106" t="e">
        <f>VLOOKUP($C205,#REF!,17,0)</f>
        <v>#REF!</v>
      </c>
      <c r="S205" s="34" t="e">
        <f>VLOOKUP($C205,#REF!,18,0)</f>
        <v>#REF!</v>
      </c>
      <c r="T205" s="106" t="e">
        <f>VLOOKUP($C205,#REF!,19,0)</f>
        <v>#REF!</v>
      </c>
      <c r="U205" s="34"/>
      <c r="V205" s="105" t="e">
        <f>VLOOKUP($C205,#REF!,20,0)</f>
        <v>#REF!</v>
      </c>
      <c r="W205" s="34" t="e">
        <f>VLOOKUP($C205,#REF!,21,0)</f>
        <v>#REF!</v>
      </c>
      <c r="X205" s="105" t="e">
        <f>VLOOKUP($C205,#REF!,22,0)</f>
        <v>#REF!</v>
      </c>
      <c r="Y205" s="34" t="e">
        <f>VLOOKUP($C205,#REF!,23,0)</f>
        <v>#REF!</v>
      </c>
      <c r="Z205" s="105" t="e">
        <f>VLOOKUP($C205,#REF!,24,0)</f>
        <v>#REF!</v>
      </c>
      <c r="AA205" s="106" t="e">
        <f>VLOOKUP($C205,#REF!,25,0)</f>
        <v>#REF!</v>
      </c>
      <c r="AB205" s="34" t="e">
        <f>VLOOKUP($C205,#REF!,26,0)</f>
        <v>#REF!</v>
      </c>
      <c r="AC205" s="106" t="e">
        <f>VLOOKUP($C205,#REF!,27,0)</f>
        <v>#REF!</v>
      </c>
      <c r="AE205" s="105" t="e">
        <f t="shared" si="53"/>
        <v>#REF!</v>
      </c>
      <c r="AF205" s="107" t="s">
        <v>320</v>
      </c>
      <c r="AG205" s="107" t="s">
        <v>321</v>
      </c>
      <c r="AH205" s="106" t="s">
        <v>322</v>
      </c>
      <c r="AJ205" s="105" t="s">
        <v>323</v>
      </c>
      <c r="AK205" s="107" t="s">
        <v>324</v>
      </c>
      <c r="AL205" s="107" t="s">
        <v>325</v>
      </c>
      <c r="AM205" s="107" t="s">
        <v>326</v>
      </c>
      <c r="AN205" s="107" t="s">
        <v>326</v>
      </c>
      <c r="AO205" s="106" t="s">
        <v>320</v>
      </c>
      <c r="AQ205" s="108">
        <v>1</v>
      </c>
      <c r="AR205" s="5"/>
      <c r="AS205" s="105">
        <v>0</v>
      </c>
      <c r="AT205" s="106">
        <v>0</v>
      </c>
      <c r="AU205" s="34"/>
      <c r="AV205" s="105">
        <f t="shared" si="76"/>
        <v>0</v>
      </c>
      <c r="AW205" s="106">
        <f t="shared" si="77"/>
        <v>0</v>
      </c>
      <c r="AX205" s="105">
        <f t="shared" si="54"/>
        <v>0</v>
      </c>
      <c r="AY205" s="106">
        <f t="shared" si="55"/>
        <v>0</v>
      </c>
      <c r="AZ205" s="105">
        <f t="shared" si="56"/>
        <v>0</v>
      </c>
      <c r="BA205" s="106">
        <f t="shared" si="57"/>
        <v>0</v>
      </c>
      <c r="BB205" s="34">
        <f t="shared" si="58"/>
        <v>0</v>
      </c>
      <c r="BC205" s="106">
        <f t="shared" si="59"/>
        <v>0</v>
      </c>
      <c r="BD205" s="34"/>
      <c r="BE205" s="105">
        <f t="shared" si="60"/>
        <v>0</v>
      </c>
      <c r="BF205" s="106">
        <f t="shared" si="61"/>
        <v>0</v>
      </c>
      <c r="BG205" s="105">
        <f t="shared" si="62"/>
        <v>0</v>
      </c>
      <c r="BH205" s="106">
        <f t="shared" si="63"/>
        <v>0</v>
      </c>
      <c r="BI205" s="34">
        <f t="shared" si="64"/>
        <v>0</v>
      </c>
      <c r="BJ205" s="106">
        <f t="shared" si="65"/>
        <v>0</v>
      </c>
      <c r="BK205" s="34">
        <f t="shared" si="66"/>
        <v>0</v>
      </c>
      <c r="BL205" s="106">
        <f t="shared" si="67"/>
        <v>0</v>
      </c>
      <c r="BN205" s="108" t="e">
        <v>#N/A</v>
      </c>
      <c r="BO205" s="5"/>
      <c r="BP205" s="105" t="e">
        <v>#N/A</v>
      </c>
      <c r="BQ205" s="106" t="e">
        <v>#N/A</v>
      </c>
      <c r="BR205" s="34"/>
      <c r="BS205" s="105" t="e">
        <v>#N/A</v>
      </c>
      <c r="BT205" s="106" t="e">
        <v>#N/A</v>
      </c>
      <c r="BU205" s="105" t="e">
        <v>#N/A</v>
      </c>
      <c r="BV205" s="106" t="e">
        <v>#N/A</v>
      </c>
      <c r="BW205" s="105" t="e">
        <v>#N/A</v>
      </c>
      <c r="BX205" s="106" t="e">
        <v>#N/A</v>
      </c>
      <c r="BY205" s="105" t="e">
        <v>#N/A</v>
      </c>
      <c r="BZ205" s="106" t="e">
        <v>#N/A</v>
      </c>
      <c r="CA205" s="34"/>
      <c r="CB205" s="105" t="e">
        <v>#N/A</v>
      </c>
      <c r="CC205" s="106" t="e">
        <v>#N/A</v>
      </c>
      <c r="CD205" s="105" t="e">
        <v>#N/A</v>
      </c>
      <c r="CE205" s="106" t="e">
        <v>#N/A</v>
      </c>
      <c r="CF205" s="105" t="e">
        <v>#N/A</v>
      </c>
      <c r="CG205" s="106" t="e">
        <v>#N/A</v>
      </c>
      <c r="CH205" s="105" t="e">
        <v>#N/A</v>
      </c>
      <c r="CI205" s="106" t="e">
        <v>#N/A</v>
      </c>
      <c r="CK205" s="78"/>
      <c r="CL205" s="5"/>
      <c r="CM205" s="38" t="str">
        <f t="shared" si="68"/>
        <v>-</v>
      </c>
      <c r="CN205" s="5"/>
      <c r="CO205" s="38" t="str">
        <f t="shared" si="69"/>
        <v>-</v>
      </c>
      <c r="CP205" s="38" t="str">
        <f t="shared" si="70"/>
        <v>-</v>
      </c>
      <c r="CQ205" s="38" t="str">
        <f t="shared" si="78"/>
        <v>-</v>
      </c>
      <c r="CR205" s="38" t="str">
        <f t="shared" si="78"/>
        <v>-</v>
      </c>
      <c r="CS205" s="5"/>
      <c r="CT205" s="38" t="str">
        <f t="shared" si="72"/>
        <v>-</v>
      </c>
      <c r="CU205" s="38" t="str">
        <f t="shared" si="73"/>
        <v>-</v>
      </c>
      <c r="CV205" s="38" t="str">
        <f t="shared" si="74"/>
        <v>-</v>
      </c>
      <c r="CW205" s="38" t="str">
        <f t="shared" si="75"/>
        <v>-</v>
      </c>
    </row>
    <row r="206" spans="2:101" s="113" customFormat="1" ht="12.75" customHeight="1">
      <c r="B206" s="99" t="s">
        <v>146</v>
      </c>
      <c r="C206" s="98" t="s">
        <v>163</v>
      </c>
      <c r="D206" s="114" t="e">
        <f>VLOOKUP($C206,#REF!,5,0)</f>
        <v>#REF!</v>
      </c>
      <c r="E206" s="115" t="e">
        <f>VLOOKUP($C206,#REF!,6,0)</f>
        <v>#REF!</v>
      </c>
      <c r="F206" s="98" t="e">
        <f>VLOOKUP($C206,#REF!,7,0)</f>
        <v>#REF!</v>
      </c>
      <c r="G206" s="98" t="e">
        <f>VLOOKUP($C206,#REF!,8,0)</f>
        <v>#REF!</v>
      </c>
      <c r="H206" s="116" t="e">
        <f>VLOOKUP($C206,#REF!,9,0)</f>
        <v>#REF!</v>
      </c>
      <c r="I206" s="5"/>
      <c r="J206" s="118" t="e">
        <f>VLOOKUP($C206,#REF!,10,0)</f>
        <v>#REF!</v>
      </c>
      <c r="K206" s="119" t="e">
        <f>VLOOKUP($C206,#REF!,11,0)</f>
        <v>#REF!</v>
      </c>
      <c r="L206" s="34"/>
      <c r="M206" s="118" t="e">
        <f>VLOOKUP($C206,#REF!,12,0)</f>
        <v>#REF!</v>
      </c>
      <c r="N206" s="120" t="e">
        <f>VLOOKUP($C206,#REF!,13,0)</f>
        <v>#REF!</v>
      </c>
      <c r="O206" s="118" t="e">
        <f>VLOOKUP($C206,#REF!,14,0)</f>
        <v>#REF!</v>
      </c>
      <c r="P206" s="120" t="e">
        <f>VLOOKUP($C206,#REF!,15,0)</f>
        <v>#REF!</v>
      </c>
      <c r="Q206" s="118" t="e">
        <f>VLOOKUP($C206,#REF!,16,0)</f>
        <v>#REF!</v>
      </c>
      <c r="R206" s="119" t="e">
        <f>VLOOKUP($C206,#REF!,17,0)</f>
        <v>#REF!</v>
      </c>
      <c r="S206" s="120" t="e">
        <f>VLOOKUP($C206,#REF!,18,0)</f>
        <v>#REF!</v>
      </c>
      <c r="T206" s="119" t="e">
        <f>VLOOKUP($C206,#REF!,19,0)</f>
        <v>#REF!</v>
      </c>
      <c r="U206" s="34"/>
      <c r="V206" s="118" t="e">
        <f>VLOOKUP($C206,#REF!,20,0)</f>
        <v>#REF!</v>
      </c>
      <c r="W206" s="120" t="e">
        <f>VLOOKUP($C206,#REF!,21,0)</f>
        <v>#REF!</v>
      </c>
      <c r="X206" s="118" t="e">
        <f>VLOOKUP($C206,#REF!,22,0)</f>
        <v>#REF!</v>
      </c>
      <c r="Y206" s="120" t="e">
        <f>VLOOKUP($C206,#REF!,23,0)</f>
        <v>#REF!</v>
      </c>
      <c r="Z206" s="118" t="e">
        <f>VLOOKUP($C206,#REF!,24,0)</f>
        <v>#REF!</v>
      </c>
      <c r="AA206" s="119" t="e">
        <f>VLOOKUP($C206,#REF!,25,0)</f>
        <v>#REF!</v>
      </c>
      <c r="AB206" s="120" t="e">
        <f>VLOOKUP($C206,#REF!,26,0)</f>
        <v>#REF!</v>
      </c>
      <c r="AC206" s="119" t="e">
        <f>VLOOKUP($C206,#REF!,27,0)</f>
        <v>#REF!</v>
      </c>
      <c r="AD206" s="4"/>
      <c r="AE206" s="118" t="e">
        <f t="shared" si="53"/>
        <v>#REF!</v>
      </c>
      <c r="AF206" s="121" t="s">
        <v>320</v>
      </c>
      <c r="AG206" s="121" t="s">
        <v>321</v>
      </c>
      <c r="AH206" s="119" t="s">
        <v>322</v>
      </c>
      <c r="AI206" s="4"/>
      <c r="AJ206" s="118" t="s">
        <v>323</v>
      </c>
      <c r="AK206" s="121" t="s">
        <v>324</v>
      </c>
      <c r="AL206" s="121" t="s">
        <v>325</v>
      </c>
      <c r="AM206" s="121" t="s">
        <v>326</v>
      </c>
      <c r="AN206" s="121" t="s">
        <v>326</v>
      </c>
      <c r="AO206" s="119" t="s">
        <v>320</v>
      </c>
      <c r="AP206" s="4"/>
      <c r="AQ206" s="122">
        <v>198</v>
      </c>
      <c r="AR206" s="5"/>
      <c r="AS206" s="118">
        <v>0</v>
      </c>
      <c r="AT206" s="119">
        <v>0</v>
      </c>
      <c r="AU206" s="34"/>
      <c r="AV206" s="118">
        <f t="shared" si="76"/>
        <v>0</v>
      </c>
      <c r="AW206" s="119">
        <f t="shared" si="77"/>
        <v>0</v>
      </c>
      <c r="AX206" s="118">
        <f t="shared" si="54"/>
        <v>0</v>
      </c>
      <c r="AY206" s="119">
        <f t="shared" si="55"/>
        <v>0</v>
      </c>
      <c r="AZ206" s="118">
        <f t="shared" si="56"/>
        <v>0</v>
      </c>
      <c r="BA206" s="119">
        <f t="shared" si="57"/>
        <v>0</v>
      </c>
      <c r="BB206" s="120">
        <f t="shared" si="58"/>
        <v>0</v>
      </c>
      <c r="BC206" s="119">
        <f t="shared" si="59"/>
        <v>0</v>
      </c>
      <c r="BD206" s="34"/>
      <c r="BE206" s="118">
        <f t="shared" si="60"/>
        <v>0</v>
      </c>
      <c r="BF206" s="119">
        <f t="shared" si="61"/>
        <v>0</v>
      </c>
      <c r="BG206" s="118">
        <f t="shared" si="62"/>
        <v>0</v>
      </c>
      <c r="BH206" s="119">
        <f t="shared" si="63"/>
        <v>0</v>
      </c>
      <c r="BI206" s="120">
        <f t="shared" si="64"/>
        <v>0</v>
      </c>
      <c r="BJ206" s="119">
        <f t="shared" si="65"/>
        <v>0</v>
      </c>
      <c r="BK206" s="120">
        <f t="shared" si="66"/>
        <v>0</v>
      </c>
      <c r="BL206" s="119">
        <f t="shared" si="67"/>
        <v>0</v>
      </c>
      <c r="BM206" s="4"/>
      <c r="BN206" s="122">
        <v>0</v>
      </c>
      <c r="BO206" s="117"/>
      <c r="BP206" s="118">
        <v>0</v>
      </c>
      <c r="BQ206" s="119">
        <v>0</v>
      </c>
      <c r="BR206" s="120"/>
      <c r="BS206" s="118">
        <v>0</v>
      </c>
      <c r="BT206" s="119">
        <v>0</v>
      </c>
      <c r="BU206" s="118">
        <v>0</v>
      </c>
      <c r="BV206" s="119">
        <v>0</v>
      </c>
      <c r="BW206" s="118">
        <v>0</v>
      </c>
      <c r="BX206" s="119">
        <v>0</v>
      </c>
      <c r="BY206" s="118">
        <v>0</v>
      </c>
      <c r="BZ206" s="119">
        <v>0</v>
      </c>
      <c r="CA206" s="120"/>
      <c r="CB206" s="118">
        <v>0</v>
      </c>
      <c r="CC206" s="119">
        <v>0</v>
      </c>
      <c r="CD206" s="118">
        <v>0</v>
      </c>
      <c r="CE206" s="119">
        <v>0</v>
      </c>
      <c r="CF206" s="118">
        <v>0</v>
      </c>
      <c r="CG206" s="119">
        <v>0</v>
      </c>
      <c r="CH206" s="118">
        <v>0</v>
      </c>
      <c r="CI206" s="119">
        <v>0</v>
      </c>
      <c r="CJ206" s="4"/>
      <c r="CK206" s="79"/>
      <c r="CL206" s="5"/>
      <c r="CM206" s="39" t="str">
        <f t="shared" si="68"/>
        <v>-</v>
      </c>
      <c r="CN206" s="5"/>
      <c r="CO206" s="39" t="str">
        <f t="shared" si="69"/>
        <v>-</v>
      </c>
      <c r="CP206" s="39" t="str">
        <f t="shared" si="70"/>
        <v>-</v>
      </c>
      <c r="CQ206" s="39" t="str">
        <f t="shared" si="78"/>
        <v>-</v>
      </c>
      <c r="CR206" s="39" t="str">
        <f t="shared" si="78"/>
        <v>-</v>
      </c>
      <c r="CS206" s="5"/>
      <c r="CT206" s="39" t="str">
        <f t="shared" si="72"/>
        <v>-</v>
      </c>
      <c r="CU206" s="39" t="str">
        <f t="shared" si="73"/>
        <v>-</v>
      </c>
      <c r="CV206" s="39" t="str">
        <f t="shared" si="74"/>
        <v>-</v>
      </c>
      <c r="CW206" s="39" t="str">
        <f t="shared" si="75"/>
        <v>-</v>
      </c>
    </row>
    <row r="207" spans="2:101" s="4" customFormat="1" ht="12.75" customHeight="1">
      <c r="B207" s="102" t="s">
        <v>312</v>
      </c>
      <c r="C207" s="103" t="s">
        <v>313</v>
      </c>
      <c r="D207" s="104" t="e">
        <f>VLOOKUP($C207,#REF!,5,0)</f>
        <v>#REF!</v>
      </c>
      <c r="E207" s="109" t="e">
        <f>VLOOKUP($C207,#REF!,6,0)</f>
        <v>#REF!</v>
      </c>
      <c r="F207" s="103" t="e">
        <f>VLOOKUP($C207,#REF!,7,0)</f>
        <v>#REF!</v>
      </c>
      <c r="G207" s="103" t="e">
        <f>VLOOKUP($C207,#REF!,8,0)</f>
        <v>#REF!</v>
      </c>
      <c r="H207" s="110" t="e">
        <f>VLOOKUP($C207,#REF!,9,0)</f>
        <v>#REF!</v>
      </c>
      <c r="I207" s="5"/>
      <c r="J207" s="105" t="e">
        <f>VLOOKUP($C207,#REF!,10,0)</f>
        <v>#REF!</v>
      </c>
      <c r="K207" s="106" t="e">
        <f>VLOOKUP($C207,#REF!,11,0)</f>
        <v>#REF!</v>
      </c>
      <c r="L207" s="34"/>
      <c r="M207" s="105" t="e">
        <f>VLOOKUP($C207,#REF!,12,0)</f>
        <v>#REF!</v>
      </c>
      <c r="N207" s="34" t="e">
        <f>VLOOKUP($C207,#REF!,13,0)</f>
        <v>#REF!</v>
      </c>
      <c r="O207" s="105" t="e">
        <f>VLOOKUP($C207,#REF!,14,0)</f>
        <v>#REF!</v>
      </c>
      <c r="P207" s="34" t="e">
        <f>VLOOKUP($C207,#REF!,15,0)</f>
        <v>#REF!</v>
      </c>
      <c r="Q207" s="105" t="e">
        <f>VLOOKUP($C207,#REF!,16,0)</f>
        <v>#REF!</v>
      </c>
      <c r="R207" s="106" t="e">
        <f>VLOOKUP($C207,#REF!,17,0)</f>
        <v>#REF!</v>
      </c>
      <c r="S207" s="34" t="e">
        <f>VLOOKUP($C207,#REF!,18,0)</f>
        <v>#REF!</v>
      </c>
      <c r="T207" s="106" t="e">
        <f>VLOOKUP($C207,#REF!,19,0)</f>
        <v>#REF!</v>
      </c>
      <c r="U207" s="34"/>
      <c r="V207" s="105" t="e">
        <f>VLOOKUP($C207,#REF!,20,0)</f>
        <v>#REF!</v>
      </c>
      <c r="W207" s="34" t="e">
        <f>VLOOKUP($C207,#REF!,21,0)</f>
        <v>#REF!</v>
      </c>
      <c r="X207" s="105" t="e">
        <f>VLOOKUP($C207,#REF!,22,0)</f>
        <v>#REF!</v>
      </c>
      <c r="Y207" s="34" t="e">
        <f>VLOOKUP($C207,#REF!,23,0)</f>
        <v>#REF!</v>
      </c>
      <c r="Z207" s="105" t="e">
        <f>VLOOKUP($C207,#REF!,24,0)</f>
        <v>#REF!</v>
      </c>
      <c r="AA207" s="106" t="e">
        <f>VLOOKUP($C207,#REF!,25,0)</f>
        <v>#REF!</v>
      </c>
      <c r="AB207" s="34" t="e">
        <f>VLOOKUP($C207,#REF!,26,0)</f>
        <v>#REF!</v>
      </c>
      <c r="AC207" s="106" t="e">
        <f>VLOOKUP($C207,#REF!,27,0)</f>
        <v>#REF!</v>
      </c>
      <c r="AE207" s="105" t="e">
        <f t="shared" si="53"/>
        <v>#REF!</v>
      </c>
      <c r="AF207" s="107" t="s">
        <v>320</v>
      </c>
      <c r="AG207" s="107" t="s">
        <v>321</v>
      </c>
      <c r="AH207" s="106" t="s">
        <v>322</v>
      </c>
      <c r="AJ207" s="105" t="s">
        <v>323</v>
      </c>
      <c r="AK207" s="107" t="s">
        <v>324</v>
      </c>
      <c r="AL207" s="107" t="s">
        <v>325</v>
      </c>
      <c r="AM207" s="107" t="s">
        <v>326</v>
      </c>
      <c r="AN207" s="107" t="s">
        <v>326</v>
      </c>
      <c r="AO207" s="106" t="s">
        <v>320</v>
      </c>
      <c r="AQ207" s="108">
        <v>206</v>
      </c>
      <c r="AR207" s="5"/>
      <c r="AS207" s="105">
        <v>0</v>
      </c>
      <c r="AT207" s="106">
        <v>0</v>
      </c>
      <c r="AU207" s="34"/>
      <c r="AV207" s="105">
        <f t="shared" si="76"/>
        <v>0</v>
      </c>
      <c r="AW207" s="106">
        <f t="shared" si="77"/>
        <v>0</v>
      </c>
      <c r="AX207" s="105">
        <f t="shared" si="54"/>
        <v>0</v>
      </c>
      <c r="AY207" s="106">
        <f t="shared" si="55"/>
        <v>0</v>
      </c>
      <c r="AZ207" s="105">
        <f t="shared" si="56"/>
        <v>0</v>
      </c>
      <c r="BA207" s="106">
        <f t="shared" si="57"/>
        <v>0</v>
      </c>
      <c r="BB207" s="34">
        <f t="shared" si="58"/>
        <v>0</v>
      </c>
      <c r="BC207" s="106">
        <f t="shared" si="59"/>
        <v>0</v>
      </c>
      <c r="BD207" s="34"/>
      <c r="BE207" s="105">
        <f t="shared" si="60"/>
        <v>0</v>
      </c>
      <c r="BF207" s="106">
        <f t="shared" si="61"/>
        <v>0</v>
      </c>
      <c r="BG207" s="105">
        <f t="shared" si="62"/>
        <v>0</v>
      </c>
      <c r="BH207" s="106">
        <f t="shared" si="63"/>
        <v>0</v>
      </c>
      <c r="BI207" s="34">
        <f t="shared" si="64"/>
        <v>0</v>
      </c>
      <c r="BJ207" s="106">
        <f t="shared" si="65"/>
        <v>0</v>
      </c>
      <c r="BK207" s="34">
        <f t="shared" si="66"/>
        <v>0</v>
      </c>
      <c r="BL207" s="106">
        <f t="shared" si="67"/>
        <v>0</v>
      </c>
      <c r="BN207" s="108">
        <v>-165.29000000000002</v>
      </c>
      <c r="BO207" s="5"/>
      <c r="BP207" s="105">
        <v>-165.29000000000002</v>
      </c>
      <c r="BQ207" s="106">
        <v>0</v>
      </c>
      <c r="BR207" s="34"/>
      <c r="BS207" s="105">
        <v>0</v>
      </c>
      <c r="BT207" s="106">
        <v>0</v>
      </c>
      <c r="BU207" s="105">
        <v>0</v>
      </c>
      <c r="BV207" s="106">
        <v>0</v>
      </c>
      <c r="BW207" s="105">
        <v>0</v>
      </c>
      <c r="BX207" s="106">
        <v>0</v>
      </c>
      <c r="BY207" s="105">
        <v>0</v>
      </c>
      <c r="BZ207" s="106">
        <v>0</v>
      </c>
      <c r="CA207" s="34"/>
      <c r="CB207" s="105">
        <v>0</v>
      </c>
      <c r="CC207" s="106">
        <v>0</v>
      </c>
      <c r="CD207" s="105">
        <v>0</v>
      </c>
      <c r="CE207" s="106">
        <v>0</v>
      </c>
      <c r="CF207" s="105">
        <v>0</v>
      </c>
      <c r="CG207" s="106">
        <v>0</v>
      </c>
      <c r="CH207" s="105">
        <v>0</v>
      </c>
      <c r="CI207" s="106">
        <v>0</v>
      </c>
      <c r="CK207" s="78"/>
      <c r="CL207" s="5"/>
      <c r="CM207" s="38" t="str">
        <f t="shared" si="68"/>
        <v>-</v>
      </c>
      <c r="CN207" s="5"/>
      <c r="CO207" s="38" t="str">
        <f t="shared" si="69"/>
        <v>-</v>
      </c>
      <c r="CP207" s="38" t="str">
        <f t="shared" si="70"/>
        <v>-</v>
      </c>
      <c r="CQ207" s="38" t="str">
        <f t="shared" si="78"/>
        <v>-</v>
      </c>
      <c r="CR207" s="38" t="str">
        <f t="shared" si="78"/>
        <v>-</v>
      </c>
      <c r="CS207" s="5"/>
      <c r="CT207" s="38" t="str">
        <f t="shared" si="72"/>
        <v>-</v>
      </c>
      <c r="CU207" s="38" t="str">
        <f t="shared" si="73"/>
        <v>-</v>
      </c>
      <c r="CV207" s="38" t="str">
        <f t="shared" si="74"/>
        <v>-</v>
      </c>
      <c r="CW207" s="38" t="str">
        <f t="shared" si="75"/>
        <v>-</v>
      </c>
    </row>
    <row r="208" spans="2:101" s="113" customFormat="1" ht="12.75" customHeight="1">
      <c r="B208" s="100" t="s">
        <v>182</v>
      </c>
      <c r="C208" s="101" t="s">
        <v>364</v>
      </c>
      <c r="D208" s="114" t="e">
        <f>VLOOKUP($C208,#REF!,5,0)</f>
        <v>#REF!</v>
      </c>
      <c r="E208" s="115" t="e">
        <f>VLOOKUP($C208,#REF!,6,0)</f>
        <v>#REF!</v>
      </c>
      <c r="F208" s="98" t="e">
        <f>VLOOKUP($C208,#REF!,7,0)</f>
        <v>#REF!</v>
      </c>
      <c r="G208" s="98" t="e">
        <f>VLOOKUP($C208,#REF!,8,0)</f>
        <v>#REF!</v>
      </c>
      <c r="H208" s="116" t="e">
        <f>VLOOKUP($C208,#REF!,9,0)</f>
        <v>#REF!</v>
      </c>
      <c r="I208" s="5"/>
      <c r="J208" s="118" t="e">
        <f>VLOOKUP($C208,#REF!,10,0)</f>
        <v>#REF!</v>
      </c>
      <c r="K208" s="119" t="e">
        <f>VLOOKUP($C208,#REF!,11,0)</f>
        <v>#REF!</v>
      </c>
      <c r="L208" s="34"/>
      <c r="M208" s="118" t="e">
        <f>VLOOKUP($C208,#REF!,12,0)</f>
        <v>#REF!</v>
      </c>
      <c r="N208" s="120" t="e">
        <f>VLOOKUP($C208,#REF!,13,0)</f>
        <v>#REF!</v>
      </c>
      <c r="O208" s="118" t="e">
        <f>VLOOKUP($C208,#REF!,14,0)</f>
        <v>#REF!</v>
      </c>
      <c r="P208" s="120" t="e">
        <f>VLOOKUP($C208,#REF!,15,0)</f>
        <v>#REF!</v>
      </c>
      <c r="Q208" s="118" t="e">
        <f>VLOOKUP($C208,#REF!,16,0)</f>
        <v>#REF!</v>
      </c>
      <c r="R208" s="119" t="e">
        <f>VLOOKUP($C208,#REF!,17,0)</f>
        <v>#REF!</v>
      </c>
      <c r="S208" s="120" t="e">
        <f>VLOOKUP($C208,#REF!,18,0)</f>
        <v>#REF!</v>
      </c>
      <c r="T208" s="119" t="e">
        <f>VLOOKUP($C208,#REF!,19,0)</f>
        <v>#REF!</v>
      </c>
      <c r="U208" s="34"/>
      <c r="V208" s="118" t="e">
        <f>VLOOKUP($C208,#REF!,20,0)</f>
        <v>#REF!</v>
      </c>
      <c r="W208" s="120" t="e">
        <f>VLOOKUP($C208,#REF!,21,0)</f>
        <v>#REF!</v>
      </c>
      <c r="X208" s="118" t="e">
        <f>VLOOKUP($C208,#REF!,22,0)</f>
        <v>#REF!</v>
      </c>
      <c r="Y208" s="120" t="e">
        <f>VLOOKUP($C208,#REF!,23,0)</f>
        <v>#REF!</v>
      </c>
      <c r="Z208" s="118" t="e">
        <f>VLOOKUP($C208,#REF!,24,0)</f>
        <v>#REF!</v>
      </c>
      <c r="AA208" s="119" t="e">
        <f>VLOOKUP($C208,#REF!,25,0)</f>
        <v>#REF!</v>
      </c>
      <c r="AB208" s="120" t="e">
        <f>VLOOKUP($C208,#REF!,26,0)</f>
        <v>#REF!</v>
      </c>
      <c r="AC208" s="119" t="e">
        <f>VLOOKUP($C208,#REF!,27,0)</f>
        <v>#REF!</v>
      </c>
      <c r="AD208" s="4"/>
      <c r="AE208" s="118" t="e">
        <f t="shared" si="53"/>
        <v>#REF!</v>
      </c>
      <c r="AF208" s="121" t="s">
        <v>320</v>
      </c>
      <c r="AG208" s="121" t="s">
        <v>321</v>
      </c>
      <c r="AH208" s="119" t="s">
        <v>322</v>
      </c>
      <c r="AI208" s="4"/>
      <c r="AJ208" s="118" t="s">
        <v>323</v>
      </c>
      <c r="AK208" s="121" t="s">
        <v>324</v>
      </c>
      <c r="AL208" s="121" t="s">
        <v>325</v>
      </c>
      <c r="AM208" s="121" t="s">
        <v>326</v>
      </c>
      <c r="AN208" s="121" t="s">
        <v>326</v>
      </c>
      <c r="AO208" s="119" t="s">
        <v>320</v>
      </c>
      <c r="AP208" s="4"/>
      <c r="AQ208" s="122">
        <v>206</v>
      </c>
      <c r="AR208" s="5"/>
      <c r="AS208" s="118">
        <v>0</v>
      </c>
      <c r="AT208" s="119">
        <v>0</v>
      </c>
      <c r="AU208" s="34"/>
      <c r="AV208" s="118">
        <f t="shared" si="76"/>
        <v>0</v>
      </c>
      <c r="AW208" s="119">
        <f t="shared" si="77"/>
        <v>0</v>
      </c>
      <c r="AX208" s="118">
        <f t="shared" si="54"/>
        <v>0</v>
      </c>
      <c r="AY208" s="119">
        <f t="shared" si="55"/>
        <v>0</v>
      </c>
      <c r="AZ208" s="118">
        <f t="shared" si="56"/>
        <v>0</v>
      </c>
      <c r="BA208" s="119">
        <f t="shared" si="57"/>
        <v>0</v>
      </c>
      <c r="BB208" s="120">
        <f t="shared" si="58"/>
        <v>0</v>
      </c>
      <c r="BC208" s="119">
        <f t="shared" si="59"/>
        <v>0</v>
      </c>
      <c r="BD208" s="34"/>
      <c r="BE208" s="118">
        <f t="shared" si="60"/>
        <v>0</v>
      </c>
      <c r="BF208" s="119">
        <f t="shared" si="61"/>
        <v>0</v>
      </c>
      <c r="BG208" s="118">
        <f t="shared" si="62"/>
        <v>0</v>
      </c>
      <c r="BH208" s="119">
        <f t="shared" si="63"/>
        <v>0</v>
      </c>
      <c r="BI208" s="120">
        <f t="shared" si="64"/>
        <v>0</v>
      </c>
      <c r="BJ208" s="119">
        <f t="shared" si="65"/>
        <v>0</v>
      </c>
      <c r="BK208" s="120">
        <f t="shared" si="66"/>
        <v>0</v>
      </c>
      <c r="BL208" s="119">
        <f t="shared" si="67"/>
        <v>0</v>
      </c>
      <c r="BM208" s="4"/>
      <c r="BN208" s="122">
        <v>-165.28999999999996</v>
      </c>
      <c r="BO208" s="117"/>
      <c r="BP208" s="118">
        <v>-165.28999999999996</v>
      </c>
      <c r="BQ208" s="119">
        <v>0</v>
      </c>
      <c r="BR208" s="120"/>
      <c r="BS208" s="118">
        <v>0</v>
      </c>
      <c r="BT208" s="119">
        <v>0</v>
      </c>
      <c r="BU208" s="118">
        <v>0</v>
      </c>
      <c r="BV208" s="119">
        <v>0</v>
      </c>
      <c r="BW208" s="118">
        <v>0</v>
      </c>
      <c r="BX208" s="119">
        <v>0</v>
      </c>
      <c r="BY208" s="118">
        <v>0</v>
      </c>
      <c r="BZ208" s="119">
        <v>0</v>
      </c>
      <c r="CA208" s="120"/>
      <c r="CB208" s="118">
        <v>0</v>
      </c>
      <c r="CC208" s="119">
        <v>0</v>
      </c>
      <c r="CD208" s="118">
        <v>0</v>
      </c>
      <c r="CE208" s="119">
        <v>0</v>
      </c>
      <c r="CF208" s="118">
        <v>0</v>
      </c>
      <c r="CG208" s="119">
        <v>0</v>
      </c>
      <c r="CH208" s="118">
        <v>0</v>
      </c>
      <c r="CI208" s="119">
        <v>0</v>
      </c>
      <c r="CJ208" s="4"/>
      <c r="CK208" s="79"/>
      <c r="CL208" s="5"/>
      <c r="CM208" s="39" t="str">
        <f t="shared" si="68"/>
        <v>-</v>
      </c>
      <c r="CN208" s="5"/>
      <c r="CO208" s="39" t="str">
        <f t="shared" si="69"/>
        <v>-</v>
      </c>
      <c r="CP208" s="39" t="str">
        <f t="shared" si="70"/>
        <v>-</v>
      </c>
      <c r="CQ208" s="39" t="str">
        <f t="shared" si="78"/>
        <v>-</v>
      </c>
      <c r="CR208" s="39" t="str">
        <f t="shared" si="78"/>
        <v>-</v>
      </c>
      <c r="CS208" s="5"/>
      <c r="CT208" s="39" t="str">
        <f t="shared" si="72"/>
        <v>-</v>
      </c>
      <c r="CU208" s="39" t="str">
        <f t="shared" si="73"/>
        <v>-</v>
      </c>
      <c r="CV208" s="39" t="str">
        <f t="shared" si="74"/>
        <v>-</v>
      </c>
      <c r="CW208" s="39" t="str">
        <f t="shared" si="75"/>
        <v>-</v>
      </c>
    </row>
    <row r="209" spans="2:101" s="4" customFormat="1" ht="12.75" customHeight="1">
      <c r="B209" s="102" t="s">
        <v>181</v>
      </c>
      <c r="C209" s="103" t="s">
        <v>164</v>
      </c>
      <c r="D209" s="104" t="e">
        <f>VLOOKUP($C209,#REF!,5,0)</f>
        <v>#REF!</v>
      </c>
      <c r="E209" s="109" t="e">
        <f>VLOOKUP($C209,#REF!,6,0)</f>
        <v>#REF!</v>
      </c>
      <c r="F209" s="103" t="e">
        <f>VLOOKUP($C209,#REF!,7,0)</f>
        <v>#REF!</v>
      </c>
      <c r="G209" s="103" t="e">
        <f>VLOOKUP($C209,#REF!,8,0)</f>
        <v>#REF!</v>
      </c>
      <c r="H209" s="110" t="e">
        <f>VLOOKUP($C209,#REF!,9,0)</f>
        <v>#REF!</v>
      </c>
      <c r="I209" s="5"/>
      <c r="J209" s="105" t="e">
        <f>VLOOKUP($C209,#REF!,10,0)</f>
        <v>#REF!</v>
      </c>
      <c r="K209" s="106" t="e">
        <f>VLOOKUP($C209,#REF!,11,0)</f>
        <v>#REF!</v>
      </c>
      <c r="L209" s="34"/>
      <c r="M209" s="105" t="e">
        <f>VLOOKUP($C209,#REF!,12,0)</f>
        <v>#REF!</v>
      </c>
      <c r="N209" s="34" t="e">
        <f>VLOOKUP($C209,#REF!,13,0)</f>
        <v>#REF!</v>
      </c>
      <c r="O209" s="105" t="e">
        <f>VLOOKUP($C209,#REF!,14,0)</f>
        <v>#REF!</v>
      </c>
      <c r="P209" s="34" t="e">
        <f>VLOOKUP($C209,#REF!,15,0)</f>
        <v>#REF!</v>
      </c>
      <c r="Q209" s="105" t="e">
        <f>VLOOKUP($C209,#REF!,16,0)</f>
        <v>#REF!</v>
      </c>
      <c r="R209" s="106" t="e">
        <f>VLOOKUP($C209,#REF!,17,0)</f>
        <v>#REF!</v>
      </c>
      <c r="S209" s="34" t="e">
        <f>VLOOKUP($C209,#REF!,18,0)</f>
        <v>#REF!</v>
      </c>
      <c r="T209" s="106" t="e">
        <f>VLOOKUP($C209,#REF!,19,0)</f>
        <v>#REF!</v>
      </c>
      <c r="U209" s="34"/>
      <c r="V209" s="105" t="e">
        <f>VLOOKUP($C209,#REF!,20,0)</f>
        <v>#REF!</v>
      </c>
      <c r="W209" s="34" t="e">
        <f>VLOOKUP($C209,#REF!,21,0)</f>
        <v>#REF!</v>
      </c>
      <c r="X209" s="105" t="e">
        <f>VLOOKUP($C209,#REF!,22,0)</f>
        <v>#REF!</v>
      </c>
      <c r="Y209" s="34" t="e">
        <f>VLOOKUP($C209,#REF!,23,0)</f>
        <v>#REF!</v>
      </c>
      <c r="Z209" s="105" t="e">
        <f>VLOOKUP($C209,#REF!,24,0)</f>
        <v>#REF!</v>
      </c>
      <c r="AA209" s="106" t="e">
        <f>VLOOKUP($C209,#REF!,25,0)</f>
        <v>#REF!</v>
      </c>
      <c r="AB209" s="34" t="e">
        <f>VLOOKUP($C209,#REF!,26,0)</f>
        <v>#REF!</v>
      </c>
      <c r="AC209" s="106" t="e">
        <f>VLOOKUP($C209,#REF!,27,0)</f>
        <v>#REF!</v>
      </c>
      <c r="AE209" s="105" t="e">
        <f t="shared" si="53"/>
        <v>#REF!</v>
      </c>
      <c r="AF209" s="107" t="s">
        <v>320</v>
      </c>
      <c r="AG209" s="107" t="s">
        <v>321</v>
      </c>
      <c r="AH209" s="106" t="s">
        <v>322</v>
      </c>
      <c r="AJ209" s="105" t="s">
        <v>323</v>
      </c>
      <c r="AK209" s="107" t="s">
        <v>324</v>
      </c>
      <c r="AL209" s="107" t="s">
        <v>325</v>
      </c>
      <c r="AM209" s="107" t="s">
        <v>326</v>
      </c>
      <c r="AN209" s="107" t="s">
        <v>326</v>
      </c>
      <c r="AO209" s="106" t="s">
        <v>320</v>
      </c>
      <c r="AQ209" s="108">
        <v>29</v>
      </c>
      <c r="AR209" s="5"/>
      <c r="AS209" s="105">
        <v>0</v>
      </c>
      <c r="AT209" s="106">
        <v>0</v>
      </c>
      <c r="AU209" s="34"/>
      <c r="AV209" s="105">
        <f t="shared" si="76"/>
        <v>0</v>
      </c>
      <c r="AW209" s="106">
        <f t="shared" si="77"/>
        <v>0</v>
      </c>
      <c r="AX209" s="105">
        <f t="shared" si="54"/>
        <v>0</v>
      </c>
      <c r="AY209" s="106">
        <f t="shared" si="55"/>
        <v>0</v>
      </c>
      <c r="AZ209" s="105">
        <f t="shared" si="56"/>
        <v>0</v>
      </c>
      <c r="BA209" s="106">
        <f t="shared" si="57"/>
        <v>0</v>
      </c>
      <c r="BB209" s="34">
        <f t="shared" si="58"/>
        <v>0</v>
      </c>
      <c r="BC209" s="106">
        <f t="shared" si="59"/>
        <v>0</v>
      </c>
      <c r="BD209" s="34"/>
      <c r="BE209" s="105">
        <f t="shared" si="60"/>
        <v>0</v>
      </c>
      <c r="BF209" s="106">
        <f t="shared" si="61"/>
        <v>0</v>
      </c>
      <c r="BG209" s="105">
        <f t="shared" si="62"/>
        <v>0</v>
      </c>
      <c r="BH209" s="106">
        <f t="shared" si="63"/>
        <v>0</v>
      </c>
      <c r="BI209" s="34">
        <f t="shared" si="64"/>
        <v>0</v>
      </c>
      <c r="BJ209" s="106">
        <f t="shared" si="65"/>
        <v>0</v>
      </c>
      <c r="BK209" s="34">
        <f t="shared" si="66"/>
        <v>0</v>
      </c>
      <c r="BL209" s="106">
        <f t="shared" si="67"/>
        <v>0</v>
      </c>
      <c r="BN209" s="108">
        <v>-16.53</v>
      </c>
      <c r="BO209" s="5"/>
      <c r="BP209" s="105">
        <v>-16.53</v>
      </c>
      <c r="BQ209" s="106">
        <v>0</v>
      </c>
      <c r="BR209" s="34"/>
      <c r="BS209" s="105">
        <v>0</v>
      </c>
      <c r="BT209" s="106">
        <v>0</v>
      </c>
      <c r="BU209" s="105">
        <v>0</v>
      </c>
      <c r="BV209" s="106">
        <v>0</v>
      </c>
      <c r="BW209" s="105">
        <v>0</v>
      </c>
      <c r="BX209" s="106">
        <v>0</v>
      </c>
      <c r="BY209" s="105">
        <v>0</v>
      </c>
      <c r="BZ209" s="106">
        <v>0</v>
      </c>
      <c r="CA209" s="34"/>
      <c r="CB209" s="105">
        <v>0</v>
      </c>
      <c r="CC209" s="106">
        <v>0</v>
      </c>
      <c r="CD209" s="105">
        <v>0</v>
      </c>
      <c r="CE209" s="106">
        <v>0</v>
      </c>
      <c r="CF209" s="105">
        <v>0</v>
      </c>
      <c r="CG209" s="106">
        <v>0</v>
      </c>
      <c r="CH209" s="105">
        <v>0</v>
      </c>
      <c r="CI209" s="106">
        <v>0</v>
      </c>
      <c r="CK209" s="78"/>
      <c r="CL209" s="5"/>
      <c r="CM209" s="38" t="str">
        <f t="shared" si="68"/>
        <v>-</v>
      </c>
      <c r="CN209" s="5"/>
      <c r="CO209" s="38" t="str">
        <f t="shared" si="69"/>
        <v>-</v>
      </c>
      <c r="CP209" s="38" t="str">
        <f t="shared" si="70"/>
        <v>-</v>
      </c>
      <c r="CQ209" s="38" t="str">
        <f t="shared" si="78"/>
        <v>-</v>
      </c>
      <c r="CR209" s="38" t="str">
        <f t="shared" si="78"/>
        <v>-</v>
      </c>
      <c r="CS209" s="5"/>
      <c r="CT209" s="38" t="str">
        <f t="shared" si="72"/>
        <v>-</v>
      </c>
      <c r="CU209" s="38" t="str">
        <f t="shared" si="73"/>
        <v>-</v>
      </c>
      <c r="CV209" s="38" t="str">
        <f t="shared" si="74"/>
        <v>-</v>
      </c>
      <c r="CW209" s="38" t="str">
        <f t="shared" si="75"/>
        <v>-</v>
      </c>
    </row>
    <row r="210" spans="2:101" s="113" customFormat="1" ht="12.75" customHeight="1">
      <c r="B210" s="99" t="s">
        <v>59</v>
      </c>
      <c r="C210" s="98" t="s">
        <v>221</v>
      </c>
      <c r="D210" s="114" t="e">
        <f>VLOOKUP($C210,#REF!,5,0)</f>
        <v>#REF!</v>
      </c>
      <c r="E210" s="115" t="e">
        <f>VLOOKUP($C210,#REF!,6,0)</f>
        <v>#REF!</v>
      </c>
      <c r="F210" s="98" t="e">
        <f>VLOOKUP($C210,#REF!,7,0)</f>
        <v>#REF!</v>
      </c>
      <c r="G210" s="98" t="e">
        <f>VLOOKUP($C210,#REF!,8,0)</f>
        <v>#REF!</v>
      </c>
      <c r="H210" s="116" t="e">
        <f>VLOOKUP($C210,#REF!,9,0)</f>
        <v>#REF!</v>
      </c>
      <c r="I210" s="5"/>
      <c r="J210" s="118" t="e">
        <f>VLOOKUP($C210,#REF!,10,0)</f>
        <v>#REF!</v>
      </c>
      <c r="K210" s="119" t="e">
        <f>VLOOKUP($C210,#REF!,11,0)</f>
        <v>#REF!</v>
      </c>
      <c r="L210" s="34"/>
      <c r="M210" s="118" t="e">
        <f>VLOOKUP($C210,#REF!,12,0)</f>
        <v>#REF!</v>
      </c>
      <c r="N210" s="120" t="e">
        <f>VLOOKUP($C210,#REF!,13,0)</f>
        <v>#REF!</v>
      </c>
      <c r="O210" s="118" t="e">
        <f>VLOOKUP($C210,#REF!,14,0)</f>
        <v>#REF!</v>
      </c>
      <c r="P210" s="120" t="e">
        <f>VLOOKUP($C210,#REF!,15,0)</f>
        <v>#REF!</v>
      </c>
      <c r="Q210" s="118" t="e">
        <f>VLOOKUP($C210,#REF!,16,0)</f>
        <v>#REF!</v>
      </c>
      <c r="R210" s="119" t="e">
        <f>VLOOKUP($C210,#REF!,17,0)</f>
        <v>#REF!</v>
      </c>
      <c r="S210" s="120" t="e">
        <f>VLOOKUP($C210,#REF!,18,0)</f>
        <v>#REF!</v>
      </c>
      <c r="T210" s="119" t="e">
        <f>VLOOKUP($C210,#REF!,19,0)</f>
        <v>#REF!</v>
      </c>
      <c r="U210" s="34"/>
      <c r="V210" s="118" t="e">
        <f>VLOOKUP($C210,#REF!,20,0)</f>
        <v>#REF!</v>
      </c>
      <c r="W210" s="120" t="e">
        <f>VLOOKUP($C210,#REF!,21,0)</f>
        <v>#REF!</v>
      </c>
      <c r="X210" s="118" t="e">
        <f>VLOOKUP($C210,#REF!,22,0)</f>
        <v>#REF!</v>
      </c>
      <c r="Y210" s="120" t="e">
        <f>VLOOKUP($C210,#REF!,23,0)</f>
        <v>#REF!</v>
      </c>
      <c r="Z210" s="118" t="e">
        <f>VLOOKUP($C210,#REF!,24,0)</f>
        <v>#REF!</v>
      </c>
      <c r="AA210" s="119" t="e">
        <f>VLOOKUP($C210,#REF!,25,0)</f>
        <v>#REF!</v>
      </c>
      <c r="AB210" s="120" t="e">
        <f>VLOOKUP($C210,#REF!,26,0)</f>
        <v>#REF!</v>
      </c>
      <c r="AC210" s="119" t="e">
        <f>VLOOKUP($C210,#REF!,27,0)</f>
        <v>#REF!</v>
      </c>
      <c r="AD210" s="4"/>
      <c r="AE210" s="118" t="e">
        <f t="shared" si="53"/>
        <v>#REF!</v>
      </c>
      <c r="AF210" s="121" t="s">
        <v>320</v>
      </c>
      <c r="AG210" s="121" t="s">
        <v>321</v>
      </c>
      <c r="AH210" s="119" t="s">
        <v>322</v>
      </c>
      <c r="AI210" s="4"/>
      <c r="AJ210" s="118" t="s">
        <v>323</v>
      </c>
      <c r="AK210" s="121" t="s">
        <v>324</v>
      </c>
      <c r="AL210" s="121" t="s">
        <v>325</v>
      </c>
      <c r="AM210" s="121" t="s">
        <v>326</v>
      </c>
      <c r="AN210" s="121" t="s">
        <v>326</v>
      </c>
      <c r="AO210" s="119" t="s">
        <v>320</v>
      </c>
      <c r="AP210" s="4"/>
      <c r="AQ210" s="122"/>
      <c r="AR210" s="5"/>
      <c r="AS210" s="118">
        <v>0</v>
      </c>
      <c r="AT210" s="119">
        <v>0</v>
      </c>
      <c r="AU210" s="34"/>
      <c r="AV210" s="118">
        <f t="shared" si="76"/>
        <v>0</v>
      </c>
      <c r="AW210" s="119">
        <f t="shared" si="77"/>
        <v>0</v>
      </c>
      <c r="AX210" s="118">
        <f t="shared" si="54"/>
        <v>0</v>
      </c>
      <c r="AY210" s="119">
        <f t="shared" si="55"/>
        <v>0</v>
      </c>
      <c r="AZ210" s="118">
        <f t="shared" si="56"/>
        <v>0</v>
      </c>
      <c r="BA210" s="119">
        <f t="shared" si="57"/>
        <v>0</v>
      </c>
      <c r="BB210" s="120">
        <f t="shared" si="58"/>
        <v>0</v>
      </c>
      <c r="BC210" s="119">
        <f t="shared" si="59"/>
        <v>0</v>
      </c>
      <c r="BD210" s="34"/>
      <c r="BE210" s="118">
        <f t="shared" si="60"/>
        <v>0</v>
      </c>
      <c r="BF210" s="119">
        <f t="shared" si="61"/>
        <v>0</v>
      </c>
      <c r="BG210" s="118">
        <f t="shared" si="62"/>
        <v>0</v>
      </c>
      <c r="BH210" s="119">
        <f t="shared" si="63"/>
        <v>0</v>
      </c>
      <c r="BI210" s="120">
        <f t="shared" si="64"/>
        <v>0</v>
      </c>
      <c r="BJ210" s="119">
        <f t="shared" si="65"/>
        <v>0</v>
      </c>
      <c r="BK210" s="120">
        <f t="shared" si="66"/>
        <v>0</v>
      </c>
      <c r="BL210" s="119">
        <f t="shared" si="67"/>
        <v>0</v>
      </c>
      <c r="BM210" s="4"/>
      <c r="BN210" s="122"/>
      <c r="BO210" s="117"/>
      <c r="BP210" s="118"/>
      <c r="BQ210" s="119"/>
      <c r="BR210" s="120"/>
      <c r="BS210" s="118"/>
      <c r="BT210" s="119"/>
      <c r="BU210" s="118"/>
      <c r="BV210" s="119"/>
      <c r="BW210" s="118"/>
      <c r="BX210" s="119"/>
      <c r="BY210" s="118"/>
      <c r="BZ210" s="119"/>
      <c r="CA210" s="120"/>
      <c r="CB210" s="118"/>
      <c r="CC210" s="119"/>
      <c r="CD210" s="118"/>
      <c r="CE210" s="119"/>
      <c r="CF210" s="118"/>
      <c r="CG210" s="119"/>
      <c r="CH210" s="118"/>
      <c r="CI210" s="119"/>
      <c r="CJ210" s="4"/>
      <c r="CK210" s="79"/>
      <c r="CL210" s="5"/>
      <c r="CM210" s="39" t="str">
        <f t="shared" si="68"/>
        <v>-</v>
      </c>
      <c r="CN210" s="5"/>
      <c r="CO210" s="39" t="str">
        <f t="shared" si="69"/>
        <v>-</v>
      </c>
      <c r="CP210" s="39" t="str">
        <f t="shared" si="70"/>
        <v>-</v>
      </c>
      <c r="CQ210" s="39" t="str">
        <f t="shared" si="78"/>
        <v>-</v>
      </c>
      <c r="CR210" s="39" t="str">
        <f t="shared" si="78"/>
        <v>-</v>
      </c>
      <c r="CS210" s="5"/>
      <c r="CT210" s="39" t="str">
        <f t="shared" si="72"/>
        <v>-</v>
      </c>
      <c r="CU210" s="39" t="str">
        <f t="shared" si="73"/>
        <v>-</v>
      </c>
      <c r="CV210" s="39" t="str">
        <f t="shared" si="74"/>
        <v>-</v>
      </c>
      <c r="CW210" s="39" t="str">
        <f t="shared" si="75"/>
        <v>-</v>
      </c>
    </row>
    <row r="211" spans="2:101" s="4" customFormat="1" ht="12.75" customHeight="1">
      <c r="B211" s="102" t="s">
        <v>180</v>
      </c>
      <c r="C211" s="103" t="s">
        <v>165</v>
      </c>
      <c r="D211" s="104" t="e">
        <f>VLOOKUP($C211,#REF!,5,0)</f>
        <v>#REF!</v>
      </c>
      <c r="E211" s="109" t="e">
        <f>VLOOKUP($C211,#REF!,6,0)</f>
        <v>#REF!</v>
      </c>
      <c r="F211" s="103" t="e">
        <f>VLOOKUP($C211,#REF!,7,0)</f>
        <v>#REF!</v>
      </c>
      <c r="G211" s="103" t="e">
        <f>VLOOKUP($C211,#REF!,8,0)</f>
        <v>#REF!</v>
      </c>
      <c r="H211" s="110" t="e">
        <f>VLOOKUP($C211,#REF!,9,0)</f>
        <v>#REF!</v>
      </c>
      <c r="I211" s="5"/>
      <c r="J211" s="105" t="e">
        <f>VLOOKUP($C211,#REF!,10,0)</f>
        <v>#REF!</v>
      </c>
      <c r="K211" s="106" t="e">
        <f>VLOOKUP($C211,#REF!,11,0)</f>
        <v>#REF!</v>
      </c>
      <c r="L211" s="34"/>
      <c r="M211" s="105" t="e">
        <f>VLOOKUP($C211,#REF!,12,0)</f>
        <v>#REF!</v>
      </c>
      <c r="N211" s="34" t="e">
        <f>VLOOKUP($C211,#REF!,13,0)</f>
        <v>#REF!</v>
      </c>
      <c r="O211" s="105" t="e">
        <f>VLOOKUP($C211,#REF!,14,0)</f>
        <v>#REF!</v>
      </c>
      <c r="P211" s="34" t="e">
        <f>VLOOKUP($C211,#REF!,15,0)</f>
        <v>#REF!</v>
      </c>
      <c r="Q211" s="105" t="e">
        <f>VLOOKUP($C211,#REF!,16,0)</f>
        <v>#REF!</v>
      </c>
      <c r="R211" s="106" t="e">
        <f>VLOOKUP($C211,#REF!,17,0)</f>
        <v>#REF!</v>
      </c>
      <c r="S211" s="34" t="e">
        <f>VLOOKUP($C211,#REF!,18,0)</f>
        <v>#REF!</v>
      </c>
      <c r="T211" s="106" t="e">
        <f>VLOOKUP($C211,#REF!,19,0)</f>
        <v>#REF!</v>
      </c>
      <c r="U211" s="34"/>
      <c r="V211" s="105" t="e">
        <f>VLOOKUP($C211,#REF!,20,0)</f>
        <v>#REF!</v>
      </c>
      <c r="W211" s="34" t="e">
        <f>VLOOKUP($C211,#REF!,21,0)</f>
        <v>#REF!</v>
      </c>
      <c r="X211" s="105" t="e">
        <f>VLOOKUP($C211,#REF!,22,0)</f>
        <v>#REF!</v>
      </c>
      <c r="Y211" s="34" t="e">
        <f>VLOOKUP($C211,#REF!,23,0)</f>
        <v>#REF!</v>
      </c>
      <c r="Z211" s="105" t="e">
        <f>VLOOKUP($C211,#REF!,24,0)</f>
        <v>#REF!</v>
      </c>
      <c r="AA211" s="106" t="e">
        <f>VLOOKUP($C211,#REF!,25,0)</f>
        <v>#REF!</v>
      </c>
      <c r="AB211" s="34" t="e">
        <f>VLOOKUP($C211,#REF!,26,0)</f>
        <v>#REF!</v>
      </c>
      <c r="AC211" s="106" t="e">
        <f>VLOOKUP($C211,#REF!,27,0)</f>
        <v>#REF!</v>
      </c>
      <c r="AE211" s="105" t="e">
        <f t="shared" si="53"/>
        <v>#REF!</v>
      </c>
      <c r="AF211" s="107" t="s">
        <v>320</v>
      </c>
      <c r="AG211" s="107" t="s">
        <v>321</v>
      </c>
      <c r="AH211" s="106" t="s">
        <v>322</v>
      </c>
      <c r="AJ211" s="105" t="s">
        <v>323</v>
      </c>
      <c r="AK211" s="107" t="s">
        <v>324</v>
      </c>
      <c r="AL211" s="107" t="s">
        <v>325</v>
      </c>
      <c r="AM211" s="107" t="s">
        <v>326</v>
      </c>
      <c r="AN211" s="107" t="s">
        <v>326</v>
      </c>
      <c r="AO211" s="106" t="s">
        <v>320</v>
      </c>
      <c r="AQ211" s="108">
        <v>0</v>
      </c>
      <c r="AR211" s="5"/>
      <c r="AS211" s="105">
        <v>0</v>
      </c>
      <c r="AT211" s="106">
        <v>0</v>
      </c>
      <c r="AU211" s="34"/>
      <c r="AV211" s="105">
        <f t="shared" si="76"/>
        <v>0</v>
      </c>
      <c r="AW211" s="106">
        <f t="shared" si="77"/>
        <v>0</v>
      </c>
      <c r="AX211" s="105">
        <f t="shared" si="54"/>
        <v>0</v>
      </c>
      <c r="AY211" s="106">
        <f t="shared" si="55"/>
        <v>0</v>
      </c>
      <c r="AZ211" s="105">
        <f t="shared" si="56"/>
        <v>0</v>
      </c>
      <c r="BA211" s="106">
        <f t="shared" si="57"/>
        <v>0</v>
      </c>
      <c r="BB211" s="34">
        <f t="shared" si="58"/>
        <v>0</v>
      </c>
      <c r="BC211" s="106">
        <f t="shared" si="59"/>
        <v>0</v>
      </c>
      <c r="BD211" s="34"/>
      <c r="BE211" s="105">
        <f t="shared" si="60"/>
        <v>0</v>
      </c>
      <c r="BF211" s="106">
        <f t="shared" si="61"/>
        <v>0</v>
      </c>
      <c r="BG211" s="105">
        <f t="shared" si="62"/>
        <v>0</v>
      </c>
      <c r="BH211" s="106">
        <f t="shared" si="63"/>
        <v>0</v>
      </c>
      <c r="BI211" s="34">
        <f t="shared" si="64"/>
        <v>0</v>
      </c>
      <c r="BJ211" s="106">
        <f t="shared" si="65"/>
        <v>0</v>
      </c>
      <c r="BK211" s="34">
        <f t="shared" si="66"/>
        <v>0</v>
      </c>
      <c r="BL211" s="106">
        <f t="shared" si="67"/>
        <v>0</v>
      </c>
      <c r="BN211" s="108">
        <v>0</v>
      </c>
      <c r="BO211" s="5"/>
      <c r="BP211" s="105">
        <v>0</v>
      </c>
      <c r="BQ211" s="106">
        <v>0</v>
      </c>
      <c r="BR211" s="34"/>
      <c r="BS211" s="105">
        <v>0</v>
      </c>
      <c r="BT211" s="106">
        <v>0</v>
      </c>
      <c r="BU211" s="105">
        <v>0</v>
      </c>
      <c r="BV211" s="106">
        <v>0</v>
      </c>
      <c r="BW211" s="105">
        <v>0</v>
      </c>
      <c r="BX211" s="106">
        <v>0</v>
      </c>
      <c r="BY211" s="105">
        <v>0</v>
      </c>
      <c r="BZ211" s="106">
        <v>0</v>
      </c>
      <c r="CA211" s="34"/>
      <c r="CB211" s="105">
        <v>0</v>
      </c>
      <c r="CC211" s="106">
        <v>0</v>
      </c>
      <c r="CD211" s="105">
        <v>0</v>
      </c>
      <c r="CE211" s="106">
        <v>0</v>
      </c>
      <c r="CF211" s="105">
        <v>0</v>
      </c>
      <c r="CG211" s="106">
        <v>0</v>
      </c>
      <c r="CH211" s="105">
        <v>0</v>
      </c>
      <c r="CI211" s="106">
        <v>0</v>
      </c>
      <c r="CK211" s="78"/>
      <c r="CL211" s="5"/>
      <c r="CM211" s="38" t="str">
        <f t="shared" si="68"/>
        <v>-</v>
      </c>
      <c r="CN211" s="5"/>
      <c r="CO211" s="38" t="str">
        <f t="shared" si="69"/>
        <v>-</v>
      </c>
      <c r="CP211" s="38" t="str">
        <f t="shared" si="70"/>
        <v>-</v>
      </c>
      <c r="CQ211" s="38" t="str">
        <f t="shared" si="78"/>
        <v>-</v>
      </c>
      <c r="CR211" s="38" t="str">
        <f t="shared" si="78"/>
        <v>-</v>
      </c>
      <c r="CS211" s="5"/>
      <c r="CT211" s="38" t="str">
        <f t="shared" si="72"/>
        <v>-</v>
      </c>
      <c r="CU211" s="38" t="str">
        <f t="shared" si="73"/>
        <v>-</v>
      </c>
      <c r="CV211" s="38" t="str">
        <f t="shared" si="74"/>
        <v>-</v>
      </c>
      <c r="CW211" s="38" t="str">
        <f t="shared" si="75"/>
        <v>-</v>
      </c>
    </row>
    <row r="212" spans="2:101" s="113" customFormat="1" ht="12.75" customHeight="1">
      <c r="B212" s="99" t="s">
        <v>182</v>
      </c>
      <c r="C212" s="98" t="s">
        <v>166</v>
      </c>
      <c r="D212" s="114" t="e">
        <f>VLOOKUP($C212,#REF!,5,0)</f>
        <v>#REF!</v>
      </c>
      <c r="E212" s="115" t="e">
        <f>VLOOKUP($C212,#REF!,6,0)</f>
        <v>#REF!</v>
      </c>
      <c r="F212" s="98" t="e">
        <f>VLOOKUP($C212,#REF!,7,0)</f>
        <v>#REF!</v>
      </c>
      <c r="G212" s="98" t="e">
        <f>VLOOKUP($C212,#REF!,8,0)</f>
        <v>#REF!</v>
      </c>
      <c r="H212" s="116" t="e">
        <f>VLOOKUP($C212,#REF!,9,0)</f>
        <v>#REF!</v>
      </c>
      <c r="I212" s="5"/>
      <c r="J212" s="118" t="e">
        <f>VLOOKUP($C212,#REF!,10,0)</f>
        <v>#REF!</v>
      </c>
      <c r="K212" s="119" t="e">
        <f>VLOOKUP($C212,#REF!,11,0)</f>
        <v>#REF!</v>
      </c>
      <c r="L212" s="34"/>
      <c r="M212" s="118" t="e">
        <f>VLOOKUP($C212,#REF!,12,0)</f>
        <v>#REF!</v>
      </c>
      <c r="N212" s="120" t="e">
        <f>VLOOKUP($C212,#REF!,13,0)</f>
        <v>#REF!</v>
      </c>
      <c r="O212" s="118" t="e">
        <f>VLOOKUP($C212,#REF!,14,0)</f>
        <v>#REF!</v>
      </c>
      <c r="P212" s="120" t="e">
        <f>VLOOKUP($C212,#REF!,15,0)</f>
        <v>#REF!</v>
      </c>
      <c r="Q212" s="118" t="e">
        <f>VLOOKUP($C212,#REF!,16,0)</f>
        <v>#REF!</v>
      </c>
      <c r="R212" s="119" t="e">
        <f>VLOOKUP($C212,#REF!,17,0)</f>
        <v>#REF!</v>
      </c>
      <c r="S212" s="120" t="e">
        <f>VLOOKUP($C212,#REF!,18,0)</f>
        <v>#REF!</v>
      </c>
      <c r="T212" s="119" t="e">
        <f>VLOOKUP($C212,#REF!,19,0)</f>
        <v>#REF!</v>
      </c>
      <c r="U212" s="34"/>
      <c r="V212" s="118" t="e">
        <f>VLOOKUP($C212,#REF!,20,0)</f>
        <v>#REF!</v>
      </c>
      <c r="W212" s="120" t="e">
        <f>VLOOKUP($C212,#REF!,21,0)</f>
        <v>#REF!</v>
      </c>
      <c r="X212" s="118" t="e">
        <f>VLOOKUP($C212,#REF!,22,0)</f>
        <v>#REF!</v>
      </c>
      <c r="Y212" s="120" t="e">
        <f>VLOOKUP($C212,#REF!,23,0)</f>
        <v>#REF!</v>
      </c>
      <c r="Z212" s="118" t="e">
        <f>VLOOKUP($C212,#REF!,24,0)</f>
        <v>#REF!</v>
      </c>
      <c r="AA212" s="119" t="e">
        <f>VLOOKUP($C212,#REF!,25,0)</f>
        <v>#REF!</v>
      </c>
      <c r="AB212" s="120" t="e">
        <f>VLOOKUP($C212,#REF!,26,0)</f>
        <v>#REF!</v>
      </c>
      <c r="AC212" s="119" t="e">
        <f>VLOOKUP($C212,#REF!,27,0)</f>
        <v>#REF!</v>
      </c>
      <c r="AD212" s="4"/>
      <c r="AE212" s="118" t="e">
        <f t="shared" si="53"/>
        <v>#REF!</v>
      </c>
      <c r="AF212" s="121" t="s">
        <v>320</v>
      </c>
      <c r="AG212" s="121" t="s">
        <v>321</v>
      </c>
      <c r="AH212" s="119" t="s">
        <v>322</v>
      </c>
      <c r="AI212" s="4"/>
      <c r="AJ212" s="118" t="s">
        <v>323</v>
      </c>
      <c r="AK212" s="121" t="s">
        <v>324</v>
      </c>
      <c r="AL212" s="121" t="s">
        <v>325</v>
      </c>
      <c r="AM212" s="121" t="s">
        <v>326</v>
      </c>
      <c r="AN212" s="121" t="s">
        <v>326</v>
      </c>
      <c r="AO212" s="119" t="s">
        <v>320</v>
      </c>
      <c r="AP212" s="4"/>
      <c r="AQ212" s="122">
        <v>1</v>
      </c>
      <c r="AR212" s="5"/>
      <c r="AS212" s="118">
        <v>0</v>
      </c>
      <c r="AT212" s="119">
        <v>0</v>
      </c>
      <c r="AU212" s="34"/>
      <c r="AV212" s="118">
        <f t="shared" si="76"/>
        <v>0</v>
      </c>
      <c r="AW212" s="119">
        <f t="shared" si="77"/>
        <v>0</v>
      </c>
      <c r="AX212" s="118">
        <f t="shared" si="54"/>
        <v>0</v>
      </c>
      <c r="AY212" s="119">
        <f t="shared" si="55"/>
        <v>0</v>
      </c>
      <c r="AZ212" s="118">
        <f t="shared" si="56"/>
        <v>0</v>
      </c>
      <c r="BA212" s="119">
        <f t="shared" si="57"/>
        <v>0</v>
      </c>
      <c r="BB212" s="120">
        <f t="shared" si="58"/>
        <v>0</v>
      </c>
      <c r="BC212" s="119">
        <f t="shared" si="59"/>
        <v>0</v>
      </c>
      <c r="BD212" s="34"/>
      <c r="BE212" s="118">
        <f t="shared" si="60"/>
        <v>0</v>
      </c>
      <c r="BF212" s="119">
        <f t="shared" si="61"/>
        <v>0</v>
      </c>
      <c r="BG212" s="118">
        <f t="shared" si="62"/>
        <v>0</v>
      </c>
      <c r="BH212" s="119">
        <f t="shared" si="63"/>
        <v>0</v>
      </c>
      <c r="BI212" s="120">
        <f t="shared" si="64"/>
        <v>0</v>
      </c>
      <c r="BJ212" s="119">
        <f t="shared" si="65"/>
        <v>0</v>
      </c>
      <c r="BK212" s="120">
        <f t="shared" si="66"/>
        <v>0</v>
      </c>
      <c r="BL212" s="119">
        <f t="shared" si="67"/>
        <v>0</v>
      </c>
      <c r="BM212" s="4"/>
      <c r="BN212" s="122">
        <v>0</v>
      </c>
      <c r="BO212" s="117"/>
      <c r="BP212" s="118">
        <v>0</v>
      </c>
      <c r="BQ212" s="119">
        <v>0</v>
      </c>
      <c r="BR212" s="120"/>
      <c r="BS212" s="118">
        <v>0</v>
      </c>
      <c r="BT212" s="119">
        <v>0</v>
      </c>
      <c r="BU212" s="118">
        <v>0</v>
      </c>
      <c r="BV212" s="119">
        <v>0</v>
      </c>
      <c r="BW212" s="118">
        <v>0</v>
      </c>
      <c r="BX212" s="119">
        <v>0</v>
      </c>
      <c r="BY212" s="118">
        <v>0</v>
      </c>
      <c r="BZ212" s="119">
        <v>0</v>
      </c>
      <c r="CA212" s="120"/>
      <c r="CB212" s="118">
        <v>0</v>
      </c>
      <c r="CC212" s="119">
        <v>0</v>
      </c>
      <c r="CD212" s="118">
        <v>0</v>
      </c>
      <c r="CE212" s="119">
        <v>0</v>
      </c>
      <c r="CF212" s="118">
        <v>0</v>
      </c>
      <c r="CG212" s="119">
        <v>0</v>
      </c>
      <c r="CH212" s="118">
        <v>0</v>
      </c>
      <c r="CI212" s="119">
        <v>0</v>
      </c>
      <c r="CJ212" s="4"/>
      <c r="CK212" s="79"/>
      <c r="CL212" s="5"/>
      <c r="CM212" s="39" t="str">
        <f t="shared" si="68"/>
        <v>-</v>
      </c>
      <c r="CN212" s="5"/>
      <c r="CO212" s="39" t="str">
        <f t="shared" si="69"/>
        <v>-</v>
      </c>
      <c r="CP212" s="39" t="str">
        <f t="shared" si="70"/>
        <v>-</v>
      </c>
      <c r="CQ212" s="39" t="str">
        <f t="shared" si="78"/>
        <v>-</v>
      </c>
      <c r="CR212" s="39" t="str">
        <f t="shared" si="78"/>
        <v>-</v>
      </c>
      <c r="CS212" s="5"/>
      <c r="CT212" s="39" t="str">
        <f t="shared" si="72"/>
        <v>-</v>
      </c>
      <c r="CU212" s="39" t="str">
        <f t="shared" si="73"/>
        <v>-</v>
      </c>
      <c r="CV212" s="39" t="str">
        <f t="shared" si="74"/>
        <v>-</v>
      </c>
      <c r="CW212" s="39" t="str">
        <f t="shared" si="75"/>
        <v>-</v>
      </c>
    </row>
    <row r="213" spans="2:101" s="4" customFormat="1" ht="12.75" customHeight="1">
      <c r="B213" s="102" t="s">
        <v>314</v>
      </c>
      <c r="C213" s="103" t="s">
        <v>315</v>
      </c>
      <c r="D213" s="104" t="e">
        <f>VLOOKUP($C213,#REF!,5,0)</f>
        <v>#REF!</v>
      </c>
      <c r="E213" s="109" t="e">
        <f>VLOOKUP($C213,#REF!,6,0)</f>
        <v>#REF!</v>
      </c>
      <c r="F213" s="103" t="e">
        <f>VLOOKUP($C213,#REF!,7,0)</f>
        <v>#REF!</v>
      </c>
      <c r="G213" s="103" t="e">
        <f>VLOOKUP($C213,#REF!,8,0)</f>
        <v>#REF!</v>
      </c>
      <c r="H213" s="110" t="e">
        <f>VLOOKUP($C213,#REF!,9,0)</f>
        <v>#REF!</v>
      </c>
      <c r="I213" s="5"/>
      <c r="J213" s="105" t="e">
        <f>VLOOKUP($C213,#REF!,10,0)</f>
        <v>#REF!</v>
      </c>
      <c r="K213" s="106" t="e">
        <f>VLOOKUP($C213,#REF!,11,0)</f>
        <v>#REF!</v>
      </c>
      <c r="L213" s="34"/>
      <c r="M213" s="105" t="e">
        <f>VLOOKUP($C213,#REF!,12,0)</f>
        <v>#REF!</v>
      </c>
      <c r="N213" s="34" t="e">
        <f>VLOOKUP($C213,#REF!,13,0)</f>
        <v>#REF!</v>
      </c>
      <c r="O213" s="105" t="e">
        <f>VLOOKUP($C213,#REF!,14,0)</f>
        <v>#REF!</v>
      </c>
      <c r="P213" s="34" t="e">
        <f>VLOOKUP($C213,#REF!,15,0)</f>
        <v>#REF!</v>
      </c>
      <c r="Q213" s="105" t="e">
        <f>VLOOKUP($C213,#REF!,16,0)</f>
        <v>#REF!</v>
      </c>
      <c r="R213" s="106" t="e">
        <f>VLOOKUP($C213,#REF!,17,0)</f>
        <v>#REF!</v>
      </c>
      <c r="S213" s="34" t="e">
        <f>VLOOKUP($C213,#REF!,18,0)</f>
        <v>#REF!</v>
      </c>
      <c r="T213" s="106" t="e">
        <f>VLOOKUP($C213,#REF!,19,0)</f>
        <v>#REF!</v>
      </c>
      <c r="U213" s="34"/>
      <c r="V213" s="105" t="e">
        <f>VLOOKUP($C213,#REF!,20,0)</f>
        <v>#REF!</v>
      </c>
      <c r="W213" s="34" t="e">
        <f>VLOOKUP($C213,#REF!,21,0)</f>
        <v>#REF!</v>
      </c>
      <c r="X213" s="105" t="e">
        <f>VLOOKUP($C213,#REF!,22,0)</f>
        <v>#REF!</v>
      </c>
      <c r="Y213" s="34" t="e">
        <f>VLOOKUP($C213,#REF!,23,0)</f>
        <v>#REF!</v>
      </c>
      <c r="Z213" s="105" t="e">
        <f>VLOOKUP($C213,#REF!,24,0)</f>
        <v>#REF!</v>
      </c>
      <c r="AA213" s="106" t="e">
        <f>VLOOKUP($C213,#REF!,25,0)</f>
        <v>#REF!</v>
      </c>
      <c r="AB213" s="34" t="e">
        <f>VLOOKUP($C213,#REF!,26,0)</f>
        <v>#REF!</v>
      </c>
      <c r="AC213" s="106" t="e">
        <f>VLOOKUP($C213,#REF!,27,0)</f>
        <v>#REF!</v>
      </c>
      <c r="AE213" s="105" t="e">
        <f t="shared" si="53"/>
        <v>#REF!</v>
      </c>
      <c r="AF213" s="107" t="s">
        <v>320</v>
      </c>
      <c r="AG213" s="107" t="s">
        <v>321</v>
      </c>
      <c r="AH213" s="106" t="s">
        <v>322</v>
      </c>
      <c r="AJ213" s="105" t="s">
        <v>323</v>
      </c>
      <c r="AK213" s="107" t="s">
        <v>324</v>
      </c>
      <c r="AL213" s="107" t="s">
        <v>325</v>
      </c>
      <c r="AM213" s="107" t="s">
        <v>326</v>
      </c>
      <c r="AN213" s="107" t="s">
        <v>326</v>
      </c>
      <c r="AO213" s="106" t="s">
        <v>320</v>
      </c>
      <c r="AQ213" s="108">
        <v>0</v>
      </c>
      <c r="AR213" s="5"/>
      <c r="AS213" s="105">
        <v>0</v>
      </c>
      <c r="AT213" s="106">
        <v>0</v>
      </c>
      <c r="AU213" s="34"/>
      <c r="AV213" s="105">
        <f t="shared" si="76"/>
        <v>0</v>
      </c>
      <c r="AW213" s="106">
        <f t="shared" si="77"/>
        <v>0</v>
      </c>
      <c r="AX213" s="105">
        <f t="shared" si="54"/>
        <v>0</v>
      </c>
      <c r="AY213" s="106">
        <f t="shared" si="55"/>
        <v>0</v>
      </c>
      <c r="AZ213" s="105">
        <f t="shared" si="56"/>
        <v>0</v>
      </c>
      <c r="BA213" s="106">
        <f t="shared" si="57"/>
        <v>0</v>
      </c>
      <c r="BB213" s="34">
        <f t="shared" si="58"/>
        <v>0</v>
      </c>
      <c r="BC213" s="106">
        <f t="shared" si="59"/>
        <v>0</v>
      </c>
      <c r="BD213" s="34"/>
      <c r="BE213" s="105">
        <f t="shared" si="60"/>
        <v>0</v>
      </c>
      <c r="BF213" s="106">
        <f t="shared" si="61"/>
        <v>0</v>
      </c>
      <c r="BG213" s="105">
        <f t="shared" si="62"/>
        <v>0</v>
      </c>
      <c r="BH213" s="106">
        <f t="shared" si="63"/>
        <v>0</v>
      </c>
      <c r="BI213" s="34">
        <f t="shared" si="64"/>
        <v>0</v>
      </c>
      <c r="BJ213" s="106">
        <f t="shared" si="65"/>
        <v>0</v>
      </c>
      <c r="BK213" s="34">
        <f t="shared" si="66"/>
        <v>0</v>
      </c>
      <c r="BL213" s="106">
        <f t="shared" si="67"/>
        <v>0</v>
      </c>
      <c r="BN213" s="108">
        <v>0</v>
      </c>
      <c r="BO213" s="5"/>
      <c r="BP213" s="105">
        <v>0</v>
      </c>
      <c r="BQ213" s="106">
        <v>0</v>
      </c>
      <c r="BR213" s="34"/>
      <c r="BS213" s="105">
        <v>0</v>
      </c>
      <c r="BT213" s="106">
        <v>0</v>
      </c>
      <c r="BU213" s="105">
        <v>0</v>
      </c>
      <c r="BV213" s="106">
        <v>0</v>
      </c>
      <c r="BW213" s="105">
        <v>0</v>
      </c>
      <c r="BX213" s="106">
        <v>0</v>
      </c>
      <c r="BY213" s="105">
        <v>0</v>
      </c>
      <c r="BZ213" s="106">
        <v>0</v>
      </c>
      <c r="CA213" s="34"/>
      <c r="CB213" s="105">
        <v>0</v>
      </c>
      <c r="CC213" s="106">
        <v>0</v>
      </c>
      <c r="CD213" s="105">
        <v>0</v>
      </c>
      <c r="CE213" s="106">
        <v>0</v>
      </c>
      <c r="CF213" s="105">
        <v>0</v>
      </c>
      <c r="CG213" s="106">
        <v>0</v>
      </c>
      <c r="CH213" s="105">
        <v>0</v>
      </c>
      <c r="CI213" s="106">
        <v>0</v>
      </c>
      <c r="CK213" s="78"/>
      <c r="CL213" s="5"/>
      <c r="CM213" s="38" t="str">
        <f t="shared" si="68"/>
        <v>-</v>
      </c>
      <c r="CN213" s="5"/>
      <c r="CO213" s="38" t="str">
        <f t="shared" si="69"/>
        <v>-</v>
      </c>
      <c r="CP213" s="38" t="str">
        <f t="shared" si="70"/>
        <v>-</v>
      </c>
      <c r="CQ213" s="38" t="str">
        <f t="shared" si="78"/>
        <v>-</v>
      </c>
      <c r="CR213" s="38" t="str">
        <f t="shared" si="78"/>
        <v>-</v>
      </c>
      <c r="CS213" s="5"/>
      <c r="CT213" s="38" t="str">
        <f t="shared" si="72"/>
        <v>-</v>
      </c>
      <c r="CU213" s="38" t="str">
        <f t="shared" si="73"/>
        <v>-</v>
      </c>
      <c r="CV213" s="38" t="str">
        <f t="shared" si="74"/>
        <v>-</v>
      </c>
      <c r="CW213" s="38" t="str">
        <f t="shared" si="75"/>
        <v>-</v>
      </c>
    </row>
    <row r="214" spans="2:101" s="113" customFormat="1" ht="12.75" customHeight="1">
      <c r="B214" s="99" t="s">
        <v>186</v>
      </c>
      <c r="C214" s="98" t="s">
        <v>167</v>
      </c>
      <c r="D214" s="114" t="e">
        <f>VLOOKUP($C214,#REF!,5,0)</f>
        <v>#REF!</v>
      </c>
      <c r="E214" s="115" t="e">
        <f>VLOOKUP($C214,#REF!,6,0)</f>
        <v>#REF!</v>
      </c>
      <c r="F214" s="98" t="e">
        <f>VLOOKUP($C214,#REF!,7,0)</f>
        <v>#REF!</v>
      </c>
      <c r="G214" s="98" t="e">
        <f>VLOOKUP($C214,#REF!,8,0)</f>
        <v>#REF!</v>
      </c>
      <c r="H214" s="116" t="e">
        <f>VLOOKUP($C214,#REF!,9,0)</f>
        <v>#REF!</v>
      </c>
      <c r="I214" s="5"/>
      <c r="J214" s="118" t="e">
        <f>VLOOKUP($C214,#REF!,10,0)</f>
        <v>#REF!</v>
      </c>
      <c r="K214" s="119" t="e">
        <f>VLOOKUP($C214,#REF!,11,0)</f>
        <v>#REF!</v>
      </c>
      <c r="L214" s="34"/>
      <c r="M214" s="118" t="e">
        <f>VLOOKUP($C214,#REF!,12,0)</f>
        <v>#REF!</v>
      </c>
      <c r="N214" s="120" t="e">
        <f>VLOOKUP($C214,#REF!,13,0)</f>
        <v>#REF!</v>
      </c>
      <c r="O214" s="118" t="e">
        <f>VLOOKUP($C214,#REF!,14,0)</f>
        <v>#REF!</v>
      </c>
      <c r="P214" s="120" t="e">
        <f>VLOOKUP($C214,#REF!,15,0)</f>
        <v>#REF!</v>
      </c>
      <c r="Q214" s="118" t="e">
        <f>VLOOKUP($C214,#REF!,16,0)</f>
        <v>#REF!</v>
      </c>
      <c r="R214" s="119" t="e">
        <f>VLOOKUP($C214,#REF!,17,0)</f>
        <v>#REF!</v>
      </c>
      <c r="S214" s="120" t="e">
        <f>VLOOKUP($C214,#REF!,18,0)</f>
        <v>#REF!</v>
      </c>
      <c r="T214" s="119" t="e">
        <f>VLOOKUP($C214,#REF!,19,0)</f>
        <v>#REF!</v>
      </c>
      <c r="U214" s="34"/>
      <c r="V214" s="118" t="e">
        <f>VLOOKUP($C214,#REF!,20,0)</f>
        <v>#REF!</v>
      </c>
      <c r="W214" s="120" t="e">
        <f>VLOOKUP($C214,#REF!,21,0)</f>
        <v>#REF!</v>
      </c>
      <c r="X214" s="118" t="e">
        <f>VLOOKUP($C214,#REF!,22,0)</f>
        <v>#REF!</v>
      </c>
      <c r="Y214" s="120" t="e">
        <f>VLOOKUP($C214,#REF!,23,0)</f>
        <v>#REF!</v>
      </c>
      <c r="Z214" s="118" t="e">
        <f>VLOOKUP($C214,#REF!,24,0)</f>
        <v>#REF!</v>
      </c>
      <c r="AA214" s="119" t="e">
        <f>VLOOKUP($C214,#REF!,25,0)</f>
        <v>#REF!</v>
      </c>
      <c r="AB214" s="120" t="e">
        <f>VLOOKUP($C214,#REF!,26,0)</f>
        <v>#REF!</v>
      </c>
      <c r="AC214" s="119" t="e">
        <f>VLOOKUP($C214,#REF!,27,0)</f>
        <v>#REF!</v>
      </c>
      <c r="AD214" s="4"/>
      <c r="AE214" s="118" t="e">
        <f t="shared" si="53"/>
        <v>#REF!</v>
      </c>
      <c r="AF214" s="121" t="s">
        <v>320</v>
      </c>
      <c r="AG214" s="121" t="s">
        <v>321</v>
      </c>
      <c r="AH214" s="119" t="s">
        <v>322</v>
      </c>
      <c r="AI214" s="4"/>
      <c r="AJ214" s="118" t="s">
        <v>323</v>
      </c>
      <c r="AK214" s="121" t="s">
        <v>324</v>
      </c>
      <c r="AL214" s="121" t="s">
        <v>325</v>
      </c>
      <c r="AM214" s="121" t="s">
        <v>326</v>
      </c>
      <c r="AN214" s="121" t="s">
        <v>326</v>
      </c>
      <c r="AO214" s="119" t="s">
        <v>320</v>
      </c>
      <c r="AP214" s="4"/>
      <c r="AQ214" s="122">
        <v>1</v>
      </c>
      <c r="AR214" s="5"/>
      <c r="AS214" s="118">
        <v>0</v>
      </c>
      <c r="AT214" s="119">
        <v>0</v>
      </c>
      <c r="AU214" s="34"/>
      <c r="AV214" s="118">
        <f t="shared" si="76"/>
        <v>0</v>
      </c>
      <c r="AW214" s="119">
        <f t="shared" si="77"/>
        <v>0</v>
      </c>
      <c r="AX214" s="118">
        <f t="shared" si="54"/>
        <v>0</v>
      </c>
      <c r="AY214" s="119">
        <f t="shared" si="55"/>
        <v>0</v>
      </c>
      <c r="AZ214" s="118">
        <f t="shared" si="56"/>
        <v>0</v>
      </c>
      <c r="BA214" s="119">
        <f t="shared" si="57"/>
        <v>0</v>
      </c>
      <c r="BB214" s="120">
        <f t="shared" si="58"/>
        <v>0</v>
      </c>
      <c r="BC214" s="119">
        <f t="shared" si="59"/>
        <v>0</v>
      </c>
      <c r="BD214" s="34"/>
      <c r="BE214" s="118">
        <f t="shared" si="60"/>
        <v>0</v>
      </c>
      <c r="BF214" s="119">
        <f t="shared" si="61"/>
        <v>0</v>
      </c>
      <c r="BG214" s="118">
        <f t="shared" si="62"/>
        <v>0</v>
      </c>
      <c r="BH214" s="119">
        <f t="shared" si="63"/>
        <v>0</v>
      </c>
      <c r="BI214" s="120">
        <f t="shared" si="64"/>
        <v>0</v>
      </c>
      <c r="BJ214" s="119">
        <f t="shared" si="65"/>
        <v>0</v>
      </c>
      <c r="BK214" s="120">
        <f t="shared" si="66"/>
        <v>0</v>
      </c>
      <c r="BL214" s="119">
        <f t="shared" si="67"/>
        <v>0</v>
      </c>
      <c r="BM214" s="4"/>
      <c r="BN214" s="122">
        <v>0</v>
      </c>
      <c r="BO214" s="117"/>
      <c r="BP214" s="118">
        <v>0</v>
      </c>
      <c r="BQ214" s="119">
        <v>0</v>
      </c>
      <c r="BR214" s="120"/>
      <c r="BS214" s="118">
        <v>0</v>
      </c>
      <c r="BT214" s="119">
        <v>0</v>
      </c>
      <c r="BU214" s="118">
        <v>0</v>
      </c>
      <c r="BV214" s="119">
        <v>0</v>
      </c>
      <c r="BW214" s="118">
        <v>0</v>
      </c>
      <c r="BX214" s="119">
        <v>0</v>
      </c>
      <c r="BY214" s="118">
        <v>0</v>
      </c>
      <c r="BZ214" s="119">
        <v>0</v>
      </c>
      <c r="CA214" s="120"/>
      <c r="CB214" s="118">
        <v>0</v>
      </c>
      <c r="CC214" s="119">
        <v>0</v>
      </c>
      <c r="CD214" s="118">
        <v>0</v>
      </c>
      <c r="CE214" s="119">
        <v>0</v>
      </c>
      <c r="CF214" s="118">
        <v>0</v>
      </c>
      <c r="CG214" s="119">
        <v>0</v>
      </c>
      <c r="CH214" s="118">
        <v>0</v>
      </c>
      <c r="CI214" s="119">
        <v>0</v>
      </c>
      <c r="CJ214" s="4"/>
      <c r="CK214" s="79"/>
      <c r="CL214" s="5"/>
      <c r="CM214" s="39" t="str">
        <f t="shared" si="68"/>
        <v>-</v>
      </c>
      <c r="CN214" s="5"/>
      <c r="CO214" s="39" t="str">
        <f t="shared" si="69"/>
        <v>-</v>
      </c>
      <c r="CP214" s="39" t="str">
        <f t="shared" si="70"/>
        <v>-</v>
      </c>
      <c r="CQ214" s="39" t="str">
        <f t="shared" si="78"/>
        <v>-</v>
      </c>
      <c r="CR214" s="39" t="str">
        <f t="shared" si="78"/>
        <v>-</v>
      </c>
      <c r="CS214" s="5"/>
      <c r="CT214" s="39" t="str">
        <f t="shared" si="72"/>
        <v>-</v>
      </c>
      <c r="CU214" s="39" t="str">
        <f t="shared" si="73"/>
        <v>-</v>
      </c>
      <c r="CV214" s="39" t="str">
        <f t="shared" si="74"/>
        <v>-</v>
      </c>
      <c r="CW214" s="39" t="str">
        <f t="shared" si="75"/>
        <v>-</v>
      </c>
    </row>
    <row r="215" spans="2:101" s="4" customFormat="1" ht="12.75" customHeight="1">
      <c r="B215" s="102" t="s">
        <v>186</v>
      </c>
      <c r="C215" s="103" t="s">
        <v>168</v>
      </c>
      <c r="D215" s="104" t="e">
        <f>VLOOKUP($C215,#REF!,5,0)</f>
        <v>#REF!</v>
      </c>
      <c r="E215" s="109" t="e">
        <f>VLOOKUP($C215,#REF!,6,0)</f>
        <v>#REF!</v>
      </c>
      <c r="F215" s="103" t="e">
        <f>VLOOKUP($C215,#REF!,7,0)</f>
        <v>#REF!</v>
      </c>
      <c r="G215" s="103" t="e">
        <f>VLOOKUP($C215,#REF!,8,0)</f>
        <v>#REF!</v>
      </c>
      <c r="H215" s="110" t="e">
        <f>VLOOKUP($C215,#REF!,9,0)</f>
        <v>#REF!</v>
      </c>
      <c r="I215" s="5"/>
      <c r="J215" s="105" t="e">
        <f>VLOOKUP($C215,#REF!,10,0)</f>
        <v>#REF!</v>
      </c>
      <c r="K215" s="106" t="e">
        <f>VLOOKUP($C215,#REF!,11,0)</f>
        <v>#REF!</v>
      </c>
      <c r="L215" s="34"/>
      <c r="M215" s="105" t="e">
        <f>VLOOKUP($C215,#REF!,12,0)</f>
        <v>#REF!</v>
      </c>
      <c r="N215" s="34" t="e">
        <f>VLOOKUP($C215,#REF!,13,0)</f>
        <v>#REF!</v>
      </c>
      <c r="O215" s="105" t="e">
        <f>VLOOKUP($C215,#REF!,14,0)</f>
        <v>#REF!</v>
      </c>
      <c r="P215" s="34" t="e">
        <f>VLOOKUP($C215,#REF!,15,0)</f>
        <v>#REF!</v>
      </c>
      <c r="Q215" s="105" t="e">
        <f>VLOOKUP($C215,#REF!,16,0)</f>
        <v>#REF!</v>
      </c>
      <c r="R215" s="106" t="e">
        <f>VLOOKUP($C215,#REF!,17,0)</f>
        <v>#REF!</v>
      </c>
      <c r="S215" s="34" t="e">
        <f>VLOOKUP($C215,#REF!,18,0)</f>
        <v>#REF!</v>
      </c>
      <c r="T215" s="106" t="e">
        <f>VLOOKUP($C215,#REF!,19,0)</f>
        <v>#REF!</v>
      </c>
      <c r="U215" s="34"/>
      <c r="V215" s="105" t="e">
        <f>VLOOKUP($C215,#REF!,20,0)</f>
        <v>#REF!</v>
      </c>
      <c r="W215" s="34" t="e">
        <f>VLOOKUP($C215,#REF!,21,0)</f>
        <v>#REF!</v>
      </c>
      <c r="X215" s="105" t="e">
        <f>VLOOKUP($C215,#REF!,22,0)</f>
        <v>#REF!</v>
      </c>
      <c r="Y215" s="34" t="e">
        <f>VLOOKUP($C215,#REF!,23,0)</f>
        <v>#REF!</v>
      </c>
      <c r="Z215" s="105" t="e">
        <f>VLOOKUP($C215,#REF!,24,0)</f>
        <v>#REF!</v>
      </c>
      <c r="AA215" s="106" t="e">
        <f>VLOOKUP($C215,#REF!,25,0)</f>
        <v>#REF!</v>
      </c>
      <c r="AB215" s="34" t="e">
        <f>VLOOKUP($C215,#REF!,26,0)</f>
        <v>#REF!</v>
      </c>
      <c r="AC215" s="106" t="e">
        <f>VLOOKUP($C215,#REF!,27,0)</f>
        <v>#REF!</v>
      </c>
      <c r="AE215" s="105" t="e">
        <f t="shared" si="53"/>
        <v>#REF!</v>
      </c>
      <c r="AF215" s="107" t="s">
        <v>320</v>
      </c>
      <c r="AG215" s="107" t="s">
        <v>321</v>
      </c>
      <c r="AH215" s="106" t="s">
        <v>322</v>
      </c>
      <c r="AJ215" s="105" t="s">
        <v>323</v>
      </c>
      <c r="AK215" s="107" t="s">
        <v>324</v>
      </c>
      <c r="AL215" s="107" t="s">
        <v>325</v>
      </c>
      <c r="AM215" s="107" t="s">
        <v>326</v>
      </c>
      <c r="AN215" s="107" t="s">
        <v>326</v>
      </c>
      <c r="AO215" s="106" t="s">
        <v>320</v>
      </c>
      <c r="AQ215" s="108">
        <v>-5</v>
      </c>
      <c r="AR215" s="5"/>
      <c r="AS215" s="105">
        <v>0</v>
      </c>
      <c r="AT215" s="106">
        <v>0</v>
      </c>
      <c r="AU215" s="34"/>
      <c r="AV215" s="105">
        <f t="shared" si="76"/>
        <v>0</v>
      </c>
      <c r="AW215" s="106">
        <f t="shared" si="77"/>
        <v>0</v>
      </c>
      <c r="AX215" s="105">
        <f t="shared" si="54"/>
        <v>0</v>
      </c>
      <c r="AY215" s="106">
        <f t="shared" si="55"/>
        <v>0</v>
      </c>
      <c r="AZ215" s="105">
        <f t="shared" si="56"/>
        <v>0</v>
      </c>
      <c r="BA215" s="106">
        <f t="shared" si="57"/>
        <v>0</v>
      </c>
      <c r="BB215" s="34">
        <f t="shared" si="58"/>
        <v>0</v>
      </c>
      <c r="BC215" s="106">
        <f t="shared" si="59"/>
        <v>0</v>
      </c>
      <c r="BD215" s="34"/>
      <c r="BE215" s="105">
        <f t="shared" si="60"/>
        <v>0</v>
      </c>
      <c r="BF215" s="106">
        <f t="shared" si="61"/>
        <v>0</v>
      </c>
      <c r="BG215" s="105">
        <f t="shared" si="62"/>
        <v>0</v>
      </c>
      <c r="BH215" s="106">
        <f t="shared" si="63"/>
        <v>0</v>
      </c>
      <c r="BI215" s="34">
        <f t="shared" si="64"/>
        <v>0</v>
      </c>
      <c r="BJ215" s="106">
        <f t="shared" si="65"/>
        <v>0</v>
      </c>
      <c r="BK215" s="34">
        <f t="shared" si="66"/>
        <v>0</v>
      </c>
      <c r="BL215" s="106">
        <f t="shared" si="67"/>
        <v>0</v>
      </c>
      <c r="BN215" s="108">
        <v>0</v>
      </c>
      <c r="BO215" s="5"/>
      <c r="BP215" s="105">
        <v>0</v>
      </c>
      <c r="BQ215" s="106">
        <v>0</v>
      </c>
      <c r="BR215" s="34"/>
      <c r="BS215" s="105">
        <v>0</v>
      </c>
      <c r="BT215" s="106">
        <v>0</v>
      </c>
      <c r="BU215" s="105">
        <v>0</v>
      </c>
      <c r="BV215" s="106">
        <v>0</v>
      </c>
      <c r="BW215" s="105">
        <v>0</v>
      </c>
      <c r="BX215" s="106">
        <v>0</v>
      </c>
      <c r="BY215" s="105">
        <v>0</v>
      </c>
      <c r="BZ215" s="106">
        <v>0</v>
      </c>
      <c r="CA215" s="34"/>
      <c r="CB215" s="105">
        <v>0</v>
      </c>
      <c r="CC215" s="106">
        <v>0</v>
      </c>
      <c r="CD215" s="105">
        <v>0</v>
      </c>
      <c r="CE215" s="106">
        <v>0</v>
      </c>
      <c r="CF215" s="105">
        <v>0</v>
      </c>
      <c r="CG215" s="106">
        <v>0</v>
      </c>
      <c r="CH215" s="105">
        <v>0</v>
      </c>
      <c r="CI215" s="106">
        <v>0</v>
      </c>
      <c r="CK215" s="78"/>
      <c r="CL215" s="5"/>
      <c r="CM215" s="38" t="str">
        <f t="shared" si="68"/>
        <v>-</v>
      </c>
      <c r="CN215" s="5"/>
      <c r="CO215" s="38" t="str">
        <f t="shared" si="69"/>
        <v>-</v>
      </c>
      <c r="CP215" s="38" t="str">
        <f t="shared" si="70"/>
        <v>-</v>
      </c>
      <c r="CQ215" s="38" t="str">
        <f t="shared" si="78"/>
        <v>-</v>
      </c>
      <c r="CR215" s="38" t="str">
        <f t="shared" si="78"/>
        <v>-</v>
      </c>
      <c r="CS215" s="5"/>
      <c r="CT215" s="38" t="str">
        <f t="shared" si="72"/>
        <v>-</v>
      </c>
      <c r="CU215" s="38" t="str">
        <f t="shared" si="73"/>
        <v>-</v>
      </c>
      <c r="CV215" s="38" t="str">
        <f t="shared" si="74"/>
        <v>-</v>
      </c>
      <c r="CW215" s="38" t="str">
        <f t="shared" si="75"/>
        <v>-</v>
      </c>
    </row>
    <row r="216" spans="2:101" s="113" customFormat="1" ht="12.75" customHeight="1">
      <c r="B216" s="99" t="s">
        <v>189</v>
      </c>
      <c r="C216" s="98" t="s">
        <v>222</v>
      </c>
      <c r="D216" s="114" t="e">
        <f>VLOOKUP($C216,#REF!,5,0)</f>
        <v>#REF!</v>
      </c>
      <c r="E216" s="115" t="e">
        <f>VLOOKUP($C216,#REF!,6,0)</f>
        <v>#REF!</v>
      </c>
      <c r="F216" s="98" t="e">
        <f>VLOOKUP($C216,#REF!,7,0)</f>
        <v>#REF!</v>
      </c>
      <c r="G216" s="98" t="e">
        <f>VLOOKUP($C216,#REF!,8,0)</f>
        <v>#REF!</v>
      </c>
      <c r="H216" s="116" t="e">
        <f>VLOOKUP($C216,#REF!,9,0)</f>
        <v>#REF!</v>
      </c>
      <c r="I216" s="5"/>
      <c r="J216" s="118" t="e">
        <f>VLOOKUP($C216,#REF!,10,0)</f>
        <v>#REF!</v>
      </c>
      <c r="K216" s="119" t="e">
        <f>VLOOKUP($C216,#REF!,11,0)</f>
        <v>#REF!</v>
      </c>
      <c r="L216" s="34"/>
      <c r="M216" s="118" t="e">
        <f>VLOOKUP($C216,#REF!,12,0)</f>
        <v>#REF!</v>
      </c>
      <c r="N216" s="120" t="e">
        <f>VLOOKUP($C216,#REF!,13,0)</f>
        <v>#REF!</v>
      </c>
      <c r="O216" s="118" t="e">
        <f>VLOOKUP($C216,#REF!,14,0)</f>
        <v>#REF!</v>
      </c>
      <c r="P216" s="120" t="e">
        <f>VLOOKUP($C216,#REF!,15,0)</f>
        <v>#REF!</v>
      </c>
      <c r="Q216" s="118" t="e">
        <f>VLOOKUP($C216,#REF!,16,0)</f>
        <v>#REF!</v>
      </c>
      <c r="R216" s="119" t="e">
        <f>VLOOKUP($C216,#REF!,17,0)</f>
        <v>#REF!</v>
      </c>
      <c r="S216" s="120" t="e">
        <f>VLOOKUP($C216,#REF!,18,0)</f>
        <v>#REF!</v>
      </c>
      <c r="T216" s="119" t="e">
        <f>VLOOKUP($C216,#REF!,19,0)</f>
        <v>#REF!</v>
      </c>
      <c r="U216" s="34"/>
      <c r="V216" s="118" t="e">
        <f>VLOOKUP($C216,#REF!,20,0)</f>
        <v>#REF!</v>
      </c>
      <c r="W216" s="120" t="e">
        <f>VLOOKUP($C216,#REF!,21,0)</f>
        <v>#REF!</v>
      </c>
      <c r="X216" s="118" t="e">
        <f>VLOOKUP($C216,#REF!,22,0)</f>
        <v>#REF!</v>
      </c>
      <c r="Y216" s="120" t="e">
        <f>VLOOKUP($C216,#REF!,23,0)</f>
        <v>#REF!</v>
      </c>
      <c r="Z216" s="118" t="e">
        <f>VLOOKUP($C216,#REF!,24,0)</f>
        <v>#REF!</v>
      </c>
      <c r="AA216" s="119" t="e">
        <f>VLOOKUP($C216,#REF!,25,0)</f>
        <v>#REF!</v>
      </c>
      <c r="AB216" s="120" t="e">
        <f>VLOOKUP($C216,#REF!,26,0)</f>
        <v>#REF!</v>
      </c>
      <c r="AC216" s="119" t="e">
        <f>VLOOKUP($C216,#REF!,27,0)</f>
        <v>#REF!</v>
      </c>
      <c r="AD216" s="4"/>
      <c r="AE216" s="118" t="e">
        <f t="shared" si="53"/>
        <v>#REF!</v>
      </c>
      <c r="AF216" s="121" t="s">
        <v>320</v>
      </c>
      <c r="AG216" s="121" t="s">
        <v>321</v>
      </c>
      <c r="AH216" s="119" t="s">
        <v>322</v>
      </c>
      <c r="AI216" s="4"/>
      <c r="AJ216" s="118" t="s">
        <v>323</v>
      </c>
      <c r="AK216" s="121" t="s">
        <v>324</v>
      </c>
      <c r="AL216" s="121" t="s">
        <v>325</v>
      </c>
      <c r="AM216" s="121" t="s">
        <v>326</v>
      </c>
      <c r="AN216" s="121" t="s">
        <v>326</v>
      </c>
      <c r="AO216" s="119" t="s">
        <v>320</v>
      </c>
      <c r="AP216" s="4"/>
      <c r="AQ216" s="122">
        <v>24</v>
      </c>
      <c r="AR216" s="5"/>
      <c r="AS216" s="118">
        <v>0</v>
      </c>
      <c r="AT216" s="119">
        <v>0</v>
      </c>
      <c r="AU216" s="34"/>
      <c r="AV216" s="118">
        <f t="shared" si="76"/>
        <v>0</v>
      </c>
      <c r="AW216" s="119">
        <f t="shared" si="77"/>
        <v>0</v>
      </c>
      <c r="AX216" s="118">
        <f t="shared" si="54"/>
        <v>0</v>
      </c>
      <c r="AY216" s="119">
        <f t="shared" si="55"/>
        <v>0</v>
      </c>
      <c r="AZ216" s="118">
        <f t="shared" si="56"/>
        <v>0</v>
      </c>
      <c r="BA216" s="119">
        <f t="shared" si="57"/>
        <v>0</v>
      </c>
      <c r="BB216" s="120">
        <f t="shared" si="58"/>
        <v>0</v>
      </c>
      <c r="BC216" s="119">
        <f t="shared" si="59"/>
        <v>0</v>
      </c>
      <c r="BD216" s="34"/>
      <c r="BE216" s="118">
        <f t="shared" si="60"/>
        <v>0</v>
      </c>
      <c r="BF216" s="119">
        <f t="shared" si="61"/>
        <v>0</v>
      </c>
      <c r="BG216" s="118">
        <f t="shared" si="62"/>
        <v>0</v>
      </c>
      <c r="BH216" s="119">
        <f t="shared" si="63"/>
        <v>0</v>
      </c>
      <c r="BI216" s="120">
        <f t="shared" si="64"/>
        <v>0</v>
      </c>
      <c r="BJ216" s="119">
        <f t="shared" si="65"/>
        <v>0</v>
      </c>
      <c r="BK216" s="120">
        <f t="shared" si="66"/>
        <v>0</v>
      </c>
      <c r="BL216" s="119">
        <f t="shared" si="67"/>
        <v>0</v>
      </c>
      <c r="BM216" s="4"/>
      <c r="BN216" s="122">
        <v>0</v>
      </c>
      <c r="BO216" s="117"/>
      <c r="BP216" s="118">
        <v>0</v>
      </c>
      <c r="BQ216" s="119">
        <v>0</v>
      </c>
      <c r="BR216" s="120"/>
      <c r="BS216" s="118">
        <v>0</v>
      </c>
      <c r="BT216" s="119">
        <v>0</v>
      </c>
      <c r="BU216" s="118">
        <v>0</v>
      </c>
      <c r="BV216" s="119">
        <v>0</v>
      </c>
      <c r="BW216" s="118">
        <v>0</v>
      </c>
      <c r="BX216" s="119">
        <v>0</v>
      </c>
      <c r="BY216" s="118">
        <v>0</v>
      </c>
      <c r="BZ216" s="119">
        <v>0</v>
      </c>
      <c r="CA216" s="120"/>
      <c r="CB216" s="118">
        <v>0</v>
      </c>
      <c r="CC216" s="119">
        <v>0</v>
      </c>
      <c r="CD216" s="118">
        <v>0</v>
      </c>
      <c r="CE216" s="119">
        <v>0</v>
      </c>
      <c r="CF216" s="118">
        <v>0</v>
      </c>
      <c r="CG216" s="119">
        <v>0</v>
      </c>
      <c r="CH216" s="118">
        <v>0</v>
      </c>
      <c r="CI216" s="119">
        <v>0</v>
      </c>
      <c r="CJ216" s="4"/>
      <c r="CK216" s="79"/>
      <c r="CL216" s="5"/>
      <c r="CM216" s="39" t="str">
        <f t="shared" si="68"/>
        <v>-</v>
      </c>
      <c r="CN216" s="5"/>
      <c r="CO216" s="39" t="str">
        <f t="shared" si="69"/>
        <v>-</v>
      </c>
      <c r="CP216" s="39" t="str">
        <f t="shared" si="70"/>
        <v>-</v>
      </c>
      <c r="CQ216" s="39" t="str">
        <f t="shared" si="78"/>
        <v>-</v>
      </c>
      <c r="CR216" s="39" t="str">
        <f t="shared" si="78"/>
        <v>-</v>
      </c>
      <c r="CS216" s="5"/>
      <c r="CT216" s="39" t="str">
        <f t="shared" si="72"/>
        <v>-</v>
      </c>
      <c r="CU216" s="39" t="str">
        <f t="shared" si="73"/>
        <v>-</v>
      </c>
      <c r="CV216" s="39" t="str">
        <f t="shared" si="74"/>
        <v>-</v>
      </c>
      <c r="CW216" s="39" t="str">
        <f t="shared" si="75"/>
        <v>-</v>
      </c>
    </row>
    <row r="217" spans="2:101" s="4" customFormat="1" ht="12.75" customHeight="1">
      <c r="B217" s="102" t="s">
        <v>187</v>
      </c>
      <c r="C217" s="103" t="s">
        <v>169</v>
      </c>
      <c r="D217" s="104" t="e">
        <f>VLOOKUP($C217,#REF!,5,0)</f>
        <v>#REF!</v>
      </c>
      <c r="E217" s="109" t="e">
        <f>VLOOKUP($C217,#REF!,6,0)</f>
        <v>#REF!</v>
      </c>
      <c r="F217" s="103" t="e">
        <f>VLOOKUP($C217,#REF!,7,0)</f>
        <v>#REF!</v>
      </c>
      <c r="G217" s="103" t="e">
        <f>VLOOKUP($C217,#REF!,8,0)</f>
        <v>#REF!</v>
      </c>
      <c r="H217" s="110" t="e">
        <f>VLOOKUP($C217,#REF!,9,0)</f>
        <v>#REF!</v>
      </c>
      <c r="I217" s="5"/>
      <c r="J217" s="105" t="e">
        <f>VLOOKUP($C217,#REF!,10,0)</f>
        <v>#REF!</v>
      </c>
      <c r="K217" s="106" t="e">
        <f>VLOOKUP($C217,#REF!,11,0)</f>
        <v>#REF!</v>
      </c>
      <c r="L217" s="34"/>
      <c r="M217" s="105" t="e">
        <f>VLOOKUP($C217,#REF!,12,0)</f>
        <v>#REF!</v>
      </c>
      <c r="N217" s="34" t="e">
        <f>VLOOKUP($C217,#REF!,13,0)</f>
        <v>#REF!</v>
      </c>
      <c r="O217" s="105" t="e">
        <f>VLOOKUP($C217,#REF!,14,0)</f>
        <v>#REF!</v>
      </c>
      <c r="P217" s="34" t="e">
        <f>VLOOKUP($C217,#REF!,15,0)</f>
        <v>#REF!</v>
      </c>
      <c r="Q217" s="105" t="e">
        <f>VLOOKUP($C217,#REF!,16,0)</f>
        <v>#REF!</v>
      </c>
      <c r="R217" s="106" t="e">
        <f>VLOOKUP($C217,#REF!,17,0)</f>
        <v>#REF!</v>
      </c>
      <c r="S217" s="34" t="e">
        <f>VLOOKUP($C217,#REF!,18,0)</f>
        <v>#REF!</v>
      </c>
      <c r="T217" s="106" t="e">
        <f>VLOOKUP($C217,#REF!,19,0)</f>
        <v>#REF!</v>
      </c>
      <c r="U217" s="34"/>
      <c r="V217" s="105" t="e">
        <f>VLOOKUP($C217,#REF!,20,0)</f>
        <v>#REF!</v>
      </c>
      <c r="W217" s="34" t="e">
        <f>VLOOKUP($C217,#REF!,21,0)</f>
        <v>#REF!</v>
      </c>
      <c r="X217" s="105" t="e">
        <f>VLOOKUP($C217,#REF!,22,0)</f>
        <v>#REF!</v>
      </c>
      <c r="Y217" s="34" t="e">
        <f>VLOOKUP($C217,#REF!,23,0)</f>
        <v>#REF!</v>
      </c>
      <c r="Z217" s="105" t="e">
        <f>VLOOKUP($C217,#REF!,24,0)</f>
        <v>#REF!</v>
      </c>
      <c r="AA217" s="106" t="e">
        <f>VLOOKUP($C217,#REF!,25,0)</f>
        <v>#REF!</v>
      </c>
      <c r="AB217" s="34" t="e">
        <f>VLOOKUP($C217,#REF!,26,0)</f>
        <v>#REF!</v>
      </c>
      <c r="AC217" s="106" t="e">
        <f>VLOOKUP($C217,#REF!,27,0)</f>
        <v>#REF!</v>
      </c>
      <c r="AE217" s="105" t="e">
        <f t="shared" si="53"/>
        <v>#REF!</v>
      </c>
      <c r="AF217" s="107" t="s">
        <v>320</v>
      </c>
      <c r="AG217" s="107" t="s">
        <v>321</v>
      </c>
      <c r="AH217" s="106" t="s">
        <v>322</v>
      </c>
      <c r="AJ217" s="105" t="s">
        <v>323</v>
      </c>
      <c r="AK217" s="107" t="s">
        <v>324</v>
      </c>
      <c r="AL217" s="107" t="s">
        <v>325</v>
      </c>
      <c r="AM217" s="107" t="s">
        <v>326</v>
      </c>
      <c r="AN217" s="107" t="s">
        <v>326</v>
      </c>
      <c r="AO217" s="106" t="s">
        <v>320</v>
      </c>
      <c r="AQ217" s="108">
        <v>49</v>
      </c>
      <c r="AR217" s="5"/>
      <c r="AS217" s="105">
        <v>0</v>
      </c>
      <c r="AT217" s="106">
        <v>0</v>
      </c>
      <c r="AU217" s="34"/>
      <c r="AV217" s="105">
        <f t="shared" si="76"/>
        <v>0</v>
      </c>
      <c r="AW217" s="106">
        <f t="shared" si="77"/>
        <v>0</v>
      </c>
      <c r="AX217" s="105">
        <f t="shared" si="54"/>
        <v>0</v>
      </c>
      <c r="AY217" s="106">
        <f t="shared" si="55"/>
        <v>0</v>
      </c>
      <c r="AZ217" s="105">
        <f t="shared" si="56"/>
        <v>0</v>
      </c>
      <c r="BA217" s="106">
        <f t="shared" si="57"/>
        <v>0</v>
      </c>
      <c r="BB217" s="34">
        <f t="shared" si="58"/>
        <v>0</v>
      </c>
      <c r="BC217" s="106">
        <f t="shared" si="59"/>
        <v>0</v>
      </c>
      <c r="BD217" s="34"/>
      <c r="BE217" s="105">
        <f t="shared" si="60"/>
        <v>0</v>
      </c>
      <c r="BF217" s="106">
        <f t="shared" si="61"/>
        <v>0</v>
      </c>
      <c r="BG217" s="105">
        <f t="shared" si="62"/>
        <v>0</v>
      </c>
      <c r="BH217" s="106">
        <f t="shared" si="63"/>
        <v>0</v>
      </c>
      <c r="BI217" s="34">
        <f t="shared" si="64"/>
        <v>0</v>
      </c>
      <c r="BJ217" s="106">
        <f t="shared" si="65"/>
        <v>0</v>
      </c>
      <c r="BK217" s="34">
        <f t="shared" si="66"/>
        <v>0</v>
      </c>
      <c r="BL217" s="106">
        <f t="shared" si="67"/>
        <v>0</v>
      </c>
      <c r="BN217" s="108">
        <v>0</v>
      </c>
      <c r="BO217" s="5"/>
      <c r="BP217" s="105">
        <v>0</v>
      </c>
      <c r="BQ217" s="106">
        <v>0</v>
      </c>
      <c r="BR217" s="34"/>
      <c r="BS217" s="105">
        <v>0</v>
      </c>
      <c r="BT217" s="106">
        <v>0</v>
      </c>
      <c r="BU217" s="105">
        <v>0</v>
      </c>
      <c r="BV217" s="106">
        <v>0</v>
      </c>
      <c r="BW217" s="105">
        <v>0</v>
      </c>
      <c r="BX217" s="106">
        <v>0</v>
      </c>
      <c r="BY217" s="105">
        <v>0</v>
      </c>
      <c r="BZ217" s="106">
        <v>0</v>
      </c>
      <c r="CA217" s="34"/>
      <c r="CB217" s="105">
        <v>0</v>
      </c>
      <c r="CC217" s="106">
        <v>0</v>
      </c>
      <c r="CD217" s="105">
        <v>0</v>
      </c>
      <c r="CE217" s="106">
        <v>0</v>
      </c>
      <c r="CF217" s="105">
        <v>0</v>
      </c>
      <c r="CG217" s="106">
        <v>0</v>
      </c>
      <c r="CH217" s="105">
        <v>0</v>
      </c>
      <c r="CI217" s="106">
        <v>0</v>
      </c>
      <c r="CK217" s="78"/>
      <c r="CL217" s="5"/>
      <c r="CM217" s="38" t="str">
        <f t="shared" si="68"/>
        <v>-</v>
      </c>
      <c r="CN217" s="5"/>
      <c r="CO217" s="38" t="str">
        <f t="shared" si="69"/>
        <v>-</v>
      </c>
      <c r="CP217" s="38" t="str">
        <f t="shared" si="70"/>
        <v>-</v>
      </c>
      <c r="CQ217" s="38" t="str">
        <f t="shared" si="78"/>
        <v>-</v>
      </c>
      <c r="CR217" s="38" t="str">
        <f t="shared" si="78"/>
        <v>-</v>
      </c>
      <c r="CS217" s="5"/>
      <c r="CT217" s="38" t="str">
        <f t="shared" si="72"/>
        <v>-</v>
      </c>
      <c r="CU217" s="38" t="str">
        <f t="shared" si="73"/>
        <v>-</v>
      </c>
      <c r="CV217" s="38" t="str">
        <f t="shared" si="74"/>
        <v>-</v>
      </c>
      <c r="CW217" s="38" t="str">
        <f t="shared" si="75"/>
        <v>-</v>
      </c>
    </row>
    <row r="218" spans="2:101" s="113" customFormat="1" ht="12.75" customHeight="1">
      <c r="B218" s="99" t="s">
        <v>314</v>
      </c>
      <c r="C218" s="98" t="s">
        <v>316</v>
      </c>
      <c r="D218" s="114" t="e">
        <f>VLOOKUP($C218,#REF!,5,0)</f>
        <v>#REF!</v>
      </c>
      <c r="E218" s="115" t="e">
        <f>VLOOKUP($C218,#REF!,6,0)</f>
        <v>#REF!</v>
      </c>
      <c r="F218" s="98" t="e">
        <f>VLOOKUP($C218,#REF!,7,0)</f>
        <v>#REF!</v>
      </c>
      <c r="G218" s="98" t="e">
        <f>VLOOKUP($C218,#REF!,8,0)</f>
        <v>#REF!</v>
      </c>
      <c r="H218" s="116" t="e">
        <f>VLOOKUP($C218,#REF!,9,0)</f>
        <v>#REF!</v>
      </c>
      <c r="I218" s="5"/>
      <c r="J218" s="118" t="e">
        <f>VLOOKUP($C218,#REF!,10,0)</f>
        <v>#REF!</v>
      </c>
      <c r="K218" s="119" t="e">
        <f>VLOOKUP($C218,#REF!,11,0)</f>
        <v>#REF!</v>
      </c>
      <c r="L218" s="34"/>
      <c r="M218" s="118" t="e">
        <f>VLOOKUP($C218,#REF!,12,0)</f>
        <v>#REF!</v>
      </c>
      <c r="N218" s="120" t="e">
        <f>VLOOKUP($C218,#REF!,13,0)</f>
        <v>#REF!</v>
      </c>
      <c r="O218" s="118" t="e">
        <f>VLOOKUP($C218,#REF!,14,0)</f>
        <v>#REF!</v>
      </c>
      <c r="P218" s="120" t="e">
        <f>VLOOKUP($C218,#REF!,15,0)</f>
        <v>#REF!</v>
      </c>
      <c r="Q218" s="118" t="e">
        <f>VLOOKUP($C218,#REF!,16,0)</f>
        <v>#REF!</v>
      </c>
      <c r="R218" s="119" t="e">
        <f>VLOOKUP($C218,#REF!,17,0)</f>
        <v>#REF!</v>
      </c>
      <c r="S218" s="120" t="e">
        <f>VLOOKUP($C218,#REF!,18,0)</f>
        <v>#REF!</v>
      </c>
      <c r="T218" s="119" t="e">
        <f>VLOOKUP($C218,#REF!,19,0)</f>
        <v>#REF!</v>
      </c>
      <c r="U218" s="34"/>
      <c r="V218" s="118" t="e">
        <f>VLOOKUP($C218,#REF!,20,0)</f>
        <v>#REF!</v>
      </c>
      <c r="W218" s="120" t="e">
        <f>VLOOKUP($C218,#REF!,21,0)</f>
        <v>#REF!</v>
      </c>
      <c r="X218" s="118" t="e">
        <f>VLOOKUP($C218,#REF!,22,0)</f>
        <v>#REF!</v>
      </c>
      <c r="Y218" s="120" t="e">
        <f>VLOOKUP($C218,#REF!,23,0)</f>
        <v>#REF!</v>
      </c>
      <c r="Z218" s="118" t="e">
        <f>VLOOKUP($C218,#REF!,24,0)</f>
        <v>#REF!</v>
      </c>
      <c r="AA218" s="119" t="e">
        <f>VLOOKUP($C218,#REF!,25,0)</f>
        <v>#REF!</v>
      </c>
      <c r="AB218" s="120" t="e">
        <f>VLOOKUP($C218,#REF!,26,0)</f>
        <v>#REF!</v>
      </c>
      <c r="AC218" s="119" t="e">
        <f>VLOOKUP($C218,#REF!,27,0)</f>
        <v>#REF!</v>
      </c>
      <c r="AD218" s="4"/>
      <c r="AE218" s="118" t="e">
        <f t="shared" si="53"/>
        <v>#REF!</v>
      </c>
      <c r="AF218" s="121" t="s">
        <v>320</v>
      </c>
      <c r="AG218" s="121" t="s">
        <v>321</v>
      </c>
      <c r="AH218" s="119" t="s">
        <v>322</v>
      </c>
      <c r="AI218" s="4"/>
      <c r="AJ218" s="118" t="s">
        <v>323</v>
      </c>
      <c r="AK218" s="121" t="s">
        <v>324</v>
      </c>
      <c r="AL218" s="121" t="s">
        <v>325</v>
      </c>
      <c r="AM218" s="121" t="s">
        <v>326</v>
      </c>
      <c r="AN218" s="121" t="s">
        <v>326</v>
      </c>
      <c r="AO218" s="119" t="s">
        <v>320</v>
      </c>
      <c r="AP218" s="4"/>
      <c r="AQ218" s="122">
        <v>0</v>
      </c>
      <c r="AR218" s="5"/>
      <c r="AS218" s="118">
        <v>0</v>
      </c>
      <c r="AT218" s="119">
        <v>0</v>
      </c>
      <c r="AU218" s="34"/>
      <c r="AV218" s="118">
        <f t="shared" si="76"/>
        <v>0</v>
      </c>
      <c r="AW218" s="119">
        <f t="shared" si="77"/>
        <v>0</v>
      </c>
      <c r="AX218" s="118">
        <f t="shared" si="54"/>
        <v>0</v>
      </c>
      <c r="AY218" s="119">
        <f t="shared" si="55"/>
        <v>0</v>
      </c>
      <c r="AZ218" s="118">
        <f t="shared" si="56"/>
        <v>0</v>
      </c>
      <c r="BA218" s="119">
        <f t="shared" si="57"/>
        <v>0</v>
      </c>
      <c r="BB218" s="120">
        <f t="shared" si="58"/>
        <v>0</v>
      </c>
      <c r="BC218" s="119">
        <f t="shared" si="59"/>
        <v>0</v>
      </c>
      <c r="BD218" s="34"/>
      <c r="BE218" s="118">
        <f t="shared" si="60"/>
        <v>0</v>
      </c>
      <c r="BF218" s="119">
        <f t="shared" si="61"/>
        <v>0</v>
      </c>
      <c r="BG218" s="118">
        <f t="shared" si="62"/>
        <v>0</v>
      </c>
      <c r="BH218" s="119">
        <f t="shared" si="63"/>
        <v>0</v>
      </c>
      <c r="BI218" s="120">
        <f t="shared" si="64"/>
        <v>0</v>
      </c>
      <c r="BJ218" s="119">
        <f t="shared" si="65"/>
        <v>0</v>
      </c>
      <c r="BK218" s="120">
        <f t="shared" si="66"/>
        <v>0</v>
      </c>
      <c r="BL218" s="119">
        <f t="shared" si="67"/>
        <v>0</v>
      </c>
      <c r="BM218" s="4"/>
      <c r="BN218" s="122">
        <v>0</v>
      </c>
      <c r="BO218" s="117"/>
      <c r="BP218" s="118">
        <v>0</v>
      </c>
      <c r="BQ218" s="119">
        <v>0</v>
      </c>
      <c r="BR218" s="120"/>
      <c r="BS218" s="118">
        <v>0</v>
      </c>
      <c r="BT218" s="119">
        <v>0</v>
      </c>
      <c r="BU218" s="118">
        <v>0</v>
      </c>
      <c r="BV218" s="119">
        <v>0</v>
      </c>
      <c r="BW218" s="118">
        <v>0</v>
      </c>
      <c r="BX218" s="119">
        <v>0</v>
      </c>
      <c r="BY218" s="118">
        <v>0</v>
      </c>
      <c r="BZ218" s="119">
        <v>0</v>
      </c>
      <c r="CA218" s="120"/>
      <c r="CB218" s="118">
        <v>0</v>
      </c>
      <c r="CC218" s="119">
        <v>0</v>
      </c>
      <c r="CD218" s="118">
        <v>0</v>
      </c>
      <c r="CE218" s="119">
        <v>0</v>
      </c>
      <c r="CF218" s="118">
        <v>0</v>
      </c>
      <c r="CG218" s="119">
        <v>0</v>
      </c>
      <c r="CH218" s="118">
        <v>0</v>
      </c>
      <c r="CI218" s="119">
        <v>0</v>
      </c>
      <c r="CJ218" s="4"/>
      <c r="CK218" s="79"/>
      <c r="CL218" s="5"/>
      <c r="CM218" s="39" t="str">
        <f t="shared" si="68"/>
        <v>-</v>
      </c>
      <c r="CN218" s="5"/>
      <c r="CO218" s="39" t="str">
        <f t="shared" si="69"/>
        <v>-</v>
      </c>
      <c r="CP218" s="39" t="str">
        <f t="shared" si="70"/>
        <v>-</v>
      </c>
      <c r="CQ218" s="39" t="str">
        <f t="shared" si="78"/>
        <v>-</v>
      </c>
      <c r="CR218" s="39" t="str">
        <f t="shared" si="78"/>
        <v>-</v>
      </c>
      <c r="CS218" s="5"/>
      <c r="CT218" s="39" t="str">
        <f t="shared" si="72"/>
        <v>-</v>
      </c>
      <c r="CU218" s="39" t="str">
        <f t="shared" si="73"/>
        <v>-</v>
      </c>
      <c r="CV218" s="39" t="str">
        <f t="shared" si="74"/>
        <v>-</v>
      </c>
      <c r="CW218" s="39" t="str">
        <f t="shared" si="75"/>
        <v>-</v>
      </c>
    </row>
    <row r="219" spans="2:101" s="4" customFormat="1" ht="12.75" customHeight="1">
      <c r="B219" s="102" t="s">
        <v>154</v>
      </c>
      <c r="C219" s="103" t="s">
        <v>151</v>
      </c>
      <c r="D219" s="104" t="e">
        <f>VLOOKUP($C219,#REF!,5,0)</f>
        <v>#REF!</v>
      </c>
      <c r="E219" s="109" t="e">
        <f>VLOOKUP($C219,#REF!,6,0)</f>
        <v>#REF!</v>
      </c>
      <c r="F219" s="103" t="e">
        <f>VLOOKUP($C219,#REF!,7,0)</f>
        <v>#REF!</v>
      </c>
      <c r="G219" s="103" t="e">
        <f>VLOOKUP($C219,#REF!,8,0)</f>
        <v>#REF!</v>
      </c>
      <c r="H219" s="110" t="e">
        <f>VLOOKUP($C219,#REF!,9,0)</f>
        <v>#REF!</v>
      </c>
      <c r="I219" s="5"/>
      <c r="J219" s="105" t="e">
        <f>VLOOKUP($C219,#REF!,10,0)</f>
        <v>#REF!</v>
      </c>
      <c r="K219" s="106" t="e">
        <f>VLOOKUP($C219,#REF!,11,0)</f>
        <v>#REF!</v>
      </c>
      <c r="L219" s="34"/>
      <c r="M219" s="105" t="e">
        <f>VLOOKUP($C219,#REF!,12,0)</f>
        <v>#REF!</v>
      </c>
      <c r="N219" s="34" t="e">
        <f>VLOOKUP($C219,#REF!,13,0)</f>
        <v>#REF!</v>
      </c>
      <c r="O219" s="105" t="e">
        <f>VLOOKUP($C219,#REF!,14,0)</f>
        <v>#REF!</v>
      </c>
      <c r="P219" s="34" t="e">
        <f>VLOOKUP($C219,#REF!,15,0)</f>
        <v>#REF!</v>
      </c>
      <c r="Q219" s="105" t="e">
        <f>VLOOKUP($C219,#REF!,16,0)</f>
        <v>#REF!</v>
      </c>
      <c r="R219" s="106" t="e">
        <f>VLOOKUP($C219,#REF!,17,0)</f>
        <v>#REF!</v>
      </c>
      <c r="S219" s="34" t="e">
        <f>VLOOKUP($C219,#REF!,18,0)</f>
        <v>#REF!</v>
      </c>
      <c r="T219" s="106" t="e">
        <f>VLOOKUP($C219,#REF!,19,0)</f>
        <v>#REF!</v>
      </c>
      <c r="U219" s="34"/>
      <c r="V219" s="105" t="e">
        <f>VLOOKUP($C219,#REF!,20,0)</f>
        <v>#REF!</v>
      </c>
      <c r="W219" s="34" t="e">
        <f>VLOOKUP($C219,#REF!,21,0)</f>
        <v>#REF!</v>
      </c>
      <c r="X219" s="105" t="e">
        <f>VLOOKUP($C219,#REF!,22,0)</f>
        <v>#REF!</v>
      </c>
      <c r="Y219" s="34" t="e">
        <f>VLOOKUP($C219,#REF!,23,0)</f>
        <v>#REF!</v>
      </c>
      <c r="Z219" s="105" t="e">
        <f>VLOOKUP($C219,#REF!,24,0)</f>
        <v>#REF!</v>
      </c>
      <c r="AA219" s="106" t="e">
        <f>VLOOKUP($C219,#REF!,25,0)</f>
        <v>#REF!</v>
      </c>
      <c r="AB219" s="34" t="e">
        <f>VLOOKUP($C219,#REF!,26,0)</f>
        <v>#REF!</v>
      </c>
      <c r="AC219" s="106" t="e">
        <f>VLOOKUP($C219,#REF!,27,0)</f>
        <v>#REF!</v>
      </c>
      <c r="AE219" s="105" t="e">
        <f t="shared" si="53"/>
        <v>#REF!</v>
      </c>
      <c r="AF219" s="107" t="s">
        <v>320</v>
      </c>
      <c r="AG219" s="107" t="s">
        <v>321</v>
      </c>
      <c r="AH219" s="106" t="s">
        <v>322</v>
      </c>
      <c r="AJ219" s="105" t="s">
        <v>323</v>
      </c>
      <c r="AK219" s="107" t="s">
        <v>324</v>
      </c>
      <c r="AL219" s="107" t="s">
        <v>325</v>
      </c>
      <c r="AM219" s="107" t="s">
        <v>326</v>
      </c>
      <c r="AN219" s="107" t="s">
        <v>326</v>
      </c>
      <c r="AO219" s="106" t="s">
        <v>320</v>
      </c>
      <c r="AQ219" s="108">
        <v>0</v>
      </c>
      <c r="AR219" s="5"/>
      <c r="AS219" s="105">
        <v>0</v>
      </c>
      <c r="AT219" s="106">
        <v>0</v>
      </c>
      <c r="AU219" s="34"/>
      <c r="AV219" s="105">
        <f t="shared" si="76"/>
        <v>0</v>
      </c>
      <c r="AW219" s="106">
        <f t="shared" si="77"/>
        <v>0</v>
      </c>
      <c r="AX219" s="105">
        <f t="shared" si="54"/>
        <v>0</v>
      </c>
      <c r="AY219" s="106">
        <f t="shared" si="55"/>
        <v>0</v>
      </c>
      <c r="AZ219" s="105">
        <f t="shared" si="56"/>
        <v>0</v>
      </c>
      <c r="BA219" s="106">
        <f t="shared" si="57"/>
        <v>0</v>
      </c>
      <c r="BB219" s="34">
        <f t="shared" si="58"/>
        <v>0</v>
      </c>
      <c r="BC219" s="106">
        <f t="shared" si="59"/>
        <v>0</v>
      </c>
      <c r="BD219" s="34"/>
      <c r="BE219" s="105">
        <f t="shared" si="60"/>
        <v>0</v>
      </c>
      <c r="BF219" s="106">
        <f t="shared" si="61"/>
        <v>0</v>
      </c>
      <c r="BG219" s="105">
        <f t="shared" si="62"/>
        <v>0</v>
      </c>
      <c r="BH219" s="106">
        <f t="shared" si="63"/>
        <v>0</v>
      </c>
      <c r="BI219" s="34">
        <f t="shared" si="64"/>
        <v>0</v>
      </c>
      <c r="BJ219" s="106">
        <f t="shared" si="65"/>
        <v>0</v>
      </c>
      <c r="BK219" s="34">
        <f t="shared" si="66"/>
        <v>0</v>
      </c>
      <c r="BL219" s="106">
        <f t="shared" si="67"/>
        <v>0</v>
      </c>
      <c r="BN219" s="108">
        <v>0</v>
      </c>
      <c r="BO219" s="5"/>
      <c r="BP219" s="105">
        <v>0</v>
      </c>
      <c r="BQ219" s="106">
        <v>0</v>
      </c>
      <c r="BR219" s="34"/>
      <c r="BS219" s="105">
        <v>0</v>
      </c>
      <c r="BT219" s="106">
        <v>0</v>
      </c>
      <c r="BU219" s="105">
        <v>0</v>
      </c>
      <c r="BV219" s="106">
        <v>0</v>
      </c>
      <c r="BW219" s="105">
        <v>0</v>
      </c>
      <c r="BX219" s="106">
        <v>0</v>
      </c>
      <c r="BY219" s="105">
        <v>0</v>
      </c>
      <c r="BZ219" s="106">
        <v>0</v>
      </c>
      <c r="CA219" s="34"/>
      <c r="CB219" s="105">
        <v>0</v>
      </c>
      <c r="CC219" s="106">
        <v>0</v>
      </c>
      <c r="CD219" s="105">
        <v>0</v>
      </c>
      <c r="CE219" s="106">
        <v>0</v>
      </c>
      <c r="CF219" s="105">
        <v>0</v>
      </c>
      <c r="CG219" s="106">
        <v>0</v>
      </c>
      <c r="CH219" s="105">
        <v>0</v>
      </c>
      <c r="CI219" s="106">
        <v>0</v>
      </c>
      <c r="CK219" s="78"/>
      <c r="CL219" s="5"/>
      <c r="CM219" s="38" t="str">
        <f t="shared" si="68"/>
        <v>-</v>
      </c>
      <c r="CN219" s="5"/>
      <c r="CO219" s="38" t="str">
        <f t="shared" si="69"/>
        <v>-</v>
      </c>
      <c r="CP219" s="38" t="str">
        <f t="shared" si="70"/>
        <v>-</v>
      </c>
      <c r="CQ219" s="38" t="str">
        <f t="shared" si="78"/>
        <v>-</v>
      </c>
      <c r="CR219" s="38" t="str">
        <f t="shared" si="78"/>
        <v>-</v>
      </c>
      <c r="CS219" s="5"/>
      <c r="CT219" s="38" t="str">
        <f t="shared" si="72"/>
        <v>-</v>
      </c>
      <c r="CU219" s="38" t="str">
        <f t="shared" si="73"/>
        <v>-</v>
      </c>
      <c r="CV219" s="38" t="str">
        <f t="shared" si="74"/>
        <v>-</v>
      </c>
      <c r="CW219" s="38" t="str">
        <f t="shared" si="75"/>
        <v>-</v>
      </c>
    </row>
    <row r="220" spans="2:101" s="113" customFormat="1" ht="12.75" customHeight="1">
      <c r="B220" s="99" t="s">
        <v>153</v>
      </c>
      <c r="C220" s="98" t="s">
        <v>152</v>
      </c>
      <c r="D220" s="114" t="e">
        <f>VLOOKUP($C220,#REF!,5,0)</f>
        <v>#REF!</v>
      </c>
      <c r="E220" s="115" t="e">
        <f>VLOOKUP($C220,#REF!,6,0)</f>
        <v>#REF!</v>
      </c>
      <c r="F220" s="98" t="e">
        <f>VLOOKUP($C220,#REF!,7,0)</f>
        <v>#REF!</v>
      </c>
      <c r="G220" s="98" t="e">
        <f>VLOOKUP($C220,#REF!,8,0)</f>
        <v>#REF!</v>
      </c>
      <c r="H220" s="116" t="e">
        <f>VLOOKUP($C220,#REF!,9,0)</f>
        <v>#REF!</v>
      </c>
      <c r="I220" s="5"/>
      <c r="J220" s="118" t="e">
        <f>VLOOKUP($C220,#REF!,10,0)</f>
        <v>#REF!</v>
      </c>
      <c r="K220" s="119" t="e">
        <f>VLOOKUP($C220,#REF!,11,0)</f>
        <v>#REF!</v>
      </c>
      <c r="L220" s="34"/>
      <c r="M220" s="118" t="e">
        <f>VLOOKUP($C220,#REF!,12,0)</f>
        <v>#REF!</v>
      </c>
      <c r="N220" s="120" t="e">
        <f>VLOOKUP($C220,#REF!,13,0)</f>
        <v>#REF!</v>
      </c>
      <c r="O220" s="118" t="e">
        <f>VLOOKUP($C220,#REF!,14,0)</f>
        <v>#REF!</v>
      </c>
      <c r="P220" s="120" t="e">
        <f>VLOOKUP($C220,#REF!,15,0)</f>
        <v>#REF!</v>
      </c>
      <c r="Q220" s="118" t="e">
        <f>VLOOKUP($C220,#REF!,16,0)</f>
        <v>#REF!</v>
      </c>
      <c r="R220" s="119" t="e">
        <f>VLOOKUP($C220,#REF!,17,0)</f>
        <v>#REF!</v>
      </c>
      <c r="S220" s="120" t="e">
        <f>VLOOKUP($C220,#REF!,18,0)</f>
        <v>#REF!</v>
      </c>
      <c r="T220" s="119" t="e">
        <f>VLOOKUP($C220,#REF!,19,0)</f>
        <v>#REF!</v>
      </c>
      <c r="U220" s="34"/>
      <c r="V220" s="118" t="e">
        <f>VLOOKUP($C220,#REF!,20,0)</f>
        <v>#REF!</v>
      </c>
      <c r="W220" s="120" t="e">
        <f>VLOOKUP($C220,#REF!,21,0)</f>
        <v>#REF!</v>
      </c>
      <c r="X220" s="118" t="e">
        <f>VLOOKUP($C220,#REF!,22,0)</f>
        <v>#REF!</v>
      </c>
      <c r="Y220" s="120" t="e">
        <f>VLOOKUP($C220,#REF!,23,0)</f>
        <v>#REF!</v>
      </c>
      <c r="Z220" s="118" t="e">
        <f>VLOOKUP($C220,#REF!,24,0)</f>
        <v>#REF!</v>
      </c>
      <c r="AA220" s="119" t="e">
        <f>VLOOKUP($C220,#REF!,25,0)</f>
        <v>#REF!</v>
      </c>
      <c r="AB220" s="120" t="e">
        <f>VLOOKUP($C220,#REF!,26,0)</f>
        <v>#REF!</v>
      </c>
      <c r="AC220" s="119" t="e">
        <f>VLOOKUP($C220,#REF!,27,0)</f>
        <v>#REF!</v>
      </c>
      <c r="AD220" s="4"/>
      <c r="AE220" s="118" t="e">
        <f t="shared" si="53"/>
        <v>#REF!</v>
      </c>
      <c r="AF220" s="121" t="s">
        <v>320</v>
      </c>
      <c r="AG220" s="121" t="s">
        <v>321</v>
      </c>
      <c r="AH220" s="119" t="s">
        <v>322</v>
      </c>
      <c r="AI220" s="4"/>
      <c r="AJ220" s="118" t="s">
        <v>323</v>
      </c>
      <c r="AK220" s="121" t="s">
        <v>324</v>
      </c>
      <c r="AL220" s="121" t="s">
        <v>325</v>
      </c>
      <c r="AM220" s="121" t="s">
        <v>326</v>
      </c>
      <c r="AN220" s="121" t="s">
        <v>326</v>
      </c>
      <c r="AO220" s="119" t="s">
        <v>320</v>
      </c>
      <c r="AP220" s="4"/>
      <c r="AQ220" s="122">
        <v>34</v>
      </c>
      <c r="AR220" s="5"/>
      <c r="AS220" s="118">
        <v>0</v>
      </c>
      <c r="AT220" s="119">
        <v>0</v>
      </c>
      <c r="AU220" s="34"/>
      <c r="AV220" s="118">
        <f t="shared" si="76"/>
        <v>0</v>
      </c>
      <c r="AW220" s="119">
        <f t="shared" si="77"/>
        <v>0</v>
      </c>
      <c r="AX220" s="118">
        <f t="shared" si="54"/>
        <v>0</v>
      </c>
      <c r="AY220" s="119">
        <f t="shared" si="55"/>
        <v>0</v>
      </c>
      <c r="AZ220" s="118">
        <f t="shared" si="56"/>
        <v>0</v>
      </c>
      <c r="BA220" s="119">
        <f t="shared" si="57"/>
        <v>0</v>
      </c>
      <c r="BB220" s="120">
        <f t="shared" si="58"/>
        <v>0</v>
      </c>
      <c r="BC220" s="119">
        <f t="shared" si="59"/>
        <v>0</v>
      </c>
      <c r="BD220" s="34"/>
      <c r="BE220" s="118">
        <f t="shared" si="60"/>
        <v>0</v>
      </c>
      <c r="BF220" s="119">
        <f t="shared" si="61"/>
        <v>0</v>
      </c>
      <c r="BG220" s="118">
        <f t="shared" si="62"/>
        <v>0</v>
      </c>
      <c r="BH220" s="119">
        <f t="shared" si="63"/>
        <v>0</v>
      </c>
      <c r="BI220" s="120">
        <f t="shared" si="64"/>
        <v>0</v>
      </c>
      <c r="BJ220" s="119">
        <f t="shared" si="65"/>
        <v>0</v>
      </c>
      <c r="BK220" s="120">
        <f t="shared" si="66"/>
        <v>0</v>
      </c>
      <c r="BL220" s="119">
        <f t="shared" si="67"/>
        <v>0</v>
      </c>
      <c r="BM220" s="4"/>
      <c r="BN220" s="122">
        <v>0</v>
      </c>
      <c r="BO220" s="117"/>
      <c r="BP220" s="118">
        <v>0</v>
      </c>
      <c r="BQ220" s="119">
        <v>0</v>
      </c>
      <c r="BR220" s="120"/>
      <c r="BS220" s="118">
        <v>0</v>
      </c>
      <c r="BT220" s="119">
        <v>0</v>
      </c>
      <c r="BU220" s="118">
        <v>0</v>
      </c>
      <c r="BV220" s="119">
        <v>0</v>
      </c>
      <c r="BW220" s="118">
        <v>0</v>
      </c>
      <c r="BX220" s="119">
        <v>0</v>
      </c>
      <c r="BY220" s="118">
        <v>0</v>
      </c>
      <c r="BZ220" s="119">
        <v>0</v>
      </c>
      <c r="CA220" s="120"/>
      <c r="CB220" s="118">
        <v>0</v>
      </c>
      <c r="CC220" s="119">
        <v>0</v>
      </c>
      <c r="CD220" s="118">
        <v>0</v>
      </c>
      <c r="CE220" s="119">
        <v>0</v>
      </c>
      <c r="CF220" s="118">
        <v>0</v>
      </c>
      <c r="CG220" s="119">
        <v>0</v>
      </c>
      <c r="CH220" s="118">
        <v>0</v>
      </c>
      <c r="CI220" s="119">
        <v>0</v>
      </c>
      <c r="CJ220" s="4"/>
      <c r="CK220" s="79"/>
      <c r="CL220" s="5"/>
      <c r="CM220" s="39" t="str">
        <f t="shared" si="68"/>
        <v>-</v>
      </c>
      <c r="CN220" s="5"/>
      <c r="CO220" s="39" t="str">
        <f t="shared" si="69"/>
        <v>-</v>
      </c>
      <c r="CP220" s="39" t="str">
        <f t="shared" si="70"/>
        <v>-</v>
      </c>
      <c r="CQ220" s="39" t="str">
        <f t="shared" si="78"/>
        <v>-</v>
      </c>
      <c r="CR220" s="39" t="str">
        <f t="shared" si="78"/>
        <v>-</v>
      </c>
      <c r="CS220" s="5"/>
      <c r="CT220" s="39" t="str">
        <f t="shared" si="72"/>
        <v>-</v>
      </c>
      <c r="CU220" s="39" t="str">
        <f t="shared" si="73"/>
        <v>-</v>
      </c>
      <c r="CV220" s="39" t="str">
        <f t="shared" si="74"/>
        <v>-</v>
      </c>
      <c r="CW220" s="39" t="str">
        <f t="shared" si="75"/>
        <v>-</v>
      </c>
    </row>
    <row r="221" spans="2:101" s="4" customFormat="1" ht="12.75" customHeight="1">
      <c r="B221" s="102" t="s">
        <v>182</v>
      </c>
      <c r="C221" s="103" t="s">
        <v>233</v>
      </c>
      <c r="D221" s="104" t="e">
        <f>VLOOKUP($C221,#REF!,5,0)</f>
        <v>#REF!</v>
      </c>
      <c r="E221" s="109" t="e">
        <f>VLOOKUP($C221,#REF!,6,0)</f>
        <v>#REF!</v>
      </c>
      <c r="F221" s="103" t="e">
        <f>VLOOKUP($C221,#REF!,7,0)</f>
        <v>#REF!</v>
      </c>
      <c r="G221" s="103" t="e">
        <f>VLOOKUP($C221,#REF!,8,0)</f>
        <v>#REF!</v>
      </c>
      <c r="H221" s="110" t="e">
        <f>VLOOKUP($C221,#REF!,9,0)</f>
        <v>#REF!</v>
      </c>
      <c r="I221" s="5"/>
      <c r="J221" s="105" t="e">
        <f>VLOOKUP($C221,#REF!,10,0)</f>
        <v>#REF!</v>
      </c>
      <c r="K221" s="106" t="e">
        <f>VLOOKUP($C221,#REF!,11,0)</f>
        <v>#REF!</v>
      </c>
      <c r="L221" s="34"/>
      <c r="M221" s="105" t="e">
        <f>VLOOKUP($C221,#REF!,12,0)</f>
        <v>#REF!</v>
      </c>
      <c r="N221" s="34" t="e">
        <f>VLOOKUP($C221,#REF!,13,0)</f>
        <v>#REF!</v>
      </c>
      <c r="O221" s="105" t="e">
        <f>VLOOKUP($C221,#REF!,14,0)</f>
        <v>#REF!</v>
      </c>
      <c r="P221" s="34" t="e">
        <f>VLOOKUP($C221,#REF!,15,0)</f>
        <v>#REF!</v>
      </c>
      <c r="Q221" s="105" t="e">
        <f>VLOOKUP($C221,#REF!,16,0)</f>
        <v>#REF!</v>
      </c>
      <c r="R221" s="106" t="e">
        <f>VLOOKUP($C221,#REF!,17,0)</f>
        <v>#REF!</v>
      </c>
      <c r="S221" s="34" t="e">
        <f>VLOOKUP($C221,#REF!,18,0)</f>
        <v>#REF!</v>
      </c>
      <c r="T221" s="106" t="e">
        <f>VLOOKUP($C221,#REF!,19,0)</f>
        <v>#REF!</v>
      </c>
      <c r="U221" s="34"/>
      <c r="V221" s="105" t="e">
        <f>VLOOKUP($C221,#REF!,20,0)</f>
        <v>#REF!</v>
      </c>
      <c r="W221" s="34" t="e">
        <f>VLOOKUP($C221,#REF!,21,0)</f>
        <v>#REF!</v>
      </c>
      <c r="X221" s="105" t="e">
        <f>VLOOKUP($C221,#REF!,22,0)</f>
        <v>#REF!</v>
      </c>
      <c r="Y221" s="34" t="e">
        <f>VLOOKUP($C221,#REF!,23,0)</f>
        <v>#REF!</v>
      </c>
      <c r="Z221" s="105" t="e">
        <f>VLOOKUP($C221,#REF!,24,0)</f>
        <v>#REF!</v>
      </c>
      <c r="AA221" s="106" t="e">
        <f>VLOOKUP($C221,#REF!,25,0)</f>
        <v>#REF!</v>
      </c>
      <c r="AB221" s="34" t="e">
        <f>VLOOKUP($C221,#REF!,26,0)</f>
        <v>#REF!</v>
      </c>
      <c r="AC221" s="106" t="e">
        <f>VLOOKUP($C221,#REF!,27,0)</f>
        <v>#REF!</v>
      </c>
      <c r="AE221" s="105" t="e">
        <f t="shared" si="53"/>
        <v>#REF!</v>
      </c>
      <c r="AF221" s="107" t="s">
        <v>320</v>
      </c>
      <c r="AG221" s="107" t="s">
        <v>321</v>
      </c>
      <c r="AH221" s="106" t="s">
        <v>322</v>
      </c>
      <c r="AJ221" s="105" t="s">
        <v>323</v>
      </c>
      <c r="AK221" s="107" t="s">
        <v>324</v>
      </c>
      <c r="AL221" s="107" t="s">
        <v>325</v>
      </c>
      <c r="AM221" s="107" t="s">
        <v>326</v>
      </c>
      <c r="AN221" s="107" t="s">
        <v>326</v>
      </c>
      <c r="AO221" s="106" t="s">
        <v>320</v>
      </c>
      <c r="AQ221" s="108">
        <v>2</v>
      </c>
      <c r="AR221" s="5"/>
      <c r="AS221" s="105">
        <v>0</v>
      </c>
      <c r="AT221" s="106">
        <v>0</v>
      </c>
      <c r="AU221" s="34"/>
      <c r="AV221" s="105">
        <f t="shared" si="76"/>
        <v>0</v>
      </c>
      <c r="AW221" s="106">
        <f t="shared" si="77"/>
        <v>0</v>
      </c>
      <c r="AX221" s="105">
        <f t="shared" si="54"/>
        <v>0</v>
      </c>
      <c r="AY221" s="106">
        <f t="shared" si="55"/>
        <v>0</v>
      </c>
      <c r="AZ221" s="105">
        <f t="shared" si="56"/>
        <v>0</v>
      </c>
      <c r="BA221" s="106">
        <f t="shared" si="57"/>
        <v>0</v>
      </c>
      <c r="BB221" s="34">
        <f t="shared" si="58"/>
        <v>0</v>
      </c>
      <c r="BC221" s="106">
        <f t="shared" si="59"/>
        <v>0</v>
      </c>
      <c r="BD221" s="34"/>
      <c r="BE221" s="105">
        <f t="shared" si="60"/>
        <v>0</v>
      </c>
      <c r="BF221" s="106">
        <f t="shared" si="61"/>
        <v>0</v>
      </c>
      <c r="BG221" s="105">
        <f t="shared" si="62"/>
        <v>0</v>
      </c>
      <c r="BH221" s="106">
        <f t="shared" si="63"/>
        <v>0</v>
      </c>
      <c r="BI221" s="34">
        <f t="shared" si="64"/>
        <v>0</v>
      </c>
      <c r="BJ221" s="106">
        <f t="shared" si="65"/>
        <v>0</v>
      </c>
      <c r="BK221" s="34">
        <f t="shared" si="66"/>
        <v>0</v>
      </c>
      <c r="BL221" s="106">
        <f t="shared" si="67"/>
        <v>0</v>
      </c>
      <c r="BN221" s="108" t="e">
        <v>#N/A</v>
      </c>
      <c r="BO221" s="5"/>
      <c r="BP221" s="105" t="e">
        <v>#N/A</v>
      </c>
      <c r="BQ221" s="106" t="e">
        <v>#N/A</v>
      </c>
      <c r="BR221" s="34"/>
      <c r="BS221" s="105" t="e">
        <v>#N/A</v>
      </c>
      <c r="BT221" s="106" t="e">
        <v>#N/A</v>
      </c>
      <c r="BU221" s="105" t="e">
        <v>#N/A</v>
      </c>
      <c r="BV221" s="106" t="e">
        <v>#N/A</v>
      </c>
      <c r="BW221" s="105" t="e">
        <v>#N/A</v>
      </c>
      <c r="BX221" s="106" t="e">
        <v>#N/A</v>
      </c>
      <c r="BY221" s="105" t="e">
        <v>#N/A</v>
      </c>
      <c r="BZ221" s="106" t="e">
        <v>#N/A</v>
      </c>
      <c r="CA221" s="34"/>
      <c r="CB221" s="105" t="e">
        <v>#N/A</v>
      </c>
      <c r="CC221" s="106" t="e">
        <v>#N/A</v>
      </c>
      <c r="CD221" s="105" t="e">
        <v>#N/A</v>
      </c>
      <c r="CE221" s="106" t="e">
        <v>#N/A</v>
      </c>
      <c r="CF221" s="105" t="e">
        <v>#N/A</v>
      </c>
      <c r="CG221" s="106" t="e">
        <v>#N/A</v>
      </c>
      <c r="CH221" s="105" t="e">
        <v>#N/A</v>
      </c>
      <c r="CI221" s="106" t="e">
        <v>#N/A</v>
      </c>
      <c r="CK221" s="78"/>
      <c r="CL221" s="5"/>
      <c r="CM221" s="38" t="str">
        <f t="shared" si="68"/>
        <v>-</v>
      </c>
      <c r="CN221" s="5"/>
      <c r="CO221" s="38" t="str">
        <f t="shared" si="69"/>
        <v>-</v>
      </c>
      <c r="CP221" s="38" t="str">
        <f t="shared" si="70"/>
        <v>-</v>
      </c>
      <c r="CQ221" s="38" t="str">
        <f t="shared" si="78"/>
        <v>-</v>
      </c>
      <c r="CR221" s="38" t="str">
        <f t="shared" si="78"/>
        <v>-</v>
      </c>
      <c r="CS221" s="5"/>
      <c r="CT221" s="38" t="str">
        <f t="shared" si="72"/>
        <v>-</v>
      </c>
      <c r="CU221" s="38" t="str">
        <f t="shared" si="73"/>
        <v>-</v>
      </c>
      <c r="CV221" s="38" t="str">
        <f t="shared" si="74"/>
        <v>-</v>
      </c>
      <c r="CW221" s="38" t="str">
        <f t="shared" si="75"/>
        <v>-</v>
      </c>
    </row>
    <row r="222" spans="2:101" s="113" customFormat="1" ht="12.75" customHeight="1">
      <c r="B222" s="99" t="s">
        <v>183</v>
      </c>
      <c r="C222" s="98" t="s">
        <v>170</v>
      </c>
      <c r="D222" s="114" t="e">
        <f>VLOOKUP($C222,#REF!,5,0)</f>
        <v>#REF!</v>
      </c>
      <c r="E222" s="115" t="e">
        <f>VLOOKUP($C222,#REF!,6,0)</f>
        <v>#REF!</v>
      </c>
      <c r="F222" s="98" t="e">
        <f>VLOOKUP($C222,#REF!,7,0)</f>
        <v>#REF!</v>
      </c>
      <c r="G222" s="98" t="e">
        <f>VLOOKUP($C222,#REF!,8,0)</f>
        <v>#REF!</v>
      </c>
      <c r="H222" s="116" t="e">
        <f>VLOOKUP($C222,#REF!,9,0)</f>
        <v>#REF!</v>
      </c>
      <c r="I222" s="5"/>
      <c r="J222" s="118" t="e">
        <f>VLOOKUP($C222,#REF!,10,0)</f>
        <v>#REF!</v>
      </c>
      <c r="K222" s="119" t="e">
        <f>VLOOKUP($C222,#REF!,11,0)</f>
        <v>#REF!</v>
      </c>
      <c r="L222" s="34"/>
      <c r="M222" s="118" t="e">
        <f>VLOOKUP($C222,#REF!,12,0)</f>
        <v>#REF!</v>
      </c>
      <c r="N222" s="120" t="e">
        <f>VLOOKUP($C222,#REF!,13,0)</f>
        <v>#REF!</v>
      </c>
      <c r="O222" s="118" t="e">
        <f>VLOOKUP($C222,#REF!,14,0)</f>
        <v>#REF!</v>
      </c>
      <c r="P222" s="120" t="e">
        <f>VLOOKUP($C222,#REF!,15,0)</f>
        <v>#REF!</v>
      </c>
      <c r="Q222" s="118" t="e">
        <f>VLOOKUP($C222,#REF!,16,0)</f>
        <v>#REF!</v>
      </c>
      <c r="R222" s="119" t="e">
        <f>VLOOKUP($C222,#REF!,17,0)</f>
        <v>#REF!</v>
      </c>
      <c r="S222" s="120" t="e">
        <f>VLOOKUP($C222,#REF!,18,0)</f>
        <v>#REF!</v>
      </c>
      <c r="T222" s="119" t="e">
        <f>VLOOKUP($C222,#REF!,19,0)</f>
        <v>#REF!</v>
      </c>
      <c r="U222" s="34"/>
      <c r="V222" s="118" t="e">
        <f>VLOOKUP($C222,#REF!,20,0)</f>
        <v>#REF!</v>
      </c>
      <c r="W222" s="120" t="e">
        <f>VLOOKUP($C222,#REF!,21,0)</f>
        <v>#REF!</v>
      </c>
      <c r="X222" s="118" t="e">
        <f>VLOOKUP($C222,#REF!,22,0)</f>
        <v>#REF!</v>
      </c>
      <c r="Y222" s="120" t="e">
        <f>VLOOKUP($C222,#REF!,23,0)</f>
        <v>#REF!</v>
      </c>
      <c r="Z222" s="118" t="e">
        <f>VLOOKUP($C222,#REF!,24,0)</f>
        <v>#REF!</v>
      </c>
      <c r="AA222" s="119" t="e">
        <f>VLOOKUP($C222,#REF!,25,0)</f>
        <v>#REF!</v>
      </c>
      <c r="AB222" s="120" t="e">
        <f>VLOOKUP($C222,#REF!,26,0)</f>
        <v>#REF!</v>
      </c>
      <c r="AC222" s="119" t="e">
        <f>VLOOKUP($C222,#REF!,27,0)</f>
        <v>#REF!</v>
      </c>
      <c r="AD222" s="4"/>
      <c r="AE222" s="118" t="e">
        <f t="shared" si="53"/>
        <v>#REF!</v>
      </c>
      <c r="AF222" s="121" t="s">
        <v>320</v>
      </c>
      <c r="AG222" s="121" t="s">
        <v>321</v>
      </c>
      <c r="AH222" s="119" t="s">
        <v>322</v>
      </c>
      <c r="AI222" s="4"/>
      <c r="AJ222" s="118" t="s">
        <v>323</v>
      </c>
      <c r="AK222" s="121" t="s">
        <v>324</v>
      </c>
      <c r="AL222" s="121" t="s">
        <v>325</v>
      </c>
      <c r="AM222" s="121" t="s">
        <v>326</v>
      </c>
      <c r="AN222" s="121" t="s">
        <v>326</v>
      </c>
      <c r="AO222" s="119" t="s">
        <v>320</v>
      </c>
      <c r="AP222" s="4"/>
      <c r="AQ222" s="122">
        <v>238</v>
      </c>
      <c r="AR222" s="5"/>
      <c r="AS222" s="118">
        <v>0</v>
      </c>
      <c r="AT222" s="119">
        <v>0</v>
      </c>
      <c r="AU222" s="34"/>
      <c r="AV222" s="118">
        <f t="shared" si="76"/>
        <v>0</v>
      </c>
      <c r="AW222" s="119">
        <f t="shared" si="77"/>
        <v>0</v>
      </c>
      <c r="AX222" s="118">
        <f t="shared" si="54"/>
        <v>0</v>
      </c>
      <c r="AY222" s="119">
        <f t="shared" si="55"/>
        <v>0</v>
      </c>
      <c r="AZ222" s="118">
        <f t="shared" si="56"/>
        <v>0</v>
      </c>
      <c r="BA222" s="119">
        <f t="shared" si="57"/>
        <v>0</v>
      </c>
      <c r="BB222" s="120">
        <f t="shared" si="58"/>
        <v>0</v>
      </c>
      <c r="BC222" s="119">
        <f t="shared" si="59"/>
        <v>0</v>
      </c>
      <c r="BD222" s="34"/>
      <c r="BE222" s="118">
        <f t="shared" si="60"/>
        <v>0</v>
      </c>
      <c r="BF222" s="119">
        <f t="shared" si="61"/>
        <v>0</v>
      </c>
      <c r="BG222" s="118">
        <f t="shared" si="62"/>
        <v>0</v>
      </c>
      <c r="BH222" s="119">
        <f t="shared" si="63"/>
        <v>0</v>
      </c>
      <c r="BI222" s="120">
        <f t="shared" si="64"/>
        <v>0</v>
      </c>
      <c r="BJ222" s="119">
        <f t="shared" si="65"/>
        <v>0</v>
      </c>
      <c r="BK222" s="120">
        <f t="shared" si="66"/>
        <v>0</v>
      </c>
      <c r="BL222" s="119">
        <f t="shared" si="67"/>
        <v>0</v>
      </c>
      <c r="BM222" s="4"/>
      <c r="BN222" s="122">
        <v>0</v>
      </c>
      <c r="BO222" s="117"/>
      <c r="BP222" s="118">
        <v>0</v>
      </c>
      <c r="BQ222" s="119">
        <v>0</v>
      </c>
      <c r="BR222" s="120"/>
      <c r="BS222" s="118">
        <v>0</v>
      </c>
      <c r="BT222" s="119">
        <v>0</v>
      </c>
      <c r="BU222" s="118">
        <v>0</v>
      </c>
      <c r="BV222" s="119">
        <v>0</v>
      </c>
      <c r="BW222" s="118">
        <v>0</v>
      </c>
      <c r="BX222" s="119">
        <v>0</v>
      </c>
      <c r="BY222" s="118">
        <v>0</v>
      </c>
      <c r="BZ222" s="119">
        <v>0</v>
      </c>
      <c r="CA222" s="120"/>
      <c r="CB222" s="118">
        <v>0</v>
      </c>
      <c r="CC222" s="119">
        <v>0</v>
      </c>
      <c r="CD222" s="118">
        <v>0</v>
      </c>
      <c r="CE222" s="119">
        <v>0</v>
      </c>
      <c r="CF222" s="118">
        <v>0</v>
      </c>
      <c r="CG222" s="119">
        <v>0</v>
      </c>
      <c r="CH222" s="118">
        <v>0</v>
      </c>
      <c r="CI222" s="119">
        <v>0</v>
      </c>
      <c r="CJ222" s="4"/>
      <c r="CK222" s="79"/>
      <c r="CL222" s="5"/>
      <c r="CM222" s="39" t="str">
        <f t="shared" ref="CM222:CM239" si="79">IFERROR(+$H222-($J222+$K222*$G222),"-")</f>
        <v>-</v>
      </c>
      <c r="CN222" s="5"/>
      <c r="CO222" s="39" t="str">
        <f t="shared" ref="CO222:CO240" si="80">IFERROR(+$H222-($M222+$N222*$G222),"-")</f>
        <v>-</v>
      </c>
      <c r="CP222" s="39" t="str">
        <f t="shared" ref="CP222:CP240" si="81">IFERROR(+$H222-($O222+$P222*$G222),"-")</f>
        <v>-</v>
      </c>
      <c r="CQ222" s="39" t="str">
        <f t="shared" ref="CQ222:CR239" si="82">IFERROR(+$H222-($Q222+$R222*$G222),"-")</f>
        <v>-</v>
      </c>
      <c r="CR222" s="39" t="str">
        <f t="shared" si="82"/>
        <v>-</v>
      </c>
      <c r="CS222" s="5"/>
      <c r="CT222" s="39" t="str">
        <f t="shared" ref="CT222:CT240" si="83">IFERROR(+$H222-($V222+$W222*$G222),"-")</f>
        <v>-</v>
      </c>
      <c r="CU222" s="39" t="str">
        <f t="shared" ref="CU222:CU240" si="84">IFERROR(+$H222-($X222+$Y222*$G222),"-")</f>
        <v>-</v>
      </c>
      <c r="CV222" s="39" t="str">
        <f t="shared" ref="CV222:CV240" si="85">IFERROR(+$H222-($Z222+$AA222*$G222),"-")</f>
        <v>-</v>
      </c>
      <c r="CW222" s="39" t="str">
        <f t="shared" ref="CW222:CW240" si="86">IFERROR(+$H222-($AB222+$AC222*$G222),"-")</f>
        <v>-</v>
      </c>
    </row>
    <row r="223" spans="2:101" s="4" customFormat="1" ht="12.75" customHeight="1">
      <c r="B223" s="102" t="s">
        <v>314</v>
      </c>
      <c r="C223" s="103" t="s">
        <v>317</v>
      </c>
      <c r="D223" s="104" t="e">
        <f>VLOOKUP($C223,#REF!,5,0)</f>
        <v>#REF!</v>
      </c>
      <c r="E223" s="109" t="e">
        <f>VLOOKUP($C223,#REF!,6,0)</f>
        <v>#REF!</v>
      </c>
      <c r="F223" s="103" t="e">
        <f>VLOOKUP($C223,#REF!,7,0)</f>
        <v>#REF!</v>
      </c>
      <c r="G223" s="103" t="e">
        <f>VLOOKUP($C223,#REF!,8,0)</f>
        <v>#REF!</v>
      </c>
      <c r="H223" s="110" t="e">
        <f>VLOOKUP($C223,#REF!,9,0)</f>
        <v>#REF!</v>
      </c>
      <c r="I223" s="5"/>
      <c r="J223" s="105" t="e">
        <f>VLOOKUP($C223,#REF!,10,0)</f>
        <v>#REF!</v>
      </c>
      <c r="K223" s="106" t="e">
        <f>VLOOKUP($C223,#REF!,11,0)</f>
        <v>#REF!</v>
      </c>
      <c r="L223" s="34"/>
      <c r="M223" s="105" t="e">
        <f>VLOOKUP($C223,#REF!,12,0)</f>
        <v>#REF!</v>
      </c>
      <c r="N223" s="34" t="e">
        <f>VLOOKUP($C223,#REF!,13,0)</f>
        <v>#REF!</v>
      </c>
      <c r="O223" s="105" t="e">
        <f>VLOOKUP($C223,#REF!,14,0)</f>
        <v>#REF!</v>
      </c>
      <c r="P223" s="34" t="e">
        <f>VLOOKUP($C223,#REF!,15,0)</f>
        <v>#REF!</v>
      </c>
      <c r="Q223" s="105" t="e">
        <f>VLOOKUP($C223,#REF!,16,0)</f>
        <v>#REF!</v>
      </c>
      <c r="R223" s="106" t="e">
        <f>VLOOKUP($C223,#REF!,17,0)</f>
        <v>#REF!</v>
      </c>
      <c r="S223" s="34" t="e">
        <f>VLOOKUP($C223,#REF!,18,0)</f>
        <v>#REF!</v>
      </c>
      <c r="T223" s="106" t="e">
        <f>VLOOKUP($C223,#REF!,19,0)</f>
        <v>#REF!</v>
      </c>
      <c r="U223" s="34"/>
      <c r="V223" s="105" t="e">
        <f>VLOOKUP($C223,#REF!,20,0)</f>
        <v>#REF!</v>
      </c>
      <c r="W223" s="34" t="e">
        <f>VLOOKUP($C223,#REF!,21,0)</f>
        <v>#REF!</v>
      </c>
      <c r="X223" s="105" t="e">
        <f>VLOOKUP($C223,#REF!,22,0)</f>
        <v>#REF!</v>
      </c>
      <c r="Y223" s="34" t="e">
        <f>VLOOKUP($C223,#REF!,23,0)</f>
        <v>#REF!</v>
      </c>
      <c r="Z223" s="105" t="e">
        <f>VLOOKUP($C223,#REF!,24,0)</f>
        <v>#REF!</v>
      </c>
      <c r="AA223" s="106" t="e">
        <f>VLOOKUP($C223,#REF!,25,0)</f>
        <v>#REF!</v>
      </c>
      <c r="AB223" s="34" t="e">
        <f>VLOOKUP($C223,#REF!,26,0)</f>
        <v>#REF!</v>
      </c>
      <c r="AC223" s="106" t="e">
        <f>VLOOKUP($C223,#REF!,27,0)</f>
        <v>#REF!</v>
      </c>
      <c r="AE223" s="105" t="e">
        <f t="shared" si="53"/>
        <v>#REF!</v>
      </c>
      <c r="AF223" s="107" t="s">
        <v>320</v>
      </c>
      <c r="AG223" s="107" t="s">
        <v>321</v>
      </c>
      <c r="AH223" s="106" t="s">
        <v>322</v>
      </c>
      <c r="AJ223" s="105" t="s">
        <v>323</v>
      </c>
      <c r="AK223" s="107" t="s">
        <v>324</v>
      </c>
      <c r="AL223" s="107" t="s">
        <v>325</v>
      </c>
      <c r="AM223" s="107" t="s">
        <v>326</v>
      </c>
      <c r="AN223" s="107" t="s">
        <v>326</v>
      </c>
      <c r="AO223" s="106" t="s">
        <v>320</v>
      </c>
      <c r="AQ223" s="108">
        <v>50</v>
      </c>
      <c r="AR223" s="5"/>
      <c r="AS223" s="105">
        <v>0</v>
      </c>
      <c r="AT223" s="106">
        <v>0</v>
      </c>
      <c r="AU223" s="34"/>
      <c r="AV223" s="105">
        <f t="shared" si="76"/>
        <v>0</v>
      </c>
      <c r="AW223" s="106">
        <f t="shared" si="77"/>
        <v>0</v>
      </c>
      <c r="AX223" s="105">
        <f t="shared" si="54"/>
        <v>0</v>
      </c>
      <c r="AY223" s="106">
        <f t="shared" si="55"/>
        <v>0</v>
      </c>
      <c r="AZ223" s="105">
        <f t="shared" si="56"/>
        <v>0</v>
      </c>
      <c r="BA223" s="106">
        <f t="shared" si="57"/>
        <v>0</v>
      </c>
      <c r="BB223" s="34">
        <f t="shared" si="58"/>
        <v>0</v>
      </c>
      <c r="BC223" s="106">
        <f t="shared" si="59"/>
        <v>0</v>
      </c>
      <c r="BD223" s="34"/>
      <c r="BE223" s="105">
        <f t="shared" si="60"/>
        <v>0</v>
      </c>
      <c r="BF223" s="106">
        <f t="shared" si="61"/>
        <v>0</v>
      </c>
      <c r="BG223" s="105">
        <f t="shared" si="62"/>
        <v>0</v>
      </c>
      <c r="BH223" s="106">
        <f t="shared" si="63"/>
        <v>0</v>
      </c>
      <c r="BI223" s="34">
        <f t="shared" si="64"/>
        <v>0</v>
      </c>
      <c r="BJ223" s="106">
        <f t="shared" si="65"/>
        <v>0</v>
      </c>
      <c r="BK223" s="34">
        <f t="shared" si="66"/>
        <v>0</v>
      </c>
      <c r="BL223" s="106">
        <f t="shared" si="67"/>
        <v>0</v>
      </c>
      <c r="BN223" s="108">
        <v>0</v>
      </c>
      <c r="BO223" s="5"/>
      <c r="BP223" s="105">
        <v>0</v>
      </c>
      <c r="BQ223" s="106">
        <v>0</v>
      </c>
      <c r="BR223" s="34"/>
      <c r="BS223" s="105">
        <v>0</v>
      </c>
      <c r="BT223" s="106">
        <v>0</v>
      </c>
      <c r="BU223" s="105">
        <v>0</v>
      </c>
      <c r="BV223" s="106">
        <v>0</v>
      </c>
      <c r="BW223" s="105">
        <v>0</v>
      </c>
      <c r="BX223" s="106">
        <v>0</v>
      </c>
      <c r="BY223" s="105">
        <v>0</v>
      </c>
      <c r="BZ223" s="106">
        <v>0</v>
      </c>
      <c r="CA223" s="34"/>
      <c r="CB223" s="105">
        <v>0</v>
      </c>
      <c r="CC223" s="106">
        <v>0</v>
      </c>
      <c r="CD223" s="105">
        <v>0</v>
      </c>
      <c r="CE223" s="106">
        <v>0</v>
      </c>
      <c r="CF223" s="105">
        <v>0</v>
      </c>
      <c r="CG223" s="106">
        <v>0</v>
      </c>
      <c r="CH223" s="105">
        <v>0</v>
      </c>
      <c r="CI223" s="106">
        <v>0</v>
      </c>
      <c r="CK223" s="78"/>
      <c r="CL223" s="5"/>
      <c r="CM223" s="38" t="str">
        <f t="shared" si="79"/>
        <v>-</v>
      </c>
      <c r="CN223" s="5"/>
      <c r="CO223" s="38" t="str">
        <f t="shared" si="80"/>
        <v>-</v>
      </c>
      <c r="CP223" s="38" t="str">
        <f t="shared" si="81"/>
        <v>-</v>
      </c>
      <c r="CQ223" s="38" t="str">
        <f t="shared" si="82"/>
        <v>-</v>
      </c>
      <c r="CR223" s="38" t="str">
        <f t="shared" si="82"/>
        <v>-</v>
      </c>
      <c r="CS223" s="5"/>
      <c r="CT223" s="38" t="str">
        <f t="shared" si="83"/>
        <v>-</v>
      </c>
      <c r="CU223" s="38" t="str">
        <f t="shared" si="84"/>
        <v>-</v>
      </c>
      <c r="CV223" s="38" t="str">
        <f t="shared" si="85"/>
        <v>-</v>
      </c>
      <c r="CW223" s="38" t="str">
        <f t="shared" si="86"/>
        <v>-</v>
      </c>
    </row>
    <row r="224" spans="2:101" s="113" customFormat="1" ht="12.75" customHeight="1">
      <c r="B224" s="99" t="s">
        <v>189</v>
      </c>
      <c r="C224" s="98" t="s">
        <v>171</v>
      </c>
      <c r="D224" s="114" t="e">
        <f>VLOOKUP($C224,#REF!,5,0)</f>
        <v>#REF!</v>
      </c>
      <c r="E224" s="115" t="e">
        <f>VLOOKUP($C224,#REF!,6,0)</f>
        <v>#REF!</v>
      </c>
      <c r="F224" s="98" t="e">
        <f>VLOOKUP($C224,#REF!,7,0)</f>
        <v>#REF!</v>
      </c>
      <c r="G224" s="98" t="e">
        <f>VLOOKUP($C224,#REF!,8,0)</f>
        <v>#REF!</v>
      </c>
      <c r="H224" s="116" t="e">
        <f>VLOOKUP($C224,#REF!,9,0)</f>
        <v>#REF!</v>
      </c>
      <c r="I224" s="5"/>
      <c r="J224" s="118" t="e">
        <f>VLOOKUP($C224,#REF!,10,0)</f>
        <v>#REF!</v>
      </c>
      <c r="K224" s="119" t="e">
        <f>VLOOKUP($C224,#REF!,11,0)</f>
        <v>#REF!</v>
      </c>
      <c r="L224" s="34"/>
      <c r="M224" s="118" t="e">
        <f>VLOOKUP($C224,#REF!,12,0)</f>
        <v>#REF!</v>
      </c>
      <c r="N224" s="120" t="e">
        <f>VLOOKUP($C224,#REF!,13,0)</f>
        <v>#REF!</v>
      </c>
      <c r="O224" s="118" t="e">
        <f>VLOOKUP($C224,#REF!,14,0)</f>
        <v>#REF!</v>
      </c>
      <c r="P224" s="120" t="e">
        <f>VLOOKUP($C224,#REF!,15,0)</f>
        <v>#REF!</v>
      </c>
      <c r="Q224" s="118" t="e">
        <f>VLOOKUP($C224,#REF!,16,0)</f>
        <v>#REF!</v>
      </c>
      <c r="R224" s="119" t="e">
        <f>VLOOKUP($C224,#REF!,17,0)</f>
        <v>#REF!</v>
      </c>
      <c r="S224" s="120" t="e">
        <f>VLOOKUP($C224,#REF!,18,0)</f>
        <v>#REF!</v>
      </c>
      <c r="T224" s="119" t="e">
        <f>VLOOKUP($C224,#REF!,19,0)</f>
        <v>#REF!</v>
      </c>
      <c r="U224" s="34"/>
      <c r="V224" s="118" t="e">
        <f>VLOOKUP($C224,#REF!,20,0)</f>
        <v>#REF!</v>
      </c>
      <c r="W224" s="120" t="e">
        <f>VLOOKUP($C224,#REF!,21,0)</f>
        <v>#REF!</v>
      </c>
      <c r="X224" s="118" t="e">
        <f>VLOOKUP($C224,#REF!,22,0)</f>
        <v>#REF!</v>
      </c>
      <c r="Y224" s="120" t="e">
        <f>VLOOKUP($C224,#REF!,23,0)</f>
        <v>#REF!</v>
      </c>
      <c r="Z224" s="118" t="e">
        <f>VLOOKUP($C224,#REF!,24,0)</f>
        <v>#REF!</v>
      </c>
      <c r="AA224" s="119" t="e">
        <f>VLOOKUP($C224,#REF!,25,0)</f>
        <v>#REF!</v>
      </c>
      <c r="AB224" s="120" t="e">
        <f>VLOOKUP($C224,#REF!,26,0)</f>
        <v>#REF!</v>
      </c>
      <c r="AC224" s="119" t="e">
        <f>VLOOKUP($C224,#REF!,27,0)</f>
        <v>#REF!</v>
      </c>
      <c r="AD224" s="4"/>
      <c r="AE224" s="118" t="e">
        <f t="shared" ref="AE224:AE240" si="87">IF(M224="-","-","0,5 GB")</f>
        <v>#REF!</v>
      </c>
      <c r="AF224" s="121" t="s">
        <v>320</v>
      </c>
      <c r="AG224" s="121" t="s">
        <v>321</v>
      </c>
      <c r="AH224" s="119" t="s">
        <v>322</v>
      </c>
      <c r="AI224" s="4"/>
      <c r="AJ224" s="118" t="s">
        <v>323</v>
      </c>
      <c r="AK224" s="121" t="s">
        <v>324</v>
      </c>
      <c r="AL224" s="121" t="s">
        <v>325</v>
      </c>
      <c r="AM224" s="121" t="s">
        <v>326</v>
      </c>
      <c r="AN224" s="121" t="s">
        <v>326</v>
      </c>
      <c r="AO224" s="119" t="s">
        <v>320</v>
      </c>
      <c r="AP224" s="4"/>
      <c r="AQ224" s="122">
        <v>0</v>
      </c>
      <c r="AR224" s="5"/>
      <c r="AS224" s="118">
        <v>0</v>
      </c>
      <c r="AT224" s="119">
        <v>0</v>
      </c>
      <c r="AU224" s="34"/>
      <c r="AV224" s="118">
        <f t="shared" si="76"/>
        <v>0</v>
      </c>
      <c r="AW224" s="119">
        <f t="shared" si="77"/>
        <v>0</v>
      </c>
      <c r="AX224" s="118">
        <f t="shared" si="54"/>
        <v>0</v>
      </c>
      <c r="AY224" s="119">
        <f t="shared" si="55"/>
        <v>0</v>
      </c>
      <c r="AZ224" s="118">
        <f t="shared" si="56"/>
        <v>0</v>
      </c>
      <c r="BA224" s="119">
        <f t="shared" si="57"/>
        <v>0</v>
      </c>
      <c r="BB224" s="120">
        <f t="shared" si="58"/>
        <v>0</v>
      </c>
      <c r="BC224" s="119">
        <f t="shared" si="59"/>
        <v>0</v>
      </c>
      <c r="BD224" s="34"/>
      <c r="BE224" s="118">
        <f t="shared" si="60"/>
        <v>0</v>
      </c>
      <c r="BF224" s="119">
        <f t="shared" si="61"/>
        <v>0</v>
      </c>
      <c r="BG224" s="118">
        <f t="shared" si="62"/>
        <v>0</v>
      </c>
      <c r="BH224" s="119">
        <f t="shared" si="63"/>
        <v>0</v>
      </c>
      <c r="BI224" s="120">
        <f t="shared" si="64"/>
        <v>0</v>
      </c>
      <c r="BJ224" s="119">
        <f t="shared" si="65"/>
        <v>0</v>
      </c>
      <c r="BK224" s="120">
        <f t="shared" si="66"/>
        <v>0</v>
      </c>
      <c r="BL224" s="119">
        <f t="shared" si="67"/>
        <v>0</v>
      </c>
      <c r="BM224" s="4"/>
      <c r="BN224" s="122">
        <v>0</v>
      </c>
      <c r="BO224" s="117"/>
      <c r="BP224" s="118">
        <v>0</v>
      </c>
      <c r="BQ224" s="119">
        <v>0</v>
      </c>
      <c r="BR224" s="120"/>
      <c r="BS224" s="118">
        <v>0</v>
      </c>
      <c r="BT224" s="119">
        <v>0</v>
      </c>
      <c r="BU224" s="118">
        <v>0</v>
      </c>
      <c r="BV224" s="119">
        <v>0</v>
      </c>
      <c r="BW224" s="118">
        <v>0</v>
      </c>
      <c r="BX224" s="119">
        <v>0</v>
      </c>
      <c r="BY224" s="118">
        <v>0</v>
      </c>
      <c r="BZ224" s="119">
        <v>0</v>
      </c>
      <c r="CA224" s="120"/>
      <c r="CB224" s="118">
        <v>0</v>
      </c>
      <c r="CC224" s="119">
        <v>0</v>
      </c>
      <c r="CD224" s="118">
        <v>0</v>
      </c>
      <c r="CE224" s="119">
        <v>0</v>
      </c>
      <c r="CF224" s="118">
        <v>0</v>
      </c>
      <c r="CG224" s="119">
        <v>0</v>
      </c>
      <c r="CH224" s="118">
        <v>0</v>
      </c>
      <c r="CI224" s="119">
        <v>0</v>
      </c>
      <c r="CJ224" s="4"/>
      <c r="CK224" s="79"/>
      <c r="CL224" s="5"/>
      <c r="CM224" s="39" t="str">
        <f t="shared" si="79"/>
        <v>-</v>
      </c>
      <c r="CN224" s="5"/>
      <c r="CO224" s="39" t="str">
        <f t="shared" si="80"/>
        <v>-</v>
      </c>
      <c r="CP224" s="39" t="str">
        <f t="shared" si="81"/>
        <v>-</v>
      </c>
      <c r="CQ224" s="39" t="str">
        <f t="shared" si="82"/>
        <v>-</v>
      </c>
      <c r="CR224" s="39" t="str">
        <f t="shared" si="82"/>
        <v>-</v>
      </c>
      <c r="CS224" s="5"/>
      <c r="CT224" s="39" t="str">
        <f t="shared" si="83"/>
        <v>-</v>
      </c>
      <c r="CU224" s="39" t="str">
        <f t="shared" si="84"/>
        <v>-</v>
      </c>
      <c r="CV224" s="39" t="str">
        <f t="shared" si="85"/>
        <v>-</v>
      </c>
      <c r="CW224" s="39" t="str">
        <f t="shared" si="86"/>
        <v>-</v>
      </c>
    </row>
    <row r="225" spans="2:101" s="4" customFormat="1" ht="12.75" customHeight="1">
      <c r="B225" s="102" t="s">
        <v>226</v>
      </c>
      <c r="C225" s="103" t="s">
        <v>223</v>
      </c>
      <c r="D225" s="104" t="e">
        <f>VLOOKUP($C225,#REF!,5,0)</f>
        <v>#REF!</v>
      </c>
      <c r="E225" s="109" t="e">
        <f>VLOOKUP($C225,#REF!,6,0)</f>
        <v>#REF!</v>
      </c>
      <c r="F225" s="103" t="e">
        <f>VLOOKUP($C225,#REF!,7,0)</f>
        <v>#REF!</v>
      </c>
      <c r="G225" s="103" t="e">
        <f>VLOOKUP($C225,#REF!,8,0)</f>
        <v>#REF!</v>
      </c>
      <c r="H225" s="110" t="e">
        <f>VLOOKUP($C225,#REF!,9,0)</f>
        <v>#REF!</v>
      </c>
      <c r="I225" s="5"/>
      <c r="J225" s="105" t="e">
        <f>VLOOKUP($C225,#REF!,10,0)</f>
        <v>#REF!</v>
      </c>
      <c r="K225" s="106" t="e">
        <f>VLOOKUP($C225,#REF!,11,0)</f>
        <v>#REF!</v>
      </c>
      <c r="L225" s="34"/>
      <c r="M225" s="105" t="e">
        <f>VLOOKUP($C225,#REF!,12,0)</f>
        <v>#REF!</v>
      </c>
      <c r="N225" s="34" t="e">
        <f>VLOOKUP($C225,#REF!,13,0)</f>
        <v>#REF!</v>
      </c>
      <c r="O225" s="105" t="e">
        <f>VLOOKUP($C225,#REF!,14,0)</f>
        <v>#REF!</v>
      </c>
      <c r="P225" s="34" t="e">
        <f>VLOOKUP($C225,#REF!,15,0)</f>
        <v>#REF!</v>
      </c>
      <c r="Q225" s="105" t="e">
        <f>VLOOKUP($C225,#REF!,16,0)</f>
        <v>#REF!</v>
      </c>
      <c r="R225" s="106" t="e">
        <f>VLOOKUP($C225,#REF!,17,0)</f>
        <v>#REF!</v>
      </c>
      <c r="S225" s="34" t="e">
        <f>VLOOKUP($C225,#REF!,18,0)</f>
        <v>#REF!</v>
      </c>
      <c r="T225" s="106" t="e">
        <f>VLOOKUP($C225,#REF!,19,0)</f>
        <v>#REF!</v>
      </c>
      <c r="U225" s="34"/>
      <c r="V225" s="105" t="e">
        <f>VLOOKUP($C225,#REF!,20,0)</f>
        <v>#REF!</v>
      </c>
      <c r="W225" s="34" t="e">
        <f>VLOOKUP($C225,#REF!,21,0)</f>
        <v>#REF!</v>
      </c>
      <c r="X225" s="105" t="e">
        <f>VLOOKUP($C225,#REF!,22,0)</f>
        <v>#REF!</v>
      </c>
      <c r="Y225" s="34" t="e">
        <f>VLOOKUP($C225,#REF!,23,0)</f>
        <v>#REF!</v>
      </c>
      <c r="Z225" s="105" t="e">
        <f>VLOOKUP($C225,#REF!,24,0)</f>
        <v>#REF!</v>
      </c>
      <c r="AA225" s="106" t="e">
        <f>VLOOKUP($C225,#REF!,25,0)</f>
        <v>#REF!</v>
      </c>
      <c r="AB225" s="34" t="e">
        <f>VLOOKUP($C225,#REF!,26,0)</f>
        <v>#REF!</v>
      </c>
      <c r="AC225" s="106" t="e">
        <f>VLOOKUP($C225,#REF!,27,0)</f>
        <v>#REF!</v>
      </c>
      <c r="AE225" s="105" t="e">
        <f t="shared" si="87"/>
        <v>#REF!</v>
      </c>
      <c r="AF225" s="107" t="s">
        <v>320</v>
      </c>
      <c r="AG225" s="107" t="s">
        <v>321</v>
      </c>
      <c r="AH225" s="106" t="s">
        <v>322</v>
      </c>
      <c r="AJ225" s="105" t="s">
        <v>323</v>
      </c>
      <c r="AK225" s="107" t="s">
        <v>324</v>
      </c>
      <c r="AL225" s="107" t="s">
        <v>325</v>
      </c>
      <c r="AM225" s="107" t="s">
        <v>326</v>
      </c>
      <c r="AN225" s="107" t="s">
        <v>326</v>
      </c>
      <c r="AO225" s="106" t="s">
        <v>320</v>
      </c>
      <c r="AQ225" s="108">
        <v>215</v>
      </c>
      <c r="AR225" s="5"/>
      <c r="AS225" s="105">
        <v>0</v>
      </c>
      <c r="AT225" s="106">
        <v>0</v>
      </c>
      <c r="AU225" s="34"/>
      <c r="AV225" s="105">
        <f t="shared" si="76"/>
        <v>0</v>
      </c>
      <c r="AW225" s="106">
        <f t="shared" si="77"/>
        <v>0</v>
      </c>
      <c r="AX225" s="105">
        <f t="shared" ref="AX225:AX240" si="88">IFERROR(ROUND($D225-O225-AY225,0),0)</f>
        <v>0</v>
      </c>
      <c r="AY225" s="106">
        <f t="shared" ref="AY225:AY240" si="89">IFERROR(P225*$G225,0)</f>
        <v>0</v>
      </c>
      <c r="AZ225" s="105">
        <f t="shared" ref="AZ225:AZ240" si="90">IFERROR(ROUND($D225-Q225-BA225,0),0)</f>
        <v>0</v>
      </c>
      <c r="BA225" s="106">
        <f t="shared" ref="BA225:BA240" si="91">IFERROR(R225*$G225,0)</f>
        <v>0</v>
      </c>
      <c r="BB225" s="34">
        <f t="shared" ref="BB225:BB240" si="92">IFERROR(ROUND($D225-S225-BC225,0),0)</f>
        <v>0</v>
      </c>
      <c r="BC225" s="106">
        <f t="shared" ref="BC225:BC240" si="93">IFERROR(T225*$G225,0)</f>
        <v>0</v>
      </c>
      <c r="BD225" s="34"/>
      <c r="BE225" s="105">
        <f t="shared" ref="BE225:BE240" si="94">IFERROR(ROUND($D225-V225-BF225,0),0)</f>
        <v>0</v>
      </c>
      <c r="BF225" s="106">
        <f t="shared" ref="BF225:BF240" si="95">IFERROR(W225*$G225,0)</f>
        <v>0</v>
      </c>
      <c r="BG225" s="105">
        <f t="shared" ref="BG225:BG240" si="96">IFERROR(ROUND($D225-X225-BH225,0),0)</f>
        <v>0</v>
      </c>
      <c r="BH225" s="106">
        <f t="shared" ref="BH225:BH240" si="97">IFERROR(Y225*$G225,0)</f>
        <v>0</v>
      </c>
      <c r="BI225" s="34">
        <f t="shared" ref="BI225:BI240" si="98">IFERROR(ROUND($D225-Z225-BJ225,0),0)</f>
        <v>0</v>
      </c>
      <c r="BJ225" s="106">
        <f t="shared" ref="BJ225:BJ240" si="99">IFERROR(AA225*$G225,0)</f>
        <v>0</v>
      </c>
      <c r="BK225" s="34">
        <f t="shared" ref="BK225:BK240" si="100">IFERROR(ROUND($D225-AB225-BL225,0),0)</f>
        <v>0</v>
      </c>
      <c r="BL225" s="106">
        <f t="shared" ref="BL225:BL240" si="101">IFERROR(AC225*$G225,0)</f>
        <v>0</v>
      </c>
      <c r="BN225" s="108">
        <v>0</v>
      </c>
      <c r="BO225" s="5"/>
      <c r="BP225" s="105">
        <v>0</v>
      </c>
      <c r="BQ225" s="106">
        <v>0</v>
      </c>
      <c r="BR225" s="34"/>
      <c r="BS225" s="105">
        <v>0</v>
      </c>
      <c r="BT225" s="106">
        <v>0</v>
      </c>
      <c r="BU225" s="105">
        <v>0</v>
      </c>
      <c r="BV225" s="106">
        <v>0</v>
      </c>
      <c r="BW225" s="105">
        <v>0</v>
      </c>
      <c r="BX225" s="106">
        <v>0</v>
      </c>
      <c r="BY225" s="105">
        <v>0</v>
      </c>
      <c r="BZ225" s="106">
        <v>0</v>
      </c>
      <c r="CA225" s="34"/>
      <c r="CB225" s="105">
        <v>0</v>
      </c>
      <c r="CC225" s="106">
        <v>0</v>
      </c>
      <c r="CD225" s="105">
        <v>0</v>
      </c>
      <c r="CE225" s="106">
        <v>0</v>
      </c>
      <c r="CF225" s="105">
        <v>0</v>
      </c>
      <c r="CG225" s="106">
        <v>0</v>
      </c>
      <c r="CH225" s="105">
        <v>0</v>
      </c>
      <c r="CI225" s="106">
        <v>0</v>
      </c>
      <c r="CK225" s="78"/>
      <c r="CL225" s="5"/>
      <c r="CM225" s="38" t="str">
        <f t="shared" si="79"/>
        <v>-</v>
      </c>
      <c r="CN225" s="5"/>
      <c r="CO225" s="38" t="str">
        <f t="shared" si="80"/>
        <v>-</v>
      </c>
      <c r="CP225" s="38" t="str">
        <f t="shared" si="81"/>
        <v>-</v>
      </c>
      <c r="CQ225" s="38" t="str">
        <f t="shared" si="82"/>
        <v>-</v>
      </c>
      <c r="CR225" s="38" t="str">
        <f t="shared" si="82"/>
        <v>-</v>
      </c>
      <c r="CS225" s="5"/>
      <c r="CT225" s="38" t="str">
        <f t="shared" si="83"/>
        <v>-</v>
      </c>
      <c r="CU225" s="38" t="str">
        <f t="shared" si="84"/>
        <v>-</v>
      </c>
      <c r="CV225" s="38" t="str">
        <f t="shared" si="85"/>
        <v>-</v>
      </c>
      <c r="CW225" s="38" t="str">
        <f t="shared" si="86"/>
        <v>-</v>
      </c>
    </row>
    <row r="226" spans="2:101" s="113" customFormat="1" ht="12.75" customHeight="1">
      <c r="B226" s="99" t="s">
        <v>156</v>
      </c>
      <c r="C226" s="98" t="s">
        <v>203</v>
      </c>
      <c r="D226" s="114" t="e">
        <f>VLOOKUP($C226,#REF!,5,0)</f>
        <v>#REF!</v>
      </c>
      <c r="E226" s="115" t="e">
        <f>VLOOKUP($C226,#REF!,6,0)</f>
        <v>#REF!</v>
      </c>
      <c r="F226" s="98" t="e">
        <f>VLOOKUP($C226,#REF!,7,0)</f>
        <v>#REF!</v>
      </c>
      <c r="G226" s="98" t="e">
        <f>VLOOKUP($C226,#REF!,8,0)</f>
        <v>#REF!</v>
      </c>
      <c r="H226" s="116" t="e">
        <f>VLOOKUP($C226,#REF!,9,0)</f>
        <v>#REF!</v>
      </c>
      <c r="I226" s="5"/>
      <c r="J226" s="118" t="e">
        <f>VLOOKUP($C226,#REF!,10,0)</f>
        <v>#REF!</v>
      </c>
      <c r="K226" s="119" t="e">
        <f>VLOOKUP($C226,#REF!,11,0)</f>
        <v>#REF!</v>
      </c>
      <c r="L226" s="34"/>
      <c r="M226" s="118" t="e">
        <f>VLOOKUP($C226,#REF!,12,0)</f>
        <v>#REF!</v>
      </c>
      <c r="N226" s="120" t="e">
        <f>VLOOKUP($C226,#REF!,13,0)</f>
        <v>#REF!</v>
      </c>
      <c r="O226" s="118" t="e">
        <f>VLOOKUP($C226,#REF!,14,0)</f>
        <v>#REF!</v>
      </c>
      <c r="P226" s="120" t="e">
        <f>VLOOKUP($C226,#REF!,15,0)</f>
        <v>#REF!</v>
      </c>
      <c r="Q226" s="118" t="e">
        <f>VLOOKUP($C226,#REF!,16,0)</f>
        <v>#REF!</v>
      </c>
      <c r="R226" s="119" t="e">
        <f>VLOOKUP($C226,#REF!,17,0)</f>
        <v>#REF!</v>
      </c>
      <c r="S226" s="120" t="e">
        <f>VLOOKUP($C226,#REF!,18,0)</f>
        <v>#REF!</v>
      </c>
      <c r="T226" s="119" t="e">
        <f>VLOOKUP($C226,#REF!,19,0)</f>
        <v>#REF!</v>
      </c>
      <c r="U226" s="34"/>
      <c r="V226" s="118" t="e">
        <f>VLOOKUP($C226,#REF!,20,0)</f>
        <v>#REF!</v>
      </c>
      <c r="W226" s="120" t="e">
        <f>VLOOKUP($C226,#REF!,21,0)</f>
        <v>#REF!</v>
      </c>
      <c r="X226" s="118" t="e">
        <f>VLOOKUP($C226,#REF!,22,0)</f>
        <v>#REF!</v>
      </c>
      <c r="Y226" s="120" t="e">
        <f>VLOOKUP($C226,#REF!,23,0)</f>
        <v>#REF!</v>
      </c>
      <c r="Z226" s="118" t="e">
        <f>VLOOKUP($C226,#REF!,24,0)</f>
        <v>#REF!</v>
      </c>
      <c r="AA226" s="119" t="e">
        <f>VLOOKUP($C226,#REF!,25,0)</f>
        <v>#REF!</v>
      </c>
      <c r="AB226" s="120" t="e">
        <f>VLOOKUP($C226,#REF!,26,0)</f>
        <v>#REF!</v>
      </c>
      <c r="AC226" s="119" t="e">
        <f>VLOOKUP($C226,#REF!,27,0)</f>
        <v>#REF!</v>
      </c>
      <c r="AD226" s="4"/>
      <c r="AE226" s="118" t="e">
        <f t="shared" si="87"/>
        <v>#REF!</v>
      </c>
      <c r="AF226" s="121" t="s">
        <v>320</v>
      </c>
      <c r="AG226" s="121" t="s">
        <v>321</v>
      </c>
      <c r="AH226" s="119" t="s">
        <v>322</v>
      </c>
      <c r="AI226" s="4"/>
      <c r="AJ226" s="118" t="s">
        <v>323</v>
      </c>
      <c r="AK226" s="121" t="s">
        <v>324</v>
      </c>
      <c r="AL226" s="121" t="s">
        <v>325</v>
      </c>
      <c r="AM226" s="121" t="s">
        <v>326</v>
      </c>
      <c r="AN226" s="121" t="s">
        <v>326</v>
      </c>
      <c r="AO226" s="119" t="s">
        <v>320</v>
      </c>
      <c r="AP226" s="4"/>
      <c r="AQ226" s="122">
        <v>372</v>
      </c>
      <c r="AR226" s="5"/>
      <c r="AS226" s="118">
        <v>0</v>
      </c>
      <c r="AT226" s="119">
        <v>0</v>
      </c>
      <c r="AU226" s="34"/>
      <c r="AV226" s="118">
        <f t="shared" si="76"/>
        <v>0</v>
      </c>
      <c r="AW226" s="119">
        <f t="shared" si="77"/>
        <v>0</v>
      </c>
      <c r="AX226" s="118">
        <f t="shared" si="88"/>
        <v>0</v>
      </c>
      <c r="AY226" s="119">
        <f t="shared" si="89"/>
        <v>0</v>
      </c>
      <c r="AZ226" s="118">
        <f t="shared" si="90"/>
        <v>0</v>
      </c>
      <c r="BA226" s="119">
        <f t="shared" si="91"/>
        <v>0</v>
      </c>
      <c r="BB226" s="120">
        <f t="shared" si="92"/>
        <v>0</v>
      </c>
      <c r="BC226" s="119">
        <f t="shared" si="93"/>
        <v>0</v>
      </c>
      <c r="BD226" s="34"/>
      <c r="BE226" s="118">
        <f t="shared" si="94"/>
        <v>0</v>
      </c>
      <c r="BF226" s="119">
        <f t="shared" si="95"/>
        <v>0</v>
      </c>
      <c r="BG226" s="118">
        <f t="shared" si="96"/>
        <v>0</v>
      </c>
      <c r="BH226" s="119">
        <f t="shared" si="97"/>
        <v>0</v>
      </c>
      <c r="BI226" s="120">
        <f t="shared" si="98"/>
        <v>0</v>
      </c>
      <c r="BJ226" s="119">
        <f t="shared" si="99"/>
        <v>0</v>
      </c>
      <c r="BK226" s="120">
        <f t="shared" si="100"/>
        <v>0</v>
      </c>
      <c r="BL226" s="119">
        <f t="shared" si="101"/>
        <v>0</v>
      </c>
      <c r="BM226" s="4"/>
      <c r="BN226" s="122">
        <v>0</v>
      </c>
      <c r="BO226" s="117"/>
      <c r="BP226" s="118">
        <v>0</v>
      </c>
      <c r="BQ226" s="119">
        <v>0</v>
      </c>
      <c r="BR226" s="120"/>
      <c r="BS226" s="118">
        <v>0</v>
      </c>
      <c r="BT226" s="119">
        <v>0</v>
      </c>
      <c r="BU226" s="118">
        <v>0</v>
      </c>
      <c r="BV226" s="119">
        <v>0</v>
      </c>
      <c r="BW226" s="118">
        <v>0</v>
      </c>
      <c r="BX226" s="119">
        <v>-2</v>
      </c>
      <c r="BY226" s="118">
        <v>0</v>
      </c>
      <c r="BZ226" s="119">
        <v>-2</v>
      </c>
      <c r="CA226" s="120"/>
      <c r="CB226" s="118">
        <v>0</v>
      </c>
      <c r="CC226" s="119">
        <v>0</v>
      </c>
      <c r="CD226" s="118">
        <v>0</v>
      </c>
      <c r="CE226" s="119">
        <v>0</v>
      </c>
      <c r="CF226" s="118">
        <v>0</v>
      </c>
      <c r="CG226" s="119">
        <v>-3</v>
      </c>
      <c r="CH226" s="118">
        <v>0</v>
      </c>
      <c r="CI226" s="119">
        <v>-3</v>
      </c>
      <c r="CJ226" s="4"/>
      <c r="CK226" s="79"/>
      <c r="CL226" s="5"/>
      <c r="CM226" s="39" t="str">
        <f t="shared" si="79"/>
        <v>-</v>
      </c>
      <c r="CN226" s="5"/>
      <c r="CO226" s="39" t="str">
        <f t="shared" si="80"/>
        <v>-</v>
      </c>
      <c r="CP226" s="39" t="str">
        <f t="shared" si="81"/>
        <v>-</v>
      </c>
      <c r="CQ226" s="39" t="str">
        <f t="shared" si="82"/>
        <v>-</v>
      </c>
      <c r="CR226" s="39" t="str">
        <f t="shared" si="82"/>
        <v>-</v>
      </c>
      <c r="CS226" s="5"/>
      <c r="CT226" s="39" t="str">
        <f t="shared" si="83"/>
        <v>-</v>
      </c>
      <c r="CU226" s="39" t="str">
        <f t="shared" si="84"/>
        <v>-</v>
      </c>
      <c r="CV226" s="39" t="str">
        <f t="shared" si="85"/>
        <v>-</v>
      </c>
      <c r="CW226" s="39" t="str">
        <f t="shared" si="86"/>
        <v>-</v>
      </c>
    </row>
    <row r="227" spans="2:101" s="4" customFormat="1" ht="12.75" customHeight="1">
      <c r="B227" s="102" t="s">
        <v>58</v>
      </c>
      <c r="C227" s="103" t="s">
        <v>234</v>
      </c>
      <c r="D227" s="104" t="e">
        <f>VLOOKUP($C227,#REF!,5,0)</f>
        <v>#REF!</v>
      </c>
      <c r="E227" s="109" t="e">
        <f>VLOOKUP($C227,#REF!,6,0)</f>
        <v>#REF!</v>
      </c>
      <c r="F227" s="103" t="e">
        <f>VLOOKUP($C227,#REF!,7,0)</f>
        <v>#REF!</v>
      </c>
      <c r="G227" s="103" t="e">
        <f>VLOOKUP($C227,#REF!,8,0)</f>
        <v>#REF!</v>
      </c>
      <c r="H227" s="110" t="e">
        <f>VLOOKUP($C227,#REF!,9,0)</f>
        <v>#REF!</v>
      </c>
      <c r="I227" s="5"/>
      <c r="J227" s="105" t="e">
        <f>VLOOKUP($C227,#REF!,10,0)</f>
        <v>#REF!</v>
      </c>
      <c r="K227" s="106" t="e">
        <f>VLOOKUP($C227,#REF!,11,0)</f>
        <v>#REF!</v>
      </c>
      <c r="L227" s="34"/>
      <c r="M227" s="105" t="e">
        <f>VLOOKUP($C227,#REF!,12,0)</f>
        <v>#REF!</v>
      </c>
      <c r="N227" s="34" t="e">
        <f>VLOOKUP($C227,#REF!,13,0)</f>
        <v>#REF!</v>
      </c>
      <c r="O227" s="105" t="e">
        <f>VLOOKUP($C227,#REF!,14,0)</f>
        <v>#REF!</v>
      </c>
      <c r="P227" s="34" t="e">
        <f>VLOOKUP($C227,#REF!,15,0)</f>
        <v>#REF!</v>
      </c>
      <c r="Q227" s="105" t="e">
        <f>VLOOKUP($C227,#REF!,16,0)</f>
        <v>#REF!</v>
      </c>
      <c r="R227" s="106" t="e">
        <f>VLOOKUP($C227,#REF!,17,0)</f>
        <v>#REF!</v>
      </c>
      <c r="S227" s="34" t="e">
        <f>VLOOKUP($C227,#REF!,18,0)</f>
        <v>#REF!</v>
      </c>
      <c r="T227" s="106" t="e">
        <f>VLOOKUP($C227,#REF!,19,0)</f>
        <v>#REF!</v>
      </c>
      <c r="U227" s="34"/>
      <c r="V227" s="105" t="e">
        <f>VLOOKUP($C227,#REF!,20,0)</f>
        <v>#REF!</v>
      </c>
      <c r="W227" s="34" t="e">
        <f>VLOOKUP($C227,#REF!,21,0)</f>
        <v>#REF!</v>
      </c>
      <c r="X227" s="105" t="e">
        <f>VLOOKUP($C227,#REF!,22,0)</f>
        <v>#REF!</v>
      </c>
      <c r="Y227" s="34" t="e">
        <f>VLOOKUP($C227,#REF!,23,0)</f>
        <v>#REF!</v>
      </c>
      <c r="Z227" s="105" t="e">
        <f>VLOOKUP($C227,#REF!,24,0)</f>
        <v>#REF!</v>
      </c>
      <c r="AA227" s="106" t="e">
        <f>VLOOKUP($C227,#REF!,25,0)</f>
        <v>#REF!</v>
      </c>
      <c r="AB227" s="34" t="e">
        <f>VLOOKUP($C227,#REF!,26,0)</f>
        <v>#REF!</v>
      </c>
      <c r="AC227" s="106" t="e">
        <f>VLOOKUP($C227,#REF!,27,0)</f>
        <v>#REF!</v>
      </c>
      <c r="AE227" s="105" t="e">
        <f t="shared" si="87"/>
        <v>#REF!</v>
      </c>
      <c r="AF227" s="107" t="s">
        <v>320</v>
      </c>
      <c r="AG227" s="107" t="s">
        <v>321</v>
      </c>
      <c r="AH227" s="106" t="s">
        <v>322</v>
      </c>
      <c r="AJ227" s="105" t="s">
        <v>323</v>
      </c>
      <c r="AK227" s="107" t="s">
        <v>324</v>
      </c>
      <c r="AL227" s="107" t="s">
        <v>325</v>
      </c>
      <c r="AM227" s="107" t="s">
        <v>326</v>
      </c>
      <c r="AN227" s="107" t="s">
        <v>326</v>
      </c>
      <c r="AO227" s="106" t="s">
        <v>320</v>
      </c>
      <c r="AQ227" s="108">
        <v>16</v>
      </c>
      <c r="AR227" s="5"/>
      <c r="AS227" s="105">
        <v>0</v>
      </c>
      <c r="AT227" s="106">
        <v>0</v>
      </c>
      <c r="AU227" s="34"/>
      <c r="AV227" s="105">
        <f t="shared" si="76"/>
        <v>0</v>
      </c>
      <c r="AW227" s="106">
        <f t="shared" si="77"/>
        <v>0</v>
      </c>
      <c r="AX227" s="105">
        <f t="shared" si="88"/>
        <v>0</v>
      </c>
      <c r="AY227" s="106">
        <f t="shared" si="89"/>
        <v>0</v>
      </c>
      <c r="AZ227" s="105">
        <f t="shared" si="90"/>
        <v>0</v>
      </c>
      <c r="BA227" s="106">
        <f t="shared" si="91"/>
        <v>0</v>
      </c>
      <c r="BB227" s="34">
        <f t="shared" si="92"/>
        <v>0</v>
      </c>
      <c r="BC227" s="106">
        <f t="shared" si="93"/>
        <v>0</v>
      </c>
      <c r="BD227" s="34"/>
      <c r="BE227" s="105">
        <f t="shared" si="94"/>
        <v>0</v>
      </c>
      <c r="BF227" s="106">
        <f t="shared" si="95"/>
        <v>0</v>
      </c>
      <c r="BG227" s="105">
        <f t="shared" si="96"/>
        <v>0</v>
      </c>
      <c r="BH227" s="106">
        <f t="shared" si="97"/>
        <v>0</v>
      </c>
      <c r="BI227" s="34">
        <f t="shared" si="98"/>
        <v>0</v>
      </c>
      <c r="BJ227" s="106">
        <f t="shared" si="99"/>
        <v>0</v>
      </c>
      <c r="BK227" s="34">
        <f t="shared" si="100"/>
        <v>0</v>
      </c>
      <c r="BL227" s="106">
        <f t="shared" si="101"/>
        <v>0</v>
      </c>
      <c r="BN227" s="108">
        <v>-16.53000000000003</v>
      </c>
      <c r="BO227" s="5"/>
      <c r="BP227" s="105">
        <v>-16.53000000000003</v>
      </c>
      <c r="BQ227" s="106">
        <v>0</v>
      </c>
      <c r="BR227" s="34"/>
      <c r="BS227" s="105">
        <v>0</v>
      </c>
      <c r="BT227" s="106">
        <v>0</v>
      </c>
      <c r="BU227" s="105">
        <v>0</v>
      </c>
      <c r="BV227" s="106">
        <v>0</v>
      </c>
      <c r="BW227" s="105">
        <v>0</v>
      </c>
      <c r="BX227" s="106">
        <v>-2</v>
      </c>
      <c r="BY227" s="105">
        <v>0</v>
      </c>
      <c r="BZ227" s="106">
        <v>-2</v>
      </c>
      <c r="CA227" s="34"/>
      <c r="CB227" s="105">
        <v>0</v>
      </c>
      <c r="CC227" s="106">
        <v>0</v>
      </c>
      <c r="CD227" s="105">
        <v>0</v>
      </c>
      <c r="CE227" s="106">
        <v>0</v>
      </c>
      <c r="CF227" s="105">
        <v>0</v>
      </c>
      <c r="CG227" s="106">
        <v>-2</v>
      </c>
      <c r="CH227" s="105">
        <v>0</v>
      </c>
      <c r="CI227" s="106">
        <v>-2</v>
      </c>
      <c r="CK227" s="78"/>
      <c r="CL227" s="5"/>
      <c r="CM227" s="38" t="str">
        <f t="shared" si="79"/>
        <v>-</v>
      </c>
      <c r="CN227" s="5"/>
      <c r="CO227" s="38" t="str">
        <f t="shared" si="80"/>
        <v>-</v>
      </c>
      <c r="CP227" s="38" t="str">
        <f t="shared" si="81"/>
        <v>-</v>
      </c>
      <c r="CQ227" s="38" t="str">
        <f t="shared" si="82"/>
        <v>-</v>
      </c>
      <c r="CR227" s="38" t="str">
        <f t="shared" si="82"/>
        <v>-</v>
      </c>
      <c r="CS227" s="5"/>
      <c r="CT227" s="38" t="str">
        <f t="shared" si="83"/>
        <v>-</v>
      </c>
      <c r="CU227" s="38" t="str">
        <f t="shared" si="84"/>
        <v>-</v>
      </c>
      <c r="CV227" s="38" t="str">
        <f t="shared" si="85"/>
        <v>-</v>
      </c>
      <c r="CW227" s="38" t="str">
        <f t="shared" si="86"/>
        <v>-</v>
      </c>
    </row>
    <row r="228" spans="2:101" s="113" customFormat="1" ht="12.75" customHeight="1">
      <c r="B228" s="99" t="s">
        <v>59</v>
      </c>
      <c r="C228" s="98" t="s">
        <v>224</v>
      </c>
      <c r="D228" s="114" t="e">
        <f>VLOOKUP($C228,#REF!,5,0)</f>
        <v>#REF!</v>
      </c>
      <c r="E228" s="115" t="e">
        <f>VLOOKUP($C228,#REF!,6,0)</f>
        <v>#REF!</v>
      </c>
      <c r="F228" s="98" t="e">
        <f>VLOOKUP($C228,#REF!,7,0)</f>
        <v>#REF!</v>
      </c>
      <c r="G228" s="98" t="e">
        <f>VLOOKUP($C228,#REF!,8,0)</f>
        <v>#REF!</v>
      </c>
      <c r="H228" s="116" t="e">
        <f>VLOOKUP($C228,#REF!,9,0)</f>
        <v>#REF!</v>
      </c>
      <c r="I228" s="5"/>
      <c r="J228" s="118" t="e">
        <f>VLOOKUP($C228,#REF!,10,0)</f>
        <v>#REF!</v>
      </c>
      <c r="K228" s="119" t="e">
        <f>VLOOKUP($C228,#REF!,11,0)</f>
        <v>#REF!</v>
      </c>
      <c r="L228" s="34"/>
      <c r="M228" s="118" t="e">
        <f>VLOOKUP($C228,#REF!,12,0)</f>
        <v>#REF!</v>
      </c>
      <c r="N228" s="120" t="e">
        <f>VLOOKUP($C228,#REF!,13,0)</f>
        <v>#REF!</v>
      </c>
      <c r="O228" s="118" t="e">
        <f>VLOOKUP($C228,#REF!,14,0)</f>
        <v>#REF!</v>
      </c>
      <c r="P228" s="120" t="e">
        <f>VLOOKUP($C228,#REF!,15,0)</f>
        <v>#REF!</v>
      </c>
      <c r="Q228" s="118" t="e">
        <f>VLOOKUP($C228,#REF!,16,0)</f>
        <v>#REF!</v>
      </c>
      <c r="R228" s="119" t="e">
        <f>VLOOKUP($C228,#REF!,17,0)</f>
        <v>#REF!</v>
      </c>
      <c r="S228" s="120" t="e">
        <f>VLOOKUP($C228,#REF!,18,0)</f>
        <v>#REF!</v>
      </c>
      <c r="T228" s="119" t="e">
        <f>VLOOKUP($C228,#REF!,19,0)</f>
        <v>#REF!</v>
      </c>
      <c r="U228" s="34"/>
      <c r="V228" s="118" t="e">
        <f>VLOOKUP($C228,#REF!,20,0)</f>
        <v>#REF!</v>
      </c>
      <c r="W228" s="120" t="e">
        <f>VLOOKUP($C228,#REF!,21,0)</f>
        <v>#REF!</v>
      </c>
      <c r="X228" s="118" t="e">
        <f>VLOOKUP($C228,#REF!,22,0)</f>
        <v>#REF!</v>
      </c>
      <c r="Y228" s="120" t="e">
        <f>VLOOKUP($C228,#REF!,23,0)</f>
        <v>#REF!</v>
      </c>
      <c r="Z228" s="118" t="e">
        <f>VLOOKUP($C228,#REF!,24,0)</f>
        <v>#REF!</v>
      </c>
      <c r="AA228" s="119" t="e">
        <f>VLOOKUP($C228,#REF!,25,0)</f>
        <v>#REF!</v>
      </c>
      <c r="AB228" s="120" t="e">
        <f>VLOOKUP($C228,#REF!,26,0)</f>
        <v>#REF!</v>
      </c>
      <c r="AC228" s="119" t="e">
        <f>VLOOKUP($C228,#REF!,27,0)</f>
        <v>#REF!</v>
      </c>
      <c r="AD228" s="4"/>
      <c r="AE228" s="118" t="e">
        <f t="shared" si="87"/>
        <v>#REF!</v>
      </c>
      <c r="AF228" s="121" t="s">
        <v>320</v>
      </c>
      <c r="AG228" s="121" t="s">
        <v>321</v>
      </c>
      <c r="AH228" s="119" t="s">
        <v>322</v>
      </c>
      <c r="AI228" s="4"/>
      <c r="AJ228" s="118" t="s">
        <v>323</v>
      </c>
      <c r="AK228" s="121" t="s">
        <v>324</v>
      </c>
      <c r="AL228" s="121" t="s">
        <v>325</v>
      </c>
      <c r="AM228" s="121" t="s">
        <v>326</v>
      </c>
      <c r="AN228" s="121" t="s">
        <v>326</v>
      </c>
      <c r="AO228" s="119" t="s">
        <v>320</v>
      </c>
      <c r="AP228" s="4"/>
      <c r="AQ228" s="122"/>
      <c r="AR228" s="5"/>
      <c r="AS228" s="118">
        <v>0</v>
      </c>
      <c r="AT228" s="119">
        <v>0</v>
      </c>
      <c r="AU228" s="34"/>
      <c r="AV228" s="118">
        <f t="shared" si="76"/>
        <v>0</v>
      </c>
      <c r="AW228" s="119">
        <f t="shared" si="77"/>
        <v>0</v>
      </c>
      <c r="AX228" s="118">
        <f t="shared" si="88"/>
        <v>0</v>
      </c>
      <c r="AY228" s="119">
        <f t="shared" si="89"/>
        <v>0</v>
      </c>
      <c r="AZ228" s="118">
        <f t="shared" si="90"/>
        <v>0</v>
      </c>
      <c r="BA228" s="119">
        <f t="shared" si="91"/>
        <v>0</v>
      </c>
      <c r="BB228" s="120">
        <f t="shared" si="92"/>
        <v>0</v>
      </c>
      <c r="BC228" s="119">
        <f t="shared" si="93"/>
        <v>0</v>
      </c>
      <c r="BD228" s="34"/>
      <c r="BE228" s="118">
        <f t="shared" si="94"/>
        <v>0</v>
      </c>
      <c r="BF228" s="119">
        <f t="shared" si="95"/>
        <v>0</v>
      </c>
      <c r="BG228" s="118">
        <f t="shared" si="96"/>
        <v>0</v>
      </c>
      <c r="BH228" s="119">
        <f t="shared" si="97"/>
        <v>0</v>
      </c>
      <c r="BI228" s="120">
        <f t="shared" si="98"/>
        <v>0</v>
      </c>
      <c r="BJ228" s="119">
        <f t="shared" si="99"/>
        <v>0</v>
      </c>
      <c r="BK228" s="120">
        <f t="shared" si="100"/>
        <v>0</v>
      </c>
      <c r="BL228" s="119">
        <f t="shared" si="101"/>
        <v>0</v>
      </c>
      <c r="BM228" s="4"/>
      <c r="BN228" s="122"/>
      <c r="BO228" s="117"/>
      <c r="BP228" s="118"/>
      <c r="BQ228" s="119"/>
      <c r="BR228" s="120"/>
      <c r="BS228" s="118"/>
      <c r="BT228" s="119"/>
      <c r="BU228" s="118"/>
      <c r="BV228" s="119"/>
      <c r="BW228" s="118"/>
      <c r="BX228" s="119"/>
      <c r="BY228" s="118"/>
      <c r="BZ228" s="119"/>
      <c r="CA228" s="120"/>
      <c r="CB228" s="118"/>
      <c r="CC228" s="119"/>
      <c r="CD228" s="118"/>
      <c r="CE228" s="119"/>
      <c r="CF228" s="118"/>
      <c r="CG228" s="119"/>
      <c r="CH228" s="118"/>
      <c r="CI228" s="119"/>
      <c r="CJ228" s="4"/>
      <c r="CK228" s="79"/>
      <c r="CL228" s="5"/>
      <c r="CM228" s="39" t="str">
        <f t="shared" si="79"/>
        <v>-</v>
      </c>
      <c r="CN228" s="5"/>
      <c r="CO228" s="39" t="str">
        <f t="shared" si="80"/>
        <v>-</v>
      </c>
      <c r="CP228" s="39" t="str">
        <f t="shared" si="81"/>
        <v>-</v>
      </c>
      <c r="CQ228" s="39" t="str">
        <f t="shared" si="82"/>
        <v>-</v>
      </c>
      <c r="CR228" s="39" t="str">
        <f t="shared" si="82"/>
        <v>-</v>
      </c>
      <c r="CS228" s="5"/>
      <c r="CT228" s="39" t="str">
        <f t="shared" si="83"/>
        <v>-</v>
      </c>
      <c r="CU228" s="39" t="str">
        <f t="shared" si="84"/>
        <v>-</v>
      </c>
      <c r="CV228" s="39" t="str">
        <f t="shared" si="85"/>
        <v>-</v>
      </c>
      <c r="CW228" s="39" t="str">
        <f t="shared" si="86"/>
        <v>-</v>
      </c>
    </row>
    <row r="229" spans="2:101" s="4" customFormat="1" ht="12.75" customHeight="1">
      <c r="B229" s="102" t="s">
        <v>184</v>
      </c>
      <c r="C229" s="103" t="s">
        <v>172</v>
      </c>
      <c r="D229" s="104" t="e">
        <f>VLOOKUP($C229,#REF!,5,0)</f>
        <v>#REF!</v>
      </c>
      <c r="E229" s="109" t="e">
        <f>VLOOKUP($C229,#REF!,6,0)</f>
        <v>#REF!</v>
      </c>
      <c r="F229" s="103" t="e">
        <f>VLOOKUP($C229,#REF!,7,0)</f>
        <v>#REF!</v>
      </c>
      <c r="G229" s="103" t="e">
        <f>VLOOKUP($C229,#REF!,8,0)</f>
        <v>#REF!</v>
      </c>
      <c r="H229" s="110" t="e">
        <f>VLOOKUP($C229,#REF!,9,0)</f>
        <v>#REF!</v>
      </c>
      <c r="I229" s="5"/>
      <c r="J229" s="105" t="e">
        <f>VLOOKUP($C229,#REF!,10,0)</f>
        <v>#REF!</v>
      </c>
      <c r="K229" s="106" t="e">
        <f>VLOOKUP($C229,#REF!,11,0)</f>
        <v>#REF!</v>
      </c>
      <c r="L229" s="34"/>
      <c r="M229" s="105" t="e">
        <f>VLOOKUP($C229,#REF!,12,0)</f>
        <v>#REF!</v>
      </c>
      <c r="N229" s="34" t="e">
        <f>VLOOKUP($C229,#REF!,13,0)</f>
        <v>#REF!</v>
      </c>
      <c r="O229" s="105" t="e">
        <f>VLOOKUP($C229,#REF!,14,0)</f>
        <v>#REF!</v>
      </c>
      <c r="P229" s="34" t="e">
        <f>VLOOKUP($C229,#REF!,15,0)</f>
        <v>#REF!</v>
      </c>
      <c r="Q229" s="105" t="e">
        <f>VLOOKUP($C229,#REF!,16,0)</f>
        <v>#REF!</v>
      </c>
      <c r="R229" s="106" t="e">
        <f>VLOOKUP($C229,#REF!,17,0)</f>
        <v>#REF!</v>
      </c>
      <c r="S229" s="34" t="e">
        <f>VLOOKUP($C229,#REF!,18,0)</f>
        <v>#REF!</v>
      </c>
      <c r="T229" s="106" t="e">
        <f>VLOOKUP($C229,#REF!,19,0)</f>
        <v>#REF!</v>
      </c>
      <c r="U229" s="34"/>
      <c r="V229" s="105" t="e">
        <f>VLOOKUP($C229,#REF!,20,0)</f>
        <v>#REF!</v>
      </c>
      <c r="W229" s="34" t="e">
        <f>VLOOKUP($C229,#REF!,21,0)</f>
        <v>#REF!</v>
      </c>
      <c r="X229" s="105" t="e">
        <f>VLOOKUP($C229,#REF!,22,0)</f>
        <v>#REF!</v>
      </c>
      <c r="Y229" s="34" t="e">
        <f>VLOOKUP($C229,#REF!,23,0)</f>
        <v>#REF!</v>
      </c>
      <c r="Z229" s="105" t="e">
        <f>VLOOKUP($C229,#REF!,24,0)</f>
        <v>#REF!</v>
      </c>
      <c r="AA229" s="106" t="e">
        <f>VLOOKUP($C229,#REF!,25,0)</f>
        <v>#REF!</v>
      </c>
      <c r="AB229" s="34" t="e">
        <f>VLOOKUP($C229,#REF!,26,0)</f>
        <v>#REF!</v>
      </c>
      <c r="AC229" s="106" t="e">
        <f>VLOOKUP($C229,#REF!,27,0)</f>
        <v>#REF!</v>
      </c>
      <c r="AE229" s="105" t="e">
        <f t="shared" si="87"/>
        <v>#REF!</v>
      </c>
      <c r="AF229" s="107" t="s">
        <v>320</v>
      </c>
      <c r="AG229" s="107" t="s">
        <v>321</v>
      </c>
      <c r="AH229" s="106" t="s">
        <v>322</v>
      </c>
      <c r="AJ229" s="105" t="s">
        <v>323</v>
      </c>
      <c r="AK229" s="107" t="s">
        <v>324</v>
      </c>
      <c r="AL229" s="107" t="s">
        <v>325</v>
      </c>
      <c r="AM229" s="107" t="s">
        <v>326</v>
      </c>
      <c r="AN229" s="107" t="s">
        <v>326</v>
      </c>
      <c r="AO229" s="106" t="s">
        <v>320</v>
      </c>
      <c r="AQ229" s="108"/>
      <c r="AR229" s="5"/>
      <c r="AS229" s="105">
        <v>0</v>
      </c>
      <c r="AT229" s="106">
        <v>0</v>
      </c>
      <c r="AU229" s="34"/>
      <c r="AV229" s="105">
        <f t="shared" si="76"/>
        <v>0</v>
      </c>
      <c r="AW229" s="106">
        <f t="shared" si="77"/>
        <v>0</v>
      </c>
      <c r="AX229" s="105">
        <f t="shared" si="88"/>
        <v>0</v>
      </c>
      <c r="AY229" s="106">
        <f t="shared" si="89"/>
        <v>0</v>
      </c>
      <c r="AZ229" s="105">
        <f t="shared" si="90"/>
        <v>0</v>
      </c>
      <c r="BA229" s="106">
        <f t="shared" si="91"/>
        <v>0</v>
      </c>
      <c r="BB229" s="34">
        <f t="shared" si="92"/>
        <v>0</v>
      </c>
      <c r="BC229" s="106">
        <f t="shared" si="93"/>
        <v>0</v>
      </c>
      <c r="BD229" s="34"/>
      <c r="BE229" s="105">
        <f t="shared" si="94"/>
        <v>0</v>
      </c>
      <c r="BF229" s="106">
        <f t="shared" si="95"/>
        <v>0</v>
      </c>
      <c r="BG229" s="105">
        <f t="shared" si="96"/>
        <v>0</v>
      </c>
      <c r="BH229" s="106">
        <f t="shared" si="97"/>
        <v>0</v>
      </c>
      <c r="BI229" s="34">
        <f t="shared" si="98"/>
        <v>0</v>
      </c>
      <c r="BJ229" s="106">
        <f t="shared" si="99"/>
        <v>0</v>
      </c>
      <c r="BK229" s="34">
        <f t="shared" si="100"/>
        <v>0</v>
      </c>
      <c r="BL229" s="106">
        <f t="shared" si="101"/>
        <v>0</v>
      </c>
      <c r="BN229" s="108"/>
      <c r="BO229" s="5"/>
      <c r="BP229" s="105"/>
      <c r="BQ229" s="106"/>
      <c r="BR229" s="34"/>
      <c r="BS229" s="105"/>
      <c r="BT229" s="106"/>
      <c r="BU229" s="105"/>
      <c r="BV229" s="106"/>
      <c r="BW229" s="105"/>
      <c r="BX229" s="106"/>
      <c r="BY229" s="105"/>
      <c r="BZ229" s="106"/>
      <c r="CA229" s="34"/>
      <c r="CB229" s="105"/>
      <c r="CC229" s="106"/>
      <c r="CD229" s="105"/>
      <c r="CE229" s="106"/>
      <c r="CF229" s="105"/>
      <c r="CG229" s="106"/>
      <c r="CH229" s="105"/>
      <c r="CI229" s="106"/>
      <c r="CK229" s="78"/>
      <c r="CL229" s="5"/>
      <c r="CM229" s="38" t="str">
        <f t="shared" si="79"/>
        <v>-</v>
      </c>
      <c r="CN229" s="5"/>
      <c r="CO229" s="38" t="str">
        <f t="shared" si="80"/>
        <v>-</v>
      </c>
      <c r="CP229" s="38" t="str">
        <f t="shared" si="81"/>
        <v>-</v>
      </c>
      <c r="CQ229" s="38" t="str">
        <f t="shared" si="82"/>
        <v>-</v>
      </c>
      <c r="CR229" s="38" t="str">
        <f t="shared" si="82"/>
        <v>-</v>
      </c>
      <c r="CS229" s="5"/>
      <c r="CT229" s="38" t="str">
        <f t="shared" si="83"/>
        <v>-</v>
      </c>
      <c r="CU229" s="38" t="str">
        <f t="shared" si="84"/>
        <v>-</v>
      </c>
      <c r="CV229" s="38" t="str">
        <f t="shared" si="85"/>
        <v>-</v>
      </c>
      <c r="CW229" s="38" t="str">
        <f t="shared" si="86"/>
        <v>-</v>
      </c>
    </row>
    <row r="230" spans="2:101" s="113" customFormat="1" ht="12.75" customHeight="1">
      <c r="B230" s="99" t="s">
        <v>184</v>
      </c>
      <c r="C230" s="98" t="s">
        <v>173</v>
      </c>
      <c r="D230" s="114" t="e">
        <f>VLOOKUP($C230,#REF!,5,0)</f>
        <v>#REF!</v>
      </c>
      <c r="E230" s="115" t="e">
        <f>VLOOKUP($C230,#REF!,6,0)</f>
        <v>#REF!</v>
      </c>
      <c r="F230" s="98" t="e">
        <f>VLOOKUP($C230,#REF!,7,0)</f>
        <v>#REF!</v>
      </c>
      <c r="G230" s="98" t="e">
        <f>VLOOKUP($C230,#REF!,8,0)</f>
        <v>#REF!</v>
      </c>
      <c r="H230" s="116" t="e">
        <f>VLOOKUP($C230,#REF!,9,0)</f>
        <v>#REF!</v>
      </c>
      <c r="I230" s="5"/>
      <c r="J230" s="118" t="e">
        <f>VLOOKUP($C230,#REF!,10,0)</f>
        <v>#REF!</v>
      </c>
      <c r="K230" s="119" t="e">
        <f>VLOOKUP($C230,#REF!,11,0)</f>
        <v>#REF!</v>
      </c>
      <c r="L230" s="34"/>
      <c r="M230" s="118" t="e">
        <f>VLOOKUP($C230,#REF!,12,0)</f>
        <v>#REF!</v>
      </c>
      <c r="N230" s="120" t="e">
        <f>VLOOKUP($C230,#REF!,13,0)</f>
        <v>#REF!</v>
      </c>
      <c r="O230" s="118" t="e">
        <f>VLOOKUP($C230,#REF!,14,0)</f>
        <v>#REF!</v>
      </c>
      <c r="P230" s="120" t="e">
        <f>VLOOKUP($C230,#REF!,15,0)</f>
        <v>#REF!</v>
      </c>
      <c r="Q230" s="118" t="e">
        <f>VLOOKUP($C230,#REF!,16,0)</f>
        <v>#REF!</v>
      </c>
      <c r="R230" s="119" t="e">
        <f>VLOOKUP($C230,#REF!,17,0)</f>
        <v>#REF!</v>
      </c>
      <c r="S230" s="120" t="e">
        <f>VLOOKUP($C230,#REF!,18,0)</f>
        <v>#REF!</v>
      </c>
      <c r="T230" s="119" t="e">
        <f>VLOOKUP($C230,#REF!,19,0)</f>
        <v>#REF!</v>
      </c>
      <c r="U230" s="34"/>
      <c r="V230" s="118" t="e">
        <f>VLOOKUP($C230,#REF!,20,0)</f>
        <v>#REF!</v>
      </c>
      <c r="W230" s="120" t="e">
        <f>VLOOKUP($C230,#REF!,21,0)</f>
        <v>#REF!</v>
      </c>
      <c r="X230" s="118" t="e">
        <f>VLOOKUP($C230,#REF!,22,0)</f>
        <v>#REF!</v>
      </c>
      <c r="Y230" s="120" t="e">
        <f>VLOOKUP($C230,#REF!,23,0)</f>
        <v>#REF!</v>
      </c>
      <c r="Z230" s="118" t="e">
        <f>VLOOKUP($C230,#REF!,24,0)</f>
        <v>#REF!</v>
      </c>
      <c r="AA230" s="119" t="e">
        <f>VLOOKUP($C230,#REF!,25,0)</f>
        <v>#REF!</v>
      </c>
      <c r="AB230" s="120" t="e">
        <f>VLOOKUP($C230,#REF!,26,0)</f>
        <v>#REF!</v>
      </c>
      <c r="AC230" s="119" t="e">
        <f>VLOOKUP($C230,#REF!,27,0)</f>
        <v>#REF!</v>
      </c>
      <c r="AD230" s="4"/>
      <c r="AE230" s="118" t="e">
        <f t="shared" si="87"/>
        <v>#REF!</v>
      </c>
      <c r="AF230" s="121" t="s">
        <v>320</v>
      </c>
      <c r="AG230" s="121" t="s">
        <v>321</v>
      </c>
      <c r="AH230" s="119" t="s">
        <v>322</v>
      </c>
      <c r="AI230" s="4"/>
      <c r="AJ230" s="118" t="s">
        <v>323</v>
      </c>
      <c r="AK230" s="121" t="s">
        <v>324</v>
      </c>
      <c r="AL230" s="121" t="s">
        <v>325</v>
      </c>
      <c r="AM230" s="121" t="s">
        <v>326</v>
      </c>
      <c r="AN230" s="121" t="s">
        <v>326</v>
      </c>
      <c r="AO230" s="119" t="s">
        <v>320</v>
      </c>
      <c r="AP230" s="4"/>
      <c r="AQ230" s="122">
        <v>1</v>
      </c>
      <c r="AR230" s="5"/>
      <c r="AS230" s="118">
        <v>0</v>
      </c>
      <c r="AT230" s="119">
        <v>0</v>
      </c>
      <c r="AU230" s="34"/>
      <c r="AV230" s="118">
        <f t="shared" si="76"/>
        <v>0</v>
      </c>
      <c r="AW230" s="119">
        <f t="shared" si="77"/>
        <v>0</v>
      </c>
      <c r="AX230" s="118">
        <f t="shared" si="88"/>
        <v>0</v>
      </c>
      <c r="AY230" s="119">
        <f t="shared" si="89"/>
        <v>0</v>
      </c>
      <c r="AZ230" s="118">
        <f t="shared" si="90"/>
        <v>0</v>
      </c>
      <c r="BA230" s="119">
        <f t="shared" si="91"/>
        <v>0</v>
      </c>
      <c r="BB230" s="120">
        <f t="shared" si="92"/>
        <v>0</v>
      </c>
      <c r="BC230" s="119">
        <f t="shared" si="93"/>
        <v>0</v>
      </c>
      <c r="BD230" s="34"/>
      <c r="BE230" s="118">
        <f t="shared" si="94"/>
        <v>0</v>
      </c>
      <c r="BF230" s="119">
        <f t="shared" si="95"/>
        <v>0</v>
      </c>
      <c r="BG230" s="118">
        <f t="shared" si="96"/>
        <v>0</v>
      </c>
      <c r="BH230" s="119">
        <f t="shared" si="97"/>
        <v>0</v>
      </c>
      <c r="BI230" s="120">
        <f t="shared" si="98"/>
        <v>0</v>
      </c>
      <c r="BJ230" s="119">
        <f t="shared" si="99"/>
        <v>0</v>
      </c>
      <c r="BK230" s="120">
        <f t="shared" si="100"/>
        <v>0</v>
      </c>
      <c r="BL230" s="119">
        <f t="shared" si="101"/>
        <v>0</v>
      </c>
      <c r="BM230" s="4"/>
      <c r="BN230" s="122">
        <v>0</v>
      </c>
      <c r="BO230" s="117"/>
      <c r="BP230" s="118">
        <v>0</v>
      </c>
      <c r="BQ230" s="119">
        <v>0</v>
      </c>
      <c r="BR230" s="120"/>
      <c r="BS230" s="118">
        <v>0</v>
      </c>
      <c r="BT230" s="119">
        <v>0</v>
      </c>
      <c r="BU230" s="118">
        <v>0</v>
      </c>
      <c r="BV230" s="119">
        <v>0</v>
      </c>
      <c r="BW230" s="118">
        <v>0</v>
      </c>
      <c r="BX230" s="119">
        <v>-3</v>
      </c>
      <c r="BY230" s="118">
        <v>0</v>
      </c>
      <c r="BZ230" s="119">
        <v>-3</v>
      </c>
      <c r="CA230" s="120"/>
      <c r="CB230" s="118">
        <v>0</v>
      </c>
      <c r="CC230" s="119">
        <v>0</v>
      </c>
      <c r="CD230" s="118">
        <v>0</v>
      </c>
      <c r="CE230" s="119">
        <v>0</v>
      </c>
      <c r="CF230" s="118">
        <v>0</v>
      </c>
      <c r="CG230" s="119">
        <v>-3</v>
      </c>
      <c r="CH230" s="118">
        <v>0</v>
      </c>
      <c r="CI230" s="119">
        <v>-3</v>
      </c>
      <c r="CJ230" s="4"/>
      <c r="CK230" s="79"/>
      <c r="CL230" s="5"/>
      <c r="CM230" s="39" t="str">
        <f t="shared" si="79"/>
        <v>-</v>
      </c>
      <c r="CN230" s="5"/>
      <c r="CO230" s="39" t="str">
        <f t="shared" si="80"/>
        <v>-</v>
      </c>
      <c r="CP230" s="39" t="str">
        <f t="shared" si="81"/>
        <v>-</v>
      </c>
      <c r="CQ230" s="39" t="str">
        <f t="shared" si="82"/>
        <v>-</v>
      </c>
      <c r="CR230" s="39" t="str">
        <f t="shared" si="82"/>
        <v>-</v>
      </c>
      <c r="CS230" s="5"/>
      <c r="CT230" s="39" t="str">
        <f t="shared" si="83"/>
        <v>-</v>
      </c>
      <c r="CU230" s="39" t="str">
        <f t="shared" si="84"/>
        <v>-</v>
      </c>
      <c r="CV230" s="39" t="str">
        <f t="shared" si="85"/>
        <v>-</v>
      </c>
      <c r="CW230" s="39" t="str">
        <f t="shared" si="86"/>
        <v>-</v>
      </c>
    </row>
    <row r="231" spans="2:101" s="4" customFormat="1" ht="12.75" customHeight="1">
      <c r="B231" s="102" t="s">
        <v>184</v>
      </c>
      <c r="C231" s="103" t="s">
        <v>174</v>
      </c>
      <c r="D231" s="104" t="e">
        <f>VLOOKUP($C231,#REF!,5,0)</f>
        <v>#REF!</v>
      </c>
      <c r="E231" s="109" t="e">
        <f>VLOOKUP($C231,#REF!,6,0)</f>
        <v>#REF!</v>
      </c>
      <c r="F231" s="103" t="e">
        <f>VLOOKUP($C231,#REF!,7,0)</f>
        <v>#REF!</v>
      </c>
      <c r="G231" s="103" t="e">
        <f>VLOOKUP($C231,#REF!,8,0)</f>
        <v>#REF!</v>
      </c>
      <c r="H231" s="110" t="e">
        <f>VLOOKUP($C231,#REF!,9,0)</f>
        <v>#REF!</v>
      </c>
      <c r="I231" s="5"/>
      <c r="J231" s="105" t="e">
        <f>VLOOKUP($C231,#REF!,10,0)</f>
        <v>#REF!</v>
      </c>
      <c r="K231" s="106" t="e">
        <f>VLOOKUP($C231,#REF!,11,0)</f>
        <v>#REF!</v>
      </c>
      <c r="L231" s="34"/>
      <c r="M231" s="105" t="e">
        <f>VLOOKUP($C231,#REF!,12,0)</f>
        <v>#REF!</v>
      </c>
      <c r="N231" s="34" t="e">
        <f>VLOOKUP($C231,#REF!,13,0)</f>
        <v>#REF!</v>
      </c>
      <c r="O231" s="105" t="e">
        <f>VLOOKUP($C231,#REF!,14,0)</f>
        <v>#REF!</v>
      </c>
      <c r="P231" s="34" t="e">
        <f>VLOOKUP($C231,#REF!,15,0)</f>
        <v>#REF!</v>
      </c>
      <c r="Q231" s="105" t="e">
        <f>VLOOKUP($C231,#REF!,16,0)</f>
        <v>#REF!</v>
      </c>
      <c r="R231" s="106" t="e">
        <f>VLOOKUP($C231,#REF!,17,0)</f>
        <v>#REF!</v>
      </c>
      <c r="S231" s="34" t="e">
        <f>VLOOKUP($C231,#REF!,18,0)</f>
        <v>#REF!</v>
      </c>
      <c r="T231" s="106" t="e">
        <f>VLOOKUP($C231,#REF!,19,0)</f>
        <v>#REF!</v>
      </c>
      <c r="U231" s="34"/>
      <c r="V231" s="105" t="e">
        <f>VLOOKUP($C231,#REF!,20,0)</f>
        <v>#REF!</v>
      </c>
      <c r="W231" s="34" t="e">
        <f>VLOOKUP($C231,#REF!,21,0)</f>
        <v>#REF!</v>
      </c>
      <c r="X231" s="105" t="e">
        <f>VLOOKUP($C231,#REF!,22,0)</f>
        <v>#REF!</v>
      </c>
      <c r="Y231" s="34" t="e">
        <f>VLOOKUP($C231,#REF!,23,0)</f>
        <v>#REF!</v>
      </c>
      <c r="Z231" s="105" t="e">
        <f>VLOOKUP($C231,#REF!,24,0)</f>
        <v>#REF!</v>
      </c>
      <c r="AA231" s="106" t="e">
        <f>VLOOKUP($C231,#REF!,25,0)</f>
        <v>#REF!</v>
      </c>
      <c r="AB231" s="34" t="e">
        <f>VLOOKUP($C231,#REF!,26,0)</f>
        <v>#REF!</v>
      </c>
      <c r="AC231" s="106" t="e">
        <f>VLOOKUP($C231,#REF!,27,0)</f>
        <v>#REF!</v>
      </c>
      <c r="AE231" s="105" t="e">
        <f t="shared" si="87"/>
        <v>#REF!</v>
      </c>
      <c r="AF231" s="107" t="s">
        <v>320</v>
      </c>
      <c r="AG231" s="107" t="s">
        <v>321</v>
      </c>
      <c r="AH231" s="106" t="s">
        <v>322</v>
      </c>
      <c r="AJ231" s="105" t="s">
        <v>323</v>
      </c>
      <c r="AK231" s="107" t="s">
        <v>324</v>
      </c>
      <c r="AL231" s="107" t="s">
        <v>325</v>
      </c>
      <c r="AM231" s="107" t="s">
        <v>326</v>
      </c>
      <c r="AN231" s="107" t="s">
        <v>326</v>
      </c>
      <c r="AO231" s="106" t="s">
        <v>320</v>
      </c>
      <c r="AQ231" s="108">
        <v>1</v>
      </c>
      <c r="AR231" s="5"/>
      <c r="AS231" s="105">
        <v>0</v>
      </c>
      <c r="AT231" s="106">
        <v>0</v>
      </c>
      <c r="AU231" s="34"/>
      <c r="AV231" s="105">
        <f t="shared" si="76"/>
        <v>0</v>
      </c>
      <c r="AW231" s="106">
        <f t="shared" si="77"/>
        <v>0</v>
      </c>
      <c r="AX231" s="105">
        <f t="shared" si="88"/>
        <v>0</v>
      </c>
      <c r="AY231" s="106">
        <f t="shared" si="89"/>
        <v>0</v>
      </c>
      <c r="AZ231" s="105">
        <f t="shared" si="90"/>
        <v>0</v>
      </c>
      <c r="BA231" s="106">
        <f t="shared" si="91"/>
        <v>0</v>
      </c>
      <c r="BB231" s="34">
        <f t="shared" si="92"/>
        <v>0</v>
      </c>
      <c r="BC231" s="106">
        <f t="shared" si="93"/>
        <v>0</v>
      </c>
      <c r="BD231" s="34"/>
      <c r="BE231" s="105">
        <f t="shared" si="94"/>
        <v>0</v>
      </c>
      <c r="BF231" s="106">
        <f t="shared" si="95"/>
        <v>0</v>
      </c>
      <c r="BG231" s="105">
        <f t="shared" si="96"/>
        <v>0</v>
      </c>
      <c r="BH231" s="106">
        <f t="shared" si="97"/>
        <v>0</v>
      </c>
      <c r="BI231" s="34">
        <f t="shared" si="98"/>
        <v>0</v>
      </c>
      <c r="BJ231" s="106">
        <f t="shared" si="99"/>
        <v>0</v>
      </c>
      <c r="BK231" s="34">
        <f t="shared" si="100"/>
        <v>0</v>
      </c>
      <c r="BL231" s="106">
        <f t="shared" si="101"/>
        <v>0</v>
      </c>
      <c r="BN231" s="108">
        <v>0</v>
      </c>
      <c r="BO231" s="5"/>
      <c r="BP231" s="105">
        <v>0</v>
      </c>
      <c r="BQ231" s="106">
        <v>0</v>
      </c>
      <c r="BR231" s="34"/>
      <c r="BS231" s="105">
        <v>0</v>
      </c>
      <c r="BT231" s="106">
        <v>0</v>
      </c>
      <c r="BU231" s="105">
        <v>0</v>
      </c>
      <c r="BV231" s="106">
        <v>0</v>
      </c>
      <c r="BW231" s="105">
        <v>0</v>
      </c>
      <c r="BX231" s="106">
        <v>0</v>
      </c>
      <c r="BY231" s="105">
        <v>0</v>
      </c>
      <c r="BZ231" s="106">
        <v>0</v>
      </c>
      <c r="CA231" s="34"/>
      <c r="CB231" s="105">
        <v>0</v>
      </c>
      <c r="CC231" s="106">
        <v>0</v>
      </c>
      <c r="CD231" s="105">
        <v>0</v>
      </c>
      <c r="CE231" s="106">
        <v>0</v>
      </c>
      <c r="CF231" s="105">
        <v>0</v>
      </c>
      <c r="CG231" s="106">
        <v>0</v>
      </c>
      <c r="CH231" s="105">
        <v>0</v>
      </c>
      <c r="CI231" s="106">
        <v>0</v>
      </c>
      <c r="CK231" s="78"/>
      <c r="CL231" s="5"/>
      <c r="CM231" s="38" t="str">
        <f t="shared" si="79"/>
        <v>-</v>
      </c>
      <c r="CN231" s="5"/>
      <c r="CO231" s="38" t="str">
        <f t="shared" si="80"/>
        <v>-</v>
      </c>
      <c r="CP231" s="38" t="str">
        <f t="shared" si="81"/>
        <v>-</v>
      </c>
      <c r="CQ231" s="38" t="str">
        <f t="shared" si="82"/>
        <v>-</v>
      </c>
      <c r="CR231" s="38" t="str">
        <f t="shared" si="82"/>
        <v>-</v>
      </c>
      <c r="CS231" s="5"/>
      <c r="CT231" s="38" t="str">
        <f t="shared" si="83"/>
        <v>-</v>
      </c>
      <c r="CU231" s="38" t="str">
        <f t="shared" si="84"/>
        <v>-</v>
      </c>
      <c r="CV231" s="38" t="str">
        <f t="shared" si="85"/>
        <v>-</v>
      </c>
      <c r="CW231" s="38" t="str">
        <f t="shared" si="86"/>
        <v>-</v>
      </c>
    </row>
    <row r="232" spans="2:101" s="113" customFormat="1" ht="12.75" customHeight="1">
      <c r="B232" s="99" t="s">
        <v>184</v>
      </c>
      <c r="C232" s="98" t="s">
        <v>175</v>
      </c>
      <c r="D232" s="114" t="e">
        <f>VLOOKUP($C232,#REF!,5,0)</f>
        <v>#REF!</v>
      </c>
      <c r="E232" s="115" t="e">
        <f>VLOOKUP($C232,#REF!,6,0)</f>
        <v>#REF!</v>
      </c>
      <c r="F232" s="98" t="e">
        <f>VLOOKUP($C232,#REF!,7,0)</f>
        <v>#REF!</v>
      </c>
      <c r="G232" s="98" t="e">
        <f>VLOOKUP($C232,#REF!,8,0)</f>
        <v>#REF!</v>
      </c>
      <c r="H232" s="116" t="e">
        <f>VLOOKUP($C232,#REF!,9,0)</f>
        <v>#REF!</v>
      </c>
      <c r="I232" s="5"/>
      <c r="J232" s="118" t="e">
        <f>VLOOKUP($C232,#REF!,10,0)</f>
        <v>#REF!</v>
      </c>
      <c r="K232" s="119" t="e">
        <f>VLOOKUP($C232,#REF!,11,0)</f>
        <v>#REF!</v>
      </c>
      <c r="L232" s="34"/>
      <c r="M232" s="118" t="e">
        <f>VLOOKUP($C232,#REF!,12,0)</f>
        <v>#REF!</v>
      </c>
      <c r="N232" s="120" t="e">
        <f>VLOOKUP($C232,#REF!,13,0)</f>
        <v>#REF!</v>
      </c>
      <c r="O232" s="118" t="e">
        <f>VLOOKUP($C232,#REF!,14,0)</f>
        <v>#REF!</v>
      </c>
      <c r="P232" s="120" t="e">
        <f>VLOOKUP($C232,#REF!,15,0)</f>
        <v>#REF!</v>
      </c>
      <c r="Q232" s="118" t="e">
        <f>VLOOKUP($C232,#REF!,16,0)</f>
        <v>#REF!</v>
      </c>
      <c r="R232" s="119" t="e">
        <f>VLOOKUP($C232,#REF!,17,0)</f>
        <v>#REF!</v>
      </c>
      <c r="S232" s="120" t="e">
        <f>VLOOKUP($C232,#REF!,18,0)</f>
        <v>#REF!</v>
      </c>
      <c r="T232" s="119" t="e">
        <f>VLOOKUP($C232,#REF!,19,0)</f>
        <v>#REF!</v>
      </c>
      <c r="U232" s="34"/>
      <c r="V232" s="118" t="e">
        <f>VLOOKUP($C232,#REF!,20,0)</f>
        <v>#REF!</v>
      </c>
      <c r="W232" s="120" t="e">
        <f>VLOOKUP($C232,#REF!,21,0)</f>
        <v>#REF!</v>
      </c>
      <c r="X232" s="118" t="e">
        <f>VLOOKUP($C232,#REF!,22,0)</f>
        <v>#REF!</v>
      </c>
      <c r="Y232" s="120" t="e">
        <f>VLOOKUP($C232,#REF!,23,0)</f>
        <v>#REF!</v>
      </c>
      <c r="Z232" s="118" t="e">
        <f>VLOOKUP($C232,#REF!,24,0)</f>
        <v>#REF!</v>
      </c>
      <c r="AA232" s="119" t="e">
        <f>VLOOKUP($C232,#REF!,25,0)</f>
        <v>#REF!</v>
      </c>
      <c r="AB232" s="120" t="e">
        <f>VLOOKUP($C232,#REF!,26,0)</f>
        <v>#REF!</v>
      </c>
      <c r="AC232" s="119" t="e">
        <f>VLOOKUP($C232,#REF!,27,0)</f>
        <v>#REF!</v>
      </c>
      <c r="AD232" s="4"/>
      <c r="AE232" s="118" t="e">
        <f t="shared" si="87"/>
        <v>#REF!</v>
      </c>
      <c r="AF232" s="121" t="s">
        <v>320</v>
      </c>
      <c r="AG232" s="121" t="s">
        <v>321</v>
      </c>
      <c r="AH232" s="119" t="s">
        <v>322</v>
      </c>
      <c r="AI232" s="4"/>
      <c r="AJ232" s="118" t="s">
        <v>323</v>
      </c>
      <c r="AK232" s="121" t="s">
        <v>324</v>
      </c>
      <c r="AL232" s="121" t="s">
        <v>325</v>
      </c>
      <c r="AM232" s="121" t="s">
        <v>326</v>
      </c>
      <c r="AN232" s="121" t="s">
        <v>326</v>
      </c>
      <c r="AO232" s="119" t="s">
        <v>320</v>
      </c>
      <c r="AP232" s="4"/>
      <c r="AQ232" s="122"/>
      <c r="AR232" s="5"/>
      <c r="AS232" s="118">
        <v>0</v>
      </c>
      <c r="AT232" s="119">
        <v>0</v>
      </c>
      <c r="AU232" s="34"/>
      <c r="AV232" s="118">
        <f t="shared" si="76"/>
        <v>0</v>
      </c>
      <c r="AW232" s="119">
        <f t="shared" si="77"/>
        <v>0</v>
      </c>
      <c r="AX232" s="118">
        <f t="shared" si="88"/>
        <v>0</v>
      </c>
      <c r="AY232" s="119">
        <f t="shared" si="89"/>
        <v>0</v>
      </c>
      <c r="AZ232" s="118">
        <f t="shared" si="90"/>
        <v>0</v>
      </c>
      <c r="BA232" s="119">
        <f t="shared" si="91"/>
        <v>0</v>
      </c>
      <c r="BB232" s="120">
        <f t="shared" si="92"/>
        <v>0</v>
      </c>
      <c r="BC232" s="119">
        <f t="shared" si="93"/>
        <v>0</v>
      </c>
      <c r="BD232" s="34"/>
      <c r="BE232" s="118">
        <f t="shared" si="94"/>
        <v>0</v>
      </c>
      <c r="BF232" s="119">
        <f t="shared" si="95"/>
        <v>0</v>
      </c>
      <c r="BG232" s="118">
        <f t="shared" si="96"/>
        <v>0</v>
      </c>
      <c r="BH232" s="119">
        <f t="shared" si="97"/>
        <v>0</v>
      </c>
      <c r="BI232" s="120">
        <f t="shared" si="98"/>
        <v>0</v>
      </c>
      <c r="BJ232" s="119">
        <f t="shared" si="99"/>
        <v>0</v>
      </c>
      <c r="BK232" s="120">
        <f t="shared" si="100"/>
        <v>0</v>
      </c>
      <c r="BL232" s="119">
        <f t="shared" si="101"/>
        <v>0</v>
      </c>
      <c r="BM232" s="4"/>
      <c r="BN232" s="122"/>
      <c r="BO232" s="117"/>
      <c r="BP232" s="118"/>
      <c r="BQ232" s="119"/>
      <c r="BR232" s="120"/>
      <c r="BS232" s="118"/>
      <c r="BT232" s="119"/>
      <c r="BU232" s="118"/>
      <c r="BV232" s="119"/>
      <c r="BW232" s="118"/>
      <c r="BX232" s="119"/>
      <c r="BY232" s="118"/>
      <c r="BZ232" s="119"/>
      <c r="CA232" s="120"/>
      <c r="CB232" s="118"/>
      <c r="CC232" s="119"/>
      <c r="CD232" s="118"/>
      <c r="CE232" s="119"/>
      <c r="CF232" s="118"/>
      <c r="CG232" s="119"/>
      <c r="CH232" s="118"/>
      <c r="CI232" s="119"/>
      <c r="CJ232" s="4"/>
      <c r="CK232" s="79"/>
      <c r="CL232" s="5"/>
      <c r="CM232" s="39" t="str">
        <f t="shared" si="79"/>
        <v>-</v>
      </c>
      <c r="CN232" s="5"/>
      <c r="CO232" s="39" t="str">
        <f t="shared" si="80"/>
        <v>-</v>
      </c>
      <c r="CP232" s="39" t="str">
        <f t="shared" si="81"/>
        <v>-</v>
      </c>
      <c r="CQ232" s="39" t="str">
        <f t="shared" si="82"/>
        <v>-</v>
      </c>
      <c r="CR232" s="39" t="str">
        <f t="shared" si="82"/>
        <v>-</v>
      </c>
      <c r="CS232" s="5"/>
      <c r="CT232" s="39" t="str">
        <f t="shared" si="83"/>
        <v>-</v>
      </c>
      <c r="CU232" s="39" t="str">
        <f t="shared" si="84"/>
        <v>-</v>
      </c>
      <c r="CV232" s="39" t="str">
        <f t="shared" si="85"/>
        <v>-</v>
      </c>
      <c r="CW232" s="39" t="str">
        <f t="shared" si="86"/>
        <v>-</v>
      </c>
    </row>
    <row r="233" spans="2:101" s="4" customFormat="1" ht="12.75" customHeight="1">
      <c r="B233" s="102" t="s">
        <v>184</v>
      </c>
      <c r="C233" s="103" t="s">
        <v>176</v>
      </c>
      <c r="D233" s="104" t="e">
        <f>VLOOKUP($C233,#REF!,5,0)</f>
        <v>#REF!</v>
      </c>
      <c r="E233" s="109" t="e">
        <f>VLOOKUP($C233,#REF!,6,0)</f>
        <v>#REF!</v>
      </c>
      <c r="F233" s="103" t="e">
        <f>VLOOKUP($C233,#REF!,7,0)</f>
        <v>#REF!</v>
      </c>
      <c r="G233" s="103" t="e">
        <f>VLOOKUP($C233,#REF!,8,0)</f>
        <v>#REF!</v>
      </c>
      <c r="H233" s="110" t="e">
        <f>VLOOKUP($C233,#REF!,9,0)</f>
        <v>#REF!</v>
      </c>
      <c r="I233" s="5"/>
      <c r="J233" s="105" t="e">
        <f>VLOOKUP($C233,#REF!,10,0)</f>
        <v>#REF!</v>
      </c>
      <c r="K233" s="106" t="e">
        <f>VLOOKUP($C233,#REF!,11,0)</f>
        <v>#REF!</v>
      </c>
      <c r="L233" s="34"/>
      <c r="M233" s="105" t="e">
        <f>VLOOKUP($C233,#REF!,12,0)</f>
        <v>#REF!</v>
      </c>
      <c r="N233" s="34" t="e">
        <f>VLOOKUP($C233,#REF!,13,0)</f>
        <v>#REF!</v>
      </c>
      <c r="O233" s="105" t="e">
        <f>VLOOKUP($C233,#REF!,14,0)</f>
        <v>#REF!</v>
      </c>
      <c r="P233" s="34" t="e">
        <f>VLOOKUP($C233,#REF!,15,0)</f>
        <v>#REF!</v>
      </c>
      <c r="Q233" s="105" t="e">
        <f>VLOOKUP($C233,#REF!,16,0)</f>
        <v>#REF!</v>
      </c>
      <c r="R233" s="106" t="e">
        <f>VLOOKUP($C233,#REF!,17,0)</f>
        <v>#REF!</v>
      </c>
      <c r="S233" s="34" t="e">
        <f>VLOOKUP($C233,#REF!,18,0)</f>
        <v>#REF!</v>
      </c>
      <c r="T233" s="106" t="e">
        <f>VLOOKUP($C233,#REF!,19,0)</f>
        <v>#REF!</v>
      </c>
      <c r="U233" s="34"/>
      <c r="V233" s="105" t="e">
        <f>VLOOKUP($C233,#REF!,20,0)</f>
        <v>#REF!</v>
      </c>
      <c r="W233" s="34" t="e">
        <f>VLOOKUP($C233,#REF!,21,0)</f>
        <v>#REF!</v>
      </c>
      <c r="X233" s="105" t="e">
        <f>VLOOKUP($C233,#REF!,22,0)</f>
        <v>#REF!</v>
      </c>
      <c r="Y233" s="34" t="e">
        <f>VLOOKUP($C233,#REF!,23,0)</f>
        <v>#REF!</v>
      </c>
      <c r="Z233" s="105" t="e">
        <f>VLOOKUP($C233,#REF!,24,0)</f>
        <v>#REF!</v>
      </c>
      <c r="AA233" s="106" t="e">
        <f>VLOOKUP($C233,#REF!,25,0)</f>
        <v>#REF!</v>
      </c>
      <c r="AB233" s="34" t="e">
        <f>VLOOKUP($C233,#REF!,26,0)</f>
        <v>#REF!</v>
      </c>
      <c r="AC233" s="106" t="e">
        <f>VLOOKUP($C233,#REF!,27,0)</f>
        <v>#REF!</v>
      </c>
      <c r="AE233" s="105" t="e">
        <f t="shared" si="87"/>
        <v>#REF!</v>
      </c>
      <c r="AF233" s="107" t="s">
        <v>320</v>
      </c>
      <c r="AG233" s="107" t="s">
        <v>321</v>
      </c>
      <c r="AH233" s="106" t="s">
        <v>322</v>
      </c>
      <c r="AJ233" s="105" t="s">
        <v>323</v>
      </c>
      <c r="AK233" s="107" t="s">
        <v>324</v>
      </c>
      <c r="AL233" s="107" t="s">
        <v>325</v>
      </c>
      <c r="AM233" s="107" t="s">
        <v>326</v>
      </c>
      <c r="AN233" s="107" t="s">
        <v>326</v>
      </c>
      <c r="AO233" s="106" t="s">
        <v>320</v>
      </c>
      <c r="AQ233" s="108">
        <v>9</v>
      </c>
      <c r="AR233" s="5"/>
      <c r="AS233" s="105">
        <v>0</v>
      </c>
      <c r="AT233" s="106">
        <v>0</v>
      </c>
      <c r="AU233" s="34"/>
      <c r="AV233" s="105">
        <f t="shared" si="76"/>
        <v>0</v>
      </c>
      <c r="AW233" s="106">
        <f t="shared" si="77"/>
        <v>0</v>
      </c>
      <c r="AX233" s="105">
        <f t="shared" si="88"/>
        <v>0</v>
      </c>
      <c r="AY233" s="106">
        <f t="shared" si="89"/>
        <v>0</v>
      </c>
      <c r="AZ233" s="105">
        <f t="shared" si="90"/>
        <v>0</v>
      </c>
      <c r="BA233" s="106">
        <f t="shared" si="91"/>
        <v>0</v>
      </c>
      <c r="BB233" s="34">
        <f t="shared" si="92"/>
        <v>0</v>
      </c>
      <c r="BC233" s="106">
        <f t="shared" si="93"/>
        <v>0</v>
      </c>
      <c r="BD233" s="34"/>
      <c r="BE233" s="105">
        <f t="shared" si="94"/>
        <v>0</v>
      </c>
      <c r="BF233" s="106">
        <f t="shared" si="95"/>
        <v>0</v>
      </c>
      <c r="BG233" s="105">
        <f t="shared" si="96"/>
        <v>0</v>
      </c>
      <c r="BH233" s="106">
        <f t="shared" si="97"/>
        <v>0</v>
      </c>
      <c r="BI233" s="34">
        <f t="shared" si="98"/>
        <v>0</v>
      </c>
      <c r="BJ233" s="106">
        <f t="shared" si="99"/>
        <v>0</v>
      </c>
      <c r="BK233" s="34">
        <f t="shared" si="100"/>
        <v>0</v>
      </c>
      <c r="BL233" s="106">
        <f t="shared" si="101"/>
        <v>0</v>
      </c>
      <c r="BN233" s="108">
        <v>0</v>
      </c>
      <c r="BO233" s="5"/>
      <c r="BP233" s="105">
        <v>0</v>
      </c>
      <c r="BQ233" s="106">
        <v>0</v>
      </c>
      <c r="BR233" s="34"/>
      <c r="BS233" s="105">
        <v>0</v>
      </c>
      <c r="BT233" s="106">
        <v>0</v>
      </c>
      <c r="BU233" s="105">
        <v>0</v>
      </c>
      <c r="BV233" s="106">
        <v>0</v>
      </c>
      <c r="BW233" s="105">
        <v>0</v>
      </c>
      <c r="BX233" s="106">
        <v>-2</v>
      </c>
      <c r="BY233" s="105">
        <v>0</v>
      </c>
      <c r="BZ233" s="106">
        <v>-2</v>
      </c>
      <c r="CA233" s="34"/>
      <c r="CB233" s="105">
        <v>0</v>
      </c>
      <c r="CC233" s="106">
        <v>0</v>
      </c>
      <c r="CD233" s="105">
        <v>0</v>
      </c>
      <c r="CE233" s="106">
        <v>0</v>
      </c>
      <c r="CF233" s="105">
        <v>0</v>
      </c>
      <c r="CG233" s="106">
        <v>-2</v>
      </c>
      <c r="CH233" s="105">
        <v>0</v>
      </c>
      <c r="CI233" s="106">
        <v>-2</v>
      </c>
      <c r="CK233" s="78"/>
      <c r="CL233" s="5"/>
      <c r="CM233" s="38" t="str">
        <f t="shared" si="79"/>
        <v>-</v>
      </c>
      <c r="CN233" s="5"/>
      <c r="CO233" s="38" t="str">
        <f t="shared" si="80"/>
        <v>-</v>
      </c>
      <c r="CP233" s="38" t="str">
        <f t="shared" si="81"/>
        <v>-</v>
      </c>
      <c r="CQ233" s="38" t="str">
        <f t="shared" si="82"/>
        <v>-</v>
      </c>
      <c r="CR233" s="38" t="str">
        <f t="shared" si="82"/>
        <v>-</v>
      </c>
      <c r="CS233" s="5"/>
      <c r="CT233" s="38" t="str">
        <f t="shared" si="83"/>
        <v>-</v>
      </c>
      <c r="CU233" s="38" t="str">
        <f t="shared" si="84"/>
        <v>-</v>
      </c>
      <c r="CV233" s="38" t="str">
        <f t="shared" si="85"/>
        <v>-</v>
      </c>
      <c r="CW233" s="38" t="str">
        <f t="shared" si="86"/>
        <v>-</v>
      </c>
    </row>
    <row r="234" spans="2:101" s="113" customFormat="1" ht="12.75" customHeight="1">
      <c r="B234" s="99" t="s">
        <v>314</v>
      </c>
      <c r="C234" s="98" t="s">
        <v>318</v>
      </c>
      <c r="D234" s="114" t="e">
        <f>VLOOKUP($C234,#REF!,5,0)</f>
        <v>#REF!</v>
      </c>
      <c r="E234" s="115" t="e">
        <f>VLOOKUP($C234,#REF!,6,0)</f>
        <v>#REF!</v>
      </c>
      <c r="F234" s="98" t="e">
        <f>VLOOKUP($C234,#REF!,7,0)</f>
        <v>#REF!</v>
      </c>
      <c r="G234" s="98" t="e">
        <f>VLOOKUP($C234,#REF!,8,0)</f>
        <v>#REF!</v>
      </c>
      <c r="H234" s="116" t="e">
        <f>VLOOKUP($C234,#REF!,9,0)</f>
        <v>#REF!</v>
      </c>
      <c r="I234" s="5"/>
      <c r="J234" s="118" t="e">
        <f>VLOOKUP($C234,#REF!,10,0)</f>
        <v>#REF!</v>
      </c>
      <c r="K234" s="119" t="e">
        <f>VLOOKUP($C234,#REF!,11,0)</f>
        <v>#REF!</v>
      </c>
      <c r="L234" s="34"/>
      <c r="M234" s="118" t="e">
        <f>VLOOKUP($C234,#REF!,12,0)</f>
        <v>#REF!</v>
      </c>
      <c r="N234" s="120" t="e">
        <f>VLOOKUP($C234,#REF!,13,0)</f>
        <v>#REF!</v>
      </c>
      <c r="O234" s="118" t="e">
        <f>VLOOKUP($C234,#REF!,14,0)</f>
        <v>#REF!</v>
      </c>
      <c r="P234" s="120" t="e">
        <f>VLOOKUP($C234,#REF!,15,0)</f>
        <v>#REF!</v>
      </c>
      <c r="Q234" s="118" t="e">
        <f>VLOOKUP($C234,#REF!,16,0)</f>
        <v>#REF!</v>
      </c>
      <c r="R234" s="119" t="e">
        <f>VLOOKUP($C234,#REF!,17,0)</f>
        <v>#REF!</v>
      </c>
      <c r="S234" s="120" t="e">
        <f>VLOOKUP($C234,#REF!,18,0)</f>
        <v>#REF!</v>
      </c>
      <c r="T234" s="119" t="e">
        <f>VLOOKUP($C234,#REF!,19,0)</f>
        <v>#REF!</v>
      </c>
      <c r="U234" s="34"/>
      <c r="V234" s="118" t="e">
        <f>VLOOKUP($C234,#REF!,20,0)</f>
        <v>#REF!</v>
      </c>
      <c r="W234" s="120" t="e">
        <f>VLOOKUP($C234,#REF!,21,0)</f>
        <v>#REF!</v>
      </c>
      <c r="X234" s="118" t="e">
        <f>VLOOKUP($C234,#REF!,22,0)</f>
        <v>#REF!</v>
      </c>
      <c r="Y234" s="120" t="e">
        <f>VLOOKUP($C234,#REF!,23,0)</f>
        <v>#REF!</v>
      </c>
      <c r="Z234" s="118" t="e">
        <f>VLOOKUP($C234,#REF!,24,0)</f>
        <v>#REF!</v>
      </c>
      <c r="AA234" s="119" t="e">
        <f>VLOOKUP($C234,#REF!,25,0)</f>
        <v>#REF!</v>
      </c>
      <c r="AB234" s="120" t="e">
        <f>VLOOKUP($C234,#REF!,26,0)</f>
        <v>#REF!</v>
      </c>
      <c r="AC234" s="119" t="e">
        <f>VLOOKUP($C234,#REF!,27,0)</f>
        <v>#REF!</v>
      </c>
      <c r="AD234" s="4"/>
      <c r="AE234" s="118" t="e">
        <f t="shared" si="87"/>
        <v>#REF!</v>
      </c>
      <c r="AF234" s="121" t="s">
        <v>320</v>
      </c>
      <c r="AG234" s="121" t="s">
        <v>321</v>
      </c>
      <c r="AH234" s="119" t="s">
        <v>322</v>
      </c>
      <c r="AI234" s="4"/>
      <c r="AJ234" s="118" t="s">
        <v>323</v>
      </c>
      <c r="AK234" s="121" t="s">
        <v>324</v>
      </c>
      <c r="AL234" s="121" t="s">
        <v>325</v>
      </c>
      <c r="AM234" s="121" t="s">
        <v>326</v>
      </c>
      <c r="AN234" s="121" t="s">
        <v>326</v>
      </c>
      <c r="AO234" s="119" t="s">
        <v>320</v>
      </c>
      <c r="AP234" s="4"/>
      <c r="AQ234" s="122">
        <v>33</v>
      </c>
      <c r="AR234" s="5"/>
      <c r="AS234" s="118">
        <v>0</v>
      </c>
      <c r="AT234" s="119">
        <v>0</v>
      </c>
      <c r="AU234" s="34"/>
      <c r="AV234" s="118">
        <f t="shared" si="76"/>
        <v>0</v>
      </c>
      <c r="AW234" s="119">
        <f t="shared" si="77"/>
        <v>0</v>
      </c>
      <c r="AX234" s="118">
        <f t="shared" si="88"/>
        <v>0</v>
      </c>
      <c r="AY234" s="119">
        <f t="shared" si="89"/>
        <v>0</v>
      </c>
      <c r="AZ234" s="118">
        <f t="shared" si="90"/>
        <v>0</v>
      </c>
      <c r="BA234" s="119">
        <f t="shared" si="91"/>
        <v>0</v>
      </c>
      <c r="BB234" s="120">
        <f t="shared" si="92"/>
        <v>0</v>
      </c>
      <c r="BC234" s="119">
        <f t="shared" si="93"/>
        <v>0</v>
      </c>
      <c r="BD234" s="34"/>
      <c r="BE234" s="118">
        <f t="shared" si="94"/>
        <v>0</v>
      </c>
      <c r="BF234" s="119">
        <f t="shared" si="95"/>
        <v>0</v>
      </c>
      <c r="BG234" s="118">
        <f t="shared" si="96"/>
        <v>0</v>
      </c>
      <c r="BH234" s="119">
        <f t="shared" si="97"/>
        <v>0</v>
      </c>
      <c r="BI234" s="120">
        <f t="shared" si="98"/>
        <v>0</v>
      </c>
      <c r="BJ234" s="119">
        <f t="shared" si="99"/>
        <v>0</v>
      </c>
      <c r="BK234" s="120">
        <f t="shared" si="100"/>
        <v>0</v>
      </c>
      <c r="BL234" s="119">
        <f t="shared" si="101"/>
        <v>0</v>
      </c>
      <c r="BM234" s="4"/>
      <c r="BN234" s="122">
        <v>-32.229999999999961</v>
      </c>
      <c r="BO234" s="117"/>
      <c r="BP234" s="118">
        <v>-32.229999999999961</v>
      </c>
      <c r="BQ234" s="119">
        <v>0</v>
      </c>
      <c r="BR234" s="120"/>
      <c r="BS234" s="118">
        <v>0</v>
      </c>
      <c r="BT234" s="119">
        <v>0</v>
      </c>
      <c r="BU234" s="118">
        <v>0</v>
      </c>
      <c r="BV234" s="119">
        <v>0</v>
      </c>
      <c r="BW234" s="118">
        <v>0</v>
      </c>
      <c r="BX234" s="119">
        <v>-3</v>
      </c>
      <c r="BY234" s="118">
        <v>0</v>
      </c>
      <c r="BZ234" s="119">
        <v>-3</v>
      </c>
      <c r="CA234" s="120"/>
      <c r="CB234" s="118">
        <v>0</v>
      </c>
      <c r="CC234" s="119">
        <v>0</v>
      </c>
      <c r="CD234" s="118">
        <v>0</v>
      </c>
      <c r="CE234" s="119">
        <v>0</v>
      </c>
      <c r="CF234" s="118">
        <v>0</v>
      </c>
      <c r="CG234" s="119">
        <v>-3</v>
      </c>
      <c r="CH234" s="118">
        <v>0</v>
      </c>
      <c r="CI234" s="119">
        <v>-3</v>
      </c>
      <c r="CJ234" s="4"/>
      <c r="CK234" s="79"/>
      <c r="CL234" s="5"/>
      <c r="CM234" s="39" t="str">
        <f t="shared" si="79"/>
        <v>-</v>
      </c>
      <c r="CN234" s="5"/>
      <c r="CO234" s="39" t="str">
        <f t="shared" si="80"/>
        <v>-</v>
      </c>
      <c r="CP234" s="39" t="str">
        <f t="shared" si="81"/>
        <v>-</v>
      </c>
      <c r="CQ234" s="39" t="str">
        <f t="shared" si="82"/>
        <v>-</v>
      </c>
      <c r="CR234" s="39" t="str">
        <f t="shared" si="82"/>
        <v>-</v>
      </c>
      <c r="CS234" s="5"/>
      <c r="CT234" s="39" t="str">
        <f t="shared" si="83"/>
        <v>-</v>
      </c>
      <c r="CU234" s="39" t="str">
        <f t="shared" si="84"/>
        <v>-</v>
      </c>
      <c r="CV234" s="39" t="str">
        <f t="shared" si="85"/>
        <v>-</v>
      </c>
      <c r="CW234" s="39" t="str">
        <f t="shared" si="86"/>
        <v>-</v>
      </c>
    </row>
    <row r="235" spans="2:101" s="4" customFormat="1" ht="12.75" customHeight="1">
      <c r="B235" s="102" t="s">
        <v>314</v>
      </c>
      <c r="C235" s="103" t="s">
        <v>319</v>
      </c>
      <c r="D235" s="104" t="e">
        <f>VLOOKUP($C235,#REF!,5,0)</f>
        <v>#REF!</v>
      </c>
      <c r="E235" s="109" t="e">
        <f>VLOOKUP($C235,#REF!,6,0)</f>
        <v>#REF!</v>
      </c>
      <c r="F235" s="103" t="e">
        <f>VLOOKUP($C235,#REF!,7,0)</f>
        <v>#REF!</v>
      </c>
      <c r="G235" s="103" t="e">
        <f>VLOOKUP($C235,#REF!,8,0)</f>
        <v>#REF!</v>
      </c>
      <c r="H235" s="110" t="e">
        <f>VLOOKUP($C235,#REF!,9,0)</f>
        <v>#REF!</v>
      </c>
      <c r="I235" s="5"/>
      <c r="J235" s="105" t="e">
        <f>VLOOKUP($C235,#REF!,10,0)</f>
        <v>#REF!</v>
      </c>
      <c r="K235" s="106" t="e">
        <f>VLOOKUP($C235,#REF!,11,0)</f>
        <v>#REF!</v>
      </c>
      <c r="L235" s="34"/>
      <c r="M235" s="105" t="e">
        <f>VLOOKUP($C235,#REF!,12,0)</f>
        <v>#REF!</v>
      </c>
      <c r="N235" s="34" t="e">
        <f>VLOOKUP($C235,#REF!,13,0)</f>
        <v>#REF!</v>
      </c>
      <c r="O235" s="105" t="e">
        <f>VLOOKUP($C235,#REF!,14,0)</f>
        <v>#REF!</v>
      </c>
      <c r="P235" s="34" t="e">
        <f>VLOOKUP($C235,#REF!,15,0)</f>
        <v>#REF!</v>
      </c>
      <c r="Q235" s="105" t="e">
        <f>VLOOKUP($C235,#REF!,16,0)</f>
        <v>#REF!</v>
      </c>
      <c r="R235" s="106" t="e">
        <f>VLOOKUP($C235,#REF!,17,0)</f>
        <v>#REF!</v>
      </c>
      <c r="S235" s="34" t="e">
        <f>VLOOKUP($C235,#REF!,18,0)</f>
        <v>#REF!</v>
      </c>
      <c r="T235" s="106" t="e">
        <f>VLOOKUP($C235,#REF!,19,0)</f>
        <v>#REF!</v>
      </c>
      <c r="U235" s="34"/>
      <c r="V235" s="105" t="e">
        <f>VLOOKUP($C235,#REF!,20,0)</f>
        <v>#REF!</v>
      </c>
      <c r="W235" s="34" t="e">
        <f>VLOOKUP($C235,#REF!,21,0)</f>
        <v>#REF!</v>
      </c>
      <c r="X235" s="105" t="e">
        <f>VLOOKUP($C235,#REF!,22,0)</f>
        <v>#REF!</v>
      </c>
      <c r="Y235" s="34" t="e">
        <f>VLOOKUP($C235,#REF!,23,0)</f>
        <v>#REF!</v>
      </c>
      <c r="Z235" s="105" t="e">
        <f>VLOOKUP($C235,#REF!,24,0)</f>
        <v>#REF!</v>
      </c>
      <c r="AA235" s="106" t="e">
        <f>VLOOKUP($C235,#REF!,25,0)</f>
        <v>#REF!</v>
      </c>
      <c r="AB235" s="34" t="e">
        <f>VLOOKUP($C235,#REF!,26,0)</f>
        <v>#REF!</v>
      </c>
      <c r="AC235" s="106" t="e">
        <f>VLOOKUP($C235,#REF!,27,0)</f>
        <v>#REF!</v>
      </c>
      <c r="AE235" s="105" t="e">
        <f t="shared" si="87"/>
        <v>#REF!</v>
      </c>
      <c r="AF235" s="107" t="s">
        <v>320</v>
      </c>
      <c r="AG235" s="107" t="s">
        <v>321</v>
      </c>
      <c r="AH235" s="106" t="s">
        <v>322</v>
      </c>
      <c r="AJ235" s="105" t="s">
        <v>323</v>
      </c>
      <c r="AK235" s="107" t="s">
        <v>324</v>
      </c>
      <c r="AL235" s="107" t="s">
        <v>325</v>
      </c>
      <c r="AM235" s="107" t="s">
        <v>326</v>
      </c>
      <c r="AN235" s="107" t="s">
        <v>326</v>
      </c>
      <c r="AO235" s="106" t="s">
        <v>320</v>
      </c>
      <c r="AQ235" s="108">
        <v>388</v>
      </c>
      <c r="AR235" s="5"/>
      <c r="AS235" s="105">
        <v>0</v>
      </c>
      <c r="AT235" s="106">
        <v>0</v>
      </c>
      <c r="AU235" s="34"/>
      <c r="AV235" s="105">
        <f t="shared" si="76"/>
        <v>0</v>
      </c>
      <c r="AW235" s="106">
        <f t="shared" si="77"/>
        <v>0</v>
      </c>
      <c r="AX235" s="105">
        <f t="shared" si="88"/>
        <v>0</v>
      </c>
      <c r="AY235" s="106">
        <f t="shared" si="89"/>
        <v>0</v>
      </c>
      <c r="AZ235" s="105">
        <f t="shared" si="90"/>
        <v>0</v>
      </c>
      <c r="BA235" s="106">
        <f t="shared" si="91"/>
        <v>0</v>
      </c>
      <c r="BB235" s="34">
        <f t="shared" si="92"/>
        <v>0</v>
      </c>
      <c r="BC235" s="106">
        <f t="shared" si="93"/>
        <v>0</v>
      </c>
      <c r="BD235" s="34"/>
      <c r="BE235" s="105">
        <f t="shared" si="94"/>
        <v>0</v>
      </c>
      <c r="BF235" s="106">
        <f t="shared" si="95"/>
        <v>0</v>
      </c>
      <c r="BG235" s="105">
        <f t="shared" si="96"/>
        <v>0</v>
      </c>
      <c r="BH235" s="106">
        <f t="shared" si="97"/>
        <v>0</v>
      </c>
      <c r="BI235" s="34">
        <f t="shared" si="98"/>
        <v>0</v>
      </c>
      <c r="BJ235" s="106">
        <f t="shared" si="99"/>
        <v>0</v>
      </c>
      <c r="BK235" s="34">
        <f t="shared" si="100"/>
        <v>0</v>
      </c>
      <c r="BL235" s="106">
        <f t="shared" si="101"/>
        <v>0</v>
      </c>
      <c r="BN235" s="108">
        <v>0</v>
      </c>
      <c r="BO235" s="5"/>
      <c r="BP235" s="105">
        <v>0</v>
      </c>
      <c r="BQ235" s="106">
        <v>0</v>
      </c>
      <c r="BR235" s="34"/>
      <c r="BS235" s="105">
        <v>0</v>
      </c>
      <c r="BT235" s="106">
        <v>0</v>
      </c>
      <c r="BU235" s="105">
        <v>0</v>
      </c>
      <c r="BV235" s="106">
        <v>0</v>
      </c>
      <c r="BW235" s="105">
        <v>0</v>
      </c>
      <c r="BX235" s="106">
        <v>0</v>
      </c>
      <c r="BY235" s="105">
        <v>0</v>
      </c>
      <c r="BZ235" s="106">
        <v>0</v>
      </c>
      <c r="CA235" s="34"/>
      <c r="CB235" s="105">
        <v>0</v>
      </c>
      <c r="CC235" s="106">
        <v>0</v>
      </c>
      <c r="CD235" s="105">
        <v>0</v>
      </c>
      <c r="CE235" s="106">
        <v>0</v>
      </c>
      <c r="CF235" s="105">
        <v>0</v>
      </c>
      <c r="CG235" s="106">
        <v>0</v>
      </c>
      <c r="CH235" s="105">
        <v>0</v>
      </c>
      <c r="CI235" s="106">
        <v>0</v>
      </c>
      <c r="CK235" s="78"/>
      <c r="CL235" s="5"/>
      <c r="CM235" s="38" t="str">
        <f t="shared" si="79"/>
        <v>-</v>
      </c>
      <c r="CN235" s="5"/>
      <c r="CO235" s="38" t="str">
        <f t="shared" si="80"/>
        <v>-</v>
      </c>
      <c r="CP235" s="38" t="str">
        <f t="shared" si="81"/>
        <v>-</v>
      </c>
      <c r="CQ235" s="38" t="str">
        <f t="shared" si="82"/>
        <v>-</v>
      </c>
      <c r="CR235" s="38" t="str">
        <f t="shared" si="82"/>
        <v>-</v>
      </c>
      <c r="CS235" s="5"/>
      <c r="CT235" s="38" t="str">
        <f t="shared" si="83"/>
        <v>-</v>
      </c>
      <c r="CU235" s="38" t="str">
        <f t="shared" si="84"/>
        <v>-</v>
      </c>
      <c r="CV235" s="38" t="str">
        <f t="shared" si="85"/>
        <v>-</v>
      </c>
      <c r="CW235" s="38" t="str">
        <f t="shared" si="86"/>
        <v>-</v>
      </c>
    </row>
    <row r="236" spans="2:101" s="113" customFormat="1" ht="12.75" customHeight="1">
      <c r="B236" s="99" t="s">
        <v>58</v>
      </c>
      <c r="C236" s="98" t="s">
        <v>235</v>
      </c>
      <c r="D236" s="114" t="e">
        <f>VLOOKUP($C236,#REF!,5,0)</f>
        <v>#REF!</v>
      </c>
      <c r="E236" s="115" t="e">
        <f>VLOOKUP($C236,#REF!,6,0)</f>
        <v>#REF!</v>
      </c>
      <c r="F236" s="98" t="e">
        <f>VLOOKUP($C236,#REF!,7,0)</f>
        <v>#REF!</v>
      </c>
      <c r="G236" s="98" t="e">
        <f>VLOOKUP($C236,#REF!,8,0)</f>
        <v>#REF!</v>
      </c>
      <c r="H236" s="116" t="e">
        <f>VLOOKUP($C236,#REF!,9,0)</f>
        <v>#REF!</v>
      </c>
      <c r="I236" s="5"/>
      <c r="J236" s="118" t="e">
        <f>VLOOKUP($C236,#REF!,10,0)</f>
        <v>#REF!</v>
      </c>
      <c r="K236" s="119" t="e">
        <f>VLOOKUP($C236,#REF!,11,0)</f>
        <v>#REF!</v>
      </c>
      <c r="L236" s="34"/>
      <c r="M236" s="118" t="e">
        <f>VLOOKUP($C236,#REF!,12,0)</f>
        <v>#REF!</v>
      </c>
      <c r="N236" s="120" t="e">
        <f>VLOOKUP($C236,#REF!,13,0)</f>
        <v>#REF!</v>
      </c>
      <c r="O236" s="118" t="e">
        <f>VLOOKUP($C236,#REF!,14,0)</f>
        <v>#REF!</v>
      </c>
      <c r="P236" s="120" t="e">
        <f>VLOOKUP($C236,#REF!,15,0)</f>
        <v>#REF!</v>
      </c>
      <c r="Q236" s="118" t="e">
        <f>VLOOKUP($C236,#REF!,16,0)</f>
        <v>#REF!</v>
      </c>
      <c r="R236" s="119" t="e">
        <f>VLOOKUP($C236,#REF!,17,0)</f>
        <v>#REF!</v>
      </c>
      <c r="S236" s="120" t="e">
        <f>VLOOKUP($C236,#REF!,18,0)</f>
        <v>#REF!</v>
      </c>
      <c r="T236" s="119" t="e">
        <f>VLOOKUP($C236,#REF!,19,0)</f>
        <v>#REF!</v>
      </c>
      <c r="U236" s="34"/>
      <c r="V236" s="118" t="e">
        <f>VLOOKUP($C236,#REF!,20,0)</f>
        <v>#REF!</v>
      </c>
      <c r="W236" s="120" t="e">
        <f>VLOOKUP($C236,#REF!,21,0)</f>
        <v>#REF!</v>
      </c>
      <c r="X236" s="118" t="e">
        <f>VLOOKUP($C236,#REF!,22,0)</f>
        <v>#REF!</v>
      </c>
      <c r="Y236" s="120" t="e">
        <f>VLOOKUP($C236,#REF!,23,0)</f>
        <v>#REF!</v>
      </c>
      <c r="Z236" s="118" t="e">
        <f>VLOOKUP($C236,#REF!,24,0)</f>
        <v>#REF!</v>
      </c>
      <c r="AA236" s="119" t="e">
        <f>VLOOKUP($C236,#REF!,25,0)</f>
        <v>#REF!</v>
      </c>
      <c r="AB236" s="120" t="e">
        <f>VLOOKUP($C236,#REF!,26,0)</f>
        <v>#REF!</v>
      </c>
      <c r="AC236" s="119" t="e">
        <f>VLOOKUP($C236,#REF!,27,0)</f>
        <v>#REF!</v>
      </c>
      <c r="AD236" s="4"/>
      <c r="AE236" s="118" t="e">
        <f t="shared" si="87"/>
        <v>#REF!</v>
      </c>
      <c r="AF236" s="121" t="s">
        <v>320</v>
      </c>
      <c r="AG236" s="121" t="s">
        <v>321</v>
      </c>
      <c r="AH236" s="119" t="s">
        <v>322</v>
      </c>
      <c r="AI236" s="4"/>
      <c r="AJ236" s="118" t="s">
        <v>323</v>
      </c>
      <c r="AK236" s="121" t="s">
        <v>324</v>
      </c>
      <c r="AL236" s="121" t="s">
        <v>325</v>
      </c>
      <c r="AM236" s="121" t="s">
        <v>326</v>
      </c>
      <c r="AN236" s="121" t="s">
        <v>326</v>
      </c>
      <c r="AO236" s="119" t="s">
        <v>320</v>
      </c>
      <c r="AP236" s="4"/>
      <c r="AQ236" s="122">
        <v>82</v>
      </c>
      <c r="AR236" s="5"/>
      <c r="AS236" s="118">
        <v>0</v>
      </c>
      <c r="AT236" s="119">
        <v>0</v>
      </c>
      <c r="AU236" s="34"/>
      <c r="AV236" s="118">
        <f t="shared" si="76"/>
        <v>0</v>
      </c>
      <c r="AW236" s="119">
        <f t="shared" si="77"/>
        <v>0</v>
      </c>
      <c r="AX236" s="118">
        <f t="shared" si="88"/>
        <v>0</v>
      </c>
      <c r="AY236" s="119">
        <f t="shared" si="89"/>
        <v>0</v>
      </c>
      <c r="AZ236" s="118">
        <f t="shared" si="90"/>
        <v>0</v>
      </c>
      <c r="BA236" s="119">
        <f t="shared" si="91"/>
        <v>0</v>
      </c>
      <c r="BB236" s="120">
        <f t="shared" si="92"/>
        <v>0</v>
      </c>
      <c r="BC236" s="119">
        <f t="shared" si="93"/>
        <v>0</v>
      </c>
      <c r="BD236" s="34"/>
      <c r="BE236" s="118">
        <f t="shared" si="94"/>
        <v>0</v>
      </c>
      <c r="BF236" s="119">
        <f t="shared" si="95"/>
        <v>0</v>
      </c>
      <c r="BG236" s="118">
        <f t="shared" si="96"/>
        <v>0</v>
      </c>
      <c r="BH236" s="119">
        <f t="shared" si="97"/>
        <v>0</v>
      </c>
      <c r="BI236" s="120">
        <f t="shared" si="98"/>
        <v>0</v>
      </c>
      <c r="BJ236" s="119">
        <f t="shared" si="99"/>
        <v>0</v>
      </c>
      <c r="BK236" s="120">
        <f t="shared" si="100"/>
        <v>0</v>
      </c>
      <c r="BL236" s="119">
        <f t="shared" si="101"/>
        <v>0</v>
      </c>
      <c r="BM236" s="4"/>
      <c r="BN236" s="122">
        <v>-8.269999999999996</v>
      </c>
      <c r="BO236" s="117"/>
      <c r="BP236" s="118">
        <v>-8.269999999999996</v>
      </c>
      <c r="BQ236" s="119">
        <v>0</v>
      </c>
      <c r="BR236" s="120"/>
      <c r="BS236" s="118">
        <v>0</v>
      </c>
      <c r="BT236" s="119">
        <v>0</v>
      </c>
      <c r="BU236" s="118">
        <v>0</v>
      </c>
      <c r="BV236" s="119">
        <v>0</v>
      </c>
      <c r="BW236" s="118">
        <v>0</v>
      </c>
      <c r="BX236" s="119">
        <v>0</v>
      </c>
      <c r="BY236" s="118">
        <v>0</v>
      </c>
      <c r="BZ236" s="119">
        <v>0</v>
      </c>
      <c r="CA236" s="120"/>
      <c r="CB236" s="118">
        <v>0</v>
      </c>
      <c r="CC236" s="119">
        <v>0</v>
      </c>
      <c r="CD236" s="118">
        <v>0</v>
      </c>
      <c r="CE236" s="119">
        <v>0</v>
      </c>
      <c r="CF236" s="118">
        <v>0</v>
      </c>
      <c r="CG236" s="119">
        <v>0</v>
      </c>
      <c r="CH236" s="118">
        <v>0</v>
      </c>
      <c r="CI236" s="119">
        <v>0</v>
      </c>
      <c r="CJ236" s="4"/>
      <c r="CK236" s="79"/>
      <c r="CL236" s="5"/>
      <c r="CM236" s="39" t="str">
        <f t="shared" si="79"/>
        <v>-</v>
      </c>
      <c r="CN236" s="5"/>
      <c r="CO236" s="39" t="str">
        <f t="shared" si="80"/>
        <v>-</v>
      </c>
      <c r="CP236" s="39" t="str">
        <f t="shared" si="81"/>
        <v>-</v>
      </c>
      <c r="CQ236" s="39" t="str">
        <f t="shared" si="82"/>
        <v>-</v>
      </c>
      <c r="CR236" s="39" t="str">
        <f t="shared" si="82"/>
        <v>-</v>
      </c>
      <c r="CS236" s="5"/>
      <c r="CT236" s="39" t="str">
        <f t="shared" si="83"/>
        <v>-</v>
      </c>
      <c r="CU236" s="39" t="str">
        <f t="shared" si="84"/>
        <v>-</v>
      </c>
      <c r="CV236" s="39" t="str">
        <f t="shared" si="85"/>
        <v>-</v>
      </c>
      <c r="CW236" s="39" t="str">
        <f t="shared" si="86"/>
        <v>-</v>
      </c>
    </row>
    <row r="237" spans="2:101" s="4" customFormat="1" ht="12.75" customHeight="1">
      <c r="B237" s="102" t="s">
        <v>155</v>
      </c>
      <c r="C237" s="103" t="s">
        <v>177</v>
      </c>
      <c r="D237" s="104" t="e">
        <f>VLOOKUP($C237,#REF!,5,0)</f>
        <v>#REF!</v>
      </c>
      <c r="E237" s="109" t="e">
        <f>VLOOKUP($C237,#REF!,6,0)</f>
        <v>#REF!</v>
      </c>
      <c r="F237" s="103" t="e">
        <f>VLOOKUP($C237,#REF!,7,0)</f>
        <v>#REF!</v>
      </c>
      <c r="G237" s="103" t="e">
        <f>VLOOKUP($C237,#REF!,8,0)</f>
        <v>#REF!</v>
      </c>
      <c r="H237" s="110" t="e">
        <f>VLOOKUP($C237,#REF!,9,0)</f>
        <v>#REF!</v>
      </c>
      <c r="I237" s="5"/>
      <c r="J237" s="105" t="e">
        <f>VLOOKUP($C237,#REF!,10,0)</f>
        <v>#REF!</v>
      </c>
      <c r="K237" s="106" t="e">
        <f>VLOOKUP($C237,#REF!,11,0)</f>
        <v>#REF!</v>
      </c>
      <c r="L237" s="34"/>
      <c r="M237" s="105" t="e">
        <f>VLOOKUP($C237,#REF!,12,0)</f>
        <v>#REF!</v>
      </c>
      <c r="N237" s="34" t="e">
        <f>VLOOKUP($C237,#REF!,13,0)</f>
        <v>#REF!</v>
      </c>
      <c r="O237" s="105" t="e">
        <f>VLOOKUP($C237,#REF!,14,0)</f>
        <v>#REF!</v>
      </c>
      <c r="P237" s="34" t="e">
        <f>VLOOKUP($C237,#REF!,15,0)</f>
        <v>#REF!</v>
      </c>
      <c r="Q237" s="105" t="e">
        <f>VLOOKUP($C237,#REF!,16,0)</f>
        <v>#REF!</v>
      </c>
      <c r="R237" s="106" t="e">
        <f>VLOOKUP($C237,#REF!,17,0)</f>
        <v>#REF!</v>
      </c>
      <c r="S237" s="34" t="e">
        <f>VLOOKUP($C237,#REF!,18,0)</f>
        <v>#REF!</v>
      </c>
      <c r="T237" s="106" t="e">
        <f>VLOOKUP($C237,#REF!,19,0)</f>
        <v>#REF!</v>
      </c>
      <c r="U237" s="34"/>
      <c r="V237" s="105" t="e">
        <f>VLOOKUP($C237,#REF!,20,0)</f>
        <v>#REF!</v>
      </c>
      <c r="W237" s="34" t="e">
        <f>VLOOKUP($C237,#REF!,21,0)</f>
        <v>#REF!</v>
      </c>
      <c r="X237" s="105" t="e">
        <f>VLOOKUP($C237,#REF!,22,0)</f>
        <v>#REF!</v>
      </c>
      <c r="Y237" s="34" t="e">
        <f>VLOOKUP($C237,#REF!,23,0)</f>
        <v>#REF!</v>
      </c>
      <c r="Z237" s="105" t="e">
        <f>VLOOKUP($C237,#REF!,24,0)</f>
        <v>#REF!</v>
      </c>
      <c r="AA237" s="106" t="e">
        <f>VLOOKUP($C237,#REF!,25,0)</f>
        <v>#REF!</v>
      </c>
      <c r="AB237" s="34" t="e">
        <f>VLOOKUP($C237,#REF!,26,0)</f>
        <v>#REF!</v>
      </c>
      <c r="AC237" s="106" t="e">
        <f>VLOOKUP($C237,#REF!,27,0)</f>
        <v>#REF!</v>
      </c>
      <c r="AE237" s="105" t="e">
        <f t="shared" si="87"/>
        <v>#REF!</v>
      </c>
      <c r="AF237" s="107" t="s">
        <v>320</v>
      </c>
      <c r="AG237" s="107" t="s">
        <v>321</v>
      </c>
      <c r="AH237" s="106" t="s">
        <v>322</v>
      </c>
      <c r="AJ237" s="105" t="s">
        <v>323</v>
      </c>
      <c r="AK237" s="107" t="s">
        <v>324</v>
      </c>
      <c r="AL237" s="107" t="s">
        <v>325</v>
      </c>
      <c r="AM237" s="107" t="s">
        <v>326</v>
      </c>
      <c r="AN237" s="107" t="s">
        <v>326</v>
      </c>
      <c r="AO237" s="106" t="s">
        <v>320</v>
      </c>
      <c r="AQ237" s="108">
        <v>74</v>
      </c>
      <c r="AR237" s="5"/>
      <c r="AS237" s="105">
        <v>0</v>
      </c>
      <c r="AT237" s="106">
        <v>0</v>
      </c>
      <c r="AU237" s="34"/>
      <c r="AV237" s="105">
        <f t="shared" si="76"/>
        <v>0</v>
      </c>
      <c r="AW237" s="106">
        <f t="shared" si="77"/>
        <v>0</v>
      </c>
      <c r="AX237" s="105">
        <f t="shared" si="88"/>
        <v>0</v>
      </c>
      <c r="AY237" s="106">
        <f t="shared" si="89"/>
        <v>0</v>
      </c>
      <c r="AZ237" s="105">
        <f t="shared" si="90"/>
        <v>0</v>
      </c>
      <c r="BA237" s="106">
        <f t="shared" si="91"/>
        <v>0</v>
      </c>
      <c r="BB237" s="34">
        <f t="shared" si="92"/>
        <v>0</v>
      </c>
      <c r="BC237" s="106">
        <f t="shared" si="93"/>
        <v>0</v>
      </c>
      <c r="BD237" s="34"/>
      <c r="BE237" s="105">
        <f t="shared" si="94"/>
        <v>0</v>
      </c>
      <c r="BF237" s="106">
        <f t="shared" si="95"/>
        <v>0</v>
      </c>
      <c r="BG237" s="105">
        <f t="shared" si="96"/>
        <v>0</v>
      </c>
      <c r="BH237" s="106">
        <f t="shared" si="97"/>
        <v>0</v>
      </c>
      <c r="BI237" s="34">
        <f t="shared" si="98"/>
        <v>0</v>
      </c>
      <c r="BJ237" s="106">
        <f t="shared" si="99"/>
        <v>0</v>
      </c>
      <c r="BK237" s="34">
        <f t="shared" si="100"/>
        <v>0</v>
      </c>
      <c r="BL237" s="106">
        <f t="shared" si="101"/>
        <v>0</v>
      </c>
      <c r="BN237" s="108">
        <v>0</v>
      </c>
      <c r="BO237" s="5"/>
      <c r="BP237" s="105">
        <v>0</v>
      </c>
      <c r="BQ237" s="106">
        <v>0</v>
      </c>
      <c r="BR237" s="34"/>
      <c r="BS237" s="105">
        <v>0</v>
      </c>
      <c r="BT237" s="106">
        <v>0</v>
      </c>
      <c r="BU237" s="105">
        <v>0</v>
      </c>
      <c r="BV237" s="106">
        <v>0</v>
      </c>
      <c r="BW237" s="105">
        <v>0</v>
      </c>
      <c r="BX237" s="106">
        <v>0</v>
      </c>
      <c r="BY237" s="105">
        <v>0</v>
      </c>
      <c r="BZ237" s="106">
        <v>0</v>
      </c>
      <c r="CA237" s="34"/>
      <c r="CB237" s="105">
        <v>0</v>
      </c>
      <c r="CC237" s="106">
        <v>0</v>
      </c>
      <c r="CD237" s="105">
        <v>0</v>
      </c>
      <c r="CE237" s="106">
        <v>0</v>
      </c>
      <c r="CF237" s="105">
        <v>0</v>
      </c>
      <c r="CG237" s="106">
        <v>0</v>
      </c>
      <c r="CH237" s="105">
        <v>0</v>
      </c>
      <c r="CI237" s="106">
        <v>0</v>
      </c>
      <c r="CK237" s="78"/>
      <c r="CL237" s="5"/>
      <c r="CM237" s="38" t="str">
        <f t="shared" si="79"/>
        <v>-</v>
      </c>
      <c r="CN237" s="5"/>
      <c r="CO237" s="38" t="str">
        <f t="shared" si="80"/>
        <v>-</v>
      </c>
      <c r="CP237" s="38" t="str">
        <f t="shared" si="81"/>
        <v>-</v>
      </c>
      <c r="CQ237" s="38" t="str">
        <f t="shared" si="82"/>
        <v>-</v>
      </c>
      <c r="CR237" s="38" t="str">
        <f t="shared" si="82"/>
        <v>-</v>
      </c>
      <c r="CS237" s="5"/>
      <c r="CT237" s="38" t="str">
        <f t="shared" si="83"/>
        <v>-</v>
      </c>
      <c r="CU237" s="38" t="str">
        <f t="shared" si="84"/>
        <v>-</v>
      </c>
      <c r="CV237" s="38" t="str">
        <f t="shared" si="85"/>
        <v>-</v>
      </c>
      <c r="CW237" s="38" t="str">
        <f t="shared" si="86"/>
        <v>-</v>
      </c>
    </row>
    <row r="238" spans="2:101" s="113" customFormat="1" ht="12.75" customHeight="1">
      <c r="B238" s="99" t="s">
        <v>155</v>
      </c>
      <c r="C238" s="98" t="s">
        <v>178</v>
      </c>
      <c r="D238" s="114" t="e">
        <f>VLOOKUP($C238,#REF!,5,0)</f>
        <v>#REF!</v>
      </c>
      <c r="E238" s="115" t="e">
        <f>VLOOKUP($C238,#REF!,6,0)</f>
        <v>#REF!</v>
      </c>
      <c r="F238" s="98" t="e">
        <f>VLOOKUP($C238,#REF!,7,0)</f>
        <v>#REF!</v>
      </c>
      <c r="G238" s="98" t="e">
        <f>VLOOKUP($C238,#REF!,8,0)</f>
        <v>#REF!</v>
      </c>
      <c r="H238" s="116" t="e">
        <f>VLOOKUP($C238,#REF!,9,0)</f>
        <v>#REF!</v>
      </c>
      <c r="I238" s="5"/>
      <c r="J238" s="118" t="e">
        <f>VLOOKUP($C238,#REF!,10,0)</f>
        <v>#REF!</v>
      </c>
      <c r="K238" s="119" t="e">
        <f>VLOOKUP($C238,#REF!,11,0)</f>
        <v>#REF!</v>
      </c>
      <c r="L238" s="34"/>
      <c r="M238" s="118" t="e">
        <f>VLOOKUP($C238,#REF!,12,0)</f>
        <v>#REF!</v>
      </c>
      <c r="N238" s="120" t="e">
        <f>VLOOKUP($C238,#REF!,13,0)</f>
        <v>#REF!</v>
      </c>
      <c r="O238" s="118" t="e">
        <f>VLOOKUP($C238,#REF!,14,0)</f>
        <v>#REF!</v>
      </c>
      <c r="P238" s="120" t="e">
        <f>VLOOKUP($C238,#REF!,15,0)</f>
        <v>#REF!</v>
      </c>
      <c r="Q238" s="118" t="e">
        <f>VLOOKUP($C238,#REF!,16,0)</f>
        <v>#REF!</v>
      </c>
      <c r="R238" s="119" t="e">
        <f>VLOOKUP($C238,#REF!,17,0)</f>
        <v>#REF!</v>
      </c>
      <c r="S238" s="120" t="e">
        <f>VLOOKUP($C238,#REF!,18,0)</f>
        <v>#REF!</v>
      </c>
      <c r="T238" s="119" t="e">
        <f>VLOOKUP($C238,#REF!,19,0)</f>
        <v>#REF!</v>
      </c>
      <c r="U238" s="34"/>
      <c r="V238" s="118" t="e">
        <f>VLOOKUP($C238,#REF!,20,0)</f>
        <v>#REF!</v>
      </c>
      <c r="W238" s="120" t="e">
        <f>VLOOKUP($C238,#REF!,21,0)</f>
        <v>#REF!</v>
      </c>
      <c r="X238" s="118" t="e">
        <f>VLOOKUP($C238,#REF!,22,0)</f>
        <v>#REF!</v>
      </c>
      <c r="Y238" s="120" t="e">
        <f>VLOOKUP($C238,#REF!,23,0)</f>
        <v>#REF!</v>
      </c>
      <c r="Z238" s="118" t="e">
        <f>VLOOKUP($C238,#REF!,24,0)</f>
        <v>#REF!</v>
      </c>
      <c r="AA238" s="119" t="e">
        <f>VLOOKUP($C238,#REF!,25,0)</f>
        <v>#REF!</v>
      </c>
      <c r="AB238" s="120" t="e">
        <f>VLOOKUP($C238,#REF!,26,0)</f>
        <v>#REF!</v>
      </c>
      <c r="AC238" s="119" t="e">
        <f>VLOOKUP($C238,#REF!,27,0)</f>
        <v>#REF!</v>
      </c>
      <c r="AD238" s="4"/>
      <c r="AE238" s="118" t="e">
        <f t="shared" si="87"/>
        <v>#REF!</v>
      </c>
      <c r="AF238" s="121" t="s">
        <v>320</v>
      </c>
      <c r="AG238" s="121" t="s">
        <v>321</v>
      </c>
      <c r="AH238" s="119" t="s">
        <v>322</v>
      </c>
      <c r="AI238" s="4"/>
      <c r="AJ238" s="118" t="s">
        <v>323</v>
      </c>
      <c r="AK238" s="121" t="s">
        <v>324</v>
      </c>
      <c r="AL238" s="121" t="s">
        <v>325</v>
      </c>
      <c r="AM238" s="121" t="s">
        <v>326</v>
      </c>
      <c r="AN238" s="121" t="s">
        <v>326</v>
      </c>
      <c r="AO238" s="119" t="s">
        <v>320</v>
      </c>
      <c r="AP238" s="4"/>
      <c r="AQ238" s="122">
        <v>90</v>
      </c>
      <c r="AR238" s="5"/>
      <c r="AS238" s="118">
        <v>0</v>
      </c>
      <c r="AT238" s="119">
        <v>0</v>
      </c>
      <c r="AU238" s="34"/>
      <c r="AV238" s="118">
        <f t="shared" si="76"/>
        <v>0</v>
      </c>
      <c r="AW238" s="119">
        <f t="shared" si="77"/>
        <v>0</v>
      </c>
      <c r="AX238" s="118">
        <f t="shared" si="88"/>
        <v>0</v>
      </c>
      <c r="AY238" s="119">
        <f t="shared" si="89"/>
        <v>0</v>
      </c>
      <c r="AZ238" s="118">
        <f t="shared" si="90"/>
        <v>0</v>
      </c>
      <c r="BA238" s="119">
        <f t="shared" si="91"/>
        <v>0</v>
      </c>
      <c r="BB238" s="120">
        <f t="shared" si="92"/>
        <v>0</v>
      </c>
      <c r="BC238" s="119">
        <f t="shared" si="93"/>
        <v>0</v>
      </c>
      <c r="BD238" s="34"/>
      <c r="BE238" s="118">
        <f t="shared" si="94"/>
        <v>0</v>
      </c>
      <c r="BF238" s="119">
        <f t="shared" si="95"/>
        <v>0</v>
      </c>
      <c r="BG238" s="118">
        <f t="shared" si="96"/>
        <v>0</v>
      </c>
      <c r="BH238" s="119">
        <f t="shared" si="97"/>
        <v>0</v>
      </c>
      <c r="BI238" s="120">
        <f t="shared" si="98"/>
        <v>0</v>
      </c>
      <c r="BJ238" s="119">
        <f t="shared" si="99"/>
        <v>0</v>
      </c>
      <c r="BK238" s="120">
        <f t="shared" si="100"/>
        <v>0</v>
      </c>
      <c r="BL238" s="119">
        <f t="shared" si="101"/>
        <v>0</v>
      </c>
      <c r="BM238" s="4"/>
      <c r="BN238" s="122">
        <v>0</v>
      </c>
      <c r="BO238" s="117"/>
      <c r="BP238" s="118">
        <v>0</v>
      </c>
      <c r="BQ238" s="119">
        <v>0</v>
      </c>
      <c r="BR238" s="120"/>
      <c r="BS238" s="118">
        <v>0</v>
      </c>
      <c r="BT238" s="119">
        <v>0</v>
      </c>
      <c r="BU238" s="118">
        <v>0</v>
      </c>
      <c r="BV238" s="119">
        <v>0</v>
      </c>
      <c r="BW238" s="118">
        <v>0</v>
      </c>
      <c r="BX238" s="119">
        <v>0</v>
      </c>
      <c r="BY238" s="118">
        <v>0</v>
      </c>
      <c r="BZ238" s="119">
        <v>0</v>
      </c>
      <c r="CA238" s="120"/>
      <c r="CB238" s="118">
        <v>0</v>
      </c>
      <c r="CC238" s="119">
        <v>0</v>
      </c>
      <c r="CD238" s="118">
        <v>0</v>
      </c>
      <c r="CE238" s="119">
        <v>0</v>
      </c>
      <c r="CF238" s="118">
        <v>0</v>
      </c>
      <c r="CG238" s="119">
        <v>0</v>
      </c>
      <c r="CH238" s="118">
        <v>0</v>
      </c>
      <c r="CI238" s="119">
        <v>0</v>
      </c>
      <c r="CJ238" s="4"/>
      <c r="CK238" s="79"/>
      <c r="CL238" s="5"/>
      <c r="CM238" s="39" t="str">
        <f t="shared" si="79"/>
        <v>-</v>
      </c>
      <c r="CN238" s="5"/>
      <c r="CO238" s="39" t="str">
        <f t="shared" si="80"/>
        <v>-</v>
      </c>
      <c r="CP238" s="39" t="str">
        <f t="shared" si="81"/>
        <v>-</v>
      </c>
      <c r="CQ238" s="39" t="str">
        <f t="shared" si="82"/>
        <v>-</v>
      </c>
      <c r="CR238" s="39" t="str">
        <f t="shared" si="82"/>
        <v>-</v>
      </c>
      <c r="CS238" s="5"/>
      <c r="CT238" s="39" t="str">
        <f t="shared" si="83"/>
        <v>-</v>
      </c>
      <c r="CU238" s="39" t="str">
        <f t="shared" si="84"/>
        <v>-</v>
      </c>
      <c r="CV238" s="39" t="str">
        <f t="shared" si="85"/>
        <v>-</v>
      </c>
      <c r="CW238" s="39" t="str">
        <f t="shared" si="86"/>
        <v>-</v>
      </c>
    </row>
    <row r="239" spans="2:101" s="4" customFormat="1" ht="12.75" customHeight="1">
      <c r="B239" s="102" t="s">
        <v>155</v>
      </c>
      <c r="C239" s="103" t="s">
        <v>157</v>
      </c>
      <c r="D239" s="104" t="e">
        <f>VLOOKUP($C239,#REF!,5,0)</f>
        <v>#REF!</v>
      </c>
      <c r="E239" s="109" t="e">
        <f>VLOOKUP($C239,#REF!,6,0)</f>
        <v>#REF!</v>
      </c>
      <c r="F239" s="103" t="e">
        <f>VLOOKUP($C239,#REF!,7,0)</f>
        <v>#REF!</v>
      </c>
      <c r="G239" s="103" t="e">
        <f>VLOOKUP($C239,#REF!,8,0)</f>
        <v>#REF!</v>
      </c>
      <c r="H239" s="110" t="e">
        <f>VLOOKUP($C239,#REF!,9,0)</f>
        <v>#REF!</v>
      </c>
      <c r="I239" s="5"/>
      <c r="J239" s="105" t="e">
        <f>VLOOKUP($C239,#REF!,10,0)</f>
        <v>#REF!</v>
      </c>
      <c r="K239" s="106" t="e">
        <f>VLOOKUP($C239,#REF!,11,0)</f>
        <v>#REF!</v>
      </c>
      <c r="L239" s="34"/>
      <c r="M239" s="105" t="e">
        <f>VLOOKUP($C239,#REF!,12,0)</f>
        <v>#REF!</v>
      </c>
      <c r="N239" s="34" t="e">
        <f>VLOOKUP($C239,#REF!,13,0)</f>
        <v>#REF!</v>
      </c>
      <c r="O239" s="105" t="e">
        <f>VLOOKUP($C239,#REF!,14,0)</f>
        <v>#REF!</v>
      </c>
      <c r="P239" s="34" t="e">
        <f>VLOOKUP($C239,#REF!,15,0)</f>
        <v>#REF!</v>
      </c>
      <c r="Q239" s="105" t="e">
        <f>VLOOKUP($C239,#REF!,16,0)</f>
        <v>#REF!</v>
      </c>
      <c r="R239" s="106" t="e">
        <f>VLOOKUP($C239,#REF!,17,0)</f>
        <v>#REF!</v>
      </c>
      <c r="S239" s="34" t="e">
        <f>VLOOKUP($C239,#REF!,18,0)</f>
        <v>#REF!</v>
      </c>
      <c r="T239" s="106" t="e">
        <f>VLOOKUP($C239,#REF!,19,0)</f>
        <v>#REF!</v>
      </c>
      <c r="U239" s="34"/>
      <c r="V239" s="105" t="e">
        <f>VLOOKUP($C239,#REF!,20,0)</f>
        <v>#REF!</v>
      </c>
      <c r="W239" s="34" t="e">
        <f>VLOOKUP($C239,#REF!,21,0)</f>
        <v>#REF!</v>
      </c>
      <c r="X239" s="105" t="e">
        <f>VLOOKUP($C239,#REF!,22,0)</f>
        <v>#REF!</v>
      </c>
      <c r="Y239" s="34" t="e">
        <f>VLOOKUP($C239,#REF!,23,0)</f>
        <v>#REF!</v>
      </c>
      <c r="Z239" s="105" t="e">
        <f>VLOOKUP($C239,#REF!,24,0)</f>
        <v>#REF!</v>
      </c>
      <c r="AA239" s="106" t="e">
        <f>VLOOKUP($C239,#REF!,25,0)</f>
        <v>#REF!</v>
      </c>
      <c r="AB239" s="34" t="e">
        <f>VLOOKUP($C239,#REF!,26,0)</f>
        <v>#REF!</v>
      </c>
      <c r="AC239" s="106" t="e">
        <f>VLOOKUP($C239,#REF!,27,0)</f>
        <v>#REF!</v>
      </c>
      <c r="AE239" s="105" t="e">
        <f t="shared" si="87"/>
        <v>#REF!</v>
      </c>
      <c r="AF239" s="107" t="s">
        <v>320</v>
      </c>
      <c r="AG239" s="107" t="s">
        <v>321</v>
      </c>
      <c r="AH239" s="106" t="s">
        <v>322</v>
      </c>
      <c r="AJ239" s="105" t="s">
        <v>323</v>
      </c>
      <c r="AK239" s="107" t="s">
        <v>324</v>
      </c>
      <c r="AL239" s="107" t="s">
        <v>325</v>
      </c>
      <c r="AM239" s="107" t="s">
        <v>326</v>
      </c>
      <c r="AN239" s="107" t="s">
        <v>326</v>
      </c>
      <c r="AO239" s="106" t="s">
        <v>320</v>
      </c>
      <c r="AQ239" s="108">
        <v>2</v>
      </c>
      <c r="AR239" s="5"/>
      <c r="AS239" s="105">
        <v>0</v>
      </c>
      <c r="AT239" s="106">
        <v>0</v>
      </c>
      <c r="AU239" s="34"/>
      <c r="AV239" s="105">
        <f t="shared" si="76"/>
        <v>0</v>
      </c>
      <c r="AW239" s="106">
        <f t="shared" si="77"/>
        <v>0</v>
      </c>
      <c r="AX239" s="105">
        <f t="shared" si="88"/>
        <v>0</v>
      </c>
      <c r="AY239" s="106">
        <f t="shared" si="89"/>
        <v>0</v>
      </c>
      <c r="AZ239" s="105">
        <f t="shared" si="90"/>
        <v>0</v>
      </c>
      <c r="BA239" s="106">
        <f t="shared" si="91"/>
        <v>0</v>
      </c>
      <c r="BB239" s="34">
        <f t="shared" si="92"/>
        <v>0</v>
      </c>
      <c r="BC239" s="106">
        <f t="shared" si="93"/>
        <v>0</v>
      </c>
      <c r="BD239" s="34"/>
      <c r="BE239" s="105">
        <f t="shared" si="94"/>
        <v>0</v>
      </c>
      <c r="BF239" s="106">
        <f t="shared" si="95"/>
        <v>0</v>
      </c>
      <c r="BG239" s="105">
        <f t="shared" si="96"/>
        <v>0</v>
      </c>
      <c r="BH239" s="106">
        <f t="shared" si="97"/>
        <v>0</v>
      </c>
      <c r="BI239" s="34">
        <f t="shared" si="98"/>
        <v>0</v>
      </c>
      <c r="BJ239" s="106">
        <f t="shared" si="99"/>
        <v>0</v>
      </c>
      <c r="BK239" s="34">
        <f t="shared" si="100"/>
        <v>0</v>
      </c>
      <c r="BL239" s="106">
        <f t="shared" si="101"/>
        <v>0</v>
      </c>
      <c r="BN239" s="108" t="e">
        <v>#N/A</v>
      </c>
      <c r="BO239" s="5"/>
      <c r="BP239" s="105" t="e">
        <v>#N/A</v>
      </c>
      <c r="BQ239" s="106" t="e">
        <v>#N/A</v>
      </c>
      <c r="BR239" s="34"/>
      <c r="BS239" s="105" t="e">
        <v>#N/A</v>
      </c>
      <c r="BT239" s="106" t="e">
        <v>#N/A</v>
      </c>
      <c r="BU239" s="105" t="e">
        <v>#N/A</v>
      </c>
      <c r="BV239" s="106" t="e">
        <v>#N/A</v>
      </c>
      <c r="BW239" s="105" t="e">
        <v>#N/A</v>
      </c>
      <c r="BX239" s="106" t="e">
        <v>#N/A</v>
      </c>
      <c r="BY239" s="105" t="e">
        <v>#N/A</v>
      </c>
      <c r="BZ239" s="106" t="e">
        <v>#N/A</v>
      </c>
      <c r="CA239" s="34"/>
      <c r="CB239" s="105" t="e">
        <v>#N/A</v>
      </c>
      <c r="CC239" s="106" t="e">
        <v>#N/A</v>
      </c>
      <c r="CD239" s="105" t="e">
        <v>#N/A</v>
      </c>
      <c r="CE239" s="106" t="e">
        <v>#N/A</v>
      </c>
      <c r="CF239" s="105" t="e">
        <v>#N/A</v>
      </c>
      <c r="CG239" s="106" t="e">
        <v>#N/A</v>
      </c>
      <c r="CH239" s="105" t="e">
        <v>#N/A</v>
      </c>
      <c r="CI239" s="106" t="e">
        <v>#N/A</v>
      </c>
      <c r="CK239" s="78"/>
      <c r="CL239" s="5"/>
      <c r="CM239" s="38" t="str">
        <f t="shared" si="79"/>
        <v>-</v>
      </c>
      <c r="CN239" s="5"/>
      <c r="CO239" s="38" t="str">
        <f t="shared" si="80"/>
        <v>-</v>
      </c>
      <c r="CP239" s="38" t="str">
        <f t="shared" si="81"/>
        <v>-</v>
      </c>
      <c r="CQ239" s="38" t="str">
        <f t="shared" si="82"/>
        <v>-</v>
      </c>
      <c r="CR239" s="38" t="str">
        <f t="shared" si="82"/>
        <v>-</v>
      </c>
      <c r="CS239" s="5"/>
      <c r="CT239" s="38" t="str">
        <f t="shared" si="83"/>
        <v>-</v>
      </c>
      <c r="CU239" s="38" t="str">
        <f t="shared" si="84"/>
        <v>-</v>
      </c>
      <c r="CV239" s="38" t="str">
        <f t="shared" si="85"/>
        <v>-</v>
      </c>
      <c r="CW239" s="38" t="str">
        <f t="shared" si="86"/>
        <v>-</v>
      </c>
    </row>
    <row r="240" spans="2:101" s="113" customFormat="1" ht="12.75" customHeight="1">
      <c r="B240" s="99" t="s">
        <v>185</v>
      </c>
      <c r="C240" s="98" t="s">
        <v>179</v>
      </c>
      <c r="D240" s="114" t="e">
        <f>VLOOKUP($C240,#REF!,5,0)</f>
        <v>#REF!</v>
      </c>
      <c r="E240" s="115" t="e">
        <f>VLOOKUP($C240,#REF!,6,0)</f>
        <v>#REF!</v>
      </c>
      <c r="F240" s="98" t="e">
        <f>VLOOKUP($C240,#REF!,7,0)</f>
        <v>#REF!</v>
      </c>
      <c r="G240" s="98" t="e">
        <f>VLOOKUP($C240,#REF!,8,0)</f>
        <v>#REF!</v>
      </c>
      <c r="H240" s="116" t="e">
        <f>VLOOKUP($C240,#REF!,9,0)</f>
        <v>#REF!</v>
      </c>
      <c r="I240" s="5"/>
      <c r="J240" s="118" t="e">
        <f>VLOOKUP($C240,#REF!,10,0)</f>
        <v>#REF!</v>
      </c>
      <c r="K240" s="119" t="e">
        <f>VLOOKUP($C240,#REF!,11,0)</f>
        <v>#REF!</v>
      </c>
      <c r="L240" s="34"/>
      <c r="M240" s="118" t="e">
        <f>VLOOKUP($C240,#REF!,12,0)</f>
        <v>#REF!</v>
      </c>
      <c r="N240" s="120" t="e">
        <f>VLOOKUP($C240,#REF!,13,0)</f>
        <v>#REF!</v>
      </c>
      <c r="O240" s="118" t="e">
        <f>VLOOKUP($C240,#REF!,14,0)</f>
        <v>#REF!</v>
      </c>
      <c r="P240" s="120" t="e">
        <f>VLOOKUP($C240,#REF!,15,0)</f>
        <v>#REF!</v>
      </c>
      <c r="Q240" s="118" t="e">
        <f>VLOOKUP($C240,#REF!,16,0)</f>
        <v>#REF!</v>
      </c>
      <c r="R240" s="119" t="e">
        <f>VLOOKUP($C240,#REF!,17,0)</f>
        <v>#REF!</v>
      </c>
      <c r="S240" s="120" t="e">
        <f>VLOOKUP($C240,#REF!,18,0)</f>
        <v>#REF!</v>
      </c>
      <c r="T240" s="119" t="e">
        <f>VLOOKUP($C240,#REF!,19,0)</f>
        <v>#REF!</v>
      </c>
      <c r="U240" s="34"/>
      <c r="V240" s="118" t="e">
        <f>VLOOKUP($C240,#REF!,20,0)</f>
        <v>#REF!</v>
      </c>
      <c r="W240" s="120" t="e">
        <f>VLOOKUP($C240,#REF!,21,0)</f>
        <v>#REF!</v>
      </c>
      <c r="X240" s="118" t="e">
        <f>VLOOKUP($C240,#REF!,22,0)</f>
        <v>#REF!</v>
      </c>
      <c r="Y240" s="120" t="e">
        <f>VLOOKUP($C240,#REF!,23,0)</f>
        <v>#REF!</v>
      </c>
      <c r="Z240" s="118" t="e">
        <f>VLOOKUP($C240,#REF!,24,0)</f>
        <v>#REF!</v>
      </c>
      <c r="AA240" s="119" t="e">
        <f>VLOOKUP($C240,#REF!,25,0)</f>
        <v>#REF!</v>
      </c>
      <c r="AB240" s="120" t="e">
        <f>VLOOKUP($C240,#REF!,26,0)</f>
        <v>#REF!</v>
      </c>
      <c r="AC240" s="119" t="e">
        <f>VLOOKUP($C240,#REF!,27,0)</f>
        <v>#REF!</v>
      </c>
      <c r="AD240" s="4"/>
      <c r="AE240" s="118" t="e">
        <f t="shared" si="87"/>
        <v>#REF!</v>
      </c>
      <c r="AF240" s="121" t="s">
        <v>320</v>
      </c>
      <c r="AG240" s="121" t="s">
        <v>321</v>
      </c>
      <c r="AH240" s="119" t="s">
        <v>322</v>
      </c>
      <c r="AI240" s="4"/>
      <c r="AJ240" s="118" t="s">
        <v>323</v>
      </c>
      <c r="AK240" s="121" t="s">
        <v>324</v>
      </c>
      <c r="AL240" s="121" t="s">
        <v>325</v>
      </c>
      <c r="AM240" s="121" t="s">
        <v>326</v>
      </c>
      <c r="AN240" s="121" t="s">
        <v>326</v>
      </c>
      <c r="AO240" s="119" t="s">
        <v>320</v>
      </c>
      <c r="AP240" s="4"/>
      <c r="AQ240" s="122">
        <v>166</v>
      </c>
      <c r="AR240" s="5"/>
      <c r="AS240" s="118">
        <v>0</v>
      </c>
      <c r="AT240" s="119">
        <v>0</v>
      </c>
      <c r="AU240" s="34"/>
      <c r="AV240" s="118">
        <f t="shared" si="76"/>
        <v>0</v>
      </c>
      <c r="AW240" s="119">
        <f t="shared" si="77"/>
        <v>0</v>
      </c>
      <c r="AX240" s="118">
        <f t="shared" si="88"/>
        <v>0</v>
      </c>
      <c r="AY240" s="119">
        <f t="shared" si="89"/>
        <v>0</v>
      </c>
      <c r="AZ240" s="118">
        <f t="shared" si="90"/>
        <v>0</v>
      </c>
      <c r="BA240" s="119">
        <f t="shared" si="91"/>
        <v>0</v>
      </c>
      <c r="BB240" s="120">
        <f t="shared" si="92"/>
        <v>0</v>
      </c>
      <c r="BC240" s="119">
        <f t="shared" si="93"/>
        <v>0</v>
      </c>
      <c r="BD240" s="34"/>
      <c r="BE240" s="118">
        <f t="shared" si="94"/>
        <v>0</v>
      </c>
      <c r="BF240" s="119">
        <f t="shared" si="95"/>
        <v>0</v>
      </c>
      <c r="BG240" s="118">
        <f t="shared" si="96"/>
        <v>0</v>
      </c>
      <c r="BH240" s="119">
        <f t="shared" si="97"/>
        <v>0</v>
      </c>
      <c r="BI240" s="120">
        <f t="shared" si="98"/>
        <v>0</v>
      </c>
      <c r="BJ240" s="119">
        <f t="shared" si="99"/>
        <v>0</v>
      </c>
      <c r="BK240" s="120">
        <f t="shared" si="100"/>
        <v>0</v>
      </c>
      <c r="BL240" s="119">
        <f t="shared" si="101"/>
        <v>0</v>
      </c>
      <c r="BM240" s="4"/>
      <c r="BN240" s="122">
        <v>-24.79000000000002</v>
      </c>
      <c r="BO240" s="117"/>
      <c r="BP240" s="118">
        <v>-24.79000000000002</v>
      </c>
      <c r="BQ240" s="119">
        <v>0</v>
      </c>
      <c r="BR240" s="120"/>
      <c r="BS240" s="118">
        <v>0</v>
      </c>
      <c r="BT240" s="119">
        <v>0</v>
      </c>
      <c r="BU240" s="118">
        <v>0</v>
      </c>
      <c r="BV240" s="119">
        <v>0</v>
      </c>
      <c r="BW240" s="118">
        <v>0</v>
      </c>
      <c r="BX240" s="119">
        <v>0</v>
      </c>
      <c r="BY240" s="118">
        <v>0</v>
      </c>
      <c r="BZ240" s="119">
        <v>0</v>
      </c>
      <c r="CA240" s="120"/>
      <c r="CB240" s="118">
        <v>0</v>
      </c>
      <c r="CC240" s="119">
        <v>0</v>
      </c>
      <c r="CD240" s="118">
        <v>0</v>
      </c>
      <c r="CE240" s="119">
        <v>0</v>
      </c>
      <c r="CF240" s="118">
        <v>0</v>
      </c>
      <c r="CG240" s="119">
        <v>0</v>
      </c>
      <c r="CH240" s="118">
        <v>0</v>
      </c>
      <c r="CI240" s="119">
        <v>0</v>
      </c>
      <c r="CJ240" s="4"/>
      <c r="CK240" s="79"/>
      <c r="CL240" s="5"/>
      <c r="CM240" s="39"/>
      <c r="CN240" s="5"/>
      <c r="CO240" s="39" t="str">
        <f t="shared" si="80"/>
        <v>-</v>
      </c>
      <c r="CP240" s="39" t="str">
        <f t="shared" si="81"/>
        <v>-</v>
      </c>
      <c r="CQ240" s="39" t="str">
        <f>IFERROR(+$H240-($Q240+$R240*$G240),"-")</f>
        <v>-</v>
      </c>
      <c r="CR240" s="39" t="str">
        <f>IFERROR(+$H240-($Q240+$R240*$G240),"-")</f>
        <v>-</v>
      </c>
      <c r="CS240" s="5"/>
      <c r="CT240" s="39" t="str">
        <f t="shared" si="83"/>
        <v>-</v>
      </c>
      <c r="CU240" s="39" t="str">
        <f t="shared" si="84"/>
        <v>-</v>
      </c>
      <c r="CV240" s="39" t="str">
        <f t="shared" si="85"/>
        <v>-</v>
      </c>
      <c r="CW240" s="39" t="str">
        <f t="shared" si="86"/>
        <v>-</v>
      </c>
    </row>
  </sheetData>
  <autoFilter ref="B28:C28" xr:uid="{00000000-0009-0000-0000-000000000000}"/>
  <mergeCells count="137">
    <mergeCell ref="J13:K13"/>
    <mergeCell ref="J14:K14"/>
    <mergeCell ref="D13:G14"/>
    <mergeCell ref="Z13:AA13"/>
    <mergeCell ref="AB13:AC13"/>
    <mergeCell ref="X13:Y13"/>
    <mergeCell ref="X14:Y14"/>
    <mergeCell ref="V13:W13"/>
    <mergeCell ref="V14:W14"/>
    <mergeCell ref="M13:N13"/>
    <mergeCell ref="O13:P13"/>
    <mergeCell ref="S13:T13"/>
    <mergeCell ref="D18:G18"/>
    <mergeCell ref="J18:K18"/>
    <mergeCell ref="M18:N18"/>
    <mergeCell ref="O18:P18"/>
    <mergeCell ref="Q18:R18"/>
    <mergeCell ref="S18:T18"/>
    <mergeCell ref="B22:G26"/>
    <mergeCell ref="AE24:AH24"/>
    <mergeCell ref="V26:W26"/>
    <mergeCell ref="H22:H26"/>
    <mergeCell ref="J26:K26"/>
    <mergeCell ref="J22:K24"/>
    <mergeCell ref="M26:N26"/>
    <mergeCell ref="O26:P26"/>
    <mergeCell ref="Q26:R26"/>
    <mergeCell ref="S26:T26"/>
    <mergeCell ref="M24:T24"/>
    <mergeCell ref="CB24:CI24"/>
    <mergeCell ref="BP26:BQ26"/>
    <mergeCell ref="BS26:BT26"/>
    <mergeCell ref="BU26:BV26"/>
    <mergeCell ref="BW26:BX26"/>
    <mergeCell ref="BY26:BZ26"/>
    <mergeCell ref="CB26:CC26"/>
    <mergeCell ref="X5:Y12"/>
    <mergeCell ref="Z5:AA12"/>
    <mergeCell ref="AB5:AC12"/>
    <mergeCell ref="X15:Y15"/>
    <mergeCell ref="Z15:AA15"/>
    <mergeCell ref="AB15:AC15"/>
    <mergeCell ref="X26:Y26"/>
    <mergeCell ref="AB26:AC26"/>
    <mergeCell ref="Z26:AA26"/>
    <mergeCell ref="X18:Y18"/>
    <mergeCell ref="Z18:AA18"/>
    <mergeCell ref="AB18:AC18"/>
    <mergeCell ref="V24:AC24"/>
    <mergeCell ref="AJ24:AO24"/>
    <mergeCell ref="AE22:AO22"/>
    <mergeCell ref="BE26:BF26"/>
    <mergeCell ref="BG26:BH26"/>
    <mergeCell ref="BI26:BJ26"/>
    <mergeCell ref="AQ22:AQ26"/>
    <mergeCell ref="M22:AC22"/>
    <mergeCell ref="X16:Y16"/>
    <mergeCell ref="Z16:AA16"/>
    <mergeCell ref="AB16:AC16"/>
    <mergeCell ref="V17:W17"/>
    <mergeCell ref="X17:Y17"/>
    <mergeCell ref="M16:N16"/>
    <mergeCell ref="M17:N17"/>
    <mergeCell ref="Z17:AA17"/>
    <mergeCell ref="AB17:AC17"/>
    <mergeCell ref="V16:W16"/>
    <mergeCell ref="V18:W18"/>
    <mergeCell ref="O17:P17"/>
    <mergeCell ref="Q17:R17"/>
    <mergeCell ref="S17:T17"/>
    <mergeCell ref="B2:G2"/>
    <mergeCell ref="M15:N15"/>
    <mergeCell ref="M5:N5"/>
    <mergeCell ref="J15:K15"/>
    <mergeCell ref="B5:C17"/>
    <mergeCell ref="H2:H4"/>
    <mergeCell ref="J2:K2"/>
    <mergeCell ref="D5:G12"/>
    <mergeCell ref="J5:K12"/>
    <mergeCell ref="M2:AC2"/>
    <mergeCell ref="D15:G15"/>
    <mergeCell ref="D4:G4"/>
    <mergeCell ref="H5:H12"/>
    <mergeCell ref="J4:K4"/>
    <mergeCell ref="J16:K16"/>
    <mergeCell ref="D17:G17"/>
    <mergeCell ref="D16:G16"/>
    <mergeCell ref="J17:K17"/>
    <mergeCell ref="M4:N4"/>
    <mergeCell ref="V15:W15"/>
    <mergeCell ref="V5:W5"/>
    <mergeCell ref="V7:W12"/>
    <mergeCell ref="M14:N14"/>
    <mergeCell ref="O14:P14"/>
    <mergeCell ref="V4:W4"/>
    <mergeCell ref="X4:Y4"/>
    <mergeCell ref="Z4:AA4"/>
    <mergeCell ref="AB4:AC4"/>
    <mergeCell ref="O16:P16"/>
    <mergeCell ref="Q16:R16"/>
    <mergeCell ref="S16:T16"/>
    <mergeCell ref="Q15:R15"/>
    <mergeCell ref="S15:T15"/>
    <mergeCell ref="O4:P4"/>
    <mergeCell ref="Q14:R14"/>
    <mergeCell ref="S14:T14"/>
    <mergeCell ref="Q4:R4"/>
    <mergeCell ref="S4:T4"/>
    <mergeCell ref="O5:P12"/>
    <mergeCell ref="Q5:R12"/>
    <mergeCell ref="S5:T12"/>
    <mergeCell ref="O15:P15"/>
    <mergeCell ref="Q13:R13"/>
    <mergeCell ref="CK19:CW19"/>
    <mergeCell ref="CK22:CK26"/>
    <mergeCell ref="CM22:CM24"/>
    <mergeCell ref="CO22:CW22"/>
    <mergeCell ref="CO24:CR24"/>
    <mergeCell ref="CT24:CW24"/>
    <mergeCell ref="AS22:AT24"/>
    <mergeCell ref="AV24:BC24"/>
    <mergeCell ref="AS26:AT26"/>
    <mergeCell ref="AV26:AW26"/>
    <mergeCell ref="AX26:AY26"/>
    <mergeCell ref="BK26:BL26"/>
    <mergeCell ref="BE24:BL24"/>
    <mergeCell ref="AV22:BL22"/>
    <mergeCell ref="AZ26:BA26"/>
    <mergeCell ref="BB26:BC26"/>
    <mergeCell ref="BN19:CI19"/>
    <mergeCell ref="CD26:CE26"/>
    <mergeCell ref="CF26:CG26"/>
    <mergeCell ref="CH26:CI26"/>
    <mergeCell ref="BN22:BN26"/>
    <mergeCell ref="BP22:BQ24"/>
    <mergeCell ref="BS22:CI22"/>
    <mergeCell ref="BS24:BZ24"/>
  </mergeCells>
  <conditionalFormatting sqref="BN29:BN30 BP30:BQ30 BS30:BZ30 CB30:CI30">
    <cfRule type="cellIs" dxfId="103" priority="7535" stopIfTrue="1" operator="lessThan">
      <formula>0</formula>
    </cfRule>
    <cfRule type="cellIs" dxfId="102" priority="7536" stopIfTrue="1" operator="greaterThan">
      <formula>0</formula>
    </cfRule>
  </conditionalFormatting>
  <conditionalFormatting sqref="BP29">
    <cfRule type="cellIs" dxfId="101" priority="7443" stopIfTrue="1" operator="lessThan">
      <formula>0</formula>
    </cfRule>
    <cfRule type="cellIs" dxfId="100" priority="7444" stopIfTrue="1" operator="greaterThan">
      <formula>0</formula>
    </cfRule>
  </conditionalFormatting>
  <conditionalFormatting sqref="BQ29">
    <cfRule type="cellIs" dxfId="99" priority="7439" stopIfTrue="1" operator="lessThan">
      <formula>0</formula>
    </cfRule>
    <cfRule type="cellIs" dxfId="98" priority="7440" stopIfTrue="1" operator="greaterThan">
      <formula>0</formula>
    </cfRule>
  </conditionalFormatting>
  <conditionalFormatting sqref="BS29">
    <cfRule type="cellIs" dxfId="97" priority="7435" stopIfTrue="1" operator="lessThan">
      <formula>0</formula>
    </cfRule>
    <cfRule type="cellIs" dxfId="96" priority="7436" stopIfTrue="1" operator="greaterThan">
      <formula>0</formula>
    </cfRule>
  </conditionalFormatting>
  <conditionalFormatting sqref="BT29">
    <cfRule type="cellIs" dxfId="95" priority="7431" stopIfTrue="1" operator="lessThan">
      <formula>0</formula>
    </cfRule>
    <cfRule type="cellIs" dxfId="94" priority="7432" stopIfTrue="1" operator="greaterThan">
      <formula>0</formula>
    </cfRule>
  </conditionalFormatting>
  <conditionalFormatting sqref="BU29">
    <cfRule type="cellIs" dxfId="93" priority="7427" stopIfTrue="1" operator="lessThan">
      <formula>0</formula>
    </cfRule>
    <cfRule type="cellIs" dxfId="92" priority="7428" stopIfTrue="1" operator="greaterThan">
      <formula>0</formula>
    </cfRule>
  </conditionalFormatting>
  <conditionalFormatting sqref="BV29">
    <cfRule type="cellIs" dxfId="91" priority="7423" stopIfTrue="1" operator="lessThan">
      <formula>0</formula>
    </cfRule>
    <cfRule type="cellIs" dxfId="90" priority="7424" stopIfTrue="1" operator="greaterThan">
      <formula>0</formula>
    </cfRule>
  </conditionalFormatting>
  <conditionalFormatting sqref="BW29">
    <cfRule type="cellIs" dxfId="89" priority="7419" stopIfTrue="1" operator="lessThan">
      <formula>0</formula>
    </cfRule>
    <cfRule type="cellIs" dxfId="88" priority="7420" stopIfTrue="1" operator="greaterThan">
      <formula>0</formula>
    </cfRule>
  </conditionalFormatting>
  <conditionalFormatting sqref="BX29">
    <cfRule type="cellIs" dxfId="87" priority="7415" stopIfTrue="1" operator="lessThan">
      <formula>0</formula>
    </cfRule>
    <cfRule type="cellIs" dxfId="86" priority="7416" stopIfTrue="1" operator="greaterThan">
      <formula>0</formula>
    </cfRule>
  </conditionalFormatting>
  <conditionalFormatting sqref="BY29">
    <cfRule type="cellIs" dxfId="85" priority="7411" stopIfTrue="1" operator="lessThan">
      <formula>0</formula>
    </cfRule>
    <cfRule type="cellIs" dxfId="84" priority="7412" stopIfTrue="1" operator="greaterThan">
      <formula>0</formula>
    </cfRule>
  </conditionalFormatting>
  <conditionalFormatting sqref="BZ29">
    <cfRule type="cellIs" dxfId="83" priority="7407" stopIfTrue="1" operator="lessThan">
      <formula>0</formula>
    </cfRule>
    <cfRule type="cellIs" dxfId="82" priority="7408" stopIfTrue="1" operator="greaterThan">
      <formula>0</formula>
    </cfRule>
  </conditionalFormatting>
  <conditionalFormatting sqref="CB29">
    <cfRule type="cellIs" dxfId="81" priority="7403" stopIfTrue="1" operator="lessThan">
      <formula>0</formula>
    </cfRule>
    <cfRule type="cellIs" dxfId="80" priority="7404" stopIfTrue="1" operator="greaterThan">
      <formula>0</formula>
    </cfRule>
  </conditionalFormatting>
  <conditionalFormatting sqref="CC29">
    <cfRule type="cellIs" dxfId="79" priority="7399" stopIfTrue="1" operator="lessThan">
      <formula>0</formula>
    </cfRule>
    <cfRule type="cellIs" dxfId="78" priority="7400" stopIfTrue="1" operator="greaterThan">
      <formula>0</formula>
    </cfRule>
  </conditionalFormatting>
  <conditionalFormatting sqref="CD29">
    <cfRule type="cellIs" dxfId="77" priority="7395" stopIfTrue="1" operator="lessThan">
      <formula>0</formula>
    </cfRule>
    <cfRule type="cellIs" dxfId="76" priority="7396" stopIfTrue="1" operator="greaterThan">
      <formula>0</formula>
    </cfRule>
  </conditionalFormatting>
  <conditionalFormatting sqref="CE29">
    <cfRule type="cellIs" dxfId="75" priority="7391" stopIfTrue="1" operator="lessThan">
      <formula>0</formula>
    </cfRule>
    <cfRule type="cellIs" dxfId="74" priority="7392" stopIfTrue="1" operator="greaterThan">
      <formula>0</formula>
    </cfRule>
  </conditionalFormatting>
  <conditionalFormatting sqref="CF29">
    <cfRule type="cellIs" dxfId="73" priority="7387" stopIfTrue="1" operator="lessThan">
      <formula>0</formula>
    </cfRule>
    <cfRule type="cellIs" dxfId="72" priority="7388" stopIfTrue="1" operator="greaterThan">
      <formula>0</formula>
    </cfRule>
  </conditionalFormatting>
  <conditionalFormatting sqref="CG29">
    <cfRule type="cellIs" dxfId="71" priority="7383" stopIfTrue="1" operator="lessThan">
      <formula>0</formula>
    </cfRule>
    <cfRule type="cellIs" dxfId="70" priority="7384" stopIfTrue="1" operator="greaterThan">
      <formula>0</formula>
    </cfRule>
  </conditionalFormatting>
  <conditionalFormatting sqref="CH29">
    <cfRule type="cellIs" dxfId="69" priority="7379" stopIfTrue="1" operator="lessThan">
      <formula>0</formula>
    </cfRule>
    <cfRule type="cellIs" dxfId="68" priority="7380" stopIfTrue="1" operator="greaterThan">
      <formula>0</formula>
    </cfRule>
  </conditionalFormatting>
  <conditionalFormatting sqref="CI29">
    <cfRule type="cellIs" dxfId="67" priority="7375" stopIfTrue="1" operator="lessThan">
      <formula>0</formula>
    </cfRule>
    <cfRule type="cellIs" dxfId="66" priority="7376" stopIfTrue="1" operator="greaterThan">
      <formula>0</formula>
    </cfRule>
  </conditionalFormatting>
  <conditionalFormatting sqref="BN31:BN255 BP32:BQ32 BP34:BQ34 BP36:BQ36 BP38:BQ38 BP40:BQ40 BP42:BQ42 BP44:BQ44 BP46:BQ46 BP48:BQ48 BP50:BQ50 BP52:BQ52 BP54:BQ54 BP56:BQ56 BP58:BQ58 BP60:BQ60 BP62:BQ62 BP64:BQ64 BP66:BQ66 BP68:BQ68 BP70:BQ70 BP72:BQ72 BP74:BQ74 BP76:BQ76 BP78:BQ78 BP80:BQ80 BP82:BQ82 BP84:BQ84 BP86:BQ86 BP88:BQ88 BP90:BQ90 BP92:BQ92 BP94:BQ94 BP96:BQ96 BP98:BQ98 BP100:BQ100 BP102:BQ102 BP104:BQ104 BP106:BQ106 BP108:BQ108 BP110:BQ110 BP112:BQ112 BP114:BQ114 BP116:BQ116 BP118:BQ118 BP120:BQ120 BP122:BQ122 BP124:BQ124 BP126:BQ126 BP128:BQ128 BP130:BQ130 BP132:BQ132 BP134:BQ134 BP136:BQ136 BP138:BQ138 BP140:BQ140 BP142:BQ142 BP144:BQ144 BP146:BQ146 BP148:BQ148 BP150:BQ150 BP152:BQ152 BP154:BQ154 BP156:BQ156 BP158:BQ158 BP160:BQ160 BP162:BQ162 BP164:BQ164 BP166:BQ166 BP168:BQ168 BP170:BQ170 BP172:BQ172 BP174:BQ174 BP176:BQ176 BP178:BQ178 BP180:BQ180 BP182:BQ182 BP184:BQ184 BP186:BQ186 BP188:BQ188 BP190:BQ190 BP192:BQ192 BP197:BQ197 BP199:BQ199 BP201:BQ201 BP203:BQ203 BP205:BQ205 BP207:BQ207 BP209:BQ209 BP211:BQ211 BP213:BQ213 BP215:BQ215 BP217:BQ217 BP219:BQ219 BP221:BQ221 BP223:BQ223 BP225:BQ225 BP227:BQ227 BP229:BQ229 BP231:BQ231 BP233:BQ233 BP235:BQ235 BP237:BQ237 BP239:BQ239 BP241:BQ241 BP243:BQ243 BP245:BQ245 BP247:BQ247 BP249:BQ249 BP251:BQ251 BP253:BQ253 BP255:BQ255 BS32:BZ32 BS34:BZ34 BS36:BZ36 BS38:BZ38 BS40:BZ40 BS42:BZ42 BS44:BZ44 BS46:BZ46 BS48:BZ48 BS50:BZ50 BS52:BZ52 BS54:BZ54 BS56:BZ56 BS58:BZ58 BS60:BZ60 BS62:BZ62 BS64:BZ64 BS66:BZ66 BS68:BZ68 BS70:BZ70 BS72:BZ72 BS74:BZ74 BS76:BZ76 BS78:BZ78 BS80:BZ80 BS82:BZ82 BS84:BZ84 BS86:BZ86 BS88:BZ88 BS90:BZ90 BS92:BZ92 BS94:BZ94 BS96:BZ96 BS98:BZ98 BS100:BZ100 BS102:BZ102 BS104:BZ104 BS106:BZ106 BS108:BZ108 BS110:BZ110 BS112:BZ112 BS114:BZ114 BS116:BZ116 BS118:BZ118 BS120:BZ120 BS122:BZ122 BS124:BZ124 BS126:BZ126 BS128:BZ128 BS130:BZ130 BS132:BZ132 BS134:BZ134 BS136:BZ136 BS138:BZ138 BS140:BZ140 BS142:BZ142 BS144:BZ144 BS146:BZ146 BS148:BZ148 BS150:BZ150 BS152:BZ152 BS154:BZ154 BS156:BZ156 BS158:BZ158 BS160:BZ160 BS162:BZ162 BS164:BZ164 BS166:BZ166 BS168:BZ168 BS170:BZ170 BS172:BZ172 BS174:BZ174 BS176:BZ176 BS178:BZ178 BS180:BZ180 BS182:BZ182 BS184:BZ184 BS186:BZ186 BS188:BZ188 BS190:BZ190 BS192:BZ192 BS197:BZ197 BS199:BZ199 BS201:BZ201 BS203:BZ203 BS205:BZ205 BS207:BZ207 BS209:BZ209 BS211:BZ211 BS213:BZ213 BS215:BZ215 BS217:BZ217 BS219:BZ219 BS221:BZ221 BS223:BZ223 BS225:BZ225 BS227:BZ227 BS229:BZ229 BS231:BZ231 BS233:BZ233 BS235:BZ235 BS237:BZ237 BS239:BZ239 BS241:BZ241 BS243:BZ243 BS245:BZ245 BS247:BZ247 BS249:BZ249 BS251:BZ251 BS253:BZ253 BS255:BZ255 CB32:CI32 CB34:CI34 CB36:CI36 CB38:CI38 CB40:CI40 CB42:CI42 CB44:CI44 CB46:CI46 CB48:CI48 CB50:CI50 CB52:CI52 CB54:CI54 CB56:CI56 CB58:CI58 CB60:CI60 CB62:CI62 CB64:CI64 CB66:CI66 CB68:CI68 CB70:CI70 CB72:CI72 CB74:CI74 CB76:CI76 CB78:CI78 CB80:CI80 CB82:CI82 CB84:CI84 CB86:CI86 CB88:CI88 CB90:CI90 CB92:CI92 CB94:CI94 CB96:CI96 CB98:CI98 CB100:CI100 CB102:CI102 CB104:CI104 CB106:CI106 CB108:CI108 CB110:CI110 CB112:CI112 CB114:CI114 CB116:CI116 CB118:CI118 CB120:CI120 CB122:CI122 CB124:CI124 CB126:CI126 CB128:CI128 CB130:CI130 CB132:CI132 CB134:CI134 CB136:CI136 CB138:CI138 CB140:CI140 CB142:CI142 CB144:CI144 CB146:CI146 CB148:CI148 CB150:CI150 CB152:CI152 CB154:CI154 CB156:CI156 CB158:CI158 CB160:CI160 CB162:CI162 CB164:CI164 CB166:CI166 CB168:CI168 CB170:CI170 CB172:CI172 CB174:CI174 CB176:CI176 CB178:CI178 CB180:CI180 CB182:CI182 CB184:CI184 CB186:CI186 CB188:CI188 CB190:CI190 CB192:CI192 CB197:CI197 CB199:CI199 CB201:CI201 CB203:CI203 CB205:CI205 CB207:CI207 CB209:CI209 CB211:CI211 CB213:CI213 CB215:CI215 CB217:CI217 CB219:CI219 CB221:CI221 CB223:CI223 CB225:CI225 CB227:CI227 CB229:CI229 CB231:CI231 CB233:CI233 CB235:CI235 CB237:CI237 CB239:CI239 CB241:CI241 CB243:CI243 CB245:CI245 CB247:CI247 CB249:CI249 CB251:CI251 CB253:CI253 CB255:CI255">
    <cfRule type="cellIs" dxfId="65" priority="37" stopIfTrue="1" operator="lessThan">
      <formula>0</formula>
    </cfRule>
    <cfRule type="cellIs" dxfId="64" priority="38" stopIfTrue="1" operator="greaterThan">
      <formula>0</formula>
    </cfRule>
  </conditionalFormatting>
  <conditionalFormatting sqref="BP31 BP33 BP35 BP37 BP39 BP41 BP43 BP45 BP47 BP49 BP51 BP53 BP55 BP57 BP59 BP61 BP63 BP65 BP67 BP69 BP71 BP73 BP75 BP77 BP79 BP81 BP83 BP85 BP87 BP89 BP91 BP93 BP95 BP97 BP99 BP101 BP103 BP105 BP107 BP109 BP111 BP113 BP115 BP117 BP119 BP121 BP123 BP125 BP127 BP129 BP131 BP133 BP135 BP137 BP139 BP141 BP143 BP145 BP147 BP149 BP151 BP153 BP155 BP157 BP159 BP161 BP163 BP165 BP167 BP169 BP171 BP173 BP175 BP177 BP179 BP181 BP183 BP185 BP187 BP189 BP191 BP193:BP196 BP198 BP200 BP202 BP204 BP206 BP208 BP210 BP212 BP214 BP216 BP218 BP220 BP222 BP224 BP226 BP228 BP230 BP232 BP234 BP236 BP238 BP240 BP242 BP244 BP246 BP248 BP250 BP252 BP254">
    <cfRule type="cellIs" dxfId="63" priority="35" stopIfTrue="1" operator="lessThan">
      <formula>0</formula>
    </cfRule>
    <cfRule type="cellIs" dxfId="62" priority="36" stopIfTrue="1" operator="greaterThan">
      <formula>0</formula>
    </cfRule>
  </conditionalFormatting>
  <conditionalFormatting sqref="BQ31 BQ33 BQ35 BQ37 BQ39 BQ41 BQ43 BQ45 BQ47 BQ49 BQ51 BQ53 BQ55 BQ57 BQ59 BQ61 BQ63 BQ65 BQ67 BQ69 BQ71 BQ73 BQ75 BQ77 BQ79 BQ81 BQ83 BQ85 BQ87 BQ89 BQ91 BQ93 BQ95 BQ97 BQ99 BQ101 BQ103 BQ105 BQ107 BQ109 BQ111 BQ113 BQ115 BQ117 BQ119 BQ121 BQ123 BQ125 BQ127 BQ129 BQ131 BQ133 BQ135 BQ137 BQ139 BQ141 BQ143 BQ145 BQ147 BQ149 BQ151 BQ153 BQ155 BQ157 BQ159 BQ161 BQ163 BQ165 BQ167 BQ169 BQ171 BQ173 BQ175 BQ177 BQ179 BQ181 BQ183 BQ185 BQ187 BQ189 BQ191 BQ193:BQ196 BQ198 BQ200 BQ202 BQ204 BQ206 BQ208 BQ210 BQ212 BQ214 BQ216 BQ218 BQ220 BQ222 BQ224 BQ226 BQ228 BQ230 BQ232 BQ234 BQ236 BQ238 BQ240 BQ242 BQ244 BQ246 BQ248 BQ250 BQ252 BQ254">
    <cfRule type="cellIs" dxfId="61" priority="33" stopIfTrue="1" operator="lessThan">
      <formula>0</formula>
    </cfRule>
    <cfRule type="cellIs" dxfId="60" priority="34" stopIfTrue="1" operator="greaterThan">
      <formula>0</formula>
    </cfRule>
  </conditionalFormatting>
  <conditionalFormatting sqref="BS31 BS33 BS35 BS37 BS39 BS41 BS43 BS45 BS47 BS49 BS51 BS53 BS55 BS57 BS59 BS61 BS63 BS65 BS67 BS69 BS71 BS73 BS75 BS77 BS79 BS81 BS83 BS85 BS87 BS89 BS91 BS93 BS95 BS97 BS99 BS101 BS103 BS105 BS107 BS109 BS111 BS113 BS115 BS117 BS119 BS121 BS123 BS125 BS127 BS129 BS131 BS133 BS135 BS137 BS139 BS141 BS143 BS145 BS147 BS149 BS151 BS153 BS155 BS157 BS159 BS161 BS163 BS165 BS167 BS169 BS171 BS173 BS175 BS177 BS179 BS181 BS183 BS185 BS187 BS189 BS191 BS193:BS196 BS198 BS200 BS202 BS204 BS206 BS208 BS210 BS212 BS214 BS216 BS218 BS220 BS222 BS224 BS226 BS228 BS230 BS232 BS234 BS236 BS238 BS240 BS242 BS244 BS246 BS248 BS250 BS252 BS254">
    <cfRule type="cellIs" dxfId="59" priority="31" stopIfTrue="1" operator="lessThan">
      <formula>0</formula>
    </cfRule>
    <cfRule type="cellIs" dxfId="58" priority="32" stopIfTrue="1" operator="greaterThan">
      <formula>0</formula>
    </cfRule>
  </conditionalFormatting>
  <conditionalFormatting sqref="BT31 BT33 BT35 BT37 BT39 BT41 BT43 BT45 BT47 BT49 BT51 BT53 BT55 BT57 BT59 BT61 BT63 BT65 BT67 BT69 BT71 BT73 BT75 BT77 BT79 BT81 BT83 BT85 BT87 BT89 BT91 BT93 BT95 BT97 BT99 BT101 BT103 BT105 BT107 BT109 BT111 BT113 BT115 BT117 BT119 BT121 BT123 BT125 BT127 BT129 BT131 BT133 BT135 BT137 BT139 BT141 BT143 BT145 BT147 BT149 BT151 BT153 BT155 BT157 BT159 BT161 BT163 BT165 BT167 BT169 BT171 BT173 BT175 BT177 BT179 BT181 BT183 BT185 BT187 BT189 BT191 BT193:BT196 BT198 BT200 BT202 BT204 BT206 BT208 BT210 BT212 BT214 BT216 BT218 BT220 BT222 BT224 BT226 BT228 BT230 BT232 BT234 BT236 BT238 BT240 BT242 BT244 BT246 BT248 BT250 BT252 BT254">
    <cfRule type="cellIs" dxfId="57" priority="29" stopIfTrue="1" operator="lessThan">
      <formula>0</formula>
    </cfRule>
    <cfRule type="cellIs" dxfId="56" priority="30" stopIfTrue="1" operator="greaterThan">
      <formula>0</formula>
    </cfRule>
  </conditionalFormatting>
  <conditionalFormatting sqref="BU31 BU33 BU35 BU37 BU39 BU41 BU43 BU45 BU47 BU49 BU51 BU53 BU55 BU57 BU59 BU61 BU63 BU65 BU67 BU69 BU71 BU73 BU75 BU77 BU79 BU81 BU83 BU85 BU87 BU89 BU91 BU93 BU95 BU97 BU99 BU101 BU103 BU105 BU107 BU109 BU111 BU113 BU115 BU117 BU119 BU121 BU123 BU125 BU127 BU129 BU131 BU133 BU135 BU137 BU139 BU141 BU143 BU145 BU147 BU149 BU151 BU153 BU155 BU157 BU159 BU161 BU163 BU165 BU167 BU169 BU171 BU173 BU175 BU177 BU179 BU181 BU183 BU185 BU187 BU189 BU191 BU193:BU196 BU198 BU200 BU202 BU204 BU206 BU208 BU210 BU212 BU214 BU216 BU218 BU220 BU222 BU224 BU226 BU228 BU230 BU232 BU234 BU236 BU238 BU240 BU242 BU244 BU246 BU248 BU250 BU252 BU254">
    <cfRule type="cellIs" dxfId="55" priority="27" stopIfTrue="1" operator="lessThan">
      <formula>0</formula>
    </cfRule>
    <cfRule type="cellIs" dxfId="54" priority="28" stopIfTrue="1" operator="greaterThan">
      <formula>0</formula>
    </cfRule>
  </conditionalFormatting>
  <conditionalFormatting sqref="BV31 BV33 BV35 BV37 BV39 BV41 BV43 BV45 BV47 BV49 BV51 BV53 BV55 BV57 BV59 BV61 BV63 BV65 BV67 BV69 BV71 BV73 BV75 BV77 BV79 BV81 BV83 BV85 BV87 BV89 BV91 BV93 BV95 BV97 BV99 BV101 BV103 BV105 BV107 BV109 BV111 BV113 BV115 BV117 BV119 BV121 BV123 BV125 BV127 BV129 BV131 BV133 BV135 BV137 BV139 BV141 BV143 BV145 BV147 BV149 BV151 BV153 BV155 BV157 BV159 BV161 BV163 BV165 BV167 BV169 BV171 BV173 BV175 BV177 BV179 BV181 BV183 BV185 BV187 BV189 BV191 BV193:BV196 BV198 BV200 BV202 BV204 BV206 BV208 BV210 BV212 BV214 BV216 BV218 BV220 BV222 BV224 BV226 BV228 BV230 BV232 BV234 BV236 BV238 BV240 BV242 BV244 BV246 BV248 BV250 BV252 BV254">
    <cfRule type="cellIs" dxfId="53" priority="25" stopIfTrue="1" operator="lessThan">
      <formula>0</formula>
    </cfRule>
    <cfRule type="cellIs" dxfId="52" priority="26" stopIfTrue="1" operator="greaterThan">
      <formula>0</formula>
    </cfRule>
  </conditionalFormatting>
  <conditionalFormatting sqref="BW31 BW33 BW35 BW37 BW39 BW41 BW43 BW45 BW47 BW49 BW51 BW53 BW55 BW57 BW59 BW61 BW63 BW65 BW67 BW69 BW71 BW73 BW75 BW77 BW79 BW81 BW83 BW85 BW87 BW89 BW91 BW93 BW95 BW97 BW99 BW101 BW103 BW105 BW107 BW109 BW111 BW113 BW115 BW117 BW119 BW121 BW123 BW125 BW127 BW129 BW131 BW133 BW135 BW137 BW139 BW141 BW143 BW145 BW147 BW149 BW151 BW153 BW155 BW157 BW159 BW161 BW163 BW165 BW167 BW169 BW171 BW173 BW175 BW177 BW179 BW181 BW183 BW185 BW187 BW189 BW191 BW193:BW196 BW198 BW200 BW202 BW204 BW206 BW208 BW210 BW212 BW214 BW216 BW218 BW220 BW222 BW224 BW226 BW228 BW230 BW232 BW234 BW236 BW238 BW240 BW242 BW244 BW246 BW248 BW250 BW252 BW254">
    <cfRule type="cellIs" dxfId="51" priority="23" stopIfTrue="1" operator="lessThan">
      <formula>0</formula>
    </cfRule>
    <cfRule type="cellIs" dxfId="50" priority="24" stopIfTrue="1" operator="greaterThan">
      <formula>0</formula>
    </cfRule>
  </conditionalFormatting>
  <conditionalFormatting sqref="BX31 BX33 BX35 BX37 BX39 BX41 BX43 BX45 BX47 BX49 BX51 BX53 BX55 BX57 BX59 BX61 BX63 BX65 BX67 BX69 BX71 BX73 BX75 BX77 BX79 BX81 BX83 BX85 BX87 BX89 BX91 BX93 BX95 BX97 BX99 BX101 BX103 BX105 BX107 BX109 BX111 BX113 BX115 BX117 BX119 BX121 BX123 BX125 BX127 BX129 BX131 BX133 BX135 BX137 BX139 BX141 BX143 BX145 BX147 BX149 BX151 BX153 BX155 BX157 BX159 BX161 BX163 BX165 BX167 BX169 BX171 BX173 BX175 BX177 BX179 BX181 BX183 BX185 BX187 BX189 BX191 BX193:BX196 BX198 BX200 BX202 BX204 BX206 BX208 BX210 BX212 BX214 BX216 BX218 BX220 BX222 BX224 BX226 BX228 BX230 BX232 BX234 BX236 BX238 BX240 BX242 BX244 BX246 BX248 BX250 BX252 BX254">
    <cfRule type="cellIs" dxfId="49" priority="21" stopIfTrue="1" operator="lessThan">
      <formula>0</formula>
    </cfRule>
    <cfRule type="cellIs" dxfId="48" priority="22" stopIfTrue="1" operator="greaterThan">
      <formula>0</formula>
    </cfRule>
  </conditionalFormatting>
  <conditionalFormatting sqref="BY31 BY33 BY35 BY37 BY39 BY41 BY43 BY45 BY47 BY49 BY51 BY53 BY55 BY57 BY59 BY61 BY63 BY65 BY67 BY69 BY71 BY73 BY75 BY77 BY79 BY81 BY83 BY85 BY87 BY89 BY91 BY93 BY95 BY97 BY99 BY101 BY103 BY105 BY107 BY109 BY111 BY113 BY115 BY117 BY119 BY121 BY123 BY125 BY127 BY129 BY131 BY133 BY135 BY137 BY139 BY141 BY143 BY145 BY147 BY149 BY151 BY153 BY155 BY157 BY159 BY161 BY163 BY165 BY167 BY169 BY171 BY173 BY175 BY177 BY179 BY181 BY183 BY185 BY187 BY189 BY191 BY193:BY196 BY198 BY200 BY202 BY204 BY206 BY208 BY210 BY212 BY214 BY216 BY218 BY220 BY222 BY224 BY226 BY228 BY230 BY232 BY234 BY236 BY238 BY240 BY242 BY244 BY246 BY248 BY250 BY252 BY254">
    <cfRule type="cellIs" dxfId="47" priority="19" stopIfTrue="1" operator="lessThan">
      <formula>0</formula>
    </cfRule>
    <cfRule type="cellIs" dxfId="46" priority="20" stopIfTrue="1" operator="greaterThan">
      <formula>0</formula>
    </cfRule>
  </conditionalFormatting>
  <conditionalFormatting sqref="BZ31 BZ33 BZ35 BZ37 BZ39 BZ41 BZ43 BZ45 BZ47 BZ49 BZ51 BZ53 BZ55 BZ57 BZ59 BZ61 BZ63 BZ65 BZ67 BZ69 BZ71 BZ73 BZ75 BZ77 BZ79 BZ81 BZ83 BZ85 BZ87 BZ89 BZ91 BZ93 BZ95 BZ97 BZ99 BZ101 BZ103 BZ105 BZ107 BZ109 BZ111 BZ113 BZ115 BZ117 BZ119 BZ121 BZ123 BZ125 BZ127 BZ129 BZ131 BZ133 BZ135 BZ137 BZ139 BZ141 BZ143 BZ145 BZ147 BZ149 BZ151 BZ153 BZ155 BZ157 BZ159 BZ161 BZ163 BZ165 BZ167 BZ169 BZ171 BZ173 BZ175 BZ177 BZ179 BZ181 BZ183 BZ185 BZ187 BZ189 BZ191 BZ193:BZ196 BZ198 BZ200 BZ202 BZ204 BZ206 BZ208 BZ210 BZ212 BZ214 BZ216 BZ218 BZ220 BZ222 BZ224 BZ226 BZ228 BZ230 BZ232 BZ234 BZ236 BZ238 BZ240 BZ242 BZ244 BZ246 BZ248 BZ250 BZ252 BZ254">
    <cfRule type="cellIs" dxfId="45" priority="17" stopIfTrue="1" operator="lessThan">
      <formula>0</formula>
    </cfRule>
    <cfRule type="cellIs" dxfId="44" priority="18" stopIfTrue="1" operator="greaterThan">
      <formula>0</formula>
    </cfRule>
  </conditionalFormatting>
  <conditionalFormatting sqref="CB31 CB33 CB35 CB37 CB39 CB41 CB43 CB45 CB47 CB49 CB51 CB53 CB55 CB57 CB59 CB61 CB63 CB65 CB67 CB69 CB71 CB73 CB75 CB77 CB79 CB81 CB83 CB85 CB87 CB89 CB91 CB93 CB95 CB97 CB99 CB101 CB103 CB105 CB107 CB109 CB111 CB113 CB115 CB117 CB119 CB121 CB123 CB125 CB127 CB129 CB131 CB133 CB135 CB137 CB139 CB141 CB143 CB145 CB147 CB149 CB151 CB153 CB155 CB157 CB159 CB161 CB163 CB165 CB167 CB169 CB171 CB173 CB175 CB177 CB179 CB181 CB183 CB185 CB187 CB189 CB191 CB193:CB196 CB198 CB200 CB202 CB204 CB206 CB208 CB210 CB212 CB214 CB216 CB218 CB220 CB222 CB224 CB226 CB228 CB230 CB232 CB234 CB236 CB238 CB240 CB242 CB244 CB246 CB248 CB250 CB252 CB254">
    <cfRule type="cellIs" dxfId="43" priority="15" stopIfTrue="1" operator="lessThan">
      <formula>0</formula>
    </cfRule>
    <cfRule type="cellIs" dxfId="42" priority="16" stopIfTrue="1" operator="greaterThan">
      <formula>0</formula>
    </cfRule>
  </conditionalFormatting>
  <conditionalFormatting sqref="CC31 CC33 CC35 CC37 CC39 CC41 CC43 CC45 CC47 CC49 CC51 CC53 CC55 CC57 CC59 CC61 CC63 CC65 CC67 CC69 CC71 CC73 CC75 CC77 CC79 CC81 CC83 CC85 CC87 CC89 CC91 CC93 CC95 CC97 CC99 CC101 CC103 CC105 CC107 CC109 CC111 CC113 CC115 CC117 CC119 CC121 CC123 CC125 CC127 CC129 CC131 CC133 CC135 CC137 CC139 CC141 CC143 CC145 CC147 CC149 CC151 CC153 CC155 CC157 CC159 CC161 CC163 CC165 CC167 CC169 CC171 CC173 CC175 CC177 CC179 CC181 CC183 CC185 CC187 CC189 CC191 CC193:CC196 CC198 CC200 CC202 CC204 CC206 CC208 CC210 CC212 CC214 CC216 CC218 CC220 CC222 CC224 CC226 CC228 CC230 CC232 CC234 CC236 CC238 CC240 CC242 CC244 CC246 CC248 CC250 CC252 CC254">
    <cfRule type="cellIs" dxfId="41" priority="13" stopIfTrue="1" operator="lessThan">
      <formula>0</formula>
    </cfRule>
    <cfRule type="cellIs" dxfId="40" priority="14" stopIfTrue="1" operator="greaterThan">
      <formula>0</formula>
    </cfRule>
  </conditionalFormatting>
  <conditionalFormatting sqref="CD31 CD33 CD35 CD37 CD39 CD41 CD43 CD45 CD47 CD49 CD51 CD53 CD55 CD57 CD59 CD61 CD63 CD65 CD67 CD69 CD71 CD73 CD75 CD77 CD79 CD81 CD83 CD85 CD87 CD89 CD91 CD93 CD95 CD97 CD99 CD101 CD103 CD105 CD107 CD109 CD111 CD113 CD115 CD117 CD119 CD121 CD123 CD125 CD127 CD129 CD131 CD133 CD135 CD137 CD139 CD141 CD143 CD145 CD147 CD149 CD151 CD153 CD155 CD157 CD159 CD161 CD163 CD165 CD167 CD169 CD171 CD173 CD175 CD177 CD179 CD181 CD183 CD185 CD187 CD189 CD191 CD193:CD196 CD198 CD200 CD202 CD204 CD206 CD208 CD210 CD212 CD214 CD216 CD218 CD220 CD222 CD224 CD226 CD228 CD230 CD232 CD234 CD236 CD238 CD240 CD242 CD244 CD246 CD248 CD250 CD252 CD254">
    <cfRule type="cellIs" dxfId="39" priority="11" stopIfTrue="1" operator="lessThan">
      <formula>0</formula>
    </cfRule>
    <cfRule type="cellIs" dxfId="38" priority="12" stopIfTrue="1" operator="greaterThan">
      <formula>0</formula>
    </cfRule>
  </conditionalFormatting>
  <conditionalFormatting sqref="CE31 CE33 CE35 CE37 CE39 CE41 CE43 CE45 CE47 CE49 CE51 CE53 CE55 CE57 CE59 CE61 CE63 CE65 CE67 CE69 CE71 CE73 CE75 CE77 CE79 CE81 CE83 CE85 CE87 CE89 CE91 CE93 CE95 CE97 CE99 CE101 CE103 CE105 CE107 CE109 CE111 CE113 CE115 CE117 CE119 CE121 CE123 CE125 CE127 CE129 CE131 CE133 CE135 CE137 CE139 CE141 CE143 CE145 CE147 CE149 CE151 CE153 CE155 CE157 CE159 CE161 CE163 CE165 CE167 CE169 CE171 CE173 CE175 CE177 CE179 CE181 CE183 CE185 CE187 CE189 CE191 CE193:CE196 CE198 CE200 CE202 CE204 CE206 CE208 CE210 CE212 CE214 CE216 CE218 CE220 CE222 CE224 CE226 CE228 CE230 CE232 CE234 CE236 CE238 CE240 CE242 CE244 CE246 CE248 CE250 CE252 CE254">
    <cfRule type="cellIs" dxfId="37" priority="9" stopIfTrue="1" operator="lessThan">
      <formula>0</formula>
    </cfRule>
    <cfRule type="cellIs" dxfId="36" priority="10" stopIfTrue="1" operator="greaterThan">
      <formula>0</formula>
    </cfRule>
  </conditionalFormatting>
  <conditionalFormatting sqref="CF31 CF33 CF35 CF37 CF39 CF41 CF43 CF45 CF47 CF49 CF51 CF53 CF55 CF57 CF59 CF61 CF63 CF65 CF67 CF69 CF71 CF73 CF75 CF77 CF79 CF81 CF83 CF85 CF87 CF89 CF91 CF93 CF95 CF97 CF99 CF101 CF103 CF105 CF107 CF109 CF111 CF113 CF115 CF117 CF119 CF121 CF123 CF125 CF127 CF129 CF131 CF133 CF135 CF137 CF139 CF141 CF143 CF145 CF147 CF149 CF151 CF153 CF155 CF157 CF159 CF161 CF163 CF165 CF167 CF169 CF171 CF173 CF175 CF177 CF179 CF181 CF183 CF185 CF187 CF189 CF191 CF193:CF196 CF198 CF200 CF202 CF204 CF206 CF208 CF210 CF212 CF214 CF216 CF218 CF220 CF222 CF224 CF226 CF228 CF230 CF232 CF234 CF236 CF238 CF240 CF242 CF244 CF246 CF248 CF250 CF252 CF254">
    <cfRule type="cellIs" dxfId="35" priority="7" stopIfTrue="1" operator="lessThan">
      <formula>0</formula>
    </cfRule>
    <cfRule type="cellIs" dxfId="34" priority="8" stopIfTrue="1" operator="greaterThan">
      <formula>0</formula>
    </cfRule>
  </conditionalFormatting>
  <conditionalFormatting sqref="CG31 CG33 CG35 CG37 CG39 CG41 CG43 CG45 CG47 CG49 CG51 CG53 CG55 CG57 CG59 CG61 CG63 CG65 CG67 CG69 CG71 CG73 CG75 CG77 CG79 CG81 CG83 CG85 CG87 CG89 CG91 CG93 CG95 CG97 CG99 CG101 CG103 CG105 CG107 CG109 CG111 CG113 CG115 CG117 CG119 CG121 CG123 CG125 CG127 CG129 CG131 CG133 CG135 CG137 CG139 CG141 CG143 CG145 CG147 CG149 CG151 CG153 CG155 CG157 CG159 CG161 CG163 CG165 CG167 CG169 CG171 CG173 CG175 CG177 CG179 CG181 CG183 CG185 CG187 CG189 CG191 CG193:CG196 CG198 CG200 CG202 CG204 CG206 CG208 CG210 CG212 CG214 CG216 CG218 CG220 CG222 CG224 CG226 CG228 CG230 CG232 CG234 CG236 CG238 CG240 CG242 CG244 CG246 CG248 CG250 CG252 CG254">
    <cfRule type="cellIs" dxfId="33" priority="5" stopIfTrue="1" operator="lessThan">
      <formula>0</formula>
    </cfRule>
    <cfRule type="cellIs" dxfId="32" priority="6" stopIfTrue="1" operator="greaterThan">
      <formula>0</formula>
    </cfRule>
  </conditionalFormatting>
  <conditionalFormatting sqref="CH31 CH33 CH35 CH37 CH39 CH41 CH43 CH45 CH47 CH49 CH51 CH53 CH55 CH57 CH59 CH61 CH63 CH65 CH67 CH69 CH71 CH73 CH75 CH77 CH79 CH81 CH83 CH85 CH87 CH89 CH91 CH93 CH95 CH97 CH99 CH101 CH103 CH105 CH107 CH109 CH111 CH113 CH115 CH117 CH119 CH121 CH123 CH125 CH127 CH129 CH131 CH133 CH135 CH137 CH139 CH141 CH143 CH145 CH147 CH149 CH151 CH153 CH155 CH157 CH159 CH161 CH163 CH165 CH167 CH169 CH171 CH173 CH175 CH177 CH179 CH181 CH183 CH185 CH187 CH189 CH191 CH193:CH196 CH198 CH200 CH202 CH204 CH206 CH208 CH210 CH212 CH214 CH216 CH218 CH220 CH222 CH224 CH226 CH228 CH230 CH232 CH234 CH236 CH238 CH240 CH242 CH244 CH246 CH248 CH250 CH252 CH254">
    <cfRule type="cellIs" dxfId="31" priority="3" stopIfTrue="1" operator="lessThan">
      <formula>0</formula>
    </cfRule>
    <cfRule type="cellIs" dxfId="30" priority="4" stopIfTrue="1" operator="greaterThan">
      <formula>0</formula>
    </cfRule>
  </conditionalFormatting>
  <conditionalFormatting sqref="CI31 CI33 CI35 CI37 CI39 CI41 CI43 CI45 CI47 CI49 CI51 CI53 CI55 CI57 CI59 CI61 CI63 CI65 CI67 CI69 CI71 CI73 CI75 CI77 CI79 CI81 CI83 CI85 CI87 CI89 CI91 CI93 CI95 CI97 CI99 CI101 CI103 CI105 CI107 CI109 CI111 CI113 CI115 CI117 CI119 CI121 CI123 CI125 CI127 CI129 CI131 CI133 CI135 CI137 CI139 CI141 CI143 CI145 CI147 CI149 CI151 CI153 CI155 CI157 CI159 CI161 CI163 CI165 CI167 CI169 CI171 CI173 CI175 CI177 CI179 CI181 CI183 CI185 CI187 CI189 CI191 CI193:CI196 CI198 CI200 CI202 CI204 CI206 CI208 CI210 CI212 CI214 CI216 CI218 CI220 CI222 CI224 CI226 CI228 CI230 CI232 CI234 CI236 CI238 CI240 CI242 CI244 CI246 CI248 CI250 CI252 CI254">
    <cfRule type="cellIs" dxfId="29" priority="1" stopIfTrue="1" operator="lessThan">
      <formula>0</formula>
    </cfRule>
    <cfRule type="cellIs" dxfId="28" priority="2" stopIfTrue="1" operator="greaterThan">
      <formula>0</formula>
    </cfRule>
  </conditionalFormatting>
  <pageMargins left="0.74803149606299213" right="0.74803149606299213" top="0.98425196850393704" bottom="0.98425196850393704" header="0" footer="0"/>
  <pageSetup paperSize="8" scale="46" orientation="portrait" r:id="rId1"/>
  <headerFooter alignWithMargins="0">
    <oddFooter>&amp;C&amp;1#&amp;"Calibri"&amp;8&amp;KED7D31Orange Restricted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1">
    <tabColor rgb="FF808080"/>
  </sheetPr>
  <dimension ref="B3:F52"/>
  <sheetViews>
    <sheetView showGridLines="0" topLeftCell="A5" zoomScale="85" zoomScaleNormal="85" workbookViewId="0">
      <selection activeCell="B3" sqref="B3:F6"/>
    </sheetView>
  </sheetViews>
  <sheetFormatPr baseColWidth="10" defaultRowHeight="12.75"/>
  <cols>
    <col min="2" max="2" width="35.28515625" customWidth="1"/>
    <col min="3" max="3" width="22.28515625" bestFit="1" customWidth="1"/>
    <col min="4" max="4" width="19.7109375" customWidth="1"/>
    <col min="5" max="6" width="16.7109375" customWidth="1"/>
    <col min="8" max="8" width="40.7109375" customWidth="1"/>
    <col min="9" max="12" width="20.5703125" customWidth="1"/>
    <col min="258" max="258" width="35.28515625" customWidth="1"/>
    <col min="259" max="259" width="22.28515625" bestFit="1" customWidth="1"/>
    <col min="260" max="260" width="19.7109375" customWidth="1"/>
    <col min="261" max="262" width="16.7109375" customWidth="1"/>
    <col min="264" max="264" width="40.7109375" customWidth="1"/>
    <col min="265" max="268" width="20.5703125" customWidth="1"/>
    <col min="514" max="514" width="35.28515625" customWidth="1"/>
    <col min="515" max="515" width="22.28515625" bestFit="1" customWidth="1"/>
    <col min="516" max="516" width="19.7109375" customWidth="1"/>
    <col min="517" max="518" width="16.7109375" customWidth="1"/>
    <col min="520" max="520" width="40.7109375" customWidth="1"/>
    <col min="521" max="524" width="20.5703125" customWidth="1"/>
    <col min="770" max="770" width="35.28515625" customWidth="1"/>
    <col min="771" max="771" width="22.28515625" bestFit="1" customWidth="1"/>
    <col min="772" max="772" width="19.7109375" customWidth="1"/>
    <col min="773" max="774" width="16.7109375" customWidth="1"/>
    <col min="776" max="776" width="40.7109375" customWidth="1"/>
    <col min="777" max="780" width="20.5703125" customWidth="1"/>
    <col min="1026" max="1026" width="35.28515625" customWidth="1"/>
    <col min="1027" max="1027" width="22.28515625" bestFit="1" customWidth="1"/>
    <col min="1028" max="1028" width="19.7109375" customWidth="1"/>
    <col min="1029" max="1030" width="16.7109375" customWidth="1"/>
    <col min="1032" max="1032" width="40.7109375" customWidth="1"/>
    <col min="1033" max="1036" width="20.5703125" customWidth="1"/>
    <col min="1282" max="1282" width="35.28515625" customWidth="1"/>
    <col min="1283" max="1283" width="22.28515625" bestFit="1" customWidth="1"/>
    <col min="1284" max="1284" width="19.7109375" customWidth="1"/>
    <col min="1285" max="1286" width="16.7109375" customWidth="1"/>
    <col min="1288" max="1288" width="40.7109375" customWidth="1"/>
    <col min="1289" max="1292" width="20.5703125" customWidth="1"/>
    <col min="1538" max="1538" width="35.28515625" customWidth="1"/>
    <col min="1539" max="1539" width="22.28515625" bestFit="1" customWidth="1"/>
    <col min="1540" max="1540" width="19.7109375" customWidth="1"/>
    <col min="1541" max="1542" width="16.7109375" customWidth="1"/>
    <col min="1544" max="1544" width="40.7109375" customWidth="1"/>
    <col min="1545" max="1548" width="20.5703125" customWidth="1"/>
    <col min="1794" max="1794" width="35.28515625" customWidth="1"/>
    <col min="1795" max="1795" width="22.28515625" bestFit="1" customWidth="1"/>
    <col min="1796" max="1796" width="19.7109375" customWidth="1"/>
    <col min="1797" max="1798" width="16.7109375" customWidth="1"/>
    <col min="1800" max="1800" width="40.7109375" customWidth="1"/>
    <col min="1801" max="1804" width="20.5703125" customWidth="1"/>
    <col min="2050" max="2050" width="35.28515625" customWidth="1"/>
    <col min="2051" max="2051" width="22.28515625" bestFit="1" customWidth="1"/>
    <col min="2052" max="2052" width="19.7109375" customWidth="1"/>
    <col min="2053" max="2054" width="16.7109375" customWidth="1"/>
    <col min="2056" max="2056" width="40.7109375" customWidth="1"/>
    <col min="2057" max="2060" width="20.5703125" customWidth="1"/>
    <col min="2306" max="2306" width="35.28515625" customWidth="1"/>
    <col min="2307" max="2307" width="22.28515625" bestFit="1" customWidth="1"/>
    <col min="2308" max="2308" width="19.7109375" customWidth="1"/>
    <col min="2309" max="2310" width="16.7109375" customWidth="1"/>
    <col min="2312" max="2312" width="40.7109375" customWidth="1"/>
    <col min="2313" max="2316" width="20.5703125" customWidth="1"/>
    <col min="2562" max="2562" width="35.28515625" customWidth="1"/>
    <col min="2563" max="2563" width="22.28515625" bestFit="1" customWidth="1"/>
    <col min="2564" max="2564" width="19.7109375" customWidth="1"/>
    <col min="2565" max="2566" width="16.7109375" customWidth="1"/>
    <col min="2568" max="2568" width="40.7109375" customWidth="1"/>
    <col min="2569" max="2572" width="20.5703125" customWidth="1"/>
    <col min="2818" max="2818" width="35.28515625" customWidth="1"/>
    <col min="2819" max="2819" width="22.28515625" bestFit="1" customWidth="1"/>
    <col min="2820" max="2820" width="19.7109375" customWidth="1"/>
    <col min="2821" max="2822" width="16.7109375" customWidth="1"/>
    <col min="2824" max="2824" width="40.7109375" customWidth="1"/>
    <col min="2825" max="2828" width="20.5703125" customWidth="1"/>
    <col min="3074" max="3074" width="35.28515625" customWidth="1"/>
    <col min="3075" max="3075" width="22.28515625" bestFit="1" customWidth="1"/>
    <col min="3076" max="3076" width="19.7109375" customWidth="1"/>
    <col min="3077" max="3078" width="16.7109375" customWidth="1"/>
    <col min="3080" max="3080" width="40.7109375" customWidth="1"/>
    <col min="3081" max="3084" width="20.5703125" customWidth="1"/>
    <col min="3330" max="3330" width="35.28515625" customWidth="1"/>
    <col min="3331" max="3331" width="22.28515625" bestFit="1" customWidth="1"/>
    <col min="3332" max="3332" width="19.7109375" customWidth="1"/>
    <col min="3333" max="3334" width="16.7109375" customWidth="1"/>
    <col min="3336" max="3336" width="40.7109375" customWidth="1"/>
    <col min="3337" max="3340" width="20.5703125" customWidth="1"/>
    <col min="3586" max="3586" width="35.28515625" customWidth="1"/>
    <col min="3587" max="3587" width="22.28515625" bestFit="1" customWidth="1"/>
    <col min="3588" max="3588" width="19.7109375" customWidth="1"/>
    <col min="3589" max="3590" width="16.7109375" customWidth="1"/>
    <col min="3592" max="3592" width="40.7109375" customWidth="1"/>
    <col min="3593" max="3596" width="20.5703125" customWidth="1"/>
    <col min="3842" max="3842" width="35.28515625" customWidth="1"/>
    <col min="3843" max="3843" width="22.28515625" bestFit="1" customWidth="1"/>
    <col min="3844" max="3844" width="19.7109375" customWidth="1"/>
    <col min="3845" max="3846" width="16.7109375" customWidth="1"/>
    <col min="3848" max="3848" width="40.7109375" customWidth="1"/>
    <col min="3849" max="3852" width="20.5703125" customWidth="1"/>
    <col min="4098" max="4098" width="35.28515625" customWidth="1"/>
    <col min="4099" max="4099" width="22.28515625" bestFit="1" customWidth="1"/>
    <col min="4100" max="4100" width="19.7109375" customWidth="1"/>
    <col min="4101" max="4102" width="16.7109375" customWidth="1"/>
    <col min="4104" max="4104" width="40.7109375" customWidth="1"/>
    <col min="4105" max="4108" width="20.5703125" customWidth="1"/>
    <col min="4354" max="4354" width="35.28515625" customWidth="1"/>
    <col min="4355" max="4355" width="22.28515625" bestFit="1" customWidth="1"/>
    <col min="4356" max="4356" width="19.7109375" customWidth="1"/>
    <col min="4357" max="4358" width="16.7109375" customWidth="1"/>
    <col min="4360" max="4360" width="40.7109375" customWidth="1"/>
    <col min="4361" max="4364" width="20.5703125" customWidth="1"/>
    <col min="4610" max="4610" width="35.28515625" customWidth="1"/>
    <col min="4611" max="4611" width="22.28515625" bestFit="1" customWidth="1"/>
    <col min="4612" max="4612" width="19.7109375" customWidth="1"/>
    <col min="4613" max="4614" width="16.7109375" customWidth="1"/>
    <col min="4616" max="4616" width="40.7109375" customWidth="1"/>
    <col min="4617" max="4620" width="20.5703125" customWidth="1"/>
    <col min="4866" max="4866" width="35.28515625" customWidth="1"/>
    <col min="4867" max="4867" width="22.28515625" bestFit="1" customWidth="1"/>
    <col min="4868" max="4868" width="19.7109375" customWidth="1"/>
    <col min="4869" max="4870" width="16.7109375" customWidth="1"/>
    <col min="4872" max="4872" width="40.7109375" customWidth="1"/>
    <col min="4873" max="4876" width="20.5703125" customWidth="1"/>
    <col min="5122" max="5122" width="35.28515625" customWidth="1"/>
    <col min="5123" max="5123" width="22.28515625" bestFit="1" customWidth="1"/>
    <col min="5124" max="5124" width="19.7109375" customWidth="1"/>
    <col min="5125" max="5126" width="16.7109375" customWidth="1"/>
    <col min="5128" max="5128" width="40.7109375" customWidth="1"/>
    <col min="5129" max="5132" width="20.5703125" customWidth="1"/>
    <col min="5378" max="5378" width="35.28515625" customWidth="1"/>
    <col min="5379" max="5379" width="22.28515625" bestFit="1" customWidth="1"/>
    <col min="5380" max="5380" width="19.7109375" customWidth="1"/>
    <col min="5381" max="5382" width="16.7109375" customWidth="1"/>
    <col min="5384" max="5384" width="40.7109375" customWidth="1"/>
    <col min="5385" max="5388" width="20.5703125" customWidth="1"/>
    <col min="5634" max="5634" width="35.28515625" customWidth="1"/>
    <col min="5635" max="5635" width="22.28515625" bestFit="1" customWidth="1"/>
    <col min="5636" max="5636" width="19.7109375" customWidth="1"/>
    <col min="5637" max="5638" width="16.7109375" customWidth="1"/>
    <col min="5640" max="5640" width="40.7109375" customWidth="1"/>
    <col min="5641" max="5644" width="20.5703125" customWidth="1"/>
    <col min="5890" max="5890" width="35.28515625" customWidth="1"/>
    <col min="5891" max="5891" width="22.28515625" bestFit="1" customWidth="1"/>
    <col min="5892" max="5892" width="19.7109375" customWidth="1"/>
    <col min="5893" max="5894" width="16.7109375" customWidth="1"/>
    <col min="5896" max="5896" width="40.7109375" customWidth="1"/>
    <col min="5897" max="5900" width="20.5703125" customWidth="1"/>
    <col min="6146" max="6146" width="35.28515625" customWidth="1"/>
    <col min="6147" max="6147" width="22.28515625" bestFit="1" customWidth="1"/>
    <col min="6148" max="6148" width="19.7109375" customWidth="1"/>
    <col min="6149" max="6150" width="16.7109375" customWidth="1"/>
    <col min="6152" max="6152" width="40.7109375" customWidth="1"/>
    <col min="6153" max="6156" width="20.5703125" customWidth="1"/>
    <col min="6402" max="6402" width="35.28515625" customWidth="1"/>
    <col min="6403" max="6403" width="22.28515625" bestFit="1" customWidth="1"/>
    <col min="6404" max="6404" width="19.7109375" customWidth="1"/>
    <col min="6405" max="6406" width="16.7109375" customWidth="1"/>
    <col min="6408" max="6408" width="40.7109375" customWidth="1"/>
    <col min="6409" max="6412" width="20.5703125" customWidth="1"/>
    <col min="6658" max="6658" width="35.28515625" customWidth="1"/>
    <col min="6659" max="6659" width="22.28515625" bestFit="1" customWidth="1"/>
    <col min="6660" max="6660" width="19.7109375" customWidth="1"/>
    <col min="6661" max="6662" width="16.7109375" customWidth="1"/>
    <col min="6664" max="6664" width="40.7109375" customWidth="1"/>
    <col min="6665" max="6668" width="20.5703125" customWidth="1"/>
    <col min="6914" max="6914" width="35.28515625" customWidth="1"/>
    <col min="6915" max="6915" width="22.28515625" bestFit="1" customWidth="1"/>
    <col min="6916" max="6916" width="19.7109375" customWidth="1"/>
    <col min="6917" max="6918" width="16.7109375" customWidth="1"/>
    <col min="6920" max="6920" width="40.7109375" customWidth="1"/>
    <col min="6921" max="6924" width="20.5703125" customWidth="1"/>
    <col min="7170" max="7170" width="35.28515625" customWidth="1"/>
    <col min="7171" max="7171" width="22.28515625" bestFit="1" customWidth="1"/>
    <col min="7172" max="7172" width="19.7109375" customWidth="1"/>
    <col min="7173" max="7174" width="16.7109375" customWidth="1"/>
    <col min="7176" max="7176" width="40.7109375" customWidth="1"/>
    <col min="7177" max="7180" width="20.5703125" customWidth="1"/>
    <col min="7426" max="7426" width="35.28515625" customWidth="1"/>
    <col min="7427" max="7427" width="22.28515625" bestFit="1" customWidth="1"/>
    <col min="7428" max="7428" width="19.7109375" customWidth="1"/>
    <col min="7429" max="7430" width="16.7109375" customWidth="1"/>
    <col min="7432" max="7432" width="40.7109375" customWidth="1"/>
    <col min="7433" max="7436" width="20.5703125" customWidth="1"/>
    <col min="7682" max="7682" width="35.28515625" customWidth="1"/>
    <col min="7683" max="7683" width="22.28515625" bestFit="1" customWidth="1"/>
    <col min="7684" max="7684" width="19.7109375" customWidth="1"/>
    <col min="7685" max="7686" width="16.7109375" customWidth="1"/>
    <col min="7688" max="7688" width="40.7109375" customWidth="1"/>
    <col min="7689" max="7692" width="20.5703125" customWidth="1"/>
    <col min="7938" max="7938" width="35.28515625" customWidth="1"/>
    <col min="7939" max="7939" width="22.28515625" bestFit="1" customWidth="1"/>
    <col min="7940" max="7940" width="19.7109375" customWidth="1"/>
    <col min="7941" max="7942" width="16.7109375" customWidth="1"/>
    <col min="7944" max="7944" width="40.7109375" customWidth="1"/>
    <col min="7945" max="7948" width="20.5703125" customWidth="1"/>
    <col min="8194" max="8194" width="35.28515625" customWidth="1"/>
    <col min="8195" max="8195" width="22.28515625" bestFit="1" customWidth="1"/>
    <col min="8196" max="8196" width="19.7109375" customWidth="1"/>
    <col min="8197" max="8198" width="16.7109375" customWidth="1"/>
    <col min="8200" max="8200" width="40.7109375" customWidth="1"/>
    <col min="8201" max="8204" width="20.5703125" customWidth="1"/>
    <col min="8450" max="8450" width="35.28515625" customWidth="1"/>
    <col min="8451" max="8451" width="22.28515625" bestFit="1" customWidth="1"/>
    <col min="8452" max="8452" width="19.7109375" customWidth="1"/>
    <col min="8453" max="8454" width="16.7109375" customWidth="1"/>
    <col min="8456" max="8456" width="40.7109375" customWidth="1"/>
    <col min="8457" max="8460" width="20.5703125" customWidth="1"/>
    <col min="8706" max="8706" width="35.28515625" customWidth="1"/>
    <col min="8707" max="8707" width="22.28515625" bestFit="1" customWidth="1"/>
    <col min="8708" max="8708" width="19.7109375" customWidth="1"/>
    <col min="8709" max="8710" width="16.7109375" customWidth="1"/>
    <col min="8712" max="8712" width="40.7109375" customWidth="1"/>
    <col min="8713" max="8716" width="20.5703125" customWidth="1"/>
    <col min="8962" max="8962" width="35.28515625" customWidth="1"/>
    <col min="8963" max="8963" width="22.28515625" bestFit="1" customWidth="1"/>
    <col min="8964" max="8964" width="19.7109375" customWidth="1"/>
    <col min="8965" max="8966" width="16.7109375" customWidth="1"/>
    <col min="8968" max="8968" width="40.7109375" customWidth="1"/>
    <col min="8969" max="8972" width="20.5703125" customWidth="1"/>
    <col min="9218" max="9218" width="35.28515625" customWidth="1"/>
    <col min="9219" max="9219" width="22.28515625" bestFit="1" customWidth="1"/>
    <col min="9220" max="9220" width="19.7109375" customWidth="1"/>
    <col min="9221" max="9222" width="16.7109375" customWidth="1"/>
    <col min="9224" max="9224" width="40.7109375" customWidth="1"/>
    <col min="9225" max="9228" width="20.5703125" customWidth="1"/>
    <col min="9474" max="9474" width="35.28515625" customWidth="1"/>
    <col min="9475" max="9475" width="22.28515625" bestFit="1" customWidth="1"/>
    <col min="9476" max="9476" width="19.7109375" customWidth="1"/>
    <col min="9477" max="9478" width="16.7109375" customWidth="1"/>
    <col min="9480" max="9480" width="40.7109375" customWidth="1"/>
    <col min="9481" max="9484" width="20.5703125" customWidth="1"/>
    <col min="9730" max="9730" width="35.28515625" customWidth="1"/>
    <col min="9731" max="9731" width="22.28515625" bestFit="1" customWidth="1"/>
    <col min="9732" max="9732" width="19.7109375" customWidth="1"/>
    <col min="9733" max="9734" width="16.7109375" customWidth="1"/>
    <col min="9736" max="9736" width="40.7109375" customWidth="1"/>
    <col min="9737" max="9740" width="20.5703125" customWidth="1"/>
    <col min="9986" max="9986" width="35.28515625" customWidth="1"/>
    <col min="9987" max="9987" width="22.28515625" bestFit="1" customWidth="1"/>
    <col min="9988" max="9988" width="19.7109375" customWidth="1"/>
    <col min="9989" max="9990" width="16.7109375" customWidth="1"/>
    <col min="9992" max="9992" width="40.7109375" customWidth="1"/>
    <col min="9993" max="9996" width="20.5703125" customWidth="1"/>
    <col min="10242" max="10242" width="35.28515625" customWidth="1"/>
    <col min="10243" max="10243" width="22.28515625" bestFit="1" customWidth="1"/>
    <col min="10244" max="10244" width="19.7109375" customWidth="1"/>
    <col min="10245" max="10246" width="16.7109375" customWidth="1"/>
    <col min="10248" max="10248" width="40.7109375" customWidth="1"/>
    <col min="10249" max="10252" width="20.5703125" customWidth="1"/>
    <col min="10498" max="10498" width="35.28515625" customWidth="1"/>
    <col min="10499" max="10499" width="22.28515625" bestFit="1" customWidth="1"/>
    <col min="10500" max="10500" width="19.7109375" customWidth="1"/>
    <col min="10501" max="10502" width="16.7109375" customWidth="1"/>
    <col min="10504" max="10504" width="40.7109375" customWidth="1"/>
    <col min="10505" max="10508" width="20.5703125" customWidth="1"/>
    <col min="10754" max="10754" width="35.28515625" customWidth="1"/>
    <col min="10755" max="10755" width="22.28515625" bestFit="1" customWidth="1"/>
    <col min="10756" max="10756" width="19.7109375" customWidth="1"/>
    <col min="10757" max="10758" width="16.7109375" customWidth="1"/>
    <col min="10760" max="10760" width="40.7109375" customWidth="1"/>
    <col min="10761" max="10764" width="20.5703125" customWidth="1"/>
    <col min="11010" max="11010" width="35.28515625" customWidth="1"/>
    <col min="11011" max="11011" width="22.28515625" bestFit="1" customWidth="1"/>
    <col min="11012" max="11012" width="19.7109375" customWidth="1"/>
    <col min="11013" max="11014" width="16.7109375" customWidth="1"/>
    <col min="11016" max="11016" width="40.7109375" customWidth="1"/>
    <col min="11017" max="11020" width="20.5703125" customWidth="1"/>
    <col min="11266" max="11266" width="35.28515625" customWidth="1"/>
    <col min="11267" max="11267" width="22.28515625" bestFit="1" customWidth="1"/>
    <col min="11268" max="11268" width="19.7109375" customWidth="1"/>
    <col min="11269" max="11270" width="16.7109375" customWidth="1"/>
    <col min="11272" max="11272" width="40.7109375" customWidth="1"/>
    <col min="11273" max="11276" width="20.5703125" customWidth="1"/>
    <col min="11522" max="11522" width="35.28515625" customWidth="1"/>
    <col min="11523" max="11523" width="22.28515625" bestFit="1" customWidth="1"/>
    <col min="11524" max="11524" width="19.7109375" customWidth="1"/>
    <col min="11525" max="11526" width="16.7109375" customWidth="1"/>
    <col min="11528" max="11528" width="40.7109375" customWidth="1"/>
    <col min="11529" max="11532" width="20.5703125" customWidth="1"/>
    <col min="11778" max="11778" width="35.28515625" customWidth="1"/>
    <col min="11779" max="11779" width="22.28515625" bestFit="1" customWidth="1"/>
    <col min="11780" max="11780" width="19.7109375" customWidth="1"/>
    <col min="11781" max="11782" width="16.7109375" customWidth="1"/>
    <col min="11784" max="11784" width="40.7109375" customWidth="1"/>
    <col min="11785" max="11788" width="20.5703125" customWidth="1"/>
    <col min="12034" max="12034" width="35.28515625" customWidth="1"/>
    <col min="12035" max="12035" width="22.28515625" bestFit="1" customWidth="1"/>
    <col min="12036" max="12036" width="19.7109375" customWidth="1"/>
    <col min="12037" max="12038" width="16.7109375" customWidth="1"/>
    <col min="12040" max="12040" width="40.7109375" customWidth="1"/>
    <col min="12041" max="12044" width="20.5703125" customWidth="1"/>
    <col min="12290" max="12290" width="35.28515625" customWidth="1"/>
    <col min="12291" max="12291" width="22.28515625" bestFit="1" customWidth="1"/>
    <col min="12292" max="12292" width="19.7109375" customWidth="1"/>
    <col min="12293" max="12294" width="16.7109375" customWidth="1"/>
    <col min="12296" max="12296" width="40.7109375" customWidth="1"/>
    <col min="12297" max="12300" width="20.5703125" customWidth="1"/>
    <col min="12546" max="12546" width="35.28515625" customWidth="1"/>
    <col min="12547" max="12547" width="22.28515625" bestFit="1" customWidth="1"/>
    <col min="12548" max="12548" width="19.7109375" customWidth="1"/>
    <col min="12549" max="12550" width="16.7109375" customWidth="1"/>
    <col min="12552" max="12552" width="40.7109375" customWidth="1"/>
    <col min="12553" max="12556" width="20.5703125" customWidth="1"/>
    <col min="12802" max="12802" width="35.28515625" customWidth="1"/>
    <col min="12803" max="12803" width="22.28515625" bestFit="1" customWidth="1"/>
    <col min="12804" max="12804" width="19.7109375" customWidth="1"/>
    <col min="12805" max="12806" width="16.7109375" customWidth="1"/>
    <col min="12808" max="12808" width="40.7109375" customWidth="1"/>
    <col min="12809" max="12812" width="20.5703125" customWidth="1"/>
    <col min="13058" max="13058" width="35.28515625" customWidth="1"/>
    <col min="13059" max="13059" width="22.28515625" bestFit="1" customWidth="1"/>
    <col min="13060" max="13060" width="19.7109375" customWidth="1"/>
    <col min="13061" max="13062" width="16.7109375" customWidth="1"/>
    <col min="13064" max="13064" width="40.7109375" customWidth="1"/>
    <col min="13065" max="13068" width="20.5703125" customWidth="1"/>
    <col min="13314" max="13314" width="35.28515625" customWidth="1"/>
    <col min="13315" max="13315" width="22.28515625" bestFit="1" customWidth="1"/>
    <col min="13316" max="13316" width="19.7109375" customWidth="1"/>
    <col min="13317" max="13318" width="16.7109375" customWidth="1"/>
    <col min="13320" max="13320" width="40.7109375" customWidth="1"/>
    <col min="13321" max="13324" width="20.5703125" customWidth="1"/>
    <col min="13570" max="13570" width="35.28515625" customWidth="1"/>
    <col min="13571" max="13571" width="22.28515625" bestFit="1" customWidth="1"/>
    <col min="13572" max="13572" width="19.7109375" customWidth="1"/>
    <col min="13573" max="13574" width="16.7109375" customWidth="1"/>
    <col min="13576" max="13576" width="40.7109375" customWidth="1"/>
    <col min="13577" max="13580" width="20.5703125" customWidth="1"/>
    <col min="13826" max="13826" width="35.28515625" customWidth="1"/>
    <col min="13827" max="13827" width="22.28515625" bestFit="1" customWidth="1"/>
    <col min="13828" max="13828" width="19.7109375" customWidth="1"/>
    <col min="13829" max="13830" width="16.7109375" customWidth="1"/>
    <col min="13832" max="13832" width="40.7109375" customWidth="1"/>
    <col min="13833" max="13836" width="20.5703125" customWidth="1"/>
    <col min="14082" max="14082" width="35.28515625" customWidth="1"/>
    <col min="14083" max="14083" width="22.28515625" bestFit="1" customWidth="1"/>
    <col min="14084" max="14084" width="19.7109375" customWidth="1"/>
    <col min="14085" max="14086" width="16.7109375" customWidth="1"/>
    <col min="14088" max="14088" width="40.7109375" customWidth="1"/>
    <col min="14089" max="14092" width="20.5703125" customWidth="1"/>
    <col min="14338" max="14338" width="35.28515625" customWidth="1"/>
    <col min="14339" max="14339" width="22.28515625" bestFit="1" customWidth="1"/>
    <col min="14340" max="14340" width="19.7109375" customWidth="1"/>
    <col min="14341" max="14342" width="16.7109375" customWidth="1"/>
    <col min="14344" max="14344" width="40.7109375" customWidth="1"/>
    <col min="14345" max="14348" width="20.5703125" customWidth="1"/>
    <col min="14594" max="14594" width="35.28515625" customWidth="1"/>
    <col min="14595" max="14595" width="22.28515625" bestFit="1" customWidth="1"/>
    <col min="14596" max="14596" width="19.7109375" customWidth="1"/>
    <col min="14597" max="14598" width="16.7109375" customWidth="1"/>
    <col min="14600" max="14600" width="40.7109375" customWidth="1"/>
    <col min="14601" max="14604" width="20.5703125" customWidth="1"/>
    <col min="14850" max="14850" width="35.28515625" customWidth="1"/>
    <col min="14851" max="14851" width="22.28515625" bestFit="1" customWidth="1"/>
    <col min="14852" max="14852" width="19.7109375" customWidth="1"/>
    <col min="14853" max="14854" width="16.7109375" customWidth="1"/>
    <col min="14856" max="14856" width="40.7109375" customWidth="1"/>
    <col min="14857" max="14860" width="20.5703125" customWidth="1"/>
    <col min="15106" max="15106" width="35.28515625" customWidth="1"/>
    <col min="15107" max="15107" width="22.28515625" bestFit="1" customWidth="1"/>
    <col min="15108" max="15108" width="19.7109375" customWidth="1"/>
    <col min="15109" max="15110" width="16.7109375" customWidth="1"/>
    <col min="15112" max="15112" width="40.7109375" customWidth="1"/>
    <col min="15113" max="15116" width="20.5703125" customWidth="1"/>
    <col min="15362" max="15362" width="35.28515625" customWidth="1"/>
    <col min="15363" max="15363" width="22.28515625" bestFit="1" customWidth="1"/>
    <col min="15364" max="15364" width="19.7109375" customWidth="1"/>
    <col min="15365" max="15366" width="16.7109375" customWidth="1"/>
    <col min="15368" max="15368" width="40.7109375" customWidth="1"/>
    <col min="15369" max="15372" width="20.5703125" customWidth="1"/>
    <col min="15618" max="15618" width="35.28515625" customWidth="1"/>
    <col min="15619" max="15619" width="22.28515625" bestFit="1" customWidth="1"/>
    <col min="15620" max="15620" width="19.7109375" customWidth="1"/>
    <col min="15621" max="15622" width="16.7109375" customWidth="1"/>
    <col min="15624" max="15624" width="40.7109375" customWidth="1"/>
    <col min="15625" max="15628" width="20.5703125" customWidth="1"/>
    <col min="15874" max="15874" width="35.28515625" customWidth="1"/>
    <col min="15875" max="15875" width="22.28515625" bestFit="1" customWidth="1"/>
    <col min="15876" max="15876" width="19.7109375" customWidth="1"/>
    <col min="15877" max="15878" width="16.7109375" customWidth="1"/>
    <col min="15880" max="15880" width="40.7109375" customWidth="1"/>
    <col min="15881" max="15884" width="20.5703125" customWidth="1"/>
    <col min="16130" max="16130" width="35.28515625" customWidth="1"/>
    <col min="16131" max="16131" width="22.28515625" bestFit="1" customWidth="1"/>
    <col min="16132" max="16132" width="19.7109375" customWidth="1"/>
    <col min="16133" max="16134" width="16.7109375" customWidth="1"/>
    <col min="16136" max="16136" width="40.7109375" customWidth="1"/>
    <col min="16137" max="16140" width="20.5703125" customWidth="1"/>
  </cols>
  <sheetData>
    <row r="3" spans="2:6" ht="30.75" customHeight="1">
      <c r="B3" s="675" t="s">
        <v>413</v>
      </c>
      <c r="C3" s="675"/>
      <c r="D3" s="675"/>
      <c r="E3" s="675"/>
      <c r="F3" s="675"/>
    </row>
    <row r="4" spans="2:6" ht="30.75" customHeight="1">
      <c r="B4" s="675"/>
      <c r="C4" s="675"/>
      <c r="D4" s="675"/>
      <c r="E4" s="675"/>
      <c r="F4" s="675"/>
    </row>
    <row r="5" spans="2:6" ht="30.75" customHeight="1">
      <c r="B5" s="675"/>
      <c r="C5" s="675"/>
      <c r="D5" s="675"/>
      <c r="E5" s="675"/>
      <c r="F5" s="675"/>
    </row>
    <row r="6" spans="2:6" ht="30.75" customHeight="1">
      <c r="B6" s="675"/>
      <c r="C6" s="675"/>
      <c r="D6" s="675"/>
      <c r="E6" s="675"/>
      <c r="F6" s="675"/>
    </row>
    <row r="8" spans="2:6" ht="18.75">
      <c r="B8" s="676" t="s">
        <v>414</v>
      </c>
      <c r="C8" s="676"/>
      <c r="D8" s="676"/>
      <c r="E8" s="676"/>
      <c r="F8" s="676"/>
    </row>
    <row r="9" spans="2:6" ht="18.75">
      <c r="B9" s="244"/>
      <c r="C9" s="244"/>
      <c r="D9" s="244"/>
      <c r="E9" s="244"/>
      <c r="F9" s="244"/>
    </row>
    <row r="10" spans="2:6" ht="25.5">
      <c r="B10" s="161" t="s">
        <v>415</v>
      </c>
      <c r="C10" s="161" t="s">
        <v>416</v>
      </c>
      <c r="D10" s="161" t="s">
        <v>417</v>
      </c>
    </row>
    <row r="11" spans="2:6">
      <c r="B11" s="163" t="s">
        <v>418</v>
      </c>
      <c r="C11" s="164" t="s">
        <v>419</v>
      </c>
      <c r="D11" s="165" t="s">
        <v>420</v>
      </c>
    </row>
    <row r="12" spans="2:6">
      <c r="B12" s="166" t="s">
        <v>421</v>
      </c>
      <c r="C12" s="144" t="s">
        <v>422</v>
      </c>
      <c r="D12" s="167" t="s">
        <v>423</v>
      </c>
    </row>
    <row r="13" spans="2:6">
      <c r="B13" s="163" t="s">
        <v>424</v>
      </c>
      <c r="C13" s="164" t="s">
        <v>425</v>
      </c>
      <c r="D13" s="165" t="s">
        <v>426</v>
      </c>
    </row>
    <row r="14" spans="2:6" ht="12.75" customHeight="1">
      <c r="B14" s="168" t="s">
        <v>427</v>
      </c>
      <c r="C14" s="169" t="s">
        <v>428</v>
      </c>
      <c r="D14" s="170" t="s">
        <v>429</v>
      </c>
    </row>
    <row r="17" spans="2:6" ht="18.75">
      <c r="B17" s="676" t="s">
        <v>430</v>
      </c>
      <c r="C17" s="676"/>
      <c r="D17" s="676"/>
      <c r="E17" s="676"/>
      <c r="F17" s="676"/>
    </row>
    <row r="18" spans="2:6" ht="18.75" customHeight="1"/>
    <row r="19" spans="2:6">
      <c r="C19" s="677" t="s">
        <v>431</v>
      </c>
      <c r="D19" s="678"/>
      <c r="E19" s="678"/>
      <c r="F19" s="679"/>
    </row>
    <row r="20" spans="2:6" ht="25.5">
      <c r="B20" s="161" t="s">
        <v>415</v>
      </c>
      <c r="C20" s="171" t="s">
        <v>432</v>
      </c>
      <c r="D20" s="171" t="s">
        <v>433</v>
      </c>
      <c r="E20" s="171" t="s">
        <v>434</v>
      </c>
      <c r="F20" s="171" t="s">
        <v>435</v>
      </c>
    </row>
    <row r="21" spans="2:6">
      <c r="B21" s="172" t="s">
        <v>418</v>
      </c>
      <c r="C21" s="173">
        <v>150</v>
      </c>
      <c r="D21" s="174">
        <v>150</v>
      </c>
      <c r="E21" s="174">
        <v>135</v>
      </c>
      <c r="F21" s="175">
        <v>120</v>
      </c>
    </row>
    <row r="22" spans="2:6">
      <c r="B22" s="176" t="s">
        <v>421</v>
      </c>
      <c r="C22" s="177">
        <v>250</v>
      </c>
      <c r="D22" s="245">
        <v>250</v>
      </c>
      <c r="E22" s="245">
        <v>225</v>
      </c>
      <c r="F22" s="178">
        <v>200</v>
      </c>
    </row>
    <row r="23" spans="2:6">
      <c r="B23" s="179" t="s">
        <v>424</v>
      </c>
      <c r="C23" s="180">
        <v>300</v>
      </c>
      <c r="D23" s="246">
        <v>300</v>
      </c>
      <c r="E23" s="246">
        <v>270</v>
      </c>
      <c r="F23" s="181">
        <v>240</v>
      </c>
    </row>
    <row r="24" spans="2:6">
      <c r="B24" s="182" t="s">
        <v>427</v>
      </c>
      <c r="C24" s="183">
        <v>400</v>
      </c>
      <c r="D24" s="184">
        <v>400</v>
      </c>
      <c r="E24" s="184">
        <v>360</v>
      </c>
      <c r="F24" s="185">
        <v>320</v>
      </c>
    </row>
    <row r="26" spans="2:6">
      <c r="B26" s="186"/>
    </row>
    <row r="27" spans="2:6" ht="18.75">
      <c r="B27" s="676" t="s">
        <v>436</v>
      </c>
      <c r="C27" s="676"/>
      <c r="D27" s="676"/>
      <c r="E27" s="676"/>
      <c r="F27" s="676"/>
    </row>
    <row r="28" spans="2:6" ht="18.75" customHeight="1"/>
    <row r="29" spans="2:6">
      <c r="C29" s="677" t="s">
        <v>437</v>
      </c>
      <c r="D29" s="678"/>
      <c r="E29" s="678"/>
      <c r="F29" s="679"/>
    </row>
    <row r="30" spans="2:6" ht="21" customHeight="1">
      <c r="B30" s="187" t="s">
        <v>438</v>
      </c>
      <c r="C30" s="247" t="s">
        <v>439</v>
      </c>
      <c r="D30" s="247" t="s">
        <v>440</v>
      </c>
      <c r="E30" s="247" t="s">
        <v>441</v>
      </c>
      <c r="F30" s="247" t="s">
        <v>442</v>
      </c>
    </row>
    <row r="31" spans="2:6" ht="15" customHeight="1">
      <c r="B31" s="189" t="s">
        <v>492</v>
      </c>
      <c r="C31" s="689">
        <v>1</v>
      </c>
      <c r="D31" s="690"/>
      <c r="E31" s="690"/>
      <c r="F31" s="691"/>
    </row>
    <row r="32" spans="2:6" ht="15" customHeight="1">
      <c r="B32" s="189" t="s">
        <v>493</v>
      </c>
      <c r="C32" s="689"/>
      <c r="D32" s="690"/>
      <c r="E32" s="690"/>
      <c r="F32" s="691"/>
    </row>
    <row r="33" spans="2:6" ht="15" customHeight="1">
      <c r="B33" s="189" t="s">
        <v>494</v>
      </c>
      <c r="C33" s="689"/>
      <c r="D33" s="690"/>
      <c r="E33" s="690"/>
      <c r="F33" s="691"/>
    </row>
    <row r="34" spans="2:6" ht="15" customHeight="1">
      <c r="B34" s="189" t="s">
        <v>495</v>
      </c>
      <c r="C34" s="692"/>
      <c r="D34" s="693"/>
      <c r="E34" s="693"/>
      <c r="F34" s="694"/>
    </row>
    <row r="35" spans="2:6" ht="15" customHeight="1">
      <c r="B35" s="190" t="s">
        <v>496</v>
      </c>
      <c r="C35" s="695">
        <v>4</v>
      </c>
      <c r="D35" s="695">
        <v>3</v>
      </c>
      <c r="E35" s="695">
        <v>2</v>
      </c>
      <c r="F35" s="695">
        <v>1</v>
      </c>
    </row>
    <row r="36" spans="2:6" ht="15" customHeight="1">
      <c r="B36" s="166" t="s">
        <v>497</v>
      </c>
      <c r="C36" s="696"/>
      <c r="D36" s="698"/>
      <c r="E36" s="698"/>
      <c r="F36" s="698"/>
    </row>
    <row r="37" spans="2:6" ht="15" customHeight="1">
      <c r="B37" s="166" t="s">
        <v>498</v>
      </c>
      <c r="C37" s="696"/>
      <c r="D37" s="698"/>
      <c r="E37" s="698"/>
      <c r="F37" s="698"/>
    </row>
    <row r="38" spans="2:6" ht="15" customHeight="1">
      <c r="B38" s="168" t="s">
        <v>499</v>
      </c>
      <c r="C38" s="697"/>
      <c r="D38" s="699"/>
      <c r="E38" s="699"/>
      <c r="F38" s="699"/>
    </row>
    <row r="39" spans="2:6" ht="15" customHeight="1">
      <c r="B39" s="188" t="s">
        <v>500</v>
      </c>
      <c r="C39" s="700">
        <v>1</v>
      </c>
      <c r="D39" s="701"/>
      <c r="E39" s="701"/>
      <c r="F39" s="702"/>
    </row>
    <row r="40" spans="2:6" ht="15" customHeight="1">
      <c r="B40" s="189" t="s">
        <v>501</v>
      </c>
      <c r="C40" s="703"/>
      <c r="D40" s="704"/>
      <c r="E40" s="704"/>
      <c r="F40" s="705"/>
    </row>
    <row r="41" spans="2:6" ht="15" customHeight="1">
      <c r="B41" s="191" t="s">
        <v>502</v>
      </c>
      <c r="C41" s="192">
        <v>2</v>
      </c>
      <c r="D41" s="706">
        <v>1</v>
      </c>
      <c r="E41" s="707"/>
      <c r="F41" s="708"/>
    </row>
    <row r="42" spans="2:6" ht="15" customHeight="1">
      <c r="B42" s="188" t="s">
        <v>503</v>
      </c>
      <c r="C42" s="709">
        <v>3</v>
      </c>
      <c r="D42" s="709">
        <v>2</v>
      </c>
      <c r="E42" s="700">
        <v>1</v>
      </c>
      <c r="F42" s="702"/>
    </row>
    <row r="43" spans="2:6" ht="15" customHeight="1">
      <c r="B43" s="189" t="s">
        <v>443</v>
      </c>
      <c r="C43" s="710"/>
      <c r="D43" s="710"/>
      <c r="E43" s="703"/>
      <c r="F43" s="705"/>
    </row>
    <row r="44" spans="2:6" ht="15" customHeight="1">
      <c r="B44" s="189" t="s">
        <v>444</v>
      </c>
      <c r="C44" s="710"/>
      <c r="D44" s="710"/>
      <c r="E44" s="703"/>
      <c r="F44" s="705"/>
    </row>
    <row r="45" spans="2:6" ht="15" customHeight="1">
      <c r="B45" s="193" t="s">
        <v>445</v>
      </c>
      <c r="C45" s="711"/>
      <c r="D45" s="711"/>
      <c r="E45" s="712"/>
      <c r="F45" s="713"/>
    </row>
    <row r="46" spans="2:6" ht="15" customHeight="1">
      <c r="B46" s="190" t="s">
        <v>388</v>
      </c>
      <c r="C46" s="680">
        <v>1</v>
      </c>
      <c r="D46" s="681"/>
      <c r="E46" s="681"/>
      <c r="F46" s="682"/>
    </row>
    <row r="47" spans="2:6" ht="15" customHeight="1">
      <c r="B47" s="166" t="s">
        <v>389</v>
      </c>
      <c r="C47" s="683"/>
      <c r="D47" s="684"/>
      <c r="E47" s="684"/>
      <c r="F47" s="685"/>
    </row>
    <row r="48" spans="2:6" ht="15" customHeight="1">
      <c r="B48" s="166" t="s">
        <v>349</v>
      </c>
      <c r="C48" s="683"/>
      <c r="D48" s="684"/>
      <c r="E48" s="684"/>
      <c r="F48" s="685"/>
    </row>
    <row r="49" spans="2:6" ht="15" customHeight="1">
      <c r="B49" s="168" t="s">
        <v>148</v>
      </c>
      <c r="C49" s="686"/>
      <c r="D49" s="687"/>
      <c r="E49" s="687"/>
      <c r="F49" s="688"/>
    </row>
    <row r="50" spans="2:6" ht="15" customHeight="1">
      <c r="B50" s="162"/>
      <c r="C50" s="164"/>
      <c r="D50" s="164"/>
      <c r="E50" s="164"/>
      <c r="F50" s="164"/>
    </row>
    <row r="52" spans="2:6">
      <c r="B52" s="194" t="s">
        <v>446</v>
      </c>
    </row>
  </sheetData>
  <mergeCells count="17">
    <mergeCell ref="C46:F49"/>
    <mergeCell ref="C29:F29"/>
    <mergeCell ref="C31:F34"/>
    <mergeCell ref="C35:C38"/>
    <mergeCell ref="D35:D38"/>
    <mergeCell ref="E35:E38"/>
    <mergeCell ref="F35:F38"/>
    <mergeCell ref="C39:F40"/>
    <mergeCell ref="D41:F41"/>
    <mergeCell ref="C42:C45"/>
    <mergeCell ref="D42:D45"/>
    <mergeCell ref="E42:F45"/>
    <mergeCell ref="B3:F6"/>
    <mergeCell ref="B8:F8"/>
    <mergeCell ref="B17:F17"/>
    <mergeCell ref="C19:F19"/>
    <mergeCell ref="B27:F27"/>
  </mergeCells>
  <pageMargins left="0.7" right="0.7" top="0.75" bottom="0.75" header="0.3" footer="0.3"/>
  <pageSetup paperSize="9" orientation="portrait" r:id="rId1"/>
  <headerFooter>
    <oddFooter>&amp;C&amp;1#&amp;"Calibri"&amp;8&amp;KED7D31Orange Restricted</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tabColor rgb="FFFF6600"/>
    <pageSetUpPr fitToPage="1"/>
  </sheetPr>
  <dimension ref="A2:CK429"/>
  <sheetViews>
    <sheetView showGridLines="0" tabSelected="1" zoomScale="70" zoomScaleNormal="70" workbookViewId="0">
      <selection activeCell="B5" sqref="B5:C17"/>
    </sheetView>
  </sheetViews>
  <sheetFormatPr baseColWidth="10" defaultColWidth="11.42578125" defaultRowHeight="12.75" outlineLevelCol="1"/>
  <cols>
    <col min="1" max="1" width="3.28515625" style="1" customWidth="1"/>
    <col min="2" max="2" width="14.7109375" style="1" customWidth="1"/>
    <col min="3" max="3" width="60.42578125" style="1" customWidth="1"/>
    <col min="4" max="4" width="10.28515625" style="1" customWidth="1" outlineLevel="1"/>
    <col min="5" max="5" width="8.42578125" style="1" customWidth="1" outlineLevel="1"/>
    <col min="6" max="6" width="18.5703125" style="1" customWidth="1" outlineLevel="1"/>
    <col min="7" max="7" width="7.7109375" style="1" customWidth="1" outlineLevel="1"/>
    <col min="8" max="8" width="14.140625" style="200" customWidth="1" outlineLevel="1"/>
    <col min="9" max="9" width="4.85546875" style="427" bestFit="1" customWidth="1"/>
    <col min="10" max="10" width="10.5703125" style="1" hidden="1" customWidth="1"/>
    <col min="11" max="11" width="16" style="1" hidden="1" customWidth="1"/>
    <col min="12" max="12" width="1" style="4" customWidth="1"/>
    <col min="13" max="13" width="9" style="1" customWidth="1" outlineLevel="1"/>
    <col min="14" max="14" width="17.28515625" style="1" customWidth="1" outlineLevel="1"/>
    <col min="15" max="18" width="9" style="1" customWidth="1" outlineLevel="1"/>
    <col min="19" max="19" width="0.7109375" style="1" customWidth="1"/>
    <col min="20" max="20" width="10" style="1" customWidth="1" outlineLevel="1"/>
    <col min="21" max="21" width="16" style="1" customWidth="1" outlineLevel="1"/>
    <col min="22" max="24" width="10" style="1" customWidth="1" outlineLevel="1"/>
    <col min="25" max="25" width="10" style="133" customWidth="1" outlineLevel="1"/>
    <col min="26" max="29" width="10" style="1" customWidth="1" outlineLevel="1"/>
    <col min="30" max="30" width="1.28515625" style="2" customWidth="1"/>
    <col min="31" max="31" width="14.28515625" style="1" customWidth="1" outlineLevel="1"/>
    <col min="32" max="32" width="1.42578125" style="4" customWidth="1" outlineLevel="1"/>
    <col min="33" max="34" width="11" style="1" hidden="1" customWidth="1" outlineLevel="1"/>
    <col min="35" max="35" width="1.5703125" style="4" customWidth="1" outlineLevel="1"/>
    <col min="36" max="41" width="11.28515625" style="1" customWidth="1" outlineLevel="1"/>
    <col min="42" max="42" width="1.7109375" style="1" customWidth="1" outlineLevel="1"/>
    <col min="43" max="52" width="11.28515625" style="1" customWidth="1" outlineLevel="1"/>
    <col min="53" max="53" width="4" style="1" customWidth="1" outlineLevel="1"/>
    <col min="54" max="54" width="14.5703125" style="1" bestFit="1" customWidth="1"/>
    <col min="55" max="55" width="2.42578125" style="1" bestFit="1" customWidth="1"/>
    <col min="56" max="57" width="12.42578125" style="1" customWidth="1"/>
    <col min="58" max="58" width="3.42578125" style="1" bestFit="1" customWidth="1"/>
    <col min="59" max="59" width="10" style="200" bestFit="1" customWidth="1"/>
    <col min="60" max="64" width="8.7109375" style="200" customWidth="1"/>
    <col min="65" max="65" width="8.85546875" style="200" bestFit="1" customWidth="1"/>
    <col min="66" max="75" width="8.7109375" style="200" customWidth="1"/>
    <col min="76" max="76" width="11.42578125" style="1" customWidth="1"/>
    <col min="77" max="77" width="11.28515625" style="1" hidden="1" customWidth="1"/>
    <col min="78" max="78" width="1.42578125" style="4" hidden="1" customWidth="1"/>
    <col min="79" max="79" width="18.28515625" style="1" hidden="1" customWidth="1"/>
    <col min="80" max="80" width="1.42578125" style="4" customWidth="1"/>
    <col min="81" max="81" width="15.7109375" style="4" customWidth="1"/>
    <col min="82" max="83" width="15.42578125" style="1" customWidth="1"/>
    <col min="84" max="84" width="1.42578125" style="4" customWidth="1"/>
    <col min="85" max="87" width="16" style="1" customWidth="1"/>
    <col min="88" max="88" width="15.5703125" style="1" customWidth="1"/>
    <col min="89" max="89" width="15.7109375" style="1" customWidth="1"/>
    <col min="90" max="16384" width="11.42578125" style="1"/>
  </cols>
  <sheetData>
    <row r="2" spans="2:29" ht="26.25">
      <c r="B2" s="582" t="s">
        <v>22</v>
      </c>
      <c r="C2" s="582"/>
      <c r="D2" s="582"/>
      <c r="E2" s="582"/>
      <c r="F2" s="582"/>
      <c r="G2" s="582"/>
      <c r="H2" s="731" t="s">
        <v>23</v>
      </c>
      <c r="J2" s="595" t="s">
        <v>30</v>
      </c>
      <c r="K2" s="596"/>
      <c r="L2" s="12"/>
      <c r="M2" s="609" t="s">
        <v>0</v>
      </c>
      <c r="N2" s="610"/>
      <c r="O2" s="610"/>
      <c r="P2" s="610"/>
      <c r="Q2" s="610"/>
      <c r="R2" s="610"/>
      <c r="S2" s="610"/>
      <c r="T2" s="610"/>
      <c r="U2" s="610"/>
      <c r="V2" s="610"/>
      <c r="W2" s="610"/>
      <c r="X2" s="610"/>
      <c r="Y2" s="610"/>
      <c r="Z2" s="610"/>
      <c r="AA2" s="610"/>
      <c r="AB2" s="610"/>
      <c r="AC2" s="596"/>
    </row>
    <row r="3" spans="2:29" customFormat="1" ht="24" customHeight="1">
      <c r="B3" s="57"/>
      <c r="H3" s="732"/>
      <c r="I3" s="428"/>
      <c r="M3" s="30"/>
      <c r="S3" s="28"/>
      <c r="Y3" s="436"/>
      <c r="AA3" s="13"/>
      <c r="AB3" s="13"/>
      <c r="AC3" s="13"/>
    </row>
    <row r="4" spans="2:29" s="14" customFormat="1" ht="58.5" customHeight="1" thickBot="1">
      <c r="B4" s="406">
        <v>45658</v>
      </c>
      <c r="C4" s="407" t="s">
        <v>792</v>
      </c>
      <c r="D4" s="327"/>
      <c r="E4" s="327"/>
      <c r="F4" s="326"/>
      <c r="G4" s="328"/>
      <c r="H4" s="732"/>
      <c r="I4" s="411"/>
      <c r="J4" s="617" t="s">
        <v>7</v>
      </c>
      <c r="K4" s="618"/>
      <c r="L4" s="11"/>
      <c r="M4" s="553" t="s">
        <v>7</v>
      </c>
      <c r="N4" s="554"/>
      <c r="O4" s="555" t="s">
        <v>9</v>
      </c>
      <c r="P4" s="554"/>
      <c r="Q4" s="556" t="s">
        <v>10</v>
      </c>
      <c r="R4" s="565"/>
      <c r="S4" s="29"/>
      <c r="T4" s="553" t="s">
        <v>7</v>
      </c>
      <c r="U4" s="554"/>
      <c r="V4" s="555" t="s">
        <v>8</v>
      </c>
      <c r="W4" s="554"/>
      <c r="X4" s="555" t="s">
        <v>9</v>
      </c>
      <c r="Y4" s="554"/>
      <c r="Z4" s="555" t="s">
        <v>9</v>
      </c>
      <c r="AA4" s="554"/>
      <c r="AB4" s="556" t="s">
        <v>10</v>
      </c>
      <c r="AC4" s="557"/>
    </row>
    <row r="5" spans="2:29" ht="12" customHeight="1">
      <c r="B5" s="587" t="s">
        <v>40</v>
      </c>
      <c r="C5" s="588"/>
      <c r="D5" s="597" t="s">
        <v>4</v>
      </c>
      <c r="E5" s="597"/>
      <c r="F5" s="597"/>
      <c r="G5" s="598"/>
      <c r="H5" s="734" t="s">
        <v>12</v>
      </c>
      <c r="I5" s="429"/>
      <c r="J5" s="603" t="s">
        <v>3</v>
      </c>
      <c r="K5" s="604"/>
      <c r="L5" s="7"/>
      <c r="M5" s="736" t="s">
        <v>690</v>
      </c>
      <c r="N5" s="737"/>
      <c r="O5" s="744" t="s">
        <v>693</v>
      </c>
      <c r="P5" s="745"/>
      <c r="Q5" s="744" t="s">
        <v>476</v>
      </c>
      <c r="R5" s="745"/>
      <c r="S5" s="27"/>
      <c r="T5" s="750"/>
      <c r="U5" s="751"/>
      <c r="V5" s="752" t="s">
        <v>483</v>
      </c>
      <c r="W5" s="753"/>
      <c r="X5" s="756" t="s">
        <v>679</v>
      </c>
      <c r="Y5" s="757"/>
      <c r="Z5" s="714" t="s">
        <v>681</v>
      </c>
      <c r="AA5" s="715"/>
      <c r="AB5" s="716" t="s">
        <v>481</v>
      </c>
      <c r="AC5" s="720"/>
    </row>
    <row r="6" spans="2:29" ht="2.25" customHeight="1">
      <c r="B6" s="589"/>
      <c r="C6" s="590"/>
      <c r="D6" s="599"/>
      <c r="E6" s="599"/>
      <c r="F6" s="599"/>
      <c r="G6" s="600"/>
      <c r="H6" s="735"/>
      <c r="I6" s="430"/>
      <c r="J6" s="605"/>
      <c r="K6" s="606"/>
      <c r="L6" s="7"/>
      <c r="M6" s="236"/>
      <c r="N6" s="233"/>
      <c r="O6" s="744"/>
      <c r="P6" s="745"/>
      <c r="Q6" s="744"/>
      <c r="R6" s="745"/>
      <c r="S6" s="27"/>
      <c r="T6" s="58"/>
      <c r="U6" s="92"/>
      <c r="V6" s="744"/>
      <c r="W6" s="754"/>
      <c r="X6" s="758"/>
      <c r="Y6" s="717"/>
      <c r="Z6" s="716"/>
      <c r="AA6" s="717"/>
      <c r="AB6" s="716"/>
      <c r="AC6" s="720"/>
    </row>
    <row r="7" spans="2:29">
      <c r="B7" s="589"/>
      <c r="C7" s="590"/>
      <c r="D7" s="599"/>
      <c r="E7" s="599"/>
      <c r="F7" s="599"/>
      <c r="G7" s="600"/>
      <c r="H7" s="735"/>
      <c r="I7" s="430"/>
      <c r="J7" s="605"/>
      <c r="K7" s="606"/>
      <c r="L7" s="7"/>
      <c r="M7" s="237"/>
      <c r="N7" s="233"/>
      <c r="O7" s="744"/>
      <c r="P7" s="745"/>
      <c r="Q7" s="744"/>
      <c r="R7" s="745"/>
      <c r="S7" s="31"/>
      <c r="T7" s="733" t="s">
        <v>489</v>
      </c>
      <c r="U7" s="625"/>
      <c r="V7" s="744"/>
      <c r="W7" s="754"/>
      <c r="X7" s="758"/>
      <c r="Y7" s="717"/>
      <c r="Z7" s="716"/>
      <c r="AA7" s="717"/>
      <c r="AB7" s="716"/>
      <c r="AC7" s="720"/>
    </row>
    <row r="8" spans="2:29">
      <c r="B8" s="589"/>
      <c r="C8" s="590"/>
      <c r="D8" s="599"/>
      <c r="E8" s="599"/>
      <c r="F8" s="599"/>
      <c r="G8" s="600"/>
      <c r="H8" s="735"/>
      <c r="I8" s="430"/>
      <c r="J8" s="605"/>
      <c r="K8" s="606"/>
      <c r="L8" s="7"/>
      <c r="M8" s="238"/>
      <c r="N8" s="233"/>
      <c r="O8" s="744"/>
      <c r="P8" s="745"/>
      <c r="Q8" s="744"/>
      <c r="R8" s="745"/>
      <c r="S8" s="31"/>
      <c r="T8" s="624"/>
      <c r="U8" s="625"/>
      <c r="V8" s="744"/>
      <c r="W8" s="754"/>
      <c r="X8" s="758"/>
      <c r="Y8" s="717"/>
      <c r="Z8" s="716"/>
      <c r="AA8" s="717"/>
      <c r="AB8" s="716"/>
      <c r="AC8" s="720"/>
    </row>
    <row r="9" spans="2:29">
      <c r="B9" s="589"/>
      <c r="C9" s="590"/>
      <c r="D9" s="599"/>
      <c r="E9" s="599"/>
      <c r="F9" s="599"/>
      <c r="G9" s="600"/>
      <c r="H9" s="735"/>
      <c r="I9" s="430"/>
      <c r="J9" s="605"/>
      <c r="K9" s="606"/>
      <c r="L9" s="7"/>
      <c r="M9" s="237" t="s">
        <v>691</v>
      </c>
      <c r="N9" s="233"/>
      <c r="O9" s="744"/>
      <c r="P9" s="745"/>
      <c r="Q9" s="744"/>
      <c r="R9" s="745"/>
      <c r="S9" s="31"/>
      <c r="T9" s="624"/>
      <c r="U9" s="625"/>
      <c r="V9" s="744"/>
      <c r="W9" s="754"/>
      <c r="X9" s="758"/>
      <c r="Y9" s="717"/>
      <c r="Z9" s="716"/>
      <c r="AA9" s="717"/>
      <c r="AB9" s="716"/>
      <c r="AC9" s="720"/>
    </row>
    <row r="10" spans="2:29">
      <c r="B10" s="589"/>
      <c r="C10" s="590"/>
      <c r="D10" s="599"/>
      <c r="E10" s="599"/>
      <c r="F10" s="599"/>
      <c r="G10" s="600"/>
      <c r="H10" s="735"/>
      <c r="I10" s="430"/>
      <c r="J10" s="605"/>
      <c r="K10" s="606"/>
      <c r="L10" s="7"/>
      <c r="M10" s="238"/>
      <c r="N10" s="233"/>
      <c r="O10" s="744"/>
      <c r="P10" s="745"/>
      <c r="Q10" s="744"/>
      <c r="R10" s="745"/>
      <c r="S10" s="31"/>
      <c r="T10" s="624"/>
      <c r="U10" s="625"/>
      <c r="V10" s="744"/>
      <c r="W10" s="754"/>
      <c r="X10" s="758"/>
      <c r="Y10" s="717"/>
      <c r="Z10" s="716"/>
      <c r="AA10" s="717"/>
      <c r="AB10" s="716"/>
      <c r="AC10" s="720"/>
    </row>
    <row r="11" spans="2:29">
      <c r="B11" s="589"/>
      <c r="C11" s="590"/>
      <c r="D11" s="599"/>
      <c r="E11" s="599"/>
      <c r="F11" s="599"/>
      <c r="G11" s="600"/>
      <c r="H11" s="735"/>
      <c r="I11" s="430"/>
      <c r="J11" s="605"/>
      <c r="K11" s="606"/>
      <c r="L11" s="7"/>
      <c r="M11" s="237" t="s">
        <v>478</v>
      </c>
      <c r="N11" s="233"/>
      <c r="O11" s="744"/>
      <c r="P11" s="745"/>
      <c r="Q11" s="744"/>
      <c r="R11" s="745"/>
      <c r="S11" s="31"/>
      <c r="T11" s="624"/>
      <c r="U11" s="625"/>
      <c r="V11" s="744"/>
      <c r="W11" s="754"/>
      <c r="X11" s="758"/>
      <c r="Y11" s="717"/>
      <c r="Z11" s="716"/>
      <c r="AA11" s="717"/>
      <c r="AB11" s="716"/>
      <c r="AC11" s="720"/>
    </row>
    <row r="12" spans="2:29" ht="50.25" customHeight="1" thickBot="1">
      <c r="B12" s="589"/>
      <c r="C12" s="590"/>
      <c r="D12" s="601"/>
      <c r="E12" s="601"/>
      <c r="F12" s="601"/>
      <c r="G12" s="602"/>
      <c r="H12" s="735"/>
      <c r="I12" s="430"/>
      <c r="J12" s="607"/>
      <c r="K12" s="608"/>
      <c r="L12" s="7"/>
      <c r="M12" s="234"/>
      <c r="N12" s="235"/>
      <c r="O12" s="746"/>
      <c r="P12" s="747"/>
      <c r="Q12" s="746"/>
      <c r="R12" s="747"/>
      <c r="S12" s="31"/>
      <c r="T12" s="626"/>
      <c r="U12" s="627"/>
      <c r="V12" s="746"/>
      <c r="W12" s="755"/>
      <c r="X12" s="759"/>
      <c r="Y12" s="760"/>
      <c r="Z12" s="718"/>
      <c r="AA12" s="719"/>
      <c r="AB12" s="718"/>
      <c r="AC12" s="721"/>
    </row>
    <row r="13" spans="2:29" ht="23.1" customHeight="1">
      <c r="B13" s="589"/>
      <c r="C13" s="590"/>
      <c r="D13" s="661" t="s">
        <v>334</v>
      </c>
      <c r="E13" s="662"/>
      <c r="F13" s="662"/>
      <c r="G13" s="662"/>
      <c r="H13" s="201"/>
      <c r="I13" s="430"/>
      <c r="J13" s="657" t="s">
        <v>3</v>
      </c>
      <c r="K13" s="658"/>
      <c r="L13" s="7"/>
      <c r="M13" s="738" t="s">
        <v>3</v>
      </c>
      <c r="N13" s="739"/>
      <c r="O13" s="742" t="s">
        <v>693</v>
      </c>
      <c r="P13" s="743"/>
      <c r="Q13" s="742" t="s">
        <v>476</v>
      </c>
      <c r="R13" s="743"/>
      <c r="S13" s="31"/>
      <c r="T13" s="748" t="s">
        <v>484</v>
      </c>
      <c r="U13" s="749"/>
      <c r="V13" s="761" t="s">
        <v>485</v>
      </c>
      <c r="W13" s="670"/>
      <c r="X13" s="761" t="s">
        <v>680</v>
      </c>
      <c r="Y13" s="670"/>
      <c r="Z13" s="761" t="s">
        <v>682</v>
      </c>
      <c r="AA13" s="670"/>
      <c r="AB13" s="763" t="s">
        <v>486</v>
      </c>
      <c r="AC13" s="764"/>
    </row>
    <row r="14" spans="2:29" ht="13.5" thickBot="1">
      <c r="B14" s="589"/>
      <c r="C14" s="590"/>
      <c r="D14" s="663"/>
      <c r="E14" s="664"/>
      <c r="F14" s="664"/>
      <c r="G14" s="664"/>
      <c r="H14" s="202"/>
      <c r="I14" s="430"/>
      <c r="J14" s="659" t="s">
        <v>3</v>
      </c>
      <c r="K14" s="660"/>
      <c r="L14" s="7"/>
      <c r="M14" s="628" t="s">
        <v>3</v>
      </c>
      <c r="N14" s="629"/>
      <c r="O14" s="765" t="s">
        <v>3</v>
      </c>
      <c r="P14" s="766"/>
      <c r="Q14" s="765" t="s">
        <v>3</v>
      </c>
      <c r="R14" s="767"/>
      <c r="S14" s="31"/>
      <c r="T14" s="740" t="s">
        <v>487</v>
      </c>
      <c r="U14" s="741"/>
      <c r="V14" s="740" t="s">
        <v>488</v>
      </c>
      <c r="W14" s="741"/>
      <c r="X14" s="230"/>
      <c r="Y14" s="437"/>
      <c r="Z14" s="230"/>
      <c r="AA14" s="231"/>
      <c r="AB14" s="230"/>
      <c r="AC14" s="232"/>
    </row>
    <row r="15" spans="2:29" ht="31.5" customHeight="1" thickBot="1">
      <c r="B15" s="589"/>
      <c r="C15" s="590"/>
      <c r="D15" s="611" t="s">
        <v>27</v>
      </c>
      <c r="E15" s="611"/>
      <c r="F15" s="612"/>
      <c r="G15" s="613"/>
      <c r="H15" s="203" t="s">
        <v>3</v>
      </c>
      <c r="I15" s="431"/>
      <c r="J15" s="585" t="s">
        <v>3</v>
      </c>
      <c r="K15" s="586"/>
      <c r="L15" s="7"/>
      <c r="M15" s="583" t="s">
        <v>49</v>
      </c>
      <c r="N15" s="561"/>
      <c r="O15" s="560" t="s">
        <v>15</v>
      </c>
      <c r="P15" s="561"/>
      <c r="Q15" s="560" t="s">
        <v>15</v>
      </c>
      <c r="R15" s="561"/>
      <c r="S15" s="27"/>
      <c r="T15" s="583" t="s">
        <v>49</v>
      </c>
      <c r="U15" s="561"/>
      <c r="V15" s="578" t="s">
        <v>15</v>
      </c>
      <c r="W15" s="579"/>
      <c r="X15" s="560" t="s">
        <v>15</v>
      </c>
      <c r="Y15" s="561"/>
      <c r="Z15" s="560" t="s">
        <v>15</v>
      </c>
      <c r="AA15" s="561"/>
      <c r="AB15" s="560" t="s">
        <v>15</v>
      </c>
      <c r="AC15" s="642"/>
    </row>
    <row r="16" spans="2:29" ht="46.5" customHeight="1" thickBot="1">
      <c r="B16" s="589"/>
      <c r="C16" s="590"/>
      <c r="D16" s="611" t="s">
        <v>53</v>
      </c>
      <c r="E16" s="611"/>
      <c r="F16" s="612"/>
      <c r="G16" s="613"/>
      <c r="H16" s="203" t="s">
        <v>48</v>
      </c>
      <c r="I16" s="431"/>
      <c r="J16" s="762" t="s">
        <v>491</v>
      </c>
      <c r="K16" s="604"/>
      <c r="L16" s="7"/>
      <c r="M16" s="637" t="s">
        <v>62</v>
      </c>
      <c r="N16" s="638"/>
      <c r="O16" s="558" t="s">
        <v>50</v>
      </c>
      <c r="P16" s="559"/>
      <c r="Q16" s="558" t="s">
        <v>50</v>
      </c>
      <c r="R16" s="559"/>
      <c r="S16" s="27"/>
      <c r="T16" s="637" t="s">
        <v>62</v>
      </c>
      <c r="U16" s="638"/>
      <c r="V16" s="558" t="s">
        <v>50</v>
      </c>
      <c r="W16" s="559"/>
      <c r="X16" s="558" t="s">
        <v>50</v>
      </c>
      <c r="Y16" s="559"/>
      <c r="Z16" s="558" t="s">
        <v>50</v>
      </c>
      <c r="AA16" s="559"/>
      <c r="AB16" s="558" t="s">
        <v>50</v>
      </c>
      <c r="AC16" s="634"/>
    </row>
    <row r="17" spans="1:89" ht="16.5" thickBot="1">
      <c r="B17" s="591"/>
      <c r="C17" s="592"/>
      <c r="D17" s="620" t="s">
        <v>5</v>
      </c>
      <c r="E17" s="621"/>
      <c r="F17" s="621"/>
      <c r="G17" s="621"/>
      <c r="H17" s="204" t="s">
        <v>3</v>
      </c>
      <c r="I17" s="432"/>
      <c r="J17" s="622" t="s">
        <v>3</v>
      </c>
      <c r="K17" s="586"/>
      <c r="L17" s="7"/>
      <c r="M17" s="622" t="s">
        <v>64</v>
      </c>
      <c r="N17" s="635"/>
      <c r="O17" s="636" t="s">
        <v>64</v>
      </c>
      <c r="P17" s="635"/>
      <c r="Q17" s="636" t="s">
        <v>64</v>
      </c>
      <c r="R17" s="635"/>
      <c r="S17" s="27"/>
      <c r="T17" s="622" t="s">
        <v>64</v>
      </c>
      <c r="U17" s="635"/>
      <c r="V17" s="636" t="s">
        <v>64</v>
      </c>
      <c r="W17" s="635"/>
      <c r="X17" s="636" t="s">
        <v>64</v>
      </c>
      <c r="Y17" s="635"/>
      <c r="Z17" s="636" t="s">
        <v>64</v>
      </c>
      <c r="AA17" s="635"/>
      <c r="AB17" s="636" t="s">
        <v>64</v>
      </c>
      <c r="AC17" s="586"/>
      <c r="AD17" s="1"/>
      <c r="AE17" s="46"/>
      <c r="AF17" s="46"/>
      <c r="AG17" s="50"/>
      <c r="AH17" s="50"/>
      <c r="AI17" s="46"/>
      <c r="AJ17" s="50"/>
      <c r="AK17" s="50"/>
      <c r="AL17" s="50"/>
      <c r="AM17" s="50"/>
      <c r="AN17" s="50"/>
      <c r="AO17" s="50"/>
      <c r="AP17" s="46"/>
      <c r="AQ17" s="50"/>
      <c r="AR17" s="50"/>
      <c r="AS17" s="50"/>
      <c r="AT17" s="50"/>
      <c r="AU17" s="50"/>
      <c r="AV17" s="50"/>
      <c r="AW17" s="49"/>
      <c r="AX17" s="50"/>
      <c r="BZ17" s="1"/>
      <c r="CB17" s="1"/>
      <c r="CC17" s="1"/>
      <c r="CF17" s="1"/>
    </row>
    <row r="18" spans="1:89" s="2" customFormat="1" ht="23.25">
      <c r="B18" s="88"/>
      <c r="C18" s="88"/>
      <c r="D18" s="239"/>
      <c r="E18" s="239"/>
      <c r="F18" s="240"/>
      <c r="G18" s="240"/>
      <c r="H18" s="241"/>
      <c r="I18" s="56"/>
      <c r="J18" s="242"/>
      <c r="K18" s="242"/>
      <c r="L18" s="46"/>
      <c r="M18" s="243"/>
      <c r="N18" s="243"/>
      <c r="O18" s="243"/>
      <c r="P18" s="243"/>
      <c r="Q18" s="243"/>
      <c r="R18" s="243"/>
      <c r="S18" s="46"/>
      <c r="T18" s="243"/>
      <c r="U18" s="242"/>
      <c r="V18" s="243"/>
      <c r="W18" s="242"/>
      <c r="X18" s="243"/>
      <c r="Y18" s="438"/>
      <c r="Z18" s="243"/>
      <c r="AA18" s="243"/>
      <c r="AB18" s="243"/>
      <c r="AC18" s="242"/>
      <c r="AE18" s="46"/>
      <c r="AF18" s="46"/>
      <c r="AG18" s="50"/>
      <c r="AH18" s="50"/>
      <c r="AI18" s="46"/>
      <c r="AJ18" s="50"/>
      <c r="AK18" s="50"/>
      <c r="AL18" s="50"/>
      <c r="AM18" s="50"/>
      <c r="AN18" s="50"/>
      <c r="AO18" s="50"/>
      <c r="AP18" s="46"/>
      <c r="AQ18" s="50"/>
      <c r="AR18" s="50"/>
      <c r="AS18" s="50"/>
      <c r="AT18" s="50"/>
      <c r="AU18" s="50"/>
      <c r="AV18" s="50"/>
      <c r="AW18" s="49"/>
      <c r="AX18" s="50"/>
      <c r="BG18" s="350"/>
      <c r="BH18" s="350"/>
      <c r="BI18" s="350"/>
      <c r="BJ18" s="350"/>
      <c r="BK18" s="350"/>
      <c r="BL18" s="350"/>
      <c r="BM18" s="350"/>
      <c r="BN18" s="350"/>
      <c r="BO18" s="350"/>
      <c r="BP18" s="350"/>
      <c r="BQ18" s="350"/>
      <c r="BR18" s="350"/>
      <c r="BS18" s="350"/>
      <c r="BT18" s="350"/>
      <c r="BU18" s="350"/>
      <c r="BV18" s="350"/>
      <c r="BW18" s="350"/>
    </row>
    <row r="19" spans="1:89" ht="18.75" thickBot="1">
      <c r="B19" s="3"/>
      <c r="C19" s="66" t="s">
        <v>692</v>
      </c>
      <c r="AD19" s="1"/>
      <c r="BB19" s="726" t="s">
        <v>66</v>
      </c>
      <c r="BC19" s="727"/>
      <c r="BD19" s="727"/>
      <c r="BE19" s="727"/>
      <c r="BF19" s="727"/>
      <c r="BG19" s="727"/>
      <c r="BH19" s="727"/>
      <c r="BI19" s="727"/>
      <c r="BJ19" s="727"/>
      <c r="BK19" s="727"/>
      <c r="BL19" s="727"/>
      <c r="BM19" s="727"/>
      <c r="BN19" s="727"/>
      <c r="BO19" s="727"/>
      <c r="BP19" s="727"/>
      <c r="BQ19" s="727"/>
      <c r="BR19" s="727"/>
      <c r="BS19" s="727"/>
      <c r="BT19" s="727"/>
      <c r="BU19" s="727"/>
      <c r="BV19" s="727"/>
      <c r="BW19" s="728"/>
      <c r="BY19" s="722" t="s">
        <v>375</v>
      </c>
      <c r="BZ19" s="723"/>
      <c r="CA19" s="723"/>
      <c r="CB19" s="723"/>
      <c r="CC19" s="723"/>
      <c r="CD19" s="723"/>
      <c r="CE19" s="723"/>
      <c r="CF19" s="723"/>
      <c r="CG19" s="723"/>
      <c r="CH19" s="723"/>
      <c r="CI19" s="723"/>
      <c r="CJ19" s="723"/>
      <c r="CK19" s="724"/>
    </row>
    <row r="20" spans="1:89" ht="14.25">
      <c r="C20" s="66" t="s">
        <v>95</v>
      </c>
      <c r="D20" s="63"/>
      <c r="E20" s="63"/>
      <c r="F20" s="2"/>
      <c r="G20" s="2"/>
      <c r="H20" s="205"/>
      <c r="I20" s="417"/>
      <c r="J20" s="2"/>
      <c r="K20" s="2"/>
      <c r="L20" s="2"/>
      <c r="M20" s="2"/>
      <c r="N20" s="2"/>
      <c r="AD20" s="1"/>
      <c r="BY20" s="2"/>
      <c r="BZ20" s="2"/>
      <c r="CA20" s="2"/>
      <c r="CB20" s="2"/>
      <c r="CC20" s="2"/>
      <c r="CF20" s="2"/>
    </row>
    <row r="21" spans="1:89" s="137" customFormat="1" ht="36" customHeight="1" thickBot="1">
      <c r="C21" s="208" t="s">
        <v>461</v>
      </c>
      <c r="D21" s="196"/>
      <c r="E21" s="196"/>
      <c r="F21" s="326"/>
      <c r="G21" s="196"/>
      <c r="H21" s="210"/>
      <c r="I21" s="417"/>
      <c r="J21" s="196"/>
      <c r="K21" s="196"/>
      <c r="L21" s="196"/>
      <c r="M21" s="196"/>
      <c r="N21" s="196"/>
      <c r="Y21" s="439"/>
      <c r="AF21" s="209"/>
      <c r="AI21" s="209"/>
      <c r="BC21" s="137">
        <v>7</v>
      </c>
      <c r="BD21" s="137">
        <v>8</v>
      </c>
      <c r="BE21" s="137">
        <v>9</v>
      </c>
      <c r="BF21" s="137">
        <v>10</v>
      </c>
      <c r="BG21" s="358">
        <v>13</v>
      </c>
      <c r="BH21" s="358">
        <v>14</v>
      </c>
      <c r="BI21" s="358">
        <v>17</v>
      </c>
      <c r="BJ21" s="358">
        <v>18</v>
      </c>
      <c r="BK21" s="358">
        <v>19</v>
      </c>
      <c r="BL21" s="358">
        <v>20</v>
      </c>
      <c r="BM21" s="358">
        <v>21</v>
      </c>
      <c r="BN21" s="358">
        <v>22</v>
      </c>
      <c r="BO21" s="358">
        <v>23</v>
      </c>
      <c r="BP21" s="358">
        <v>24</v>
      </c>
      <c r="BQ21" s="358">
        <v>25</v>
      </c>
      <c r="BR21" s="358"/>
      <c r="BS21" s="358"/>
      <c r="BT21" s="358">
        <v>26</v>
      </c>
      <c r="BU21" s="358">
        <v>27</v>
      </c>
      <c r="BV21" s="358">
        <v>28</v>
      </c>
      <c r="BW21" s="358">
        <v>29</v>
      </c>
      <c r="BY21" s="196"/>
      <c r="BZ21" s="196"/>
      <c r="CA21" s="196"/>
      <c r="CB21" s="196"/>
      <c r="CC21" s="196"/>
      <c r="CF21" s="196"/>
    </row>
    <row r="22" spans="1:89" ht="18.75" thickBot="1">
      <c r="B22" s="651" t="s">
        <v>25</v>
      </c>
      <c r="C22" s="652"/>
      <c r="D22" s="652"/>
      <c r="E22" s="652"/>
      <c r="F22" s="652"/>
      <c r="G22" s="653"/>
      <c r="H22" s="768" t="s">
        <v>23</v>
      </c>
      <c r="J22" s="533" t="s">
        <v>24</v>
      </c>
      <c r="K22" s="534"/>
      <c r="L22" s="12"/>
      <c r="M22" s="533" t="s">
        <v>6</v>
      </c>
      <c r="N22" s="551"/>
      <c r="O22" s="551"/>
      <c r="P22" s="551"/>
      <c r="Q22" s="551"/>
      <c r="R22" s="551"/>
      <c r="S22" s="551"/>
      <c r="T22" s="551"/>
      <c r="U22" s="551"/>
      <c r="V22" s="551"/>
      <c r="W22" s="551"/>
      <c r="X22" s="551"/>
      <c r="Y22" s="551"/>
      <c r="Z22" s="551"/>
      <c r="AA22" s="551"/>
      <c r="AB22" s="551"/>
      <c r="AC22" s="552"/>
      <c r="AD22" s="1"/>
      <c r="AE22" s="526" t="s">
        <v>41</v>
      </c>
      <c r="AG22" s="533" t="s">
        <v>42</v>
      </c>
      <c r="AH22" s="534"/>
      <c r="AI22" s="12"/>
      <c r="AJ22" s="530" t="s">
        <v>46</v>
      </c>
      <c r="AK22" s="531"/>
      <c r="AL22" s="531"/>
      <c r="AM22" s="531"/>
      <c r="AN22" s="531"/>
      <c r="AO22" s="531"/>
      <c r="AP22" s="531"/>
      <c r="AQ22" s="531"/>
      <c r="AR22" s="531"/>
      <c r="AS22" s="531"/>
      <c r="AT22" s="531"/>
      <c r="AU22" s="531"/>
      <c r="AV22" s="531"/>
      <c r="AW22" s="531"/>
      <c r="AX22" s="531"/>
      <c r="AY22" s="531"/>
      <c r="AZ22" s="531"/>
      <c r="BB22" s="526" t="s">
        <v>404</v>
      </c>
      <c r="BD22" s="533" t="s">
        <v>24</v>
      </c>
      <c r="BE22" s="534"/>
      <c r="BF22" s="12"/>
      <c r="BG22" s="776" t="s">
        <v>6</v>
      </c>
      <c r="BH22" s="777"/>
      <c r="BI22" s="777"/>
      <c r="BJ22" s="777"/>
      <c r="BK22" s="777"/>
      <c r="BL22" s="777"/>
      <c r="BM22" s="777"/>
      <c r="BN22" s="777"/>
      <c r="BO22" s="777"/>
      <c r="BP22" s="777"/>
      <c r="BQ22" s="777"/>
      <c r="BR22" s="777"/>
      <c r="BS22" s="777"/>
      <c r="BT22" s="777"/>
      <c r="BU22" s="777"/>
      <c r="BV22" s="777"/>
      <c r="BW22" s="778"/>
      <c r="BY22" s="526" t="s">
        <v>23</v>
      </c>
      <c r="CA22" s="528" t="s">
        <v>24</v>
      </c>
      <c r="CC22" s="544" t="s">
        <v>6</v>
      </c>
      <c r="CD22" s="545"/>
      <c r="CE22" s="545"/>
      <c r="CF22" s="545"/>
      <c r="CG22" s="545"/>
      <c r="CH22" s="545"/>
      <c r="CI22" s="545"/>
      <c r="CJ22" s="545"/>
      <c r="CK22" s="546"/>
    </row>
    <row r="23" spans="1:89" ht="18.75" thickBot="1">
      <c r="B23" s="654"/>
      <c r="C23" s="655"/>
      <c r="D23" s="655"/>
      <c r="E23" s="655"/>
      <c r="F23" s="655"/>
      <c r="G23" s="656"/>
      <c r="H23" s="769"/>
      <c r="J23" s="535"/>
      <c r="K23" s="536"/>
      <c r="L23" s="12"/>
      <c r="M23" s="26"/>
      <c r="N23" s="12"/>
      <c r="O23" s="12"/>
      <c r="P23" s="12"/>
      <c r="Q23" s="12"/>
      <c r="R23" s="12"/>
      <c r="S23" s="12"/>
      <c r="T23" s="12"/>
      <c r="U23" s="12"/>
      <c r="V23" s="12"/>
      <c r="W23" s="12"/>
      <c r="X23" s="12"/>
      <c r="Y23" s="440"/>
      <c r="Z23" s="12"/>
      <c r="AA23" s="12"/>
      <c r="AB23" s="12"/>
      <c r="AC23" s="12"/>
      <c r="AD23" s="1"/>
      <c r="AE23" s="527"/>
      <c r="AG23" s="535"/>
      <c r="AH23" s="536"/>
      <c r="AI23" s="12"/>
      <c r="AJ23" s="26"/>
      <c r="AK23" s="12"/>
      <c r="AL23" s="12"/>
      <c r="AM23" s="12"/>
      <c r="AN23" s="12"/>
      <c r="AO23" s="12"/>
      <c r="AP23" s="12"/>
      <c r="AQ23" s="12"/>
      <c r="AR23" s="12"/>
      <c r="AS23" s="12"/>
      <c r="AT23" s="12"/>
      <c r="AU23" s="12"/>
      <c r="AV23" s="12"/>
      <c r="AW23" s="12"/>
      <c r="AX23" s="12"/>
      <c r="AY23" s="12"/>
      <c r="AZ23" s="12"/>
      <c r="BB23" s="527"/>
      <c r="BD23" s="535"/>
      <c r="BE23" s="536"/>
      <c r="BF23" s="12"/>
      <c r="BG23" s="380"/>
      <c r="BH23" s="359"/>
      <c r="BI23" s="359"/>
      <c r="BJ23" s="359"/>
      <c r="BK23" s="359"/>
      <c r="BL23" s="359"/>
      <c r="BM23" s="359"/>
      <c r="BN23" s="359"/>
      <c r="BO23" s="359"/>
      <c r="BP23" s="359"/>
      <c r="BQ23" s="359"/>
      <c r="BR23" s="359"/>
      <c r="BS23" s="359"/>
      <c r="BT23" s="359"/>
      <c r="BU23" s="359"/>
      <c r="BV23" s="359"/>
      <c r="BW23" s="359"/>
      <c r="BY23" s="527"/>
      <c r="CA23" s="529"/>
      <c r="CC23" s="26"/>
      <c r="CD23" s="12"/>
      <c r="CE23" s="12"/>
      <c r="CG23" s="12"/>
      <c r="CH23" s="12"/>
      <c r="CI23" s="12"/>
      <c r="CJ23" s="12"/>
      <c r="CK23" s="12"/>
    </row>
    <row r="24" spans="1:89" ht="18.75" thickBot="1">
      <c r="B24" s="654"/>
      <c r="C24" s="655"/>
      <c r="D24" s="655"/>
      <c r="E24" s="655"/>
      <c r="F24" s="655"/>
      <c r="G24" s="656"/>
      <c r="H24" s="769"/>
      <c r="J24" s="535"/>
      <c r="K24" s="536"/>
      <c r="L24" s="11"/>
      <c r="M24" s="537" t="s">
        <v>18</v>
      </c>
      <c r="N24" s="538"/>
      <c r="O24" s="538"/>
      <c r="P24" s="538"/>
      <c r="Q24" s="538"/>
      <c r="R24" s="539"/>
      <c r="S24" s="13"/>
      <c r="T24" s="537" t="s">
        <v>504</v>
      </c>
      <c r="U24" s="538"/>
      <c r="V24" s="538"/>
      <c r="W24" s="538"/>
      <c r="X24" s="538"/>
      <c r="Y24" s="538"/>
      <c r="Z24" s="538"/>
      <c r="AA24" s="538"/>
      <c r="AB24" s="538"/>
      <c r="AC24" s="539"/>
      <c r="AD24" s="1"/>
      <c r="AE24" s="527"/>
      <c r="AG24" s="535"/>
      <c r="AH24" s="536"/>
      <c r="AI24" s="11"/>
      <c r="AJ24" s="537" t="s">
        <v>18</v>
      </c>
      <c r="AK24" s="538"/>
      <c r="AL24" s="538"/>
      <c r="AM24" s="538"/>
      <c r="AN24" s="538"/>
      <c r="AO24" s="539"/>
      <c r="AP24" s="13"/>
      <c r="AQ24" s="537" t="s">
        <v>31</v>
      </c>
      <c r="AR24" s="538"/>
      <c r="AS24" s="538"/>
      <c r="AT24" s="538"/>
      <c r="AU24" s="538"/>
      <c r="AV24" s="538"/>
      <c r="AW24" s="538"/>
      <c r="AX24" s="538"/>
      <c r="AY24" s="538"/>
      <c r="AZ24" s="539"/>
      <c r="BB24" s="527"/>
      <c r="BD24" s="535"/>
      <c r="BE24" s="536"/>
      <c r="BF24" s="11"/>
      <c r="BG24" s="779" t="s">
        <v>18</v>
      </c>
      <c r="BH24" s="780"/>
      <c r="BI24" s="780"/>
      <c r="BJ24" s="780"/>
      <c r="BK24" s="780"/>
      <c r="BL24" s="781"/>
      <c r="BM24" s="361"/>
      <c r="BN24" s="779" t="s">
        <v>504</v>
      </c>
      <c r="BO24" s="780"/>
      <c r="BP24" s="780"/>
      <c r="BQ24" s="780"/>
      <c r="BR24" s="780"/>
      <c r="BS24" s="780"/>
      <c r="BT24" s="780"/>
      <c r="BU24" s="780"/>
      <c r="BV24" s="780"/>
      <c r="BW24" s="781"/>
      <c r="BY24" s="527"/>
      <c r="CA24" s="770"/>
      <c r="CC24" s="725" t="s">
        <v>18</v>
      </c>
      <c r="CD24" s="725"/>
      <c r="CE24" s="725"/>
      <c r="CG24" s="725" t="s">
        <v>31</v>
      </c>
      <c r="CH24" s="725"/>
      <c r="CI24" s="725"/>
      <c r="CJ24" s="725"/>
      <c r="CK24" s="725"/>
    </row>
    <row r="25" spans="1:89" s="4" customFormat="1" ht="18.75" thickBot="1">
      <c r="B25" s="654"/>
      <c r="C25" s="655"/>
      <c r="D25" s="655"/>
      <c r="E25" s="655"/>
      <c r="F25" s="655"/>
      <c r="G25" s="656"/>
      <c r="H25" s="769"/>
      <c r="I25" s="427"/>
      <c r="J25" s="12"/>
      <c r="K25" s="12"/>
      <c r="L25" s="11"/>
      <c r="M25" s="24"/>
      <c r="N25" s="13"/>
      <c r="O25" s="13"/>
      <c r="P25" s="13"/>
      <c r="Q25" s="13"/>
      <c r="R25" s="25"/>
      <c r="S25" s="13"/>
      <c r="T25" s="24"/>
      <c r="U25" s="13"/>
      <c r="V25" s="13"/>
      <c r="W25" s="13"/>
      <c r="X25" s="13"/>
      <c r="Y25" s="436"/>
      <c r="Z25" s="13"/>
      <c r="AA25" s="13"/>
      <c r="AB25" s="13"/>
      <c r="AC25" s="25"/>
      <c r="AD25" s="1"/>
      <c r="AE25" s="527"/>
      <c r="AG25" s="12"/>
      <c r="AH25" s="12"/>
      <c r="AI25" s="11"/>
      <c r="AJ25" s="24"/>
      <c r="AK25" s="13"/>
      <c r="AL25" s="13"/>
      <c r="AM25" s="13"/>
      <c r="AN25" s="13"/>
      <c r="AO25" s="25"/>
      <c r="AP25" s="13"/>
      <c r="AQ25" s="24"/>
      <c r="AR25" s="13"/>
      <c r="AS25" s="13"/>
      <c r="AT25" s="13"/>
      <c r="AU25" s="13"/>
      <c r="AV25" s="13"/>
      <c r="AW25" s="13"/>
      <c r="AX25" s="25"/>
      <c r="AZ25" s="62"/>
      <c r="BB25" s="527"/>
      <c r="BD25" s="12"/>
      <c r="BE25" s="12"/>
      <c r="BF25" s="11"/>
      <c r="BG25" s="381"/>
      <c r="BH25" s="361"/>
      <c r="BI25" s="361"/>
      <c r="BJ25" s="361"/>
      <c r="BK25" s="361"/>
      <c r="BL25" s="360"/>
      <c r="BM25" s="361"/>
      <c r="BN25" s="381"/>
      <c r="BO25" s="361"/>
      <c r="BP25" s="361"/>
      <c r="BQ25" s="361"/>
      <c r="BR25" s="361"/>
      <c r="BS25" s="361"/>
      <c r="BT25" s="361"/>
      <c r="BU25" s="360"/>
      <c r="BV25" s="361"/>
      <c r="BW25" s="360"/>
      <c r="BY25" s="527"/>
      <c r="CA25" s="12"/>
      <c r="CC25" s="12"/>
      <c r="CD25" s="13"/>
      <c r="CE25" s="13"/>
      <c r="CG25" s="24"/>
      <c r="CH25" s="13"/>
      <c r="CI25" s="13"/>
      <c r="CJ25" s="13"/>
      <c r="CK25" s="13"/>
    </row>
    <row r="26" spans="1:89" ht="26.25" thickBot="1">
      <c r="B26" s="654"/>
      <c r="C26" s="655"/>
      <c r="D26" s="655"/>
      <c r="E26" s="655"/>
      <c r="F26" s="655"/>
      <c r="G26" s="656"/>
      <c r="H26" s="769"/>
      <c r="I26" s="433"/>
      <c r="J26" s="540" t="s">
        <v>7</v>
      </c>
      <c r="K26" s="541"/>
      <c r="L26" s="11"/>
      <c r="M26" s="540" t="s">
        <v>7</v>
      </c>
      <c r="N26" s="632"/>
      <c r="O26" s="540" t="s">
        <v>9</v>
      </c>
      <c r="P26" s="632"/>
      <c r="Q26" s="547" t="s">
        <v>10</v>
      </c>
      <c r="R26" s="548"/>
      <c r="S26" s="11"/>
      <c r="T26" s="540" t="s">
        <v>17</v>
      </c>
      <c r="U26" s="632"/>
      <c r="V26" s="540" t="s">
        <v>14</v>
      </c>
      <c r="W26" s="632"/>
      <c r="X26" s="540" t="s">
        <v>16</v>
      </c>
      <c r="Y26" s="632"/>
      <c r="Z26" s="540" t="s">
        <v>16</v>
      </c>
      <c r="AA26" s="632"/>
      <c r="AB26" s="547" t="s">
        <v>54</v>
      </c>
      <c r="AC26" s="548"/>
      <c r="AD26" s="1"/>
      <c r="AE26" s="527"/>
      <c r="AF26" s="8"/>
      <c r="AG26" s="540" t="s">
        <v>7</v>
      </c>
      <c r="AH26" s="541"/>
      <c r="AI26" s="11"/>
      <c r="AJ26" s="540" t="s">
        <v>7</v>
      </c>
      <c r="AK26" s="541"/>
      <c r="AL26" s="540" t="s">
        <v>9</v>
      </c>
      <c r="AM26" s="541"/>
      <c r="AN26" s="540" t="s">
        <v>10</v>
      </c>
      <c r="AO26" s="541"/>
      <c r="AP26" s="11"/>
      <c r="AQ26" s="547" t="s">
        <v>17</v>
      </c>
      <c r="AR26" s="548"/>
      <c r="AS26" s="547" t="s">
        <v>14</v>
      </c>
      <c r="AT26" s="548"/>
      <c r="AU26" s="632" t="s">
        <v>16</v>
      </c>
      <c r="AV26" s="633"/>
      <c r="AW26" s="632" t="s">
        <v>16</v>
      </c>
      <c r="AX26" s="633"/>
      <c r="AY26" s="542" t="s">
        <v>54</v>
      </c>
      <c r="AZ26" s="543"/>
      <c r="BB26" s="527"/>
      <c r="BD26" s="540" t="s">
        <v>7</v>
      </c>
      <c r="BE26" s="541"/>
      <c r="BF26" s="11"/>
      <c r="BG26" s="782" t="s">
        <v>7</v>
      </c>
      <c r="BH26" s="783"/>
      <c r="BI26" s="782" t="s">
        <v>9</v>
      </c>
      <c r="BJ26" s="783"/>
      <c r="BK26" s="782" t="s">
        <v>10</v>
      </c>
      <c r="BL26" s="783"/>
      <c r="BM26" s="382"/>
      <c r="BN26" s="771" t="s">
        <v>17</v>
      </c>
      <c r="BO26" s="772"/>
      <c r="BP26" s="771" t="s">
        <v>14</v>
      </c>
      <c r="BQ26" s="772"/>
      <c r="BR26" s="729" t="s">
        <v>16</v>
      </c>
      <c r="BS26" s="730"/>
      <c r="BT26" s="729" t="s">
        <v>16</v>
      </c>
      <c r="BU26" s="730"/>
      <c r="BV26" s="773" t="s">
        <v>54</v>
      </c>
      <c r="BW26" s="774"/>
      <c r="BY26" s="775"/>
      <c r="BZ26" s="8"/>
      <c r="CA26" s="129" t="s">
        <v>7</v>
      </c>
      <c r="CB26" s="8"/>
      <c r="CC26" s="129" t="s">
        <v>7</v>
      </c>
      <c r="CD26" s="129" t="s">
        <v>9</v>
      </c>
      <c r="CE26" s="130" t="s">
        <v>10</v>
      </c>
      <c r="CF26" s="8"/>
      <c r="CG26" s="129" t="s">
        <v>17</v>
      </c>
      <c r="CH26" s="129" t="s">
        <v>14</v>
      </c>
      <c r="CI26" s="129" t="s">
        <v>16</v>
      </c>
      <c r="CJ26" s="129" t="s">
        <v>16</v>
      </c>
      <c r="CK26" s="130" t="s">
        <v>54</v>
      </c>
    </row>
    <row r="27" spans="1:89" customFormat="1" ht="13.5" thickBot="1">
      <c r="B27" s="87"/>
      <c r="G27" s="17"/>
      <c r="H27" s="206"/>
      <c r="I27" s="428"/>
      <c r="J27" s="16"/>
      <c r="K27" s="17"/>
      <c r="M27" s="16"/>
      <c r="T27" s="16"/>
      <c r="Y27" s="441"/>
      <c r="AD27" s="1"/>
      <c r="AE27" s="18"/>
      <c r="AG27" s="16"/>
      <c r="AH27" s="17"/>
      <c r="AJ27" s="16"/>
      <c r="AO27" s="17"/>
      <c r="AQ27" s="16"/>
      <c r="AR27" s="17"/>
      <c r="AS27" s="16"/>
      <c r="AT27" s="17"/>
      <c r="AV27" s="17"/>
      <c r="AX27" s="17"/>
      <c r="AZ27" s="17"/>
      <c r="BB27" s="18"/>
      <c r="BD27" s="16"/>
      <c r="BE27" s="17"/>
      <c r="BG27" s="383"/>
      <c r="BH27" s="363"/>
      <c r="BI27" s="363"/>
      <c r="BJ27" s="363"/>
      <c r="BK27" s="363"/>
      <c r="BL27" s="362"/>
      <c r="BM27" s="384"/>
      <c r="BN27" s="383"/>
      <c r="BO27" s="362"/>
      <c r="BP27" s="383"/>
      <c r="BQ27" s="362"/>
      <c r="BR27" s="363"/>
      <c r="BS27" s="362"/>
      <c r="BT27" s="363"/>
      <c r="BU27" s="362"/>
      <c r="BV27" s="363"/>
      <c r="BW27" s="362"/>
      <c r="BY27" s="131"/>
      <c r="CA27" s="16"/>
      <c r="CC27" s="16"/>
      <c r="CG27" s="131"/>
    </row>
    <row r="28" spans="1:89" ht="38.25">
      <c r="B28" s="337" t="s">
        <v>19</v>
      </c>
      <c r="C28" s="335" t="s">
        <v>698</v>
      </c>
      <c r="D28" s="336" t="s">
        <v>1</v>
      </c>
      <c r="E28" s="336" t="s">
        <v>127</v>
      </c>
      <c r="F28" s="335" t="s">
        <v>2</v>
      </c>
      <c r="G28" s="335" t="s">
        <v>11</v>
      </c>
      <c r="H28" s="338" t="s">
        <v>122</v>
      </c>
      <c r="I28" s="411"/>
      <c r="J28" s="15" t="s">
        <v>118</v>
      </c>
      <c r="K28" s="23" t="s">
        <v>28</v>
      </c>
      <c r="L28" s="11"/>
      <c r="M28" s="339" t="s">
        <v>118</v>
      </c>
      <c r="N28" s="340" t="s">
        <v>29</v>
      </c>
      <c r="O28" s="339" t="s">
        <v>118</v>
      </c>
      <c r="P28" s="342" t="s">
        <v>29</v>
      </c>
      <c r="Q28" s="339" t="s">
        <v>118</v>
      </c>
      <c r="R28" s="343" t="s">
        <v>29</v>
      </c>
      <c r="S28" s="11"/>
      <c r="T28" s="339" t="s">
        <v>118</v>
      </c>
      <c r="U28" s="342" t="s">
        <v>29</v>
      </c>
      <c r="V28" s="339" t="s">
        <v>118</v>
      </c>
      <c r="W28" s="342" t="s">
        <v>29</v>
      </c>
      <c r="X28" s="339" t="s">
        <v>118</v>
      </c>
      <c r="Y28" s="442" t="s">
        <v>29</v>
      </c>
      <c r="Z28" s="15" t="s">
        <v>118</v>
      </c>
      <c r="AA28" s="68" t="s">
        <v>29</v>
      </c>
      <c r="AB28" s="15" t="s">
        <v>118</v>
      </c>
      <c r="AC28" s="72" t="s">
        <v>29</v>
      </c>
      <c r="AD28" s="1"/>
      <c r="AE28" s="335" t="s">
        <v>43</v>
      </c>
      <c r="AF28" s="11"/>
      <c r="AG28" s="15" t="s">
        <v>44</v>
      </c>
      <c r="AH28" s="23" t="s">
        <v>45</v>
      </c>
      <c r="AI28" s="11"/>
      <c r="AJ28" s="339" t="s">
        <v>44</v>
      </c>
      <c r="AK28" s="344" t="s">
        <v>45</v>
      </c>
      <c r="AL28" s="339" t="s">
        <v>44</v>
      </c>
      <c r="AM28" s="344" t="s">
        <v>45</v>
      </c>
      <c r="AN28" s="339" t="s">
        <v>44</v>
      </c>
      <c r="AO28" s="344" t="s">
        <v>45</v>
      </c>
      <c r="AP28" s="11"/>
      <c r="AQ28" s="339" t="s">
        <v>44</v>
      </c>
      <c r="AR28" s="344" t="s">
        <v>45</v>
      </c>
      <c r="AS28" s="339" t="s">
        <v>44</v>
      </c>
      <c r="AT28" s="344" t="s">
        <v>45</v>
      </c>
      <c r="AU28" s="339" t="s">
        <v>44</v>
      </c>
      <c r="AV28" s="344" t="s">
        <v>45</v>
      </c>
      <c r="AW28" s="15" t="s">
        <v>44</v>
      </c>
      <c r="AX28" s="23" t="s">
        <v>45</v>
      </c>
      <c r="AY28" s="15" t="s">
        <v>44</v>
      </c>
      <c r="AZ28" s="23" t="s">
        <v>45</v>
      </c>
      <c r="BB28" s="20" t="s">
        <v>122</v>
      </c>
      <c r="BD28" s="15" t="s">
        <v>118</v>
      </c>
      <c r="BE28" s="23" t="s">
        <v>28</v>
      </c>
      <c r="BF28" s="11"/>
      <c r="BG28" s="385" t="s">
        <v>118</v>
      </c>
      <c r="BH28" s="386" t="s">
        <v>29</v>
      </c>
      <c r="BI28" s="385" t="s">
        <v>118</v>
      </c>
      <c r="BJ28" s="386" t="s">
        <v>29</v>
      </c>
      <c r="BK28" s="385" t="s">
        <v>118</v>
      </c>
      <c r="BL28" s="386" t="s">
        <v>29</v>
      </c>
      <c r="BM28" s="382"/>
      <c r="BN28" s="385" t="s">
        <v>118</v>
      </c>
      <c r="BO28" s="386" t="s">
        <v>29</v>
      </c>
      <c r="BP28" s="385" t="s">
        <v>118</v>
      </c>
      <c r="BQ28" s="386" t="s">
        <v>29</v>
      </c>
      <c r="BR28" s="385" t="s">
        <v>118</v>
      </c>
      <c r="BS28" s="386" t="s">
        <v>29</v>
      </c>
      <c r="BT28" s="365" t="s">
        <v>118</v>
      </c>
      <c r="BU28" s="364" t="s">
        <v>29</v>
      </c>
      <c r="BV28" s="365" t="s">
        <v>118</v>
      </c>
      <c r="BW28" s="364" t="s">
        <v>29</v>
      </c>
      <c r="BY28" s="132" t="s">
        <v>122</v>
      </c>
      <c r="BZ28" s="11"/>
      <c r="CA28" s="15" t="s">
        <v>376</v>
      </c>
      <c r="CB28" s="11"/>
      <c r="CC28" s="339" t="s">
        <v>377</v>
      </c>
      <c r="CD28" s="339" t="s">
        <v>378</v>
      </c>
      <c r="CE28" s="339" t="s">
        <v>378</v>
      </c>
      <c r="CF28" s="341"/>
      <c r="CG28" s="339" t="s">
        <v>378</v>
      </c>
      <c r="CH28" s="339" t="s">
        <v>378</v>
      </c>
      <c r="CI28" s="339" t="s">
        <v>378</v>
      </c>
      <c r="CJ28" s="15" t="s">
        <v>378</v>
      </c>
      <c r="CK28" s="15" t="s">
        <v>378</v>
      </c>
    </row>
    <row r="29" spans="1:89" s="2" customFormat="1">
      <c r="A29" s="196" t="s">
        <v>1194</v>
      </c>
      <c r="B29" s="409" t="s">
        <v>675</v>
      </c>
      <c r="C29" s="211" t="s">
        <v>521</v>
      </c>
      <c r="D29" s="41">
        <v>239</v>
      </c>
      <c r="E29" s="41">
        <v>3.75</v>
      </c>
      <c r="F29" s="41" t="s">
        <v>507</v>
      </c>
      <c r="G29" s="413">
        <v>24</v>
      </c>
      <c r="H29" s="414">
        <v>238.84297520661158</v>
      </c>
      <c r="I29" s="321"/>
      <c r="J29" s="40" t="s">
        <v>3</v>
      </c>
      <c r="K29" s="36" t="s">
        <v>3</v>
      </c>
      <c r="L29" s="37"/>
      <c r="M29" s="35" t="s">
        <v>3</v>
      </c>
      <c r="N29" s="136" t="s">
        <v>3</v>
      </c>
      <c r="O29" s="35" t="s">
        <v>3</v>
      </c>
      <c r="P29" s="136" t="s">
        <v>3</v>
      </c>
      <c r="Q29" s="37" t="s">
        <v>3</v>
      </c>
      <c r="R29" s="136" t="s">
        <v>3</v>
      </c>
      <c r="S29" s="37"/>
      <c r="T29" s="35">
        <v>0</v>
      </c>
      <c r="U29" s="136">
        <v>8.1</v>
      </c>
      <c r="V29" s="35">
        <v>0</v>
      </c>
      <c r="W29" s="136">
        <v>7.1000000000000005</v>
      </c>
      <c r="X29" s="35">
        <v>0</v>
      </c>
      <c r="Y29" s="149">
        <v>4</v>
      </c>
      <c r="Z29" s="35">
        <v>0</v>
      </c>
      <c r="AA29" s="136">
        <v>4</v>
      </c>
      <c r="AB29" s="35">
        <v>0</v>
      </c>
      <c r="AC29" s="136">
        <v>4</v>
      </c>
      <c r="AD29" s="37"/>
      <c r="AE29" s="40">
        <v>0</v>
      </c>
      <c r="AF29" s="65"/>
      <c r="AG29" s="35">
        <v>0</v>
      </c>
      <c r="AH29" s="36">
        <v>0</v>
      </c>
      <c r="AI29" s="37"/>
      <c r="AJ29" s="35" t="s">
        <v>3</v>
      </c>
      <c r="AK29" s="36" t="s">
        <v>3</v>
      </c>
      <c r="AL29" s="35" t="s">
        <v>3</v>
      </c>
      <c r="AM29" s="36" t="s">
        <v>3</v>
      </c>
      <c r="AN29" s="35" t="s">
        <v>3</v>
      </c>
      <c r="AO29" s="36" t="s">
        <v>3</v>
      </c>
      <c r="AP29" s="37"/>
      <c r="AQ29" s="35">
        <v>45</v>
      </c>
      <c r="AR29" s="36">
        <v>194.39999999999998</v>
      </c>
      <c r="AS29" s="35">
        <v>69</v>
      </c>
      <c r="AT29" s="36">
        <v>170.4</v>
      </c>
      <c r="AU29" s="35">
        <v>143</v>
      </c>
      <c r="AV29" s="36">
        <v>96</v>
      </c>
      <c r="AW29" s="35">
        <v>143</v>
      </c>
      <c r="AX29" s="36">
        <v>96</v>
      </c>
      <c r="AY29" s="35">
        <v>143</v>
      </c>
      <c r="AZ29" s="36">
        <v>96</v>
      </c>
      <c r="BB29" s="40">
        <v>0</v>
      </c>
      <c r="BC29" s="65"/>
      <c r="BD29" s="35">
        <v>0</v>
      </c>
      <c r="BE29" s="36">
        <v>0</v>
      </c>
      <c r="BF29" s="37"/>
      <c r="BG29" s="415">
        <v>0</v>
      </c>
      <c r="BH29" s="353">
        <v>0</v>
      </c>
      <c r="BI29" s="415">
        <v>0</v>
      </c>
      <c r="BJ29" s="353">
        <v>0</v>
      </c>
      <c r="BK29" s="415">
        <v>0</v>
      </c>
      <c r="BL29" s="353">
        <v>0</v>
      </c>
      <c r="BM29" s="416"/>
      <c r="BN29" s="415">
        <v>0</v>
      </c>
      <c r="BO29" s="353">
        <v>0</v>
      </c>
      <c r="BP29" s="415">
        <v>0</v>
      </c>
      <c r="BQ29" s="353">
        <v>0</v>
      </c>
      <c r="BR29" s="415">
        <v>0</v>
      </c>
      <c r="BS29" s="353">
        <v>-1.8000000000000007</v>
      </c>
      <c r="BT29" s="415">
        <v>0</v>
      </c>
      <c r="BU29" s="353">
        <v>0</v>
      </c>
      <c r="BV29" s="415">
        <v>0</v>
      </c>
      <c r="BW29" s="353">
        <v>0</v>
      </c>
      <c r="BY29" s="80"/>
      <c r="BZ29" s="65"/>
      <c r="CA29" s="40" t="s">
        <v>3</v>
      </c>
      <c r="CB29" s="65"/>
      <c r="CC29" s="40" t="s">
        <v>3</v>
      </c>
      <c r="CD29" s="40" t="s">
        <v>3</v>
      </c>
      <c r="CE29" s="40" t="s">
        <v>3</v>
      </c>
      <c r="CF29" s="65"/>
      <c r="CG29" s="40">
        <v>-44.442975206611607</v>
      </c>
      <c r="CH29" s="40">
        <v>-68.442975206611578</v>
      </c>
      <c r="CI29" s="40">
        <v>-142.84297520661158</v>
      </c>
      <c r="CJ29" s="40">
        <v>-142.84297520661158</v>
      </c>
      <c r="CK29" s="40">
        <v>-142.84297520661158</v>
      </c>
    </row>
    <row r="30" spans="1:89" s="2" customFormat="1">
      <c r="A30" s="196" t="s">
        <v>1188</v>
      </c>
      <c r="B30" s="211" t="s">
        <v>21</v>
      </c>
      <c r="C30" s="211" t="s">
        <v>516</v>
      </c>
      <c r="D30" s="41">
        <v>74</v>
      </c>
      <c r="E30" s="41">
        <v>1.1000000000000001</v>
      </c>
      <c r="F30" s="41" t="s">
        <v>507</v>
      </c>
      <c r="G30" s="413">
        <v>24</v>
      </c>
      <c r="H30" s="414">
        <v>73.553719008264466</v>
      </c>
      <c r="I30" s="321"/>
      <c r="J30" s="40" t="s">
        <v>3</v>
      </c>
      <c r="K30" s="36" t="s">
        <v>3</v>
      </c>
      <c r="L30" s="37"/>
      <c r="M30" s="35">
        <v>0</v>
      </c>
      <c r="N30" s="136">
        <v>2.5</v>
      </c>
      <c r="O30" s="35">
        <v>0</v>
      </c>
      <c r="P30" s="136">
        <v>0.30000000000000004</v>
      </c>
      <c r="Q30" s="37">
        <v>0</v>
      </c>
      <c r="R30" s="136">
        <v>0.30000000000000004</v>
      </c>
      <c r="S30" s="37"/>
      <c r="T30" s="35">
        <v>0</v>
      </c>
      <c r="U30" s="136">
        <v>1.7000000000000002</v>
      </c>
      <c r="V30" s="35">
        <v>0</v>
      </c>
      <c r="W30" s="136">
        <v>1.7000000000000002</v>
      </c>
      <c r="X30" s="35">
        <v>0</v>
      </c>
      <c r="Y30" s="149">
        <v>1.7000000000000002</v>
      </c>
      <c r="Z30" s="35">
        <v>0</v>
      </c>
      <c r="AA30" s="136">
        <v>1.7000000000000002</v>
      </c>
      <c r="AB30" s="37">
        <v>0</v>
      </c>
      <c r="AC30" s="136">
        <v>1.7000000000000002</v>
      </c>
      <c r="AD30" s="37"/>
      <c r="AE30" s="40">
        <v>0</v>
      </c>
      <c r="AF30" s="65"/>
      <c r="AG30" s="35">
        <v>0</v>
      </c>
      <c r="AH30" s="36">
        <v>0</v>
      </c>
      <c r="AI30" s="37"/>
      <c r="AJ30" s="35">
        <v>14</v>
      </c>
      <c r="AK30" s="36">
        <v>60</v>
      </c>
      <c r="AL30" s="35">
        <v>67</v>
      </c>
      <c r="AM30" s="36">
        <v>7.2000000000000011</v>
      </c>
      <c r="AN30" s="37">
        <v>67</v>
      </c>
      <c r="AO30" s="36">
        <v>7.2000000000000011</v>
      </c>
      <c r="AP30" s="37"/>
      <c r="AQ30" s="35">
        <v>33</v>
      </c>
      <c r="AR30" s="36">
        <v>40.800000000000004</v>
      </c>
      <c r="AS30" s="35">
        <v>33</v>
      </c>
      <c r="AT30" s="36">
        <v>40.800000000000004</v>
      </c>
      <c r="AU30" s="37">
        <v>33</v>
      </c>
      <c r="AV30" s="36">
        <v>40.800000000000004</v>
      </c>
      <c r="AW30" s="37">
        <v>33</v>
      </c>
      <c r="AX30" s="36">
        <v>40.800000000000004</v>
      </c>
      <c r="AY30" s="37">
        <v>33</v>
      </c>
      <c r="AZ30" s="36">
        <v>40.800000000000004</v>
      </c>
      <c r="BB30" s="40">
        <v>0</v>
      </c>
      <c r="BC30" s="65"/>
      <c r="BD30" s="35">
        <v>0</v>
      </c>
      <c r="BE30" s="36">
        <v>0</v>
      </c>
      <c r="BF30" s="37"/>
      <c r="BG30" s="415">
        <v>0</v>
      </c>
      <c r="BH30" s="353">
        <v>1.7999999999999998</v>
      </c>
      <c r="BI30" s="415">
        <v>0</v>
      </c>
      <c r="BJ30" s="353">
        <v>0</v>
      </c>
      <c r="BK30" s="415">
        <v>0</v>
      </c>
      <c r="BL30" s="353">
        <v>0</v>
      </c>
      <c r="BM30" s="416"/>
      <c r="BN30" s="415">
        <v>0</v>
      </c>
      <c r="BO30" s="353">
        <v>0</v>
      </c>
      <c r="BP30" s="415">
        <v>0</v>
      </c>
      <c r="BQ30" s="353">
        <v>0</v>
      </c>
      <c r="BR30" s="415">
        <v>0</v>
      </c>
      <c r="BS30" s="353">
        <v>0</v>
      </c>
      <c r="BT30" s="415">
        <v>0</v>
      </c>
      <c r="BU30" s="353">
        <v>0</v>
      </c>
      <c r="BV30" s="415">
        <v>0</v>
      </c>
      <c r="BW30" s="353">
        <v>0</v>
      </c>
      <c r="BY30" s="80"/>
      <c r="BZ30" s="65"/>
      <c r="CA30" s="40" t="s">
        <v>3</v>
      </c>
      <c r="CB30" s="65"/>
      <c r="CC30" s="40">
        <v>-13.553719008264466</v>
      </c>
      <c r="CD30" s="40">
        <v>-66.353719008264463</v>
      </c>
      <c r="CE30" s="40">
        <v>-66.353719008264463</v>
      </c>
      <c r="CF30" s="65"/>
      <c r="CG30" s="40">
        <v>-32.753719008264461</v>
      </c>
      <c r="CH30" s="40">
        <v>-32.753719008264461</v>
      </c>
      <c r="CI30" s="40">
        <v>-32.753719008264461</v>
      </c>
      <c r="CJ30" s="40">
        <v>-32.753719008264461</v>
      </c>
      <c r="CK30" s="40">
        <v>-32.753719008264461</v>
      </c>
    </row>
    <row r="31" spans="1:89" s="2" customFormat="1">
      <c r="A31" s="196" t="s">
        <v>1189</v>
      </c>
      <c r="B31" s="211" t="s">
        <v>21</v>
      </c>
      <c r="C31" s="211" t="s">
        <v>523</v>
      </c>
      <c r="D31" s="41">
        <v>74</v>
      </c>
      <c r="E31" s="41">
        <v>1.1000000000000001</v>
      </c>
      <c r="F31" s="22" t="s">
        <v>507</v>
      </c>
      <c r="G31" s="40">
        <v>24</v>
      </c>
      <c r="H31" s="388">
        <v>74.380165289256198</v>
      </c>
      <c r="I31" s="321"/>
      <c r="J31" s="40" t="s">
        <v>3</v>
      </c>
      <c r="K31" s="36" t="s">
        <v>3</v>
      </c>
      <c r="L31" s="37"/>
      <c r="M31" s="35">
        <v>0</v>
      </c>
      <c r="N31" s="136">
        <v>2.5</v>
      </c>
      <c r="O31" s="35">
        <v>0</v>
      </c>
      <c r="P31" s="136">
        <v>0.30000000000000004</v>
      </c>
      <c r="Q31" s="37">
        <v>0</v>
      </c>
      <c r="R31" s="136">
        <v>0.30000000000000004</v>
      </c>
      <c r="S31" s="37"/>
      <c r="T31" s="35">
        <v>0</v>
      </c>
      <c r="U31" s="136">
        <v>1.7000000000000002</v>
      </c>
      <c r="V31" s="35">
        <v>0</v>
      </c>
      <c r="W31" s="136">
        <v>1.7000000000000002</v>
      </c>
      <c r="X31" s="35">
        <v>0</v>
      </c>
      <c r="Y31" s="149">
        <v>1.7000000000000002</v>
      </c>
      <c r="Z31" s="35">
        <v>0</v>
      </c>
      <c r="AA31" s="136">
        <v>1.7000000000000002</v>
      </c>
      <c r="AB31" s="37">
        <v>0</v>
      </c>
      <c r="AC31" s="136">
        <v>1.7000000000000002</v>
      </c>
      <c r="AD31" s="37"/>
      <c r="AE31" s="40">
        <v>0</v>
      </c>
      <c r="AF31" s="65"/>
      <c r="AG31" s="35">
        <v>0</v>
      </c>
      <c r="AH31" s="36">
        <v>0</v>
      </c>
      <c r="AI31" s="37"/>
      <c r="AJ31" s="35">
        <v>14</v>
      </c>
      <c r="AK31" s="36">
        <v>60</v>
      </c>
      <c r="AL31" s="35">
        <v>67</v>
      </c>
      <c r="AM31" s="36">
        <v>7.2000000000000011</v>
      </c>
      <c r="AN31" s="35">
        <v>67</v>
      </c>
      <c r="AO31" s="36">
        <v>7.2000000000000011</v>
      </c>
      <c r="AP31" s="37"/>
      <c r="AQ31" s="35">
        <v>33</v>
      </c>
      <c r="AR31" s="36">
        <v>40.800000000000004</v>
      </c>
      <c r="AS31" s="35">
        <v>33</v>
      </c>
      <c r="AT31" s="36">
        <v>40.800000000000004</v>
      </c>
      <c r="AU31" s="35">
        <v>33</v>
      </c>
      <c r="AV31" s="36">
        <v>40.800000000000004</v>
      </c>
      <c r="AW31" s="35">
        <v>33</v>
      </c>
      <c r="AX31" s="36">
        <v>40.800000000000004</v>
      </c>
      <c r="AY31" s="35">
        <v>33</v>
      </c>
      <c r="AZ31" s="36">
        <v>40.800000000000004</v>
      </c>
      <c r="BB31" s="40">
        <v>0</v>
      </c>
      <c r="BC31" s="65"/>
      <c r="BD31" s="35">
        <v>0</v>
      </c>
      <c r="BE31" s="36">
        <v>0</v>
      </c>
      <c r="BF31" s="37"/>
      <c r="BG31" s="415">
        <v>0</v>
      </c>
      <c r="BH31" s="353">
        <v>1.7999999999999998</v>
      </c>
      <c r="BI31" s="415">
        <v>0</v>
      </c>
      <c r="BJ31" s="353">
        <v>0</v>
      </c>
      <c r="BK31" s="415">
        <v>0</v>
      </c>
      <c r="BL31" s="353">
        <v>0</v>
      </c>
      <c r="BM31" s="416"/>
      <c r="BN31" s="415">
        <v>0</v>
      </c>
      <c r="BO31" s="353">
        <v>0</v>
      </c>
      <c r="BP31" s="415">
        <v>0</v>
      </c>
      <c r="BQ31" s="353">
        <v>0</v>
      </c>
      <c r="BR31" s="415">
        <v>0</v>
      </c>
      <c r="BS31" s="353">
        <v>0</v>
      </c>
      <c r="BT31" s="415">
        <v>0</v>
      </c>
      <c r="BU31" s="353">
        <v>0</v>
      </c>
      <c r="BV31" s="415">
        <v>0</v>
      </c>
      <c r="BW31" s="353">
        <v>0</v>
      </c>
      <c r="BY31" s="80"/>
      <c r="BZ31" s="65"/>
      <c r="CA31" s="40" t="s">
        <v>3</v>
      </c>
      <c r="CB31" s="65"/>
      <c r="CC31" s="40">
        <v>-14.380165289256198</v>
      </c>
      <c r="CD31" s="40">
        <v>-67.180165289256195</v>
      </c>
      <c r="CE31" s="40">
        <v>-67.180165289256195</v>
      </c>
      <c r="CF31" s="65"/>
      <c r="CG31" s="40">
        <v>-33.580165289256193</v>
      </c>
      <c r="CH31" s="40">
        <v>-33.580165289256193</v>
      </c>
      <c r="CI31" s="40">
        <v>-33.580165289256193</v>
      </c>
      <c r="CJ31" s="40">
        <v>-33.580165289256193</v>
      </c>
      <c r="CK31" s="40">
        <v>-33.580165289256193</v>
      </c>
    </row>
    <row r="32" spans="1:89" s="2" customFormat="1">
      <c r="A32" s="196" t="s">
        <v>1192</v>
      </c>
      <c r="B32" s="211" t="s">
        <v>21</v>
      </c>
      <c r="C32" s="211" t="s">
        <v>512</v>
      </c>
      <c r="D32" s="41">
        <v>64</v>
      </c>
      <c r="E32" s="41">
        <v>1.1000000000000001</v>
      </c>
      <c r="F32" s="41" t="s">
        <v>507</v>
      </c>
      <c r="G32" s="413">
        <v>24</v>
      </c>
      <c r="H32" s="414">
        <v>63.63636363636364</v>
      </c>
      <c r="I32" s="321"/>
      <c r="J32" s="40" t="s">
        <v>3</v>
      </c>
      <c r="K32" s="36" t="s">
        <v>3</v>
      </c>
      <c r="L32" s="37"/>
      <c r="M32" s="35" t="s">
        <v>3</v>
      </c>
      <c r="N32" s="136" t="s">
        <v>3</v>
      </c>
      <c r="O32" s="35" t="s">
        <v>3</v>
      </c>
      <c r="P32" s="136" t="s">
        <v>3</v>
      </c>
      <c r="Q32" s="37" t="s">
        <v>3</v>
      </c>
      <c r="R32" s="136" t="s">
        <v>3</v>
      </c>
      <c r="S32" s="37"/>
      <c r="T32" s="35">
        <v>0</v>
      </c>
      <c r="U32" s="136">
        <v>1.3</v>
      </c>
      <c r="V32" s="35">
        <v>0</v>
      </c>
      <c r="W32" s="136">
        <v>1.3</v>
      </c>
      <c r="X32" s="35">
        <v>0</v>
      </c>
      <c r="Y32" s="149">
        <v>0</v>
      </c>
      <c r="Z32" s="35">
        <v>0</v>
      </c>
      <c r="AA32" s="136">
        <v>0</v>
      </c>
      <c r="AB32" s="37">
        <v>0</v>
      </c>
      <c r="AC32" s="136">
        <v>0</v>
      </c>
      <c r="AD32" s="37"/>
      <c r="AE32" s="40">
        <v>0</v>
      </c>
      <c r="AF32" s="65"/>
      <c r="AG32" s="35">
        <v>0</v>
      </c>
      <c r="AH32" s="36">
        <v>0</v>
      </c>
      <c r="AI32" s="37"/>
      <c r="AJ32" s="35" t="s">
        <v>3</v>
      </c>
      <c r="AK32" s="36" t="s">
        <v>3</v>
      </c>
      <c r="AL32" s="35" t="s">
        <v>3</v>
      </c>
      <c r="AM32" s="36" t="s">
        <v>3</v>
      </c>
      <c r="AN32" s="37" t="s">
        <v>3</v>
      </c>
      <c r="AO32" s="36" t="s">
        <v>3</v>
      </c>
      <c r="AP32" s="37"/>
      <c r="AQ32" s="35">
        <v>33</v>
      </c>
      <c r="AR32" s="36">
        <v>31.200000000000003</v>
      </c>
      <c r="AS32" s="35">
        <v>33</v>
      </c>
      <c r="AT32" s="36">
        <v>31.200000000000003</v>
      </c>
      <c r="AU32" s="37">
        <v>64</v>
      </c>
      <c r="AV32" s="36">
        <v>0</v>
      </c>
      <c r="AW32" s="37">
        <v>64</v>
      </c>
      <c r="AX32" s="36">
        <v>0</v>
      </c>
      <c r="AY32" s="37">
        <v>64</v>
      </c>
      <c r="AZ32" s="36">
        <v>0</v>
      </c>
      <c r="BB32" s="40">
        <v>0</v>
      </c>
      <c r="BC32" s="65"/>
      <c r="BD32" s="35">
        <v>0</v>
      </c>
      <c r="BE32" s="36">
        <v>0</v>
      </c>
      <c r="BF32" s="37"/>
      <c r="BG32" s="415">
        <v>0</v>
      </c>
      <c r="BH32" s="353">
        <v>0</v>
      </c>
      <c r="BI32" s="415">
        <v>0</v>
      </c>
      <c r="BJ32" s="353">
        <v>0</v>
      </c>
      <c r="BK32" s="415">
        <v>0</v>
      </c>
      <c r="BL32" s="353">
        <v>0</v>
      </c>
      <c r="BM32" s="416"/>
      <c r="BN32" s="415">
        <v>0</v>
      </c>
      <c r="BO32" s="353">
        <v>0</v>
      </c>
      <c r="BP32" s="415">
        <v>0</v>
      </c>
      <c r="BQ32" s="353">
        <v>0</v>
      </c>
      <c r="BR32" s="415">
        <v>0</v>
      </c>
      <c r="BS32" s="353">
        <v>-1.3</v>
      </c>
      <c r="BT32" s="415">
        <v>0</v>
      </c>
      <c r="BU32" s="353">
        <v>0</v>
      </c>
      <c r="BV32" s="415">
        <v>0</v>
      </c>
      <c r="BW32" s="353">
        <v>0</v>
      </c>
      <c r="BY32" s="80"/>
      <c r="BZ32" s="65"/>
      <c r="CA32" s="40" t="s">
        <v>3</v>
      </c>
      <c r="CB32" s="65"/>
      <c r="CC32" s="40" t="s">
        <v>3</v>
      </c>
      <c r="CD32" s="40" t="s">
        <v>3</v>
      </c>
      <c r="CE32" s="40" t="s">
        <v>3</v>
      </c>
      <c r="CF32" s="65"/>
      <c r="CG32" s="40">
        <v>-32.436363636363637</v>
      </c>
      <c r="CH32" s="40">
        <v>-32.436363636363637</v>
      </c>
      <c r="CI32" s="40">
        <v>-63.63636363636364</v>
      </c>
      <c r="CJ32" s="40">
        <v>-63.63636363636364</v>
      </c>
      <c r="CK32" s="40">
        <v>-63.63636363636364</v>
      </c>
    </row>
    <row r="33" spans="1:89" s="2" customFormat="1">
      <c r="A33" s="196" t="s">
        <v>1190</v>
      </c>
      <c r="B33" s="211" t="s">
        <v>21</v>
      </c>
      <c r="C33" s="211" t="s">
        <v>676</v>
      </c>
      <c r="D33" s="41">
        <v>70</v>
      </c>
      <c r="E33" s="41">
        <v>1.1000000000000001</v>
      </c>
      <c r="F33" s="41" t="s">
        <v>507</v>
      </c>
      <c r="G33" s="41">
        <v>24</v>
      </c>
      <c r="H33" s="414">
        <v>69.421487603305792</v>
      </c>
      <c r="I33" s="321"/>
      <c r="J33" s="40" t="s">
        <v>3</v>
      </c>
      <c r="K33" s="36" t="s">
        <v>3</v>
      </c>
      <c r="L33" s="37"/>
      <c r="M33" s="35" t="s">
        <v>3</v>
      </c>
      <c r="N33" s="136" t="s">
        <v>3</v>
      </c>
      <c r="O33" s="35" t="s">
        <v>3</v>
      </c>
      <c r="P33" s="136" t="s">
        <v>3</v>
      </c>
      <c r="Q33" s="37" t="s">
        <v>3</v>
      </c>
      <c r="R33" s="136" t="s">
        <v>3</v>
      </c>
      <c r="S33" s="37"/>
      <c r="T33" s="35">
        <v>0</v>
      </c>
      <c r="U33" s="136">
        <v>0.9</v>
      </c>
      <c r="V33" s="35">
        <v>0</v>
      </c>
      <c r="W33" s="136">
        <v>0.9</v>
      </c>
      <c r="X33" s="35">
        <v>0</v>
      </c>
      <c r="Y33" s="149">
        <v>0</v>
      </c>
      <c r="Z33" s="35">
        <v>0</v>
      </c>
      <c r="AA33" s="136">
        <v>0</v>
      </c>
      <c r="AB33" s="37">
        <v>0</v>
      </c>
      <c r="AC33" s="136">
        <v>0</v>
      </c>
      <c r="AD33" s="37"/>
      <c r="AE33" s="40">
        <v>1</v>
      </c>
      <c r="AF33" s="65"/>
      <c r="AG33" s="35">
        <v>0</v>
      </c>
      <c r="AH33" s="36">
        <v>0</v>
      </c>
      <c r="AI33" s="37"/>
      <c r="AJ33" s="35" t="s">
        <v>3</v>
      </c>
      <c r="AK33" s="36" t="s">
        <v>3</v>
      </c>
      <c r="AL33" s="35" t="s">
        <v>3</v>
      </c>
      <c r="AM33" s="36" t="s">
        <v>3</v>
      </c>
      <c r="AN33" s="35" t="s">
        <v>3</v>
      </c>
      <c r="AO33" s="36" t="s">
        <v>3</v>
      </c>
      <c r="AP33" s="37"/>
      <c r="AQ33" s="35">
        <v>48</v>
      </c>
      <c r="AR33" s="36">
        <v>21.6</v>
      </c>
      <c r="AS33" s="35">
        <v>48</v>
      </c>
      <c r="AT33" s="36">
        <v>21.6</v>
      </c>
      <c r="AU33" s="35">
        <v>70</v>
      </c>
      <c r="AV33" s="36">
        <v>0</v>
      </c>
      <c r="AW33" s="35">
        <v>70</v>
      </c>
      <c r="AX33" s="36">
        <v>0</v>
      </c>
      <c r="AY33" s="35">
        <v>70</v>
      </c>
      <c r="AZ33" s="36">
        <v>0</v>
      </c>
      <c r="BB33" s="40">
        <v>0</v>
      </c>
      <c r="BC33" s="65"/>
      <c r="BD33" s="35">
        <v>0</v>
      </c>
      <c r="BE33" s="36">
        <v>0</v>
      </c>
      <c r="BF33" s="37"/>
      <c r="BG33" s="415">
        <v>0</v>
      </c>
      <c r="BH33" s="353">
        <v>0</v>
      </c>
      <c r="BI33" s="415">
        <v>0</v>
      </c>
      <c r="BJ33" s="353">
        <v>0</v>
      </c>
      <c r="BK33" s="415">
        <v>0</v>
      </c>
      <c r="BL33" s="353">
        <v>0</v>
      </c>
      <c r="BM33" s="416"/>
      <c r="BN33" s="415">
        <v>0</v>
      </c>
      <c r="BO33" s="353">
        <v>0</v>
      </c>
      <c r="BP33" s="415">
        <v>0</v>
      </c>
      <c r="BQ33" s="353">
        <v>0</v>
      </c>
      <c r="BR33" s="415">
        <v>0</v>
      </c>
      <c r="BS33" s="353">
        <v>-0.9</v>
      </c>
      <c r="BT33" s="415">
        <v>0</v>
      </c>
      <c r="BU33" s="353">
        <v>0</v>
      </c>
      <c r="BV33" s="415">
        <v>0</v>
      </c>
      <c r="BW33" s="353">
        <v>0</v>
      </c>
      <c r="BY33" s="80"/>
      <c r="BZ33" s="65"/>
      <c r="CA33" s="40" t="s">
        <v>3</v>
      </c>
      <c r="CB33" s="65"/>
      <c r="CC33" s="40" t="s">
        <v>3</v>
      </c>
      <c r="CD33" s="40" t="s">
        <v>3</v>
      </c>
      <c r="CE33" s="40" t="s">
        <v>3</v>
      </c>
      <c r="CF33" s="65"/>
      <c r="CG33" s="40">
        <v>-47.821487603305791</v>
      </c>
      <c r="CH33" s="40">
        <v>-47.821487603305791</v>
      </c>
      <c r="CI33" s="40">
        <v>-69.421487603305792</v>
      </c>
      <c r="CJ33" s="40">
        <v>-69.421487603305792</v>
      </c>
      <c r="CK33" s="40">
        <v>-69.421487603305792</v>
      </c>
    </row>
    <row r="34" spans="1:89" s="2" customFormat="1">
      <c r="A34" s="196" t="s">
        <v>1191</v>
      </c>
      <c r="B34" s="211" t="s">
        <v>21</v>
      </c>
      <c r="C34" s="211" t="s">
        <v>402</v>
      </c>
      <c r="D34" s="41">
        <v>137</v>
      </c>
      <c r="E34" s="41">
        <v>1.1000000000000001</v>
      </c>
      <c r="F34" s="22" t="s">
        <v>507</v>
      </c>
      <c r="G34" s="40">
        <v>24</v>
      </c>
      <c r="H34" s="388">
        <v>152.06611570247935</v>
      </c>
      <c r="I34" s="321"/>
      <c r="J34" s="40" t="s">
        <v>3</v>
      </c>
      <c r="K34" s="36" t="s">
        <v>3</v>
      </c>
      <c r="L34" s="37"/>
      <c r="M34" s="35" t="s">
        <v>3</v>
      </c>
      <c r="N34" s="136" t="s">
        <v>3</v>
      </c>
      <c r="O34" s="35" t="s">
        <v>3</v>
      </c>
      <c r="P34" s="136" t="s">
        <v>3</v>
      </c>
      <c r="Q34" s="37" t="s">
        <v>3</v>
      </c>
      <c r="R34" s="136" t="s">
        <v>3</v>
      </c>
      <c r="S34" s="37"/>
      <c r="T34" s="35">
        <v>0</v>
      </c>
      <c r="U34" s="136">
        <v>5.2</v>
      </c>
      <c r="V34" s="35">
        <v>0</v>
      </c>
      <c r="W34" s="136">
        <v>4.2</v>
      </c>
      <c r="X34" s="35">
        <v>0</v>
      </c>
      <c r="Y34" s="149">
        <v>2</v>
      </c>
      <c r="Z34" s="35">
        <v>0</v>
      </c>
      <c r="AA34" s="136">
        <v>2</v>
      </c>
      <c r="AB34" s="37">
        <v>0</v>
      </c>
      <c r="AC34" s="136">
        <v>2</v>
      </c>
      <c r="AD34" s="37"/>
      <c r="AE34" s="40">
        <v>-15</v>
      </c>
      <c r="AF34" s="65"/>
      <c r="AG34" s="35">
        <v>0</v>
      </c>
      <c r="AH34" s="36">
        <v>0</v>
      </c>
      <c r="AI34" s="37"/>
      <c r="AJ34" s="35" t="s">
        <v>3</v>
      </c>
      <c r="AK34" s="36" t="s">
        <v>3</v>
      </c>
      <c r="AL34" s="35" t="s">
        <v>3</v>
      </c>
      <c r="AM34" s="36" t="s">
        <v>3</v>
      </c>
      <c r="AN34" s="37" t="s">
        <v>3</v>
      </c>
      <c r="AO34" s="36" t="s">
        <v>3</v>
      </c>
      <c r="AP34" s="37"/>
      <c r="AQ34" s="35">
        <v>12</v>
      </c>
      <c r="AR34" s="36">
        <v>124.80000000000001</v>
      </c>
      <c r="AS34" s="35">
        <v>36</v>
      </c>
      <c r="AT34" s="36">
        <v>100.80000000000001</v>
      </c>
      <c r="AU34" s="37">
        <v>89</v>
      </c>
      <c r="AV34" s="36">
        <v>48</v>
      </c>
      <c r="AW34" s="37">
        <v>89</v>
      </c>
      <c r="AX34" s="36">
        <v>48</v>
      </c>
      <c r="AY34" s="37">
        <v>89</v>
      </c>
      <c r="AZ34" s="36">
        <v>48</v>
      </c>
      <c r="BB34" s="40">
        <v>0</v>
      </c>
      <c r="BC34" s="65"/>
      <c r="BD34" s="35">
        <v>0</v>
      </c>
      <c r="BE34" s="36">
        <v>0</v>
      </c>
      <c r="BF34" s="37"/>
      <c r="BG34" s="415">
        <v>0</v>
      </c>
      <c r="BH34" s="353">
        <v>0</v>
      </c>
      <c r="BI34" s="415">
        <v>0</v>
      </c>
      <c r="BJ34" s="353">
        <v>0</v>
      </c>
      <c r="BK34" s="415">
        <v>0</v>
      </c>
      <c r="BL34" s="353">
        <v>0</v>
      </c>
      <c r="BM34" s="416"/>
      <c r="BN34" s="415">
        <v>0</v>
      </c>
      <c r="BO34" s="353">
        <v>0</v>
      </c>
      <c r="BP34" s="415">
        <v>0</v>
      </c>
      <c r="BQ34" s="353">
        <v>0</v>
      </c>
      <c r="BR34" s="415">
        <v>0</v>
      </c>
      <c r="BS34" s="353">
        <v>-3.2</v>
      </c>
      <c r="BT34" s="415">
        <v>0</v>
      </c>
      <c r="BU34" s="353">
        <v>0</v>
      </c>
      <c r="BV34" s="415">
        <v>0</v>
      </c>
      <c r="BW34" s="353">
        <v>0</v>
      </c>
      <c r="BY34" s="80"/>
      <c r="BZ34" s="65"/>
      <c r="CA34" s="40" t="s">
        <v>3</v>
      </c>
      <c r="CB34" s="65"/>
      <c r="CC34" s="40" t="s">
        <v>3</v>
      </c>
      <c r="CD34" s="40" t="s">
        <v>3</v>
      </c>
      <c r="CE34" s="40" t="s">
        <v>3</v>
      </c>
      <c r="CF34" s="65"/>
      <c r="CG34" s="40">
        <v>-27.26611570247934</v>
      </c>
      <c r="CH34" s="40">
        <v>-51.26611570247934</v>
      </c>
      <c r="CI34" s="40">
        <v>-104.06611570247935</v>
      </c>
      <c r="CJ34" s="40">
        <v>-104.06611570247935</v>
      </c>
      <c r="CK34" s="40">
        <v>-104.06611570247935</v>
      </c>
    </row>
    <row r="35" spans="1:89" s="2" customFormat="1">
      <c r="A35" s="196" t="s">
        <v>1207</v>
      </c>
      <c r="B35" s="211" t="s">
        <v>21</v>
      </c>
      <c r="C35" s="434" t="s">
        <v>726</v>
      </c>
      <c r="D35" s="41">
        <v>115</v>
      </c>
      <c r="E35" s="41">
        <v>1.1000000000000001</v>
      </c>
      <c r="F35" s="41" t="s">
        <v>507</v>
      </c>
      <c r="G35" s="41">
        <v>24</v>
      </c>
      <c r="H35" s="414">
        <v>137</v>
      </c>
      <c r="I35" s="321"/>
      <c r="J35" s="40" t="s">
        <v>3</v>
      </c>
      <c r="K35" s="36" t="s">
        <v>3</v>
      </c>
      <c r="L35" s="37"/>
      <c r="M35" s="35" t="s">
        <v>3</v>
      </c>
      <c r="N35" s="136" t="s">
        <v>3</v>
      </c>
      <c r="O35" s="35" t="s">
        <v>3</v>
      </c>
      <c r="P35" s="136" t="s">
        <v>3</v>
      </c>
      <c r="Q35" s="37" t="s">
        <v>3</v>
      </c>
      <c r="R35" s="136" t="s">
        <v>3</v>
      </c>
      <c r="S35" s="37"/>
      <c r="T35" s="35">
        <v>0</v>
      </c>
      <c r="U35" s="136">
        <v>2</v>
      </c>
      <c r="V35" s="35">
        <v>0</v>
      </c>
      <c r="W35" s="136">
        <v>2</v>
      </c>
      <c r="X35" s="35">
        <v>0</v>
      </c>
      <c r="Y35" s="149">
        <v>2</v>
      </c>
      <c r="Z35" s="35">
        <v>0</v>
      </c>
      <c r="AA35" s="136">
        <v>2</v>
      </c>
      <c r="AB35" s="37">
        <v>0</v>
      </c>
      <c r="AC35" s="136">
        <v>2</v>
      </c>
      <c r="AD35" s="37"/>
      <c r="AE35" s="40">
        <v>115</v>
      </c>
      <c r="AF35" s="65"/>
      <c r="AG35" s="35">
        <v>0</v>
      </c>
      <c r="AH35" s="36">
        <v>0</v>
      </c>
      <c r="AI35" s="37"/>
      <c r="AJ35" s="35" t="s">
        <v>3</v>
      </c>
      <c r="AK35" s="36" t="s">
        <v>3</v>
      </c>
      <c r="AL35" s="35" t="s">
        <v>3</v>
      </c>
      <c r="AM35" s="36" t="s">
        <v>3</v>
      </c>
      <c r="AN35" s="35" t="s">
        <v>3</v>
      </c>
      <c r="AO35" s="36" t="s">
        <v>3</v>
      </c>
      <c r="AP35" s="37"/>
      <c r="AQ35" s="35">
        <v>67</v>
      </c>
      <c r="AR35" s="36">
        <v>48</v>
      </c>
      <c r="AS35" s="35">
        <v>67</v>
      </c>
      <c r="AT35" s="36">
        <v>48</v>
      </c>
      <c r="AU35" s="35">
        <v>67</v>
      </c>
      <c r="AV35" s="36">
        <v>48</v>
      </c>
      <c r="AW35" s="35">
        <v>67</v>
      </c>
      <c r="AX35" s="36">
        <v>48</v>
      </c>
      <c r="AY35" s="35">
        <v>67</v>
      </c>
      <c r="AZ35" s="36">
        <v>48</v>
      </c>
      <c r="BB35" s="40">
        <v>0</v>
      </c>
      <c r="BC35" s="65"/>
      <c r="BD35" s="35">
        <v>0</v>
      </c>
      <c r="BE35" s="36">
        <v>0</v>
      </c>
      <c r="BF35" s="37"/>
      <c r="BG35" s="415">
        <v>0</v>
      </c>
      <c r="BH35" s="353">
        <v>0</v>
      </c>
      <c r="BI35" s="415">
        <v>0</v>
      </c>
      <c r="BJ35" s="353">
        <v>0</v>
      </c>
      <c r="BK35" s="415">
        <v>0</v>
      </c>
      <c r="BL35" s="353">
        <v>0</v>
      </c>
      <c r="BM35" s="416"/>
      <c r="BN35" s="415">
        <v>0</v>
      </c>
      <c r="BO35" s="353">
        <v>0</v>
      </c>
      <c r="BP35" s="415">
        <v>0</v>
      </c>
      <c r="BQ35" s="353">
        <v>0</v>
      </c>
      <c r="BR35" s="415">
        <v>0</v>
      </c>
      <c r="BS35" s="353">
        <v>0</v>
      </c>
      <c r="BT35" s="415">
        <v>0</v>
      </c>
      <c r="BU35" s="353">
        <v>0</v>
      </c>
      <c r="BV35" s="415">
        <v>0</v>
      </c>
      <c r="BW35" s="353">
        <v>0</v>
      </c>
      <c r="BY35" s="80"/>
      <c r="BZ35" s="65"/>
      <c r="CA35" s="40" t="s">
        <v>3</v>
      </c>
      <c r="CB35" s="65"/>
      <c r="CC35" s="40" t="s">
        <v>3</v>
      </c>
      <c r="CD35" s="40" t="s">
        <v>3</v>
      </c>
      <c r="CE35" s="40" t="s">
        <v>3</v>
      </c>
      <c r="CF35" s="65"/>
      <c r="CG35" s="40">
        <v>48</v>
      </c>
      <c r="CH35" s="40">
        <v>48</v>
      </c>
      <c r="CI35" s="40">
        <v>48</v>
      </c>
      <c r="CJ35" s="40">
        <v>48</v>
      </c>
      <c r="CK35" s="40">
        <v>48</v>
      </c>
    </row>
    <row r="36" spans="1:89" s="2" customFormat="1">
      <c r="A36" s="196" t="s">
        <v>796</v>
      </c>
      <c r="B36" s="412" t="s">
        <v>675</v>
      </c>
      <c r="C36" s="211" t="s">
        <v>508</v>
      </c>
      <c r="D36" s="41">
        <v>64</v>
      </c>
      <c r="E36" s="41">
        <v>1.1000000000000001</v>
      </c>
      <c r="F36" s="41" t="s">
        <v>227</v>
      </c>
      <c r="G36" s="413">
        <v>24</v>
      </c>
      <c r="H36" s="414">
        <v>63.64</v>
      </c>
      <c r="I36" s="321"/>
      <c r="J36" s="40" t="s">
        <v>3</v>
      </c>
      <c r="K36" s="36" t="s">
        <v>3</v>
      </c>
      <c r="L36" s="37"/>
      <c r="M36" s="35">
        <v>0</v>
      </c>
      <c r="N36" s="136">
        <v>2.1</v>
      </c>
      <c r="O36" s="35">
        <v>0</v>
      </c>
      <c r="P36" s="136">
        <v>0.30000000000000004</v>
      </c>
      <c r="Q36" s="37">
        <v>0</v>
      </c>
      <c r="R36" s="136">
        <v>0.30000000000000004</v>
      </c>
      <c r="S36" s="37"/>
      <c r="T36" s="35">
        <v>0</v>
      </c>
      <c r="U36" s="136">
        <v>0.5</v>
      </c>
      <c r="V36" s="35">
        <v>0</v>
      </c>
      <c r="W36" s="136">
        <v>0.5</v>
      </c>
      <c r="X36" s="35">
        <v>0</v>
      </c>
      <c r="Y36" s="149">
        <v>0.5</v>
      </c>
      <c r="Z36" s="393">
        <v>0</v>
      </c>
      <c r="AA36" s="410">
        <v>0.4</v>
      </c>
      <c r="AB36" s="395">
        <v>0</v>
      </c>
      <c r="AC36" s="410">
        <v>0.4</v>
      </c>
      <c r="AD36" s="37"/>
      <c r="AE36" s="40">
        <v>0</v>
      </c>
      <c r="AF36" s="65"/>
      <c r="AG36" s="35">
        <v>0</v>
      </c>
      <c r="AH36" s="36">
        <v>0</v>
      </c>
      <c r="AI36" s="37"/>
      <c r="AJ36" s="35">
        <v>14</v>
      </c>
      <c r="AK36" s="36">
        <v>50.400000000000006</v>
      </c>
      <c r="AL36" s="35">
        <v>57</v>
      </c>
      <c r="AM36" s="36">
        <v>7.2000000000000011</v>
      </c>
      <c r="AN36" s="37">
        <v>57</v>
      </c>
      <c r="AO36" s="36">
        <v>7.2000000000000011</v>
      </c>
      <c r="AP36" s="37"/>
      <c r="AQ36" s="35">
        <v>52</v>
      </c>
      <c r="AR36" s="36">
        <v>12</v>
      </c>
      <c r="AS36" s="35">
        <v>52</v>
      </c>
      <c r="AT36" s="36">
        <v>12</v>
      </c>
      <c r="AU36" s="37">
        <v>52</v>
      </c>
      <c r="AV36" s="36">
        <v>12</v>
      </c>
      <c r="AW36" s="37">
        <v>54</v>
      </c>
      <c r="AX36" s="36">
        <v>9.6000000000000014</v>
      </c>
      <c r="AY36" s="37">
        <v>54</v>
      </c>
      <c r="AZ36" s="36">
        <v>9.6000000000000014</v>
      </c>
      <c r="BB36" s="40">
        <v>0</v>
      </c>
      <c r="BC36" s="65"/>
      <c r="BD36" s="35">
        <v>0</v>
      </c>
      <c r="BE36" s="36">
        <v>0</v>
      </c>
      <c r="BF36" s="37"/>
      <c r="BG36" s="415">
        <v>0</v>
      </c>
      <c r="BH36" s="353">
        <v>1.8</v>
      </c>
      <c r="BI36" s="415">
        <v>0</v>
      </c>
      <c r="BJ36" s="353">
        <v>0</v>
      </c>
      <c r="BK36" s="415">
        <v>0</v>
      </c>
      <c r="BL36" s="353">
        <v>0</v>
      </c>
      <c r="BM36" s="416"/>
      <c r="BN36" s="415">
        <v>0</v>
      </c>
      <c r="BO36" s="353">
        <v>0</v>
      </c>
      <c r="BP36" s="415">
        <v>0</v>
      </c>
      <c r="BQ36" s="353">
        <v>0</v>
      </c>
      <c r="BR36" s="415">
        <v>0</v>
      </c>
      <c r="BS36" s="353">
        <v>0</v>
      </c>
      <c r="BT36" s="415">
        <v>0</v>
      </c>
      <c r="BU36" s="353">
        <v>0</v>
      </c>
      <c r="BV36" s="415">
        <v>0</v>
      </c>
      <c r="BW36" s="353">
        <v>0</v>
      </c>
      <c r="BY36" s="80"/>
      <c r="BZ36" s="65"/>
      <c r="CA36" s="40" t="s">
        <v>3</v>
      </c>
      <c r="CB36" s="65"/>
      <c r="CC36" s="40">
        <v>-13.236363636363635</v>
      </c>
      <c r="CD36" s="40">
        <v>-56.436363636363637</v>
      </c>
      <c r="CE36" s="40">
        <v>-56.436363636363637</v>
      </c>
      <c r="CF36" s="65"/>
      <c r="CG36" s="40">
        <v>-51.63636363636364</v>
      </c>
      <c r="CH36" s="40">
        <v>-51.63636363636364</v>
      </c>
      <c r="CI36" s="40">
        <v>-51.63636363636364</v>
      </c>
      <c r="CJ36" s="40">
        <v>-54.036363636363639</v>
      </c>
      <c r="CK36" s="40">
        <v>-54.036363636363639</v>
      </c>
    </row>
    <row r="37" spans="1:89" s="2" customFormat="1">
      <c r="A37" s="196" t="s">
        <v>797</v>
      </c>
      <c r="B37" s="211" t="s">
        <v>675</v>
      </c>
      <c r="C37" s="211" t="s">
        <v>612</v>
      </c>
      <c r="D37" s="41">
        <v>77</v>
      </c>
      <c r="E37" s="41">
        <v>1.1000000000000001</v>
      </c>
      <c r="F37" s="22" t="s">
        <v>227</v>
      </c>
      <c r="G37" s="40">
        <v>24</v>
      </c>
      <c r="H37" s="388">
        <v>76.859504132231407</v>
      </c>
      <c r="I37" s="321"/>
      <c r="J37" s="40" t="s">
        <v>3</v>
      </c>
      <c r="K37" s="36" t="s">
        <v>3</v>
      </c>
      <c r="L37" s="37"/>
      <c r="M37" s="35">
        <v>0</v>
      </c>
      <c r="N37" s="136">
        <v>2.5</v>
      </c>
      <c r="O37" s="35">
        <v>0</v>
      </c>
      <c r="P37" s="136">
        <v>0.30000000000000004</v>
      </c>
      <c r="Q37" s="37">
        <v>0</v>
      </c>
      <c r="R37" s="136">
        <v>0.30000000000000004</v>
      </c>
      <c r="S37" s="37"/>
      <c r="T37" s="35">
        <v>0</v>
      </c>
      <c r="U37" s="136">
        <v>2.9000000000000004</v>
      </c>
      <c r="V37" s="35">
        <v>0</v>
      </c>
      <c r="W37" s="136">
        <v>0.9</v>
      </c>
      <c r="X37" s="35">
        <v>0</v>
      </c>
      <c r="Y37" s="149">
        <v>0.9</v>
      </c>
      <c r="Z37" s="35">
        <v>0</v>
      </c>
      <c r="AA37" s="136">
        <v>0.8</v>
      </c>
      <c r="AB37" s="37">
        <v>0</v>
      </c>
      <c r="AC37" s="136">
        <v>0.8</v>
      </c>
      <c r="AD37" s="37"/>
      <c r="AE37" s="40">
        <v>0</v>
      </c>
      <c r="AF37" s="65"/>
      <c r="AG37" s="35">
        <v>0</v>
      </c>
      <c r="AH37" s="36">
        <v>0</v>
      </c>
      <c r="AI37" s="37"/>
      <c r="AJ37" s="35">
        <v>17</v>
      </c>
      <c r="AK37" s="36">
        <v>60</v>
      </c>
      <c r="AL37" s="35">
        <v>70</v>
      </c>
      <c r="AM37" s="36">
        <v>7.2000000000000011</v>
      </c>
      <c r="AN37" s="35">
        <v>70</v>
      </c>
      <c r="AO37" s="36">
        <v>7.2000000000000011</v>
      </c>
      <c r="AP37" s="37"/>
      <c r="AQ37" s="35">
        <v>7</v>
      </c>
      <c r="AR37" s="36">
        <v>69.600000000000009</v>
      </c>
      <c r="AS37" s="35">
        <v>55</v>
      </c>
      <c r="AT37" s="36">
        <v>21.6</v>
      </c>
      <c r="AU37" s="35">
        <v>55</v>
      </c>
      <c r="AV37" s="36">
        <v>21.6</v>
      </c>
      <c r="AW37" s="35">
        <v>58</v>
      </c>
      <c r="AX37" s="36">
        <v>19.200000000000003</v>
      </c>
      <c r="AY37" s="35">
        <v>58</v>
      </c>
      <c r="AZ37" s="36">
        <v>19.200000000000003</v>
      </c>
      <c r="BB37" s="40">
        <v>0</v>
      </c>
      <c r="BC37" s="65"/>
      <c r="BD37" s="35">
        <v>0</v>
      </c>
      <c r="BE37" s="36">
        <v>0</v>
      </c>
      <c r="BF37" s="37"/>
      <c r="BG37" s="415">
        <v>0</v>
      </c>
      <c r="BH37" s="387">
        <v>1.7999999999999998</v>
      </c>
      <c r="BI37" s="415">
        <v>0</v>
      </c>
      <c r="BJ37" s="353">
        <v>0</v>
      </c>
      <c r="BK37" s="415">
        <v>0</v>
      </c>
      <c r="BL37" s="353">
        <v>0</v>
      </c>
      <c r="BM37" s="416"/>
      <c r="BN37" s="415">
        <v>0</v>
      </c>
      <c r="BO37" s="353">
        <v>0</v>
      </c>
      <c r="BP37" s="415">
        <v>0</v>
      </c>
      <c r="BQ37" s="353">
        <v>0</v>
      </c>
      <c r="BR37" s="415">
        <v>0</v>
      </c>
      <c r="BS37" s="353">
        <v>0</v>
      </c>
      <c r="BT37" s="415">
        <v>0</v>
      </c>
      <c r="BU37" s="353">
        <v>0</v>
      </c>
      <c r="BV37" s="415">
        <v>0</v>
      </c>
      <c r="BW37" s="353">
        <v>0</v>
      </c>
      <c r="BY37" s="80"/>
      <c r="BZ37" s="65"/>
      <c r="CA37" s="40" t="s">
        <v>3</v>
      </c>
      <c r="CB37" s="65"/>
      <c r="CC37" s="40">
        <v>-16.859504132231407</v>
      </c>
      <c r="CD37" s="40">
        <v>-69.659504132231405</v>
      </c>
      <c r="CE37" s="40">
        <v>-69.659504132231405</v>
      </c>
      <c r="CF37" s="65"/>
      <c r="CG37" s="40">
        <v>-7.2595041322313989</v>
      </c>
      <c r="CH37" s="40">
        <v>-55.259504132231406</v>
      </c>
      <c r="CI37" s="40">
        <v>-55.259504132231406</v>
      </c>
      <c r="CJ37" s="40">
        <v>-57.659504132231405</v>
      </c>
      <c r="CK37" s="40">
        <v>-57.659504132231405</v>
      </c>
    </row>
    <row r="38" spans="1:89" s="2" customFormat="1">
      <c r="A38" s="196" t="s">
        <v>798</v>
      </c>
      <c r="B38" s="211" t="s">
        <v>673</v>
      </c>
      <c r="C38" s="211" t="s">
        <v>560</v>
      </c>
      <c r="D38" s="41">
        <v>49</v>
      </c>
      <c r="E38" s="41">
        <v>1.1000000000000001</v>
      </c>
      <c r="F38" s="41" t="s">
        <v>227</v>
      </c>
      <c r="G38" s="413">
        <v>24</v>
      </c>
      <c r="H38" s="414">
        <v>47.107438016528924</v>
      </c>
      <c r="I38" s="321"/>
      <c r="J38" s="40" t="s">
        <v>3</v>
      </c>
      <c r="K38" s="36" t="s">
        <v>3</v>
      </c>
      <c r="L38" s="37"/>
      <c r="M38" s="35">
        <v>0</v>
      </c>
      <c r="N38" s="136">
        <v>1.5</v>
      </c>
      <c r="O38" s="35">
        <v>0</v>
      </c>
      <c r="P38" s="136">
        <v>0.30000000000000004</v>
      </c>
      <c r="Q38" s="37">
        <v>0</v>
      </c>
      <c r="R38" s="136">
        <v>0.30000000000000004</v>
      </c>
      <c r="S38" s="37"/>
      <c r="T38" s="35">
        <v>0</v>
      </c>
      <c r="U38" s="136">
        <v>0.9</v>
      </c>
      <c r="V38" s="35">
        <v>0</v>
      </c>
      <c r="W38" s="136">
        <v>0.9</v>
      </c>
      <c r="X38" s="35">
        <v>0</v>
      </c>
      <c r="Y38" s="149">
        <v>0.9</v>
      </c>
      <c r="Z38" s="35">
        <v>0</v>
      </c>
      <c r="AA38" s="136">
        <v>0.8</v>
      </c>
      <c r="AB38" s="37">
        <v>0</v>
      </c>
      <c r="AC38" s="136">
        <v>0.8</v>
      </c>
      <c r="AD38" s="37"/>
      <c r="AE38" s="40">
        <v>2</v>
      </c>
      <c r="AF38" s="65"/>
      <c r="AG38" s="35">
        <v>0</v>
      </c>
      <c r="AH38" s="36">
        <v>0</v>
      </c>
      <c r="AI38" s="37"/>
      <c r="AJ38" s="35">
        <v>13</v>
      </c>
      <c r="AK38" s="36">
        <v>36</v>
      </c>
      <c r="AL38" s="35">
        <v>42</v>
      </c>
      <c r="AM38" s="36">
        <v>7.2000000000000011</v>
      </c>
      <c r="AN38" s="35">
        <v>42</v>
      </c>
      <c r="AO38" s="36">
        <v>7.2000000000000011</v>
      </c>
      <c r="AP38" s="37"/>
      <c r="AQ38" s="35">
        <v>27</v>
      </c>
      <c r="AR38" s="36">
        <v>21.6</v>
      </c>
      <c r="AS38" s="35">
        <v>27</v>
      </c>
      <c r="AT38" s="36">
        <v>21.6</v>
      </c>
      <c r="AU38" s="35">
        <v>27</v>
      </c>
      <c r="AV38" s="36">
        <v>21.6</v>
      </c>
      <c r="AW38" s="35">
        <v>30</v>
      </c>
      <c r="AX38" s="36">
        <v>19.200000000000003</v>
      </c>
      <c r="AY38" s="35">
        <v>30</v>
      </c>
      <c r="AZ38" s="36">
        <v>19.200000000000003</v>
      </c>
      <c r="BB38" s="40">
        <v>0</v>
      </c>
      <c r="BC38" s="65"/>
      <c r="BD38" s="35">
        <v>0</v>
      </c>
      <c r="BE38" s="36">
        <v>0</v>
      </c>
      <c r="BF38" s="37"/>
      <c r="BG38" s="415">
        <v>0</v>
      </c>
      <c r="BH38" s="353">
        <v>1.2</v>
      </c>
      <c r="BI38" s="415">
        <v>0</v>
      </c>
      <c r="BJ38" s="353">
        <v>0</v>
      </c>
      <c r="BK38" s="415">
        <v>0</v>
      </c>
      <c r="BL38" s="353">
        <v>0</v>
      </c>
      <c r="BM38" s="416"/>
      <c r="BN38" s="415">
        <v>0</v>
      </c>
      <c r="BO38" s="353">
        <v>0</v>
      </c>
      <c r="BP38" s="415">
        <v>0</v>
      </c>
      <c r="BQ38" s="353">
        <v>0</v>
      </c>
      <c r="BR38" s="415">
        <v>0</v>
      </c>
      <c r="BS38" s="353">
        <v>0</v>
      </c>
      <c r="BT38" s="415">
        <v>0</v>
      </c>
      <c r="BU38" s="353">
        <v>0</v>
      </c>
      <c r="BV38" s="415">
        <v>0</v>
      </c>
      <c r="BW38" s="353">
        <v>0</v>
      </c>
      <c r="BY38" s="80"/>
      <c r="BZ38" s="65"/>
      <c r="CA38" s="40" t="s">
        <v>3</v>
      </c>
      <c r="CB38" s="65"/>
      <c r="CC38" s="40">
        <v>-11.107438016528924</v>
      </c>
      <c r="CD38" s="40">
        <v>-39.907438016528921</v>
      </c>
      <c r="CE38" s="40">
        <v>-39.907438016528921</v>
      </c>
      <c r="CF38" s="65"/>
      <c r="CG38" s="40">
        <v>-25.507438016528923</v>
      </c>
      <c r="CH38" s="40">
        <v>-25.507438016528923</v>
      </c>
      <c r="CI38" s="40">
        <v>-25.507438016528923</v>
      </c>
      <c r="CJ38" s="40">
        <v>-27.907438016528921</v>
      </c>
      <c r="CK38" s="40">
        <v>-27.907438016528921</v>
      </c>
    </row>
    <row r="39" spans="1:89" s="2" customFormat="1">
      <c r="A39" s="196" t="s">
        <v>799</v>
      </c>
      <c r="B39" s="211" t="s">
        <v>673</v>
      </c>
      <c r="C39" s="211" t="s">
        <v>571</v>
      </c>
      <c r="D39" s="41">
        <v>60</v>
      </c>
      <c r="E39" s="41">
        <v>1.1000000000000001</v>
      </c>
      <c r="F39" s="22" t="s">
        <v>227</v>
      </c>
      <c r="G39" s="40">
        <v>24</v>
      </c>
      <c r="H39" s="388">
        <v>59.504132231404959</v>
      </c>
      <c r="I39" s="321"/>
      <c r="J39" s="40" t="s">
        <v>3</v>
      </c>
      <c r="K39" s="36" t="s">
        <v>3</v>
      </c>
      <c r="L39" s="37"/>
      <c r="M39" s="35">
        <v>0</v>
      </c>
      <c r="N39" s="136">
        <v>1.9000000000000001</v>
      </c>
      <c r="O39" s="35">
        <v>0</v>
      </c>
      <c r="P39" s="136">
        <v>0.30000000000000004</v>
      </c>
      <c r="Q39" s="37">
        <v>0</v>
      </c>
      <c r="R39" s="136">
        <v>0.30000000000000004</v>
      </c>
      <c r="S39" s="37"/>
      <c r="T39" s="35">
        <v>0</v>
      </c>
      <c r="U39" s="136">
        <v>0.9</v>
      </c>
      <c r="V39" s="35">
        <v>0</v>
      </c>
      <c r="W39" s="136">
        <v>0.9</v>
      </c>
      <c r="X39" s="35">
        <v>0</v>
      </c>
      <c r="Y39" s="149">
        <v>0.9</v>
      </c>
      <c r="Z39" s="35">
        <v>0</v>
      </c>
      <c r="AA39" s="136">
        <v>0.8</v>
      </c>
      <c r="AB39" s="37">
        <v>0</v>
      </c>
      <c r="AC39" s="136">
        <v>0.8</v>
      </c>
      <c r="AD39" s="37"/>
      <c r="AE39" s="40">
        <v>0</v>
      </c>
      <c r="AF39" s="65"/>
      <c r="AG39" s="35">
        <v>0</v>
      </c>
      <c r="AH39" s="36">
        <v>0</v>
      </c>
      <c r="AI39" s="37"/>
      <c r="AJ39" s="35">
        <v>14</v>
      </c>
      <c r="AK39" s="36">
        <v>45.6</v>
      </c>
      <c r="AL39" s="35">
        <v>53</v>
      </c>
      <c r="AM39" s="36">
        <v>7.2000000000000011</v>
      </c>
      <c r="AN39" s="37">
        <v>53</v>
      </c>
      <c r="AO39" s="36">
        <v>7.2000000000000011</v>
      </c>
      <c r="AP39" s="37"/>
      <c r="AQ39" s="35">
        <v>38</v>
      </c>
      <c r="AR39" s="36">
        <v>21.6</v>
      </c>
      <c r="AS39" s="35">
        <v>38</v>
      </c>
      <c r="AT39" s="36">
        <v>21.6</v>
      </c>
      <c r="AU39" s="37">
        <v>38</v>
      </c>
      <c r="AV39" s="36">
        <v>21.6</v>
      </c>
      <c r="AW39" s="37">
        <v>41</v>
      </c>
      <c r="AX39" s="36">
        <v>19.200000000000003</v>
      </c>
      <c r="AY39" s="37">
        <v>41</v>
      </c>
      <c r="AZ39" s="36">
        <v>19.200000000000003</v>
      </c>
      <c r="BB39" s="40">
        <v>0</v>
      </c>
      <c r="BC39" s="65"/>
      <c r="BD39" s="35">
        <v>0</v>
      </c>
      <c r="BE39" s="36">
        <v>0</v>
      </c>
      <c r="BF39" s="37"/>
      <c r="BG39" s="415">
        <v>0</v>
      </c>
      <c r="BH39" s="353">
        <v>1.6</v>
      </c>
      <c r="BI39" s="415">
        <v>0</v>
      </c>
      <c r="BJ39" s="353">
        <v>0</v>
      </c>
      <c r="BK39" s="415">
        <v>0</v>
      </c>
      <c r="BL39" s="353">
        <v>0</v>
      </c>
      <c r="BM39" s="416"/>
      <c r="BN39" s="415">
        <v>0</v>
      </c>
      <c r="BO39" s="353">
        <v>0</v>
      </c>
      <c r="BP39" s="415">
        <v>0</v>
      </c>
      <c r="BQ39" s="353">
        <v>0</v>
      </c>
      <c r="BR39" s="415">
        <v>0</v>
      </c>
      <c r="BS39" s="353">
        <v>0</v>
      </c>
      <c r="BT39" s="415">
        <v>0</v>
      </c>
      <c r="BU39" s="353">
        <v>0</v>
      </c>
      <c r="BV39" s="415">
        <v>0</v>
      </c>
      <c r="BW39" s="353">
        <v>0</v>
      </c>
      <c r="BY39" s="80"/>
      <c r="BZ39" s="65"/>
      <c r="CA39" s="40" t="s">
        <v>3</v>
      </c>
      <c r="CB39" s="65"/>
      <c r="CC39" s="40">
        <v>-13.904132231404958</v>
      </c>
      <c r="CD39" s="40">
        <v>-52.304132231404957</v>
      </c>
      <c r="CE39" s="40">
        <v>-52.304132231404957</v>
      </c>
      <c r="CF39" s="65"/>
      <c r="CG39" s="40">
        <v>-37.904132231404958</v>
      </c>
      <c r="CH39" s="40">
        <v>-37.904132231404958</v>
      </c>
      <c r="CI39" s="40">
        <v>-37.904132231404958</v>
      </c>
      <c r="CJ39" s="40">
        <v>-40.304132231404957</v>
      </c>
      <c r="CK39" s="40">
        <v>-40.304132231404957</v>
      </c>
    </row>
    <row r="40" spans="1:89" s="2" customFormat="1">
      <c r="A40" s="196" t="s">
        <v>1193</v>
      </c>
      <c r="B40" s="211" t="s">
        <v>666</v>
      </c>
      <c r="C40" s="211" t="s">
        <v>469</v>
      </c>
      <c r="D40" s="41">
        <v>547</v>
      </c>
      <c r="E40" s="41">
        <v>0</v>
      </c>
      <c r="F40" s="485" t="s">
        <v>1217</v>
      </c>
      <c r="G40" s="40">
        <v>24</v>
      </c>
      <c r="H40" s="388">
        <v>547.10743801652893</v>
      </c>
      <c r="I40" s="321"/>
      <c r="J40" s="40" t="s">
        <v>3</v>
      </c>
      <c r="K40" s="36" t="s">
        <v>3</v>
      </c>
      <c r="L40" s="37"/>
      <c r="M40" s="35" t="s">
        <v>3</v>
      </c>
      <c r="N40" s="136" t="s">
        <v>3</v>
      </c>
      <c r="O40" s="35" t="s">
        <v>3</v>
      </c>
      <c r="P40" s="136" t="s">
        <v>3</v>
      </c>
      <c r="Q40" s="37" t="s">
        <v>3</v>
      </c>
      <c r="R40" s="136" t="s">
        <v>3</v>
      </c>
      <c r="S40" s="37"/>
      <c r="T40" s="35">
        <v>0</v>
      </c>
      <c r="U40" s="136">
        <v>18.900000000000002</v>
      </c>
      <c r="V40" s="35">
        <v>0</v>
      </c>
      <c r="W40" s="136">
        <v>18</v>
      </c>
      <c r="X40" s="35">
        <v>0</v>
      </c>
      <c r="Y40" s="149">
        <v>10</v>
      </c>
      <c r="Z40" s="35">
        <v>0</v>
      </c>
      <c r="AA40" s="136">
        <v>10</v>
      </c>
      <c r="AB40" s="37">
        <v>0</v>
      </c>
      <c r="AC40" s="136">
        <v>10</v>
      </c>
      <c r="AD40" s="37"/>
      <c r="AE40" s="40">
        <v>0</v>
      </c>
      <c r="AF40" s="65"/>
      <c r="AG40" s="35">
        <v>0</v>
      </c>
      <c r="AH40" s="36">
        <v>0</v>
      </c>
      <c r="AI40" s="37"/>
      <c r="AJ40" s="35" t="s">
        <v>3</v>
      </c>
      <c r="AK40" s="36" t="s">
        <v>3</v>
      </c>
      <c r="AL40" s="35" t="s">
        <v>3</v>
      </c>
      <c r="AM40" s="36" t="s">
        <v>3</v>
      </c>
      <c r="AN40" s="37" t="s">
        <v>3</v>
      </c>
      <c r="AO40" s="36" t="s">
        <v>3</v>
      </c>
      <c r="AP40" s="37"/>
      <c r="AQ40" s="35">
        <v>93</v>
      </c>
      <c r="AR40" s="36">
        <v>453.6</v>
      </c>
      <c r="AS40" s="35">
        <v>115</v>
      </c>
      <c r="AT40" s="36">
        <v>432</v>
      </c>
      <c r="AU40" s="37">
        <v>307</v>
      </c>
      <c r="AV40" s="36">
        <v>240</v>
      </c>
      <c r="AW40" s="37">
        <v>307</v>
      </c>
      <c r="AX40" s="36">
        <v>240</v>
      </c>
      <c r="AY40" s="37">
        <v>307</v>
      </c>
      <c r="AZ40" s="36">
        <v>240</v>
      </c>
      <c r="BB40" s="40">
        <v>0</v>
      </c>
      <c r="BC40" s="65"/>
      <c r="BD40" s="35">
        <v>0</v>
      </c>
      <c r="BE40" s="36">
        <v>0</v>
      </c>
      <c r="BF40" s="37"/>
      <c r="BG40" s="415">
        <v>0</v>
      </c>
      <c r="BH40" s="353">
        <v>0</v>
      </c>
      <c r="BI40" s="415">
        <v>0</v>
      </c>
      <c r="BJ40" s="353">
        <v>0</v>
      </c>
      <c r="BK40" s="415">
        <v>0</v>
      </c>
      <c r="BL40" s="353">
        <v>0</v>
      </c>
      <c r="BM40" s="416"/>
      <c r="BN40" s="415">
        <v>0</v>
      </c>
      <c r="BO40" s="353">
        <v>0</v>
      </c>
      <c r="BP40" s="415">
        <v>0</v>
      </c>
      <c r="BQ40" s="353">
        <v>0</v>
      </c>
      <c r="BR40" s="415">
        <v>0</v>
      </c>
      <c r="BS40" s="353">
        <v>0</v>
      </c>
      <c r="BT40" s="415">
        <v>0</v>
      </c>
      <c r="BU40" s="353">
        <v>0</v>
      </c>
      <c r="BV40" s="415">
        <v>0</v>
      </c>
      <c r="BW40" s="353">
        <v>0</v>
      </c>
      <c r="BY40" s="80"/>
      <c r="BZ40" s="65"/>
      <c r="CA40" s="40" t="s">
        <v>3</v>
      </c>
      <c r="CB40" s="65"/>
      <c r="CC40" s="40" t="s">
        <v>3</v>
      </c>
      <c r="CD40" s="40" t="s">
        <v>3</v>
      </c>
      <c r="CE40" s="40" t="s">
        <v>3</v>
      </c>
      <c r="CF40" s="65"/>
      <c r="CG40" s="40">
        <v>-93.507438016528909</v>
      </c>
      <c r="CH40" s="40">
        <v>-115.10743801652893</v>
      </c>
      <c r="CI40" s="40">
        <v>-307.10743801652893</v>
      </c>
      <c r="CJ40" s="40">
        <v>-307.10743801652893</v>
      </c>
      <c r="CK40" s="40">
        <v>-307.10743801652893</v>
      </c>
    </row>
    <row r="41" spans="1:89" s="2" customFormat="1">
      <c r="A41" s="196" t="s">
        <v>820</v>
      </c>
      <c r="B41" s="211" t="s">
        <v>106</v>
      </c>
      <c r="C41" s="211" t="s">
        <v>608</v>
      </c>
      <c r="D41" s="41">
        <v>520</v>
      </c>
      <c r="E41" s="41">
        <v>3.25</v>
      </c>
      <c r="F41" s="41" t="s">
        <v>387</v>
      </c>
      <c r="G41" s="413">
        <v>24</v>
      </c>
      <c r="H41" s="414">
        <v>378.51239669421489</v>
      </c>
      <c r="I41" s="321"/>
      <c r="J41" s="40" t="s">
        <v>3</v>
      </c>
      <c r="K41" s="36" t="s">
        <v>3</v>
      </c>
      <c r="L41" s="37"/>
      <c r="M41" s="35">
        <v>129</v>
      </c>
      <c r="N41" s="136">
        <v>7.7</v>
      </c>
      <c r="O41" s="35">
        <v>19</v>
      </c>
      <c r="P41" s="136">
        <v>9.3000000000000007</v>
      </c>
      <c r="Q41" s="37">
        <v>19</v>
      </c>
      <c r="R41" s="136">
        <v>8.3000000000000007</v>
      </c>
      <c r="S41" s="37"/>
      <c r="T41" s="35">
        <v>0</v>
      </c>
      <c r="U41" s="136">
        <v>13.100000000000001</v>
      </c>
      <c r="V41" s="35">
        <v>0</v>
      </c>
      <c r="W41" s="136">
        <v>5.2</v>
      </c>
      <c r="X41" s="35">
        <v>0</v>
      </c>
      <c r="Y41" s="149">
        <v>5.2</v>
      </c>
      <c r="Z41" s="35">
        <v>0</v>
      </c>
      <c r="AA41" s="136">
        <v>5.2</v>
      </c>
      <c r="AB41" s="37">
        <v>0</v>
      </c>
      <c r="AC41" s="136">
        <v>5.2</v>
      </c>
      <c r="AD41" s="37"/>
      <c r="AE41" s="40">
        <v>141</v>
      </c>
      <c r="AF41" s="65"/>
      <c r="AG41" s="35">
        <v>0</v>
      </c>
      <c r="AH41" s="36">
        <v>0</v>
      </c>
      <c r="AI41" s="37"/>
      <c r="AJ41" s="35">
        <v>206</v>
      </c>
      <c r="AK41" s="36">
        <v>184.8</v>
      </c>
      <c r="AL41" s="35">
        <v>278</v>
      </c>
      <c r="AM41" s="36">
        <v>223.20000000000002</v>
      </c>
      <c r="AN41" s="35">
        <v>302</v>
      </c>
      <c r="AO41" s="36">
        <v>199.20000000000002</v>
      </c>
      <c r="AP41" s="37"/>
      <c r="AQ41" s="35">
        <v>206</v>
      </c>
      <c r="AR41" s="36">
        <v>314.40000000000003</v>
      </c>
      <c r="AS41" s="35">
        <v>395</v>
      </c>
      <c r="AT41" s="36">
        <v>124.80000000000001</v>
      </c>
      <c r="AU41" s="35">
        <v>395</v>
      </c>
      <c r="AV41" s="36">
        <v>124.80000000000001</v>
      </c>
      <c r="AW41" s="35">
        <v>395</v>
      </c>
      <c r="AX41" s="36">
        <v>124.80000000000001</v>
      </c>
      <c r="AY41" s="35">
        <v>395</v>
      </c>
      <c r="AZ41" s="36">
        <v>124.80000000000001</v>
      </c>
      <c r="BB41" s="40">
        <v>0</v>
      </c>
      <c r="BC41" s="65"/>
      <c r="BD41" s="35">
        <v>0</v>
      </c>
      <c r="BE41" s="36">
        <v>0</v>
      </c>
      <c r="BF41" s="37"/>
      <c r="BG41" s="415">
        <v>110</v>
      </c>
      <c r="BH41" s="353">
        <v>-2.7</v>
      </c>
      <c r="BI41" s="415">
        <v>0</v>
      </c>
      <c r="BJ41" s="353">
        <v>0</v>
      </c>
      <c r="BK41" s="415">
        <v>0</v>
      </c>
      <c r="BL41" s="353">
        <v>0</v>
      </c>
      <c r="BM41" s="416"/>
      <c r="BN41" s="415">
        <v>0</v>
      </c>
      <c r="BO41" s="353">
        <v>0</v>
      </c>
      <c r="BP41" s="415">
        <v>0</v>
      </c>
      <c r="BQ41" s="353">
        <v>0</v>
      </c>
      <c r="BR41" s="415">
        <v>0</v>
      </c>
      <c r="BS41" s="353">
        <v>0</v>
      </c>
      <c r="BT41" s="415">
        <v>0</v>
      </c>
      <c r="BU41" s="353">
        <v>9.9999999999999645E-2</v>
      </c>
      <c r="BV41" s="415">
        <v>0</v>
      </c>
      <c r="BW41" s="353">
        <v>9.9999999999999645E-2</v>
      </c>
      <c r="BY41" s="80"/>
      <c r="BZ41" s="65"/>
      <c r="CA41" s="40" t="s">
        <v>3</v>
      </c>
      <c r="CB41" s="65"/>
      <c r="CC41" s="40">
        <v>-64.712396694214874</v>
      </c>
      <c r="CD41" s="40">
        <v>-136.31239669421487</v>
      </c>
      <c r="CE41" s="40">
        <v>-160.31239669421487</v>
      </c>
      <c r="CF41" s="65"/>
      <c r="CG41" s="40">
        <v>-64.112396694214851</v>
      </c>
      <c r="CH41" s="40">
        <v>-253.71239669421487</v>
      </c>
      <c r="CI41" s="40">
        <v>-253.71239669421487</v>
      </c>
      <c r="CJ41" s="40">
        <v>-253.71239669421487</v>
      </c>
      <c r="CK41" s="40">
        <v>-253.71239669421487</v>
      </c>
    </row>
    <row r="42" spans="1:89" s="2" customFormat="1">
      <c r="A42" s="196" t="s">
        <v>821</v>
      </c>
      <c r="B42" s="211" t="s">
        <v>106</v>
      </c>
      <c r="C42" s="211" t="s">
        <v>608</v>
      </c>
      <c r="D42" s="41">
        <v>520</v>
      </c>
      <c r="E42" s="41">
        <v>3.25</v>
      </c>
      <c r="F42" s="22" t="s">
        <v>387</v>
      </c>
      <c r="G42" s="40">
        <v>30</v>
      </c>
      <c r="H42" s="388">
        <v>378.51239669421489</v>
      </c>
      <c r="I42" s="321"/>
      <c r="J42" s="40" t="s">
        <v>3</v>
      </c>
      <c r="K42" s="36" t="s">
        <v>3</v>
      </c>
      <c r="L42" s="37"/>
      <c r="M42" s="35">
        <v>129</v>
      </c>
      <c r="N42" s="136">
        <v>6.2</v>
      </c>
      <c r="O42" s="35">
        <v>19</v>
      </c>
      <c r="P42" s="136">
        <v>7.5</v>
      </c>
      <c r="Q42" s="37">
        <v>19</v>
      </c>
      <c r="R42" s="136">
        <v>6.7</v>
      </c>
      <c r="S42" s="37"/>
      <c r="T42" s="35">
        <v>0</v>
      </c>
      <c r="U42" s="136">
        <v>10.5</v>
      </c>
      <c r="V42" s="35">
        <v>0</v>
      </c>
      <c r="W42" s="136">
        <v>4.2</v>
      </c>
      <c r="X42" s="35">
        <v>0</v>
      </c>
      <c r="Y42" s="149">
        <v>4.2</v>
      </c>
      <c r="Z42" s="35">
        <v>0</v>
      </c>
      <c r="AA42" s="136">
        <v>4.2</v>
      </c>
      <c r="AB42" s="37">
        <v>0</v>
      </c>
      <c r="AC42" s="136">
        <v>4.2</v>
      </c>
      <c r="AD42" s="37"/>
      <c r="AE42" s="40">
        <v>141</v>
      </c>
      <c r="AF42" s="65"/>
      <c r="AG42" s="35">
        <v>0</v>
      </c>
      <c r="AH42" s="36">
        <v>0</v>
      </c>
      <c r="AI42" s="37"/>
      <c r="AJ42" s="35">
        <v>205</v>
      </c>
      <c r="AK42" s="36">
        <v>186</v>
      </c>
      <c r="AL42" s="35">
        <v>276</v>
      </c>
      <c r="AM42" s="36">
        <v>225</v>
      </c>
      <c r="AN42" s="37">
        <v>300</v>
      </c>
      <c r="AO42" s="36">
        <v>201</v>
      </c>
      <c r="AP42" s="37"/>
      <c r="AQ42" s="35">
        <v>205</v>
      </c>
      <c r="AR42" s="36">
        <v>315</v>
      </c>
      <c r="AS42" s="35">
        <v>394</v>
      </c>
      <c r="AT42" s="36">
        <v>126</v>
      </c>
      <c r="AU42" s="37">
        <v>394</v>
      </c>
      <c r="AV42" s="36">
        <v>126</v>
      </c>
      <c r="AW42" s="37">
        <v>394</v>
      </c>
      <c r="AX42" s="36">
        <v>126</v>
      </c>
      <c r="AY42" s="37">
        <v>394</v>
      </c>
      <c r="AZ42" s="36">
        <v>126</v>
      </c>
      <c r="BB42" s="40">
        <v>0</v>
      </c>
      <c r="BC42" s="65"/>
      <c r="BD42" s="35">
        <v>0</v>
      </c>
      <c r="BE42" s="36">
        <v>0</v>
      </c>
      <c r="BF42" s="37"/>
      <c r="BG42" s="415">
        <v>110</v>
      </c>
      <c r="BH42" s="353">
        <v>-2.2000000000000002</v>
      </c>
      <c r="BI42" s="415">
        <v>0</v>
      </c>
      <c r="BJ42" s="353">
        <v>0</v>
      </c>
      <c r="BK42" s="415">
        <v>0</v>
      </c>
      <c r="BL42" s="353">
        <v>0</v>
      </c>
      <c r="BM42" s="416"/>
      <c r="BN42" s="415">
        <v>0</v>
      </c>
      <c r="BO42" s="353">
        <v>0</v>
      </c>
      <c r="BP42" s="415">
        <v>0</v>
      </c>
      <c r="BQ42" s="353">
        <v>0</v>
      </c>
      <c r="BR42" s="415">
        <v>0</v>
      </c>
      <c r="BS42" s="353">
        <v>0</v>
      </c>
      <c r="BT42" s="415">
        <v>0</v>
      </c>
      <c r="BU42" s="353">
        <v>9.9999999999999645E-2</v>
      </c>
      <c r="BV42" s="415">
        <v>0</v>
      </c>
      <c r="BW42" s="353">
        <v>9.9999999999999645E-2</v>
      </c>
      <c r="BY42" s="80"/>
      <c r="BZ42" s="65"/>
      <c r="CA42" s="40" t="s">
        <v>3</v>
      </c>
      <c r="CB42" s="65"/>
      <c r="CC42" s="40">
        <v>-63.512396694214885</v>
      </c>
      <c r="CD42" s="40">
        <v>-134.51239669421489</v>
      </c>
      <c r="CE42" s="40">
        <v>-158.51239669421489</v>
      </c>
      <c r="CF42" s="65"/>
      <c r="CG42" s="40">
        <v>-63.512396694214885</v>
      </c>
      <c r="CH42" s="40">
        <v>-252.51239669421489</v>
      </c>
      <c r="CI42" s="40">
        <v>-252.51239669421489</v>
      </c>
      <c r="CJ42" s="40">
        <v>-252.51239669421489</v>
      </c>
      <c r="CK42" s="40">
        <v>-252.51239669421489</v>
      </c>
    </row>
    <row r="43" spans="1:89" s="2" customFormat="1">
      <c r="A43" s="196" t="s">
        <v>822</v>
      </c>
      <c r="B43" s="211" t="s">
        <v>106</v>
      </c>
      <c r="C43" s="211" t="s">
        <v>607</v>
      </c>
      <c r="D43" s="41">
        <v>564</v>
      </c>
      <c r="E43" s="41">
        <v>3.25</v>
      </c>
      <c r="F43" s="41" t="s">
        <v>387</v>
      </c>
      <c r="G43" s="413">
        <v>24</v>
      </c>
      <c r="H43" s="414">
        <v>453.71900826446284</v>
      </c>
      <c r="I43" s="321"/>
      <c r="J43" s="40" t="s">
        <v>3</v>
      </c>
      <c r="K43" s="36" t="s">
        <v>3</v>
      </c>
      <c r="L43" s="37"/>
      <c r="M43" s="35">
        <v>149</v>
      </c>
      <c r="N43" s="136">
        <v>9.3000000000000007</v>
      </c>
      <c r="O43" s="35">
        <v>19</v>
      </c>
      <c r="P43" s="136">
        <v>12</v>
      </c>
      <c r="Q43" s="37">
        <v>19</v>
      </c>
      <c r="R43" s="136">
        <v>11.200000000000001</v>
      </c>
      <c r="S43" s="37"/>
      <c r="T43" s="35">
        <v>0</v>
      </c>
      <c r="U43" s="136">
        <v>16</v>
      </c>
      <c r="V43" s="35">
        <v>0</v>
      </c>
      <c r="W43" s="136">
        <v>7.3000000000000007</v>
      </c>
      <c r="X43" s="35">
        <v>0</v>
      </c>
      <c r="Y43" s="149">
        <v>7.3000000000000007</v>
      </c>
      <c r="Z43" s="35">
        <v>0</v>
      </c>
      <c r="AA43" s="136">
        <v>7.2</v>
      </c>
      <c r="AB43" s="37">
        <v>0</v>
      </c>
      <c r="AC43" s="136">
        <v>7.2</v>
      </c>
      <c r="AD43" s="37"/>
      <c r="AE43" s="40">
        <v>110</v>
      </c>
      <c r="AF43" s="65"/>
      <c r="AG43" s="35">
        <v>0</v>
      </c>
      <c r="AH43" s="36">
        <v>0</v>
      </c>
      <c r="AI43" s="37"/>
      <c r="AJ43" s="35">
        <v>192</v>
      </c>
      <c r="AK43" s="36">
        <v>223.20000000000002</v>
      </c>
      <c r="AL43" s="35">
        <v>257</v>
      </c>
      <c r="AM43" s="36">
        <v>288</v>
      </c>
      <c r="AN43" s="35">
        <v>276</v>
      </c>
      <c r="AO43" s="36">
        <v>268.8</v>
      </c>
      <c r="AP43" s="37"/>
      <c r="AQ43" s="35">
        <v>180</v>
      </c>
      <c r="AR43" s="36">
        <v>384</v>
      </c>
      <c r="AS43" s="35">
        <v>389</v>
      </c>
      <c r="AT43" s="36">
        <v>175.20000000000002</v>
      </c>
      <c r="AU43" s="35">
        <v>389</v>
      </c>
      <c r="AV43" s="36">
        <v>175.20000000000002</v>
      </c>
      <c r="AW43" s="35">
        <v>391</v>
      </c>
      <c r="AX43" s="36">
        <v>172.8</v>
      </c>
      <c r="AY43" s="35">
        <v>391</v>
      </c>
      <c r="AZ43" s="36">
        <v>172.8</v>
      </c>
      <c r="BB43" s="40">
        <v>0</v>
      </c>
      <c r="BC43" s="65"/>
      <c r="BD43" s="35">
        <v>0</v>
      </c>
      <c r="BE43" s="36">
        <v>0</v>
      </c>
      <c r="BF43" s="37"/>
      <c r="BG43" s="415">
        <v>130</v>
      </c>
      <c r="BH43" s="353">
        <v>-3.8000000000000007</v>
      </c>
      <c r="BI43" s="415">
        <v>0</v>
      </c>
      <c r="BJ43" s="353">
        <v>0</v>
      </c>
      <c r="BK43" s="415">
        <v>0</v>
      </c>
      <c r="BL43" s="353">
        <v>0</v>
      </c>
      <c r="BM43" s="416"/>
      <c r="BN43" s="415">
        <v>0</v>
      </c>
      <c r="BO43" s="353">
        <v>0</v>
      </c>
      <c r="BP43" s="415">
        <v>0</v>
      </c>
      <c r="BQ43" s="353">
        <v>0</v>
      </c>
      <c r="BR43" s="415">
        <v>0</v>
      </c>
      <c r="BS43" s="353">
        <v>0</v>
      </c>
      <c r="BT43" s="415">
        <v>0</v>
      </c>
      <c r="BU43" s="353">
        <v>-0.10000000000000053</v>
      </c>
      <c r="BV43" s="415">
        <v>0</v>
      </c>
      <c r="BW43" s="353">
        <v>-0.10000000000000053</v>
      </c>
      <c r="BY43" s="80"/>
      <c r="BZ43" s="65"/>
      <c r="CA43" s="40" t="s">
        <v>3</v>
      </c>
      <c r="CB43" s="65"/>
      <c r="CC43" s="40">
        <v>-81.519008264462798</v>
      </c>
      <c r="CD43" s="40">
        <v>-146.71900826446284</v>
      </c>
      <c r="CE43" s="40">
        <v>-165.91900826446283</v>
      </c>
      <c r="CF43" s="65"/>
      <c r="CG43" s="40">
        <v>-69.719008264462843</v>
      </c>
      <c r="CH43" s="40">
        <v>-278.51900826446285</v>
      </c>
      <c r="CI43" s="40">
        <v>-278.51900826446285</v>
      </c>
      <c r="CJ43" s="40">
        <v>-280.91900826446283</v>
      </c>
      <c r="CK43" s="40">
        <v>-280.91900826446283</v>
      </c>
    </row>
    <row r="44" spans="1:89" s="2" customFormat="1">
      <c r="A44" s="196" t="s">
        <v>823</v>
      </c>
      <c r="B44" s="211" t="s">
        <v>106</v>
      </c>
      <c r="C44" s="211" t="s">
        <v>607</v>
      </c>
      <c r="D44" s="41">
        <v>564</v>
      </c>
      <c r="E44" s="41">
        <v>3.25</v>
      </c>
      <c r="F44" s="22" t="s">
        <v>387</v>
      </c>
      <c r="G44" s="40">
        <v>30</v>
      </c>
      <c r="H44" s="388">
        <v>453.71900826446284</v>
      </c>
      <c r="I44" s="321"/>
      <c r="J44" s="40" t="s">
        <v>3</v>
      </c>
      <c r="K44" s="36" t="s">
        <v>3</v>
      </c>
      <c r="L44" s="37"/>
      <c r="M44" s="35">
        <v>149</v>
      </c>
      <c r="N44" s="136">
        <v>7.5</v>
      </c>
      <c r="O44" s="35">
        <v>19</v>
      </c>
      <c r="P44" s="136">
        <v>9.6000000000000014</v>
      </c>
      <c r="Q44" s="37">
        <v>19</v>
      </c>
      <c r="R44" s="136">
        <v>9</v>
      </c>
      <c r="S44" s="37"/>
      <c r="T44" s="35">
        <v>0</v>
      </c>
      <c r="U44" s="136">
        <v>12.8</v>
      </c>
      <c r="V44" s="35">
        <v>0</v>
      </c>
      <c r="W44" s="136">
        <v>5.9</v>
      </c>
      <c r="X44" s="35">
        <v>0</v>
      </c>
      <c r="Y44" s="149">
        <v>5.9</v>
      </c>
      <c r="Z44" s="35">
        <v>0</v>
      </c>
      <c r="AA44" s="136">
        <v>5.8000000000000007</v>
      </c>
      <c r="AB44" s="37">
        <v>0</v>
      </c>
      <c r="AC44" s="136">
        <v>5.8000000000000007</v>
      </c>
      <c r="AD44" s="37"/>
      <c r="AE44" s="40">
        <v>110</v>
      </c>
      <c r="AF44" s="65"/>
      <c r="AG44" s="35">
        <v>0</v>
      </c>
      <c r="AH44" s="36">
        <v>0</v>
      </c>
      <c r="AI44" s="37"/>
      <c r="AJ44" s="35">
        <v>190</v>
      </c>
      <c r="AK44" s="36">
        <v>225</v>
      </c>
      <c r="AL44" s="35">
        <v>257</v>
      </c>
      <c r="AM44" s="36">
        <v>288.00000000000006</v>
      </c>
      <c r="AN44" s="37">
        <v>275</v>
      </c>
      <c r="AO44" s="36">
        <v>270</v>
      </c>
      <c r="AP44" s="37"/>
      <c r="AQ44" s="35">
        <v>180</v>
      </c>
      <c r="AR44" s="36">
        <v>384</v>
      </c>
      <c r="AS44" s="35">
        <v>387</v>
      </c>
      <c r="AT44" s="36">
        <v>177</v>
      </c>
      <c r="AU44" s="37">
        <v>387</v>
      </c>
      <c r="AV44" s="36">
        <v>177</v>
      </c>
      <c r="AW44" s="37">
        <v>390</v>
      </c>
      <c r="AX44" s="36">
        <v>174.00000000000003</v>
      </c>
      <c r="AY44" s="37">
        <v>390</v>
      </c>
      <c r="AZ44" s="36">
        <v>174.00000000000003</v>
      </c>
      <c r="BB44" s="40">
        <v>0</v>
      </c>
      <c r="BC44" s="65"/>
      <c r="BD44" s="35">
        <v>0</v>
      </c>
      <c r="BE44" s="36">
        <v>0</v>
      </c>
      <c r="BF44" s="37"/>
      <c r="BG44" s="415">
        <v>130</v>
      </c>
      <c r="BH44" s="353">
        <v>-3</v>
      </c>
      <c r="BI44" s="415">
        <v>0</v>
      </c>
      <c r="BJ44" s="353">
        <v>0</v>
      </c>
      <c r="BK44" s="415">
        <v>0</v>
      </c>
      <c r="BL44" s="353">
        <v>0</v>
      </c>
      <c r="BM44" s="416"/>
      <c r="BN44" s="415">
        <v>0</v>
      </c>
      <c r="BO44" s="353">
        <v>0</v>
      </c>
      <c r="BP44" s="415">
        <v>0</v>
      </c>
      <c r="BQ44" s="353">
        <v>0</v>
      </c>
      <c r="BR44" s="415">
        <v>0</v>
      </c>
      <c r="BS44" s="353">
        <v>0</v>
      </c>
      <c r="BT44" s="415">
        <v>0</v>
      </c>
      <c r="BU44" s="353">
        <v>0</v>
      </c>
      <c r="BV44" s="415">
        <v>0</v>
      </c>
      <c r="BW44" s="353">
        <v>0</v>
      </c>
      <c r="BY44" s="80"/>
      <c r="BZ44" s="65"/>
      <c r="CA44" s="40" t="s">
        <v>3</v>
      </c>
      <c r="CB44" s="65"/>
      <c r="CC44" s="40">
        <v>-79.719008264462843</v>
      </c>
      <c r="CD44" s="40">
        <v>-146.71900826446279</v>
      </c>
      <c r="CE44" s="40">
        <v>-164.71900826446284</v>
      </c>
      <c r="CF44" s="65"/>
      <c r="CG44" s="40">
        <v>-69.719008264462843</v>
      </c>
      <c r="CH44" s="40">
        <v>-276.71900826446284</v>
      </c>
      <c r="CI44" s="40">
        <v>-276.71900826446284</v>
      </c>
      <c r="CJ44" s="40">
        <v>-279.71900826446279</v>
      </c>
      <c r="CK44" s="40">
        <v>-279.71900826446279</v>
      </c>
    </row>
    <row r="45" spans="1:89" s="2" customFormat="1">
      <c r="A45" s="196" t="s">
        <v>824</v>
      </c>
      <c r="B45" s="211" t="s">
        <v>106</v>
      </c>
      <c r="C45" s="211" t="s">
        <v>677</v>
      </c>
      <c r="D45" s="41">
        <v>823</v>
      </c>
      <c r="E45" s="41">
        <v>3.25</v>
      </c>
      <c r="F45" s="41" t="s">
        <v>387</v>
      </c>
      <c r="G45" s="413">
        <v>24</v>
      </c>
      <c r="H45" s="414">
        <v>657.02479338842977</v>
      </c>
      <c r="I45" s="321"/>
      <c r="J45" s="40" t="s">
        <v>3</v>
      </c>
      <c r="K45" s="36" t="s">
        <v>3</v>
      </c>
      <c r="L45" s="37"/>
      <c r="M45" s="35">
        <v>289</v>
      </c>
      <c r="N45" s="136">
        <v>11.4</v>
      </c>
      <c r="O45" s="35">
        <v>179</v>
      </c>
      <c r="P45" s="136">
        <v>13.100000000000001</v>
      </c>
      <c r="Q45" s="37">
        <v>179</v>
      </c>
      <c r="R45" s="136">
        <v>12.200000000000001</v>
      </c>
      <c r="S45" s="37"/>
      <c r="T45" s="35">
        <v>0</v>
      </c>
      <c r="U45" s="136">
        <v>23.400000000000002</v>
      </c>
      <c r="V45" s="35">
        <v>0</v>
      </c>
      <c r="W45" s="136">
        <v>16</v>
      </c>
      <c r="X45" s="35">
        <v>0</v>
      </c>
      <c r="Y45" s="149">
        <v>16</v>
      </c>
      <c r="Z45" s="35">
        <v>0</v>
      </c>
      <c r="AA45" s="136">
        <v>16</v>
      </c>
      <c r="AB45" s="37">
        <v>0</v>
      </c>
      <c r="AC45" s="136">
        <v>16</v>
      </c>
      <c r="AD45" s="37"/>
      <c r="AE45" s="40">
        <v>166</v>
      </c>
      <c r="AF45" s="65"/>
      <c r="AG45" s="35">
        <v>0</v>
      </c>
      <c r="AH45" s="36">
        <v>0</v>
      </c>
      <c r="AI45" s="37"/>
      <c r="AJ45" s="35">
        <v>260</v>
      </c>
      <c r="AK45" s="36">
        <v>273.60000000000002</v>
      </c>
      <c r="AL45" s="35">
        <v>330</v>
      </c>
      <c r="AM45" s="36">
        <v>314.40000000000003</v>
      </c>
      <c r="AN45" s="35">
        <v>351</v>
      </c>
      <c r="AO45" s="36">
        <v>292.8</v>
      </c>
      <c r="AP45" s="37"/>
      <c r="AQ45" s="35">
        <v>261</v>
      </c>
      <c r="AR45" s="36">
        <v>561.6</v>
      </c>
      <c r="AS45" s="35">
        <v>439</v>
      </c>
      <c r="AT45" s="36">
        <v>384</v>
      </c>
      <c r="AU45" s="35">
        <v>439</v>
      </c>
      <c r="AV45" s="36">
        <v>384</v>
      </c>
      <c r="AW45" s="35">
        <v>439</v>
      </c>
      <c r="AX45" s="36">
        <v>384</v>
      </c>
      <c r="AY45" s="35">
        <v>439</v>
      </c>
      <c r="AZ45" s="36">
        <v>384</v>
      </c>
      <c r="BB45" s="40">
        <v>0</v>
      </c>
      <c r="BC45" s="65"/>
      <c r="BD45" s="35">
        <v>0</v>
      </c>
      <c r="BE45" s="36">
        <v>0</v>
      </c>
      <c r="BF45" s="37"/>
      <c r="BG45" s="415">
        <v>110</v>
      </c>
      <c r="BH45" s="353">
        <v>-2.7000000000000011</v>
      </c>
      <c r="BI45" s="415">
        <v>0</v>
      </c>
      <c r="BJ45" s="353">
        <v>0</v>
      </c>
      <c r="BK45" s="415">
        <v>0</v>
      </c>
      <c r="BL45" s="353">
        <v>0</v>
      </c>
      <c r="BM45" s="416"/>
      <c r="BN45" s="415">
        <v>0</v>
      </c>
      <c r="BO45" s="353">
        <v>0</v>
      </c>
      <c r="BP45" s="415">
        <v>0</v>
      </c>
      <c r="BQ45" s="353">
        <v>1.5</v>
      </c>
      <c r="BR45" s="415">
        <v>0</v>
      </c>
      <c r="BS45" s="353">
        <v>1.5</v>
      </c>
      <c r="BT45" s="415">
        <v>0</v>
      </c>
      <c r="BU45" s="353">
        <v>1.5</v>
      </c>
      <c r="BV45" s="415">
        <v>0</v>
      </c>
      <c r="BW45" s="353">
        <v>1.5</v>
      </c>
      <c r="BY45" s="80"/>
      <c r="BZ45" s="65"/>
      <c r="CA45" s="40" t="s">
        <v>3</v>
      </c>
      <c r="CB45" s="65"/>
      <c r="CC45" s="40">
        <v>-94.424793388429748</v>
      </c>
      <c r="CD45" s="40">
        <v>-163.62479338842974</v>
      </c>
      <c r="CE45" s="40">
        <v>-185.22479338842976</v>
      </c>
      <c r="CF45" s="65"/>
      <c r="CG45" s="40">
        <v>-95.424793388429748</v>
      </c>
      <c r="CH45" s="40">
        <v>-273.02479338842977</v>
      </c>
      <c r="CI45" s="40">
        <v>-273.02479338842977</v>
      </c>
      <c r="CJ45" s="40">
        <v>-273.02479338842977</v>
      </c>
      <c r="CK45" s="40">
        <v>-273.02479338842977</v>
      </c>
    </row>
    <row r="46" spans="1:89" s="2" customFormat="1">
      <c r="A46" s="196" t="s">
        <v>825</v>
      </c>
      <c r="B46" s="211" t="s">
        <v>106</v>
      </c>
      <c r="C46" s="211" t="s">
        <v>677</v>
      </c>
      <c r="D46" s="41">
        <v>823</v>
      </c>
      <c r="E46" s="41">
        <v>3.25</v>
      </c>
      <c r="F46" s="22" t="s">
        <v>387</v>
      </c>
      <c r="G46" s="40">
        <v>30</v>
      </c>
      <c r="H46" s="388">
        <v>657.02479338842977</v>
      </c>
      <c r="I46" s="321"/>
      <c r="J46" s="40" t="s">
        <v>3</v>
      </c>
      <c r="K46" s="36" t="s">
        <v>3</v>
      </c>
      <c r="L46" s="37"/>
      <c r="M46" s="35">
        <v>289</v>
      </c>
      <c r="N46" s="136">
        <v>9.2000000000000011</v>
      </c>
      <c r="O46" s="35">
        <v>179</v>
      </c>
      <c r="P46" s="136">
        <v>10.5</v>
      </c>
      <c r="Q46" s="37">
        <v>179</v>
      </c>
      <c r="R46" s="136">
        <v>9.8000000000000007</v>
      </c>
      <c r="S46" s="37"/>
      <c r="T46" s="35">
        <v>0</v>
      </c>
      <c r="U46" s="136">
        <v>18.8</v>
      </c>
      <c r="V46" s="35">
        <v>0</v>
      </c>
      <c r="W46" s="136">
        <v>12.8</v>
      </c>
      <c r="X46" s="35">
        <v>0</v>
      </c>
      <c r="Y46" s="149">
        <v>12.8</v>
      </c>
      <c r="Z46" s="35">
        <v>0</v>
      </c>
      <c r="AA46" s="136">
        <v>12.8</v>
      </c>
      <c r="AB46" s="37">
        <v>0</v>
      </c>
      <c r="AC46" s="136">
        <v>12.8</v>
      </c>
      <c r="AD46" s="37"/>
      <c r="AE46" s="40">
        <v>166</v>
      </c>
      <c r="AF46" s="65"/>
      <c r="AG46" s="35">
        <v>0</v>
      </c>
      <c r="AH46" s="36">
        <v>0</v>
      </c>
      <c r="AI46" s="37"/>
      <c r="AJ46" s="35">
        <v>258</v>
      </c>
      <c r="AK46" s="36">
        <v>276.00000000000006</v>
      </c>
      <c r="AL46" s="35">
        <v>329</v>
      </c>
      <c r="AM46" s="36">
        <v>315</v>
      </c>
      <c r="AN46" s="37">
        <v>350</v>
      </c>
      <c r="AO46" s="36">
        <v>294</v>
      </c>
      <c r="AP46" s="37"/>
      <c r="AQ46" s="35">
        <v>259</v>
      </c>
      <c r="AR46" s="36">
        <v>564</v>
      </c>
      <c r="AS46" s="35">
        <v>439</v>
      </c>
      <c r="AT46" s="36">
        <v>384</v>
      </c>
      <c r="AU46" s="37">
        <v>439</v>
      </c>
      <c r="AV46" s="36">
        <v>384</v>
      </c>
      <c r="AW46" s="37">
        <v>439</v>
      </c>
      <c r="AX46" s="36">
        <v>384</v>
      </c>
      <c r="AY46" s="37">
        <v>439</v>
      </c>
      <c r="AZ46" s="36">
        <v>384</v>
      </c>
      <c r="BB46" s="40">
        <v>0</v>
      </c>
      <c r="BC46" s="65"/>
      <c r="BD46" s="35">
        <v>0</v>
      </c>
      <c r="BE46" s="36">
        <v>0</v>
      </c>
      <c r="BF46" s="37"/>
      <c r="BG46" s="415">
        <v>110</v>
      </c>
      <c r="BH46" s="353">
        <v>-2.0999999999999996</v>
      </c>
      <c r="BI46" s="415">
        <v>0</v>
      </c>
      <c r="BJ46" s="353">
        <v>0</v>
      </c>
      <c r="BK46" s="415">
        <v>0</v>
      </c>
      <c r="BL46" s="353">
        <v>0</v>
      </c>
      <c r="BM46" s="416"/>
      <c r="BN46" s="415">
        <v>0</v>
      </c>
      <c r="BO46" s="353">
        <v>0</v>
      </c>
      <c r="BP46" s="415">
        <v>0</v>
      </c>
      <c r="BQ46" s="353">
        <v>1.1999999999999993</v>
      </c>
      <c r="BR46" s="415">
        <v>0</v>
      </c>
      <c r="BS46" s="353">
        <v>1.1999999999999993</v>
      </c>
      <c r="BT46" s="415">
        <v>0</v>
      </c>
      <c r="BU46" s="353">
        <v>1.1999999999999993</v>
      </c>
      <c r="BV46" s="415">
        <v>0</v>
      </c>
      <c r="BW46" s="353">
        <v>1.1999999999999993</v>
      </c>
      <c r="BY46" s="80"/>
      <c r="BZ46" s="65"/>
      <c r="CA46" s="40" t="s">
        <v>3</v>
      </c>
      <c r="CB46" s="65"/>
      <c r="CC46" s="40">
        <v>-92.024793388429771</v>
      </c>
      <c r="CD46" s="40">
        <v>-163.02479338842977</v>
      </c>
      <c r="CE46" s="40">
        <v>-184.02479338842977</v>
      </c>
      <c r="CF46" s="65"/>
      <c r="CG46" s="40">
        <v>-93.024793388429771</v>
      </c>
      <c r="CH46" s="40">
        <v>-273.02479338842977</v>
      </c>
      <c r="CI46" s="40">
        <v>-273.02479338842977</v>
      </c>
      <c r="CJ46" s="40">
        <v>-273.02479338842977</v>
      </c>
      <c r="CK46" s="40">
        <v>-273.02479338842977</v>
      </c>
    </row>
    <row r="47" spans="1:89" s="2" customFormat="1">
      <c r="A47" s="196" t="s">
        <v>826</v>
      </c>
      <c r="B47" s="211" t="s">
        <v>106</v>
      </c>
      <c r="C47" s="211" t="s">
        <v>702</v>
      </c>
      <c r="D47" s="41">
        <v>1062</v>
      </c>
      <c r="E47" s="41">
        <v>3.25</v>
      </c>
      <c r="F47" s="41" t="s">
        <v>387</v>
      </c>
      <c r="G47" s="413">
        <v>24</v>
      </c>
      <c r="H47" s="414">
        <v>876.03305785123973</v>
      </c>
      <c r="I47" s="321"/>
      <c r="J47" s="40" t="s">
        <v>3</v>
      </c>
      <c r="K47" s="36" t="s">
        <v>3</v>
      </c>
      <c r="L47" s="37"/>
      <c r="M47" s="35">
        <v>369</v>
      </c>
      <c r="N47" s="136">
        <v>15.100000000000001</v>
      </c>
      <c r="O47" s="35">
        <v>229</v>
      </c>
      <c r="P47" s="136">
        <v>18</v>
      </c>
      <c r="Q47" s="37">
        <v>229</v>
      </c>
      <c r="R47" s="136">
        <v>17.2</v>
      </c>
      <c r="S47" s="37"/>
      <c r="T47" s="35">
        <v>0</v>
      </c>
      <c r="U47" s="136">
        <v>30.400000000000002</v>
      </c>
      <c r="V47" s="35">
        <v>0</v>
      </c>
      <c r="W47" s="136">
        <v>22.8</v>
      </c>
      <c r="X47" s="35">
        <v>0</v>
      </c>
      <c r="Y47" s="149">
        <v>22.8</v>
      </c>
      <c r="Z47" s="35">
        <v>0</v>
      </c>
      <c r="AA47" s="136">
        <v>22.700000000000003</v>
      </c>
      <c r="AB47" s="37">
        <v>0</v>
      </c>
      <c r="AC47" s="136">
        <v>22.700000000000003</v>
      </c>
      <c r="AD47" s="37"/>
      <c r="AE47" s="40">
        <v>186</v>
      </c>
      <c r="AF47" s="65"/>
      <c r="AG47" s="35">
        <v>0</v>
      </c>
      <c r="AH47" s="36">
        <v>0</v>
      </c>
      <c r="AI47" s="37"/>
      <c r="AJ47" s="35">
        <v>331</v>
      </c>
      <c r="AK47" s="36">
        <v>362.40000000000003</v>
      </c>
      <c r="AL47" s="35">
        <v>401</v>
      </c>
      <c r="AM47" s="36">
        <v>432</v>
      </c>
      <c r="AN47" s="35">
        <v>420</v>
      </c>
      <c r="AO47" s="36">
        <v>412.79999999999995</v>
      </c>
      <c r="AP47" s="37"/>
      <c r="AQ47" s="35">
        <v>332</v>
      </c>
      <c r="AR47" s="36">
        <v>729.6</v>
      </c>
      <c r="AS47" s="35">
        <v>515</v>
      </c>
      <c r="AT47" s="36">
        <v>547.20000000000005</v>
      </c>
      <c r="AU47" s="35">
        <v>515</v>
      </c>
      <c r="AV47" s="36">
        <v>547.20000000000005</v>
      </c>
      <c r="AW47" s="35">
        <v>517</v>
      </c>
      <c r="AX47" s="36">
        <v>544.80000000000007</v>
      </c>
      <c r="AY47" s="35">
        <v>517</v>
      </c>
      <c r="AZ47" s="36">
        <v>544.80000000000007</v>
      </c>
      <c r="BB47" s="40">
        <v>0</v>
      </c>
      <c r="BC47" s="65"/>
      <c r="BD47" s="35">
        <v>0</v>
      </c>
      <c r="BE47" s="36">
        <v>0</v>
      </c>
      <c r="BF47" s="37"/>
      <c r="BG47" s="415">
        <v>140</v>
      </c>
      <c r="BH47" s="353">
        <v>-4</v>
      </c>
      <c r="BI47" s="415">
        <v>0</v>
      </c>
      <c r="BJ47" s="353">
        <v>0</v>
      </c>
      <c r="BK47" s="415">
        <v>0</v>
      </c>
      <c r="BL47" s="353">
        <v>0</v>
      </c>
      <c r="BM47" s="416"/>
      <c r="BN47" s="415">
        <v>0</v>
      </c>
      <c r="BO47" s="353">
        <v>0</v>
      </c>
      <c r="BP47" s="415">
        <v>0</v>
      </c>
      <c r="BQ47" s="353">
        <v>0</v>
      </c>
      <c r="BR47" s="415">
        <v>0</v>
      </c>
      <c r="BS47" s="353">
        <v>0</v>
      </c>
      <c r="BT47" s="415">
        <v>0</v>
      </c>
      <c r="BU47" s="353">
        <v>-9.9999999999997868E-2</v>
      </c>
      <c r="BV47" s="415">
        <v>0</v>
      </c>
      <c r="BW47" s="353">
        <v>-9.9999999999997868E-2</v>
      </c>
      <c r="BY47" s="80"/>
      <c r="BZ47" s="65"/>
      <c r="CA47" s="40" t="s">
        <v>3</v>
      </c>
      <c r="CB47" s="65"/>
      <c r="CC47" s="40">
        <v>-144.63305785123964</v>
      </c>
      <c r="CD47" s="40">
        <v>-215.03305785123973</v>
      </c>
      <c r="CE47" s="40">
        <v>-234.23305785123978</v>
      </c>
      <c r="CF47" s="65"/>
      <c r="CG47" s="40">
        <v>-146.43305785123971</v>
      </c>
      <c r="CH47" s="40">
        <v>-328.83305785123969</v>
      </c>
      <c r="CI47" s="40">
        <v>-328.83305785123969</v>
      </c>
      <c r="CJ47" s="40">
        <v>-331.23305785123966</v>
      </c>
      <c r="CK47" s="40">
        <v>-331.23305785123966</v>
      </c>
    </row>
    <row r="48" spans="1:89" s="2" customFormat="1">
      <c r="A48" s="196" t="s">
        <v>827</v>
      </c>
      <c r="B48" s="211" t="s">
        <v>106</v>
      </c>
      <c r="C48" s="211" t="s">
        <v>702</v>
      </c>
      <c r="D48" s="41">
        <v>1062</v>
      </c>
      <c r="E48" s="41">
        <v>3.25</v>
      </c>
      <c r="F48" s="22" t="s">
        <v>387</v>
      </c>
      <c r="G48" s="40">
        <v>30</v>
      </c>
      <c r="H48" s="388">
        <v>876.03305785123973</v>
      </c>
      <c r="I48" s="321"/>
      <c r="J48" s="40" t="s">
        <v>3</v>
      </c>
      <c r="K48" s="36" t="s">
        <v>3</v>
      </c>
      <c r="L48" s="37"/>
      <c r="M48" s="35">
        <v>369</v>
      </c>
      <c r="N48" s="136">
        <v>12.100000000000001</v>
      </c>
      <c r="O48" s="35">
        <v>229</v>
      </c>
      <c r="P48" s="136">
        <v>14.4</v>
      </c>
      <c r="Q48" s="37">
        <v>229</v>
      </c>
      <c r="R48" s="136">
        <v>13.8</v>
      </c>
      <c r="S48" s="37"/>
      <c r="T48" s="35">
        <v>0</v>
      </c>
      <c r="U48" s="136">
        <v>24.400000000000002</v>
      </c>
      <c r="V48" s="35">
        <v>0</v>
      </c>
      <c r="W48" s="136">
        <v>18.3</v>
      </c>
      <c r="X48" s="35">
        <v>0</v>
      </c>
      <c r="Y48" s="149">
        <v>18.3</v>
      </c>
      <c r="Z48" s="35">
        <v>0</v>
      </c>
      <c r="AA48" s="136">
        <v>18.2</v>
      </c>
      <c r="AB48" s="37">
        <v>0</v>
      </c>
      <c r="AC48" s="136">
        <v>18.2</v>
      </c>
      <c r="AD48" s="37"/>
      <c r="AE48" s="40">
        <v>186</v>
      </c>
      <c r="AF48" s="65"/>
      <c r="AG48" s="35">
        <v>0</v>
      </c>
      <c r="AH48" s="36">
        <v>0</v>
      </c>
      <c r="AI48" s="37"/>
      <c r="AJ48" s="35">
        <v>330</v>
      </c>
      <c r="AK48" s="36">
        <v>363.00000000000006</v>
      </c>
      <c r="AL48" s="35">
        <v>401</v>
      </c>
      <c r="AM48" s="36">
        <v>432</v>
      </c>
      <c r="AN48" s="37">
        <v>419</v>
      </c>
      <c r="AO48" s="36">
        <v>414</v>
      </c>
      <c r="AP48" s="37"/>
      <c r="AQ48" s="35">
        <v>330</v>
      </c>
      <c r="AR48" s="36">
        <v>732.00000000000011</v>
      </c>
      <c r="AS48" s="35">
        <v>513</v>
      </c>
      <c r="AT48" s="36">
        <v>549</v>
      </c>
      <c r="AU48" s="37">
        <v>513</v>
      </c>
      <c r="AV48" s="36">
        <v>549</v>
      </c>
      <c r="AW48" s="37">
        <v>516</v>
      </c>
      <c r="AX48" s="36">
        <v>546</v>
      </c>
      <c r="AY48" s="37">
        <v>516</v>
      </c>
      <c r="AZ48" s="36">
        <v>546</v>
      </c>
      <c r="BB48" s="40">
        <v>0</v>
      </c>
      <c r="BC48" s="65"/>
      <c r="BD48" s="35">
        <v>0</v>
      </c>
      <c r="BE48" s="36">
        <v>0</v>
      </c>
      <c r="BF48" s="37"/>
      <c r="BG48" s="415">
        <v>140</v>
      </c>
      <c r="BH48" s="353">
        <v>-3.1999999999999993</v>
      </c>
      <c r="BI48" s="415">
        <v>0</v>
      </c>
      <c r="BJ48" s="353">
        <v>0</v>
      </c>
      <c r="BK48" s="415">
        <v>0</v>
      </c>
      <c r="BL48" s="353">
        <v>0</v>
      </c>
      <c r="BM48" s="416"/>
      <c r="BN48" s="415">
        <v>0</v>
      </c>
      <c r="BO48" s="353">
        <v>0</v>
      </c>
      <c r="BP48" s="415">
        <v>0</v>
      </c>
      <c r="BQ48" s="353">
        <v>0</v>
      </c>
      <c r="BR48" s="415">
        <v>0</v>
      </c>
      <c r="BS48" s="353">
        <v>0</v>
      </c>
      <c r="BT48" s="415">
        <v>0</v>
      </c>
      <c r="BU48" s="353">
        <v>0</v>
      </c>
      <c r="BV48" s="415">
        <v>0</v>
      </c>
      <c r="BW48" s="353">
        <v>0</v>
      </c>
      <c r="BY48" s="80"/>
      <c r="BZ48" s="65"/>
      <c r="CA48" s="40" t="s">
        <v>3</v>
      </c>
      <c r="CB48" s="65"/>
      <c r="CC48" s="40">
        <v>-144.03305785123973</v>
      </c>
      <c r="CD48" s="40">
        <v>-215.03305785123973</v>
      </c>
      <c r="CE48" s="40">
        <v>-233.03305785123973</v>
      </c>
      <c r="CF48" s="65"/>
      <c r="CG48" s="40">
        <v>-144.03305785123962</v>
      </c>
      <c r="CH48" s="40">
        <v>-327.03305785123973</v>
      </c>
      <c r="CI48" s="40">
        <v>-327.03305785123973</v>
      </c>
      <c r="CJ48" s="40">
        <v>-330.03305785123973</v>
      </c>
      <c r="CK48" s="40">
        <v>-330.03305785123973</v>
      </c>
    </row>
    <row r="49" spans="1:89" s="2" customFormat="1">
      <c r="A49" s="196" t="s">
        <v>828</v>
      </c>
      <c r="B49" s="211" t="s">
        <v>106</v>
      </c>
      <c r="C49" s="211" t="s">
        <v>678</v>
      </c>
      <c r="D49" s="41">
        <v>1234</v>
      </c>
      <c r="E49" s="41">
        <v>3.25</v>
      </c>
      <c r="F49" s="41" t="s">
        <v>387</v>
      </c>
      <c r="G49" s="413">
        <v>24</v>
      </c>
      <c r="H49" s="414">
        <v>1019.00826446281</v>
      </c>
      <c r="I49" s="321"/>
      <c r="J49" s="40" t="s">
        <v>3</v>
      </c>
      <c r="K49" s="36" t="s">
        <v>3</v>
      </c>
      <c r="L49" s="37"/>
      <c r="M49" s="35">
        <v>439</v>
      </c>
      <c r="N49" s="136">
        <v>18</v>
      </c>
      <c r="O49" s="35">
        <v>269</v>
      </c>
      <c r="P49" s="136">
        <v>22.200000000000003</v>
      </c>
      <c r="Q49" s="37">
        <v>269</v>
      </c>
      <c r="R49" s="136">
        <v>21.3</v>
      </c>
      <c r="S49" s="37"/>
      <c r="T49" s="35">
        <v>0</v>
      </c>
      <c r="U49" s="136">
        <v>36.200000000000003</v>
      </c>
      <c r="V49" s="35">
        <v>0</v>
      </c>
      <c r="W49" s="136">
        <v>29</v>
      </c>
      <c r="X49" s="35">
        <v>0</v>
      </c>
      <c r="Y49" s="149">
        <v>29</v>
      </c>
      <c r="Z49" s="35">
        <v>0</v>
      </c>
      <c r="AA49" s="136">
        <v>28.900000000000002</v>
      </c>
      <c r="AB49" s="37">
        <v>0</v>
      </c>
      <c r="AC49" s="136">
        <v>28.900000000000002</v>
      </c>
      <c r="AD49" s="37"/>
      <c r="AE49" s="40">
        <v>215</v>
      </c>
      <c r="AF49" s="65"/>
      <c r="AG49" s="35">
        <v>0</v>
      </c>
      <c r="AH49" s="36">
        <v>0</v>
      </c>
      <c r="AI49" s="37"/>
      <c r="AJ49" s="35">
        <v>363</v>
      </c>
      <c r="AK49" s="36">
        <v>432</v>
      </c>
      <c r="AL49" s="35">
        <v>432</v>
      </c>
      <c r="AM49" s="36">
        <v>532.80000000000007</v>
      </c>
      <c r="AN49" s="35">
        <v>454</v>
      </c>
      <c r="AO49" s="36">
        <v>511.20000000000005</v>
      </c>
      <c r="AP49" s="37"/>
      <c r="AQ49" s="35">
        <v>365</v>
      </c>
      <c r="AR49" s="36">
        <v>868.80000000000007</v>
      </c>
      <c r="AS49" s="35">
        <v>538</v>
      </c>
      <c r="AT49" s="36">
        <v>696</v>
      </c>
      <c r="AU49" s="35">
        <v>538</v>
      </c>
      <c r="AV49" s="36">
        <v>696</v>
      </c>
      <c r="AW49" s="35">
        <v>540</v>
      </c>
      <c r="AX49" s="36">
        <v>693.6</v>
      </c>
      <c r="AY49" s="35">
        <v>540</v>
      </c>
      <c r="AZ49" s="36">
        <v>693.6</v>
      </c>
      <c r="BB49" s="40">
        <v>0</v>
      </c>
      <c r="BC49" s="65"/>
      <c r="BD49" s="35">
        <v>0</v>
      </c>
      <c r="BE49" s="36">
        <v>0</v>
      </c>
      <c r="BF49" s="37"/>
      <c r="BG49" s="415">
        <v>170</v>
      </c>
      <c r="BH49" s="353">
        <v>-5.2000000000000028</v>
      </c>
      <c r="BI49" s="415">
        <v>0</v>
      </c>
      <c r="BJ49" s="353">
        <v>0</v>
      </c>
      <c r="BK49" s="415">
        <v>0</v>
      </c>
      <c r="BL49" s="353">
        <v>0</v>
      </c>
      <c r="BM49" s="416"/>
      <c r="BN49" s="415">
        <v>0</v>
      </c>
      <c r="BO49" s="353">
        <v>0</v>
      </c>
      <c r="BP49" s="415">
        <v>0</v>
      </c>
      <c r="BQ49" s="353">
        <v>0</v>
      </c>
      <c r="BR49" s="415">
        <v>0</v>
      </c>
      <c r="BS49" s="353">
        <v>0</v>
      </c>
      <c r="BT49" s="415">
        <v>0</v>
      </c>
      <c r="BU49" s="353">
        <v>0</v>
      </c>
      <c r="BV49" s="415">
        <v>0</v>
      </c>
      <c r="BW49" s="353">
        <v>0</v>
      </c>
      <c r="BY49" s="80"/>
      <c r="BZ49" s="65"/>
      <c r="CA49" s="40" t="s">
        <v>3</v>
      </c>
      <c r="CB49" s="65"/>
      <c r="CC49" s="40">
        <v>-148.00826446280996</v>
      </c>
      <c r="CD49" s="40">
        <v>-217.20826446280989</v>
      </c>
      <c r="CE49" s="40">
        <v>-238.80826446280992</v>
      </c>
      <c r="CF49" s="65"/>
      <c r="CG49" s="40">
        <v>-150.20826446280989</v>
      </c>
      <c r="CH49" s="40">
        <v>-323.00826446280996</v>
      </c>
      <c r="CI49" s="40">
        <v>-323.00826446280996</v>
      </c>
      <c r="CJ49" s="40">
        <v>-325.40826446280994</v>
      </c>
      <c r="CK49" s="40">
        <v>-325.40826446280994</v>
      </c>
    </row>
    <row r="50" spans="1:89" s="2" customFormat="1">
      <c r="A50" s="196" t="s">
        <v>829</v>
      </c>
      <c r="B50" s="211" t="s">
        <v>106</v>
      </c>
      <c r="C50" s="211" t="s">
        <v>678</v>
      </c>
      <c r="D50" s="41">
        <v>1234</v>
      </c>
      <c r="E50" s="41">
        <v>3.25</v>
      </c>
      <c r="F50" s="22" t="s">
        <v>387</v>
      </c>
      <c r="G50" s="40">
        <v>30</v>
      </c>
      <c r="H50" s="388">
        <v>1019.00826446281</v>
      </c>
      <c r="I50" s="321"/>
      <c r="J50" s="40" t="s">
        <v>3</v>
      </c>
      <c r="K50" s="36" t="s">
        <v>3</v>
      </c>
      <c r="L50" s="37"/>
      <c r="M50" s="35">
        <v>439</v>
      </c>
      <c r="N50" s="136">
        <v>14.4</v>
      </c>
      <c r="O50" s="35">
        <v>269</v>
      </c>
      <c r="P50" s="136">
        <v>17.8</v>
      </c>
      <c r="Q50" s="37">
        <v>269</v>
      </c>
      <c r="R50" s="136">
        <v>17.100000000000001</v>
      </c>
      <c r="S50" s="37"/>
      <c r="T50" s="35">
        <v>0</v>
      </c>
      <c r="U50" s="136">
        <v>29</v>
      </c>
      <c r="V50" s="35">
        <v>0</v>
      </c>
      <c r="W50" s="136">
        <v>23.200000000000003</v>
      </c>
      <c r="X50" s="35">
        <v>0</v>
      </c>
      <c r="Y50" s="149">
        <v>23.200000000000003</v>
      </c>
      <c r="Z50" s="35">
        <v>0</v>
      </c>
      <c r="AA50" s="136">
        <v>23.1</v>
      </c>
      <c r="AB50" s="37">
        <v>0</v>
      </c>
      <c r="AC50" s="136">
        <v>23.1</v>
      </c>
      <c r="AD50" s="37"/>
      <c r="AE50" s="40">
        <v>215</v>
      </c>
      <c r="AF50" s="65"/>
      <c r="AG50" s="35">
        <v>0</v>
      </c>
      <c r="AH50" s="36">
        <v>0</v>
      </c>
      <c r="AI50" s="37"/>
      <c r="AJ50" s="35">
        <v>363</v>
      </c>
      <c r="AK50" s="36">
        <v>432</v>
      </c>
      <c r="AL50" s="35">
        <v>431</v>
      </c>
      <c r="AM50" s="36">
        <v>534</v>
      </c>
      <c r="AN50" s="37">
        <v>452</v>
      </c>
      <c r="AO50" s="36">
        <v>513</v>
      </c>
      <c r="AP50" s="37"/>
      <c r="AQ50" s="35">
        <v>364</v>
      </c>
      <c r="AR50" s="36">
        <v>870</v>
      </c>
      <c r="AS50" s="35">
        <v>538</v>
      </c>
      <c r="AT50" s="36">
        <v>696.00000000000011</v>
      </c>
      <c r="AU50" s="37">
        <v>538</v>
      </c>
      <c r="AV50" s="36">
        <v>696.00000000000011</v>
      </c>
      <c r="AW50" s="37">
        <v>541</v>
      </c>
      <c r="AX50" s="36">
        <v>693</v>
      </c>
      <c r="AY50" s="37">
        <v>541</v>
      </c>
      <c r="AZ50" s="36">
        <v>693</v>
      </c>
      <c r="BB50" s="40">
        <v>0</v>
      </c>
      <c r="BC50" s="65"/>
      <c r="BD50" s="35">
        <v>0</v>
      </c>
      <c r="BE50" s="36">
        <v>0</v>
      </c>
      <c r="BF50" s="37"/>
      <c r="BG50" s="415">
        <v>170</v>
      </c>
      <c r="BH50" s="353">
        <v>-4.2000000000000011</v>
      </c>
      <c r="BI50" s="415">
        <v>0</v>
      </c>
      <c r="BJ50" s="353">
        <v>0</v>
      </c>
      <c r="BK50" s="415">
        <v>0</v>
      </c>
      <c r="BL50" s="353">
        <v>0</v>
      </c>
      <c r="BM50" s="416"/>
      <c r="BN50" s="415">
        <v>0</v>
      </c>
      <c r="BO50" s="353">
        <v>0</v>
      </c>
      <c r="BP50" s="415">
        <v>0</v>
      </c>
      <c r="BQ50" s="353">
        <v>0</v>
      </c>
      <c r="BR50" s="415">
        <v>0</v>
      </c>
      <c r="BS50" s="353">
        <v>0</v>
      </c>
      <c r="BT50" s="415">
        <v>0</v>
      </c>
      <c r="BU50" s="353">
        <v>0</v>
      </c>
      <c r="BV50" s="415">
        <v>0</v>
      </c>
      <c r="BW50" s="353">
        <v>0</v>
      </c>
      <c r="BY50" s="80"/>
      <c r="BZ50" s="65"/>
      <c r="CA50" s="40" t="s">
        <v>3</v>
      </c>
      <c r="CB50" s="65"/>
      <c r="CC50" s="40">
        <v>-148.00826446280996</v>
      </c>
      <c r="CD50" s="40">
        <v>-216.00826446280996</v>
      </c>
      <c r="CE50" s="40">
        <v>-237.00826446280996</v>
      </c>
      <c r="CF50" s="65"/>
      <c r="CG50" s="40">
        <v>-149.00826446280996</v>
      </c>
      <c r="CH50" s="40">
        <v>-323.00826446280985</v>
      </c>
      <c r="CI50" s="40">
        <v>-323.00826446280985</v>
      </c>
      <c r="CJ50" s="40">
        <v>-326.00826446280996</v>
      </c>
      <c r="CK50" s="40">
        <v>-326.00826446280996</v>
      </c>
    </row>
    <row r="51" spans="1:89" s="2" customFormat="1">
      <c r="A51" s="196" t="s">
        <v>830</v>
      </c>
      <c r="B51" s="211" t="s">
        <v>670</v>
      </c>
      <c r="C51" s="211" t="s">
        <v>627</v>
      </c>
      <c r="D51" s="41">
        <v>539</v>
      </c>
      <c r="E51" s="41">
        <v>3.25</v>
      </c>
      <c r="F51" s="41" t="s">
        <v>387</v>
      </c>
      <c r="G51" s="413">
        <v>24</v>
      </c>
      <c r="H51" s="414">
        <v>428.09917355371903</v>
      </c>
      <c r="I51" s="321"/>
      <c r="J51" s="40" t="s">
        <v>3</v>
      </c>
      <c r="K51" s="36" t="s">
        <v>3</v>
      </c>
      <c r="L51" s="37"/>
      <c r="M51" s="35">
        <v>139</v>
      </c>
      <c r="N51" s="136">
        <v>8.7000000000000011</v>
      </c>
      <c r="O51" s="35">
        <v>19</v>
      </c>
      <c r="P51" s="136">
        <v>11</v>
      </c>
      <c r="Q51" s="37">
        <v>19</v>
      </c>
      <c r="R51" s="136">
        <v>10.200000000000001</v>
      </c>
      <c r="S51" s="37"/>
      <c r="T51" s="35">
        <v>0</v>
      </c>
      <c r="U51" s="136">
        <v>14.9</v>
      </c>
      <c r="V51" s="35">
        <v>0</v>
      </c>
      <c r="W51" s="136">
        <v>7.3000000000000007</v>
      </c>
      <c r="X51" s="35">
        <v>0</v>
      </c>
      <c r="Y51" s="149">
        <v>7.3000000000000007</v>
      </c>
      <c r="Z51" s="35">
        <v>0</v>
      </c>
      <c r="AA51" s="136">
        <v>7.2</v>
      </c>
      <c r="AB51" s="37">
        <v>0</v>
      </c>
      <c r="AC51" s="136">
        <v>7.2</v>
      </c>
      <c r="AD51" s="37"/>
      <c r="AE51" s="40">
        <v>111</v>
      </c>
      <c r="AF51" s="65"/>
      <c r="AG51" s="35">
        <v>0</v>
      </c>
      <c r="AH51" s="36">
        <v>0</v>
      </c>
      <c r="AI51" s="37"/>
      <c r="AJ51" s="35">
        <v>191</v>
      </c>
      <c r="AK51" s="36">
        <v>208.8</v>
      </c>
      <c r="AL51" s="35">
        <v>256</v>
      </c>
      <c r="AM51" s="36">
        <v>264</v>
      </c>
      <c r="AN51" s="35">
        <v>275</v>
      </c>
      <c r="AO51" s="36">
        <v>244.8</v>
      </c>
      <c r="AP51" s="37"/>
      <c r="AQ51" s="35">
        <v>181</v>
      </c>
      <c r="AR51" s="36">
        <v>357.6</v>
      </c>
      <c r="AS51" s="35">
        <v>364</v>
      </c>
      <c r="AT51" s="36">
        <v>175.20000000000002</v>
      </c>
      <c r="AU51" s="35">
        <v>364</v>
      </c>
      <c r="AV51" s="36">
        <v>175.20000000000002</v>
      </c>
      <c r="AW51" s="35">
        <v>366</v>
      </c>
      <c r="AX51" s="36">
        <v>172.8</v>
      </c>
      <c r="AY51" s="35">
        <v>366</v>
      </c>
      <c r="AZ51" s="36">
        <v>172.8</v>
      </c>
      <c r="BB51" s="40">
        <v>0</v>
      </c>
      <c r="BC51" s="65"/>
      <c r="BD51" s="35">
        <v>0</v>
      </c>
      <c r="BE51" s="36">
        <v>0</v>
      </c>
      <c r="BF51" s="37"/>
      <c r="BG51" s="415">
        <v>120</v>
      </c>
      <c r="BH51" s="353">
        <v>-3.2999999999999989</v>
      </c>
      <c r="BI51" s="415">
        <v>0</v>
      </c>
      <c r="BJ51" s="353">
        <v>0</v>
      </c>
      <c r="BK51" s="415">
        <v>0</v>
      </c>
      <c r="BL51" s="353">
        <v>0</v>
      </c>
      <c r="BM51" s="416"/>
      <c r="BN51" s="415">
        <v>0</v>
      </c>
      <c r="BO51" s="353">
        <v>0</v>
      </c>
      <c r="BP51" s="415">
        <v>0</v>
      </c>
      <c r="BQ51" s="353">
        <v>0</v>
      </c>
      <c r="BR51" s="415">
        <v>0</v>
      </c>
      <c r="BS51" s="353">
        <v>0</v>
      </c>
      <c r="BT51" s="415">
        <v>0</v>
      </c>
      <c r="BU51" s="353">
        <v>-0.10000000000000053</v>
      </c>
      <c r="BV51" s="415">
        <v>0</v>
      </c>
      <c r="BW51" s="353">
        <v>-0.10000000000000053</v>
      </c>
      <c r="BY51" s="80"/>
      <c r="BZ51" s="65"/>
      <c r="CA51" s="40" t="s">
        <v>3</v>
      </c>
      <c r="CB51" s="65"/>
      <c r="CC51" s="40">
        <v>-80.299173553719015</v>
      </c>
      <c r="CD51" s="40">
        <v>-145.09917355371903</v>
      </c>
      <c r="CE51" s="40">
        <v>-164.29917355371902</v>
      </c>
      <c r="CF51" s="65"/>
      <c r="CG51" s="40">
        <v>-70.499173553719004</v>
      </c>
      <c r="CH51" s="40">
        <v>-252.89917355371901</v>
      </c>
      <c r="CI51" s="40">
        <v>-252.89917355371901</v>
      </c>
      <c r="CJ51" s="40">
        <v>-255.29917355371902</v>
      </c>
      <c r="CK51" s="40">
        <v>-255.29917355371902</v>
      </c>
    </row>
    <row r="52" spans="1:89" s="2" customFormat="1">
      <c r="A52" s="196" t="s">
        <v>831</v>
      </c>
      <c r="B52" s="211" t="s">
        <v>670</v>
      </c>
      <c r="C52" s="211" t="s">
        <v>627</v>
      </c>
      <c r="D52" s="41">
        <v>539</v>
      </c>
      <c r="E52" s="41">
        <v>3.25</v>
      </c>
      <c r="F52" s="22" t="s">
        <v>387</v>
      </c>
      <c r="G52" s="40">
        <v>30</v>
      </c>
      <c r="H52" s="388">
        <v>428.09917355371903</v>
      </c>
      <c r="I52" s="321"/>
      <c r="J52" s="40" t="s">
        <v>3</v>
      </c>
      <c r="K52" s="36" t="s">
        <v>3</v>
      </c>
      <c r="L52" s="37"/>
      <c r="M52" s="35">
        <v>139</v>
      </c>
      <c r="N52" s="136">
        <v>7</v>
      </c>
      <c r="O52" s="35">
        <v>19</v>
      </c>
      <c r="P52" s="136">
        <v>8.8000000000000007</v>
      </c>
      <c r="Q52" s="37">
        <v>19</v>
      </c>
      <c r="R52" s="136">
        <v>8.2000000000000011</v>
      </c>
      <c r="S52" s="37"/>
      <c r="T52" s="35">
        <v>0</v>
      </c>
      <c r="U52" s="136">
        <v>12</v>
      </c>
      <c r="V52" s="35">
        <v>0</v>
      </c>
      <c r="W52" s="136">
        <v>5.9</v>
      </c>
      <c r="X52" s="35">
        <v>0</v>
      </c>
      <c r="Y52" s="149">
        <v>5.9</v>
      </c>
      <c r="Z52" s="35">
        <v>0</v>
      </c>
      <c r="AA52" s="136">
        <v>5.8000000000000007</v>
      </c>
      <c r="AB52" s="37">
        <v>0</v>
      </c>
      <c r="AC52" s="136">
        <v>5.8000000000000007</v>
      </c>
      <c r="AD52" s="37"/>
      <c r="AE52" s="40">
        <v>111</v>
      </c>
      <c r="AF52" s="65"/>
      <c r="AG52" s="35">
        <v>0</v>
      </c>
      <c r="AH52" s="36">
        <v>0</v>
      </c>
      <c r="AI52" s="37"/>
      <c r="AJ52" s="35">
        <v>190</v>
      </c>
      <c r="AK52" s="36">
        <v>210</v>
      </c>
      <c r="AL52" s="35">
        <v>256</v>
      </c>
      <c r="AM52" s="36">
        <v>264</v>
      </c>
      <c r="AN52" s="37">
        <v>274</v>
      </c>
      <c r="AO52" s="36">
        <v>246.00000000000003</v>
      </c>
      <c r="AP52" s="37"/>
      <c r="AQ52" s="35">
        <v>179</v>
      </c>
      <c r="AR52" s="36">
        <v>360</v>
      </c>
      <c r="AS52" s="35">
        <v>362</v>
      </c>
      <c r="AT52" s="36">
        <v>177</v>
      </c>
      <c r="AU52" s="37">
        <v>362</v>
      </c>
      <c r="AV52" s="36">
        <v>177</v>
      </c>
      <c r="AW52" s="37">
        <v>365</v>
      </c>
      <c r="AX52" s="36">
        <v>174.00000000000003</v>
      </c>
      <c r="AY52" s="37">
        <v>365</v>
      </c>
      <c r="AZ52" s="36">
        <v>174.00000000000003</v>
      </c>
      <c r="BB52" s="40">
        <v>0</v>
      </c>
      <c r="BC52" s="65"/>
      <c r="BD52" s="35">
        <v>0</v>
      </c>
      <c r="BE52" s="36">
        <v>0</v>
      </c>
      <c r="BF52" s="37"/>
      <c r="BG52" s="415">
        <v>120</v>
      </c>
      <c r="BH52" s="353">
        <v>-2.6000000000000014</v>
      </c>
      <c r="BI52" s="415">
        <v>0</v>
      </c>
      <c r="BJ52" s="353">
        <v>0</v>
      </c>
      <c r="BK52" s="415">
        <v>0</v>
      </c>
      <c r="BL52" s="353">
        <v>0</v>
      </c>
      <c r="BM52" s="416"/>
      <c r="BN52" s="415">
        <v>0</v>
      </c>
      <c r="BO52" s="353">
        <v>0</v>
      </c>
      <c r="BP52" s="415">
        <v>0</v>
      </c>
      <c r="BQ52" s="353">
        <v>0</v>
      </c>
      <c r="BR52" s="415">
        <v>0</v>
      </c>
      <c r="BS52" s="353">
        <v>0</v>
      </c>
      <c r="BT52" s="415">
        <v>0</v>
      </c>
      <c r="BU52" s="353">
        <v>0</v>
      </c>
      <c r="BV52" s="415">
        <v>0</v>
      </c>
      <c r="BW52" s="353">
        <v>0</v>
      </c>
      <c r="BY52" s="80"/>
      <c r="BZ52" s="65"/>
      <c r="CA52" s="40" t="s">
        <v>3</v>
      </c>
      <c r="CB52" s="65"/>
      <c r="CC52" s="40">
        <v>-79.099173553719027</v>
      </c>
      <c r="CD52" s="40">
        <v>-145.09917355371903</v>
      </c>
      <c r="CE52" s="40">
        <v>-163.09917355371903</v>
      </c>
      <c r="CF52" s="65"/>
      <c r="CG52" s="40">
        <v>-68.099173553719027</v>
      </c>
      <c r="CH52" s="40">
        <v>-251.09917355371903</v>
      </c>
      <c r="CI52" s="40">
        <v>-251.09917355371903</v>
      </c>
      <c r="CJ52" s="40">
        <v>-254.099173553719</v>
      </c>
      <c r="CK52" s="40">
        <v>-254.099173553719</v>
      </c>
    </row>
    <row r="53" spans="1:89" s="2" customFormat="1">
      <c r="A53" s="196" t="s">
        <v>832</v>
      </c>
      <c r="B53" s="211" t="s">
        <v>670</v>
      </c>
      <c r="C53" s="211" t="s">
        <v>628</v>
      </c>
      <c r="D53" s="41">
        <v>309</v>
      </c>
      <c r="E53" s="41">
        <v>3.25</v>
      </c>
      <c r="F53" s="41" t="s">
        <v>387</v>
      </c>
      <c r="G53" s="413">
        <v>24</v>
      </c>
      <c r="H53" s="414">
        <v>240.49586776859505</v>
      </c>
      <c r="I53" s="321"/>
      <c r="J53" s="40" t="s">
        <v>3</v>
      </c>
      <c r="K53" s="36" t="s">
        <v>3</v>
      </c>
      <c r="L53" s="37"/>
      <c r="M53" s="35">
        <v>39</v>
      </c>
      <c r="N53" s="136">
        <v>6.7</v>
      </c>
      <c r="O53" s="35">
        <v>0</v>
      </c>
      <c r="P53" s="136">
        <v>5</v>
      </c>
      <c r="Q53" s="37">
        <v>0</v>
      </c>
      <c r="R53" s="136">
        <v>4.2</v>
      </c>
      <c r="S53" s="37"/>
      <c r="T53" s="35">
        <v>0</v>
      </c>
      <c r="U53" s="136">
        <v>8.1</v>
      </c>
      <c r="V53" s="35">
        <v>0</v>
      </c>
      <c r="W53" s="136">
        <v>4.2</v>
      </c>
      <c r="X53" s="35">
        <v>0</v>
      </c>
      <c r="Y53" s="149">
        <v>2</v>
      </c>
      <c r="Z53" s="35">
        <v>0</v>
      </c>
      <c r="AA53" s="136">
        <v>2</v>
      </c>
      <c r="AB53" s="37">
        <v>0</v>
      </c>
      <c r="AC53" s="136">
        <v>2</v>
      </c>
      <c r="AD53" s="37"/>
      <c r="AE53" s="40">
        <v>69</v>
      </c>
      <c r="AF53" s="65"/>
      <c r="AG53" s="35">
        <v>0</v>
      </c>
      <c r="AH53" s="36">
        <v>0</v>
      </c>
      <c r="AI53" s="37"/>
      <c r="AJ53" s="35">
        <v>109</v>
      </c>
      <c r="AK53" s="36">
        <v>160.80000000000001</v>
      </c>
      <c r="AL53" s="35">
        <v>189</v>
      </c>
      <c r="AM53" s="36">
        <v>120</v>
      </c>
      <c r="AN53" s="35">
        <v>208</v>
      </c>
      <c r="AO53" s="36">
        <v>100.80000000000001</v>
      </c>
      <c r="AP53" s="37"/>
      <c r="AQ53" s="35">
        <v>115</v>
      </c>
      <c r="AR53" s="36">
        <v>194.39999999999998</v>
      </c>
      <c r="AS53" s="35">
        <v>208</v>
      </c>
      <c r="AT53" s="36">
        <v>100.80000000000001</v>
      </c>
      <c r="AU53" s="35">
        <v>261</v>
      </c>
      <c r="AV53" s="36">
        <v>48</v>
      </c>
      <c r="AW53" s="35">
        <v>261</v>
      </c>
      <c r="AX53" s="36">
        <v>48</v>
      </c>
      <c r="AY53" s="35">
        <v>261</v>
      </c>
      <c r="AZ53" s="36">
        <v>48</v>
      </c>
      <c r="BB53" s="40">
        <v>0</v>
      </c>
      <c r="BC53" s="65"/>
      <c r="BD53" s="35">
        <v>0</v>
      </c>
      <c r="BE53" s="36">
        <v>0</v>
      </c>
      <c r="BF53" s="37"/>
      <c r="BG53" s="415">
        <v>39</v>
      </c>
      <c r="BH53" s="353">
        <v>0.70000000000000018</v>
      </c>
      <c r="BI53" s="415">
        <v>0</v>
      </c>
      <c r="BJ53" s="353">
        <v>0</v>
      </c>
      <c r="BK53" s="415">
        <v>0</v>
      </c>
      <c r="BL53" s="353">
        <v>0</v>
      </c>
      <c r="BM53" s="416"/>
      <c r="BN53" s="415">
        <v>0</v>
      </c>
      <c r="BO53" s="353">
        <v>0</v>
      </c>
      <c r="BP53" s="415">
        <v>0</v>
      </c>
      <c r="BQ53" s="353">
        <v>0</v>
      </c>
      <c r="BR53" s="415">
        <v>0</v>
      </c>
      <c r="BS53" s="353">
        <v>-2.2000000000000002</v>
      </c>
      <c r="BT53" s="415">
        <v>0</v>
      </c>
      <c r="BU53" s="353">
        <v>0</v>
      </c>
      <c r="BV53" s="415">
        <v>0</v>
      </c>
      <c r="BW53" s="353">
        <v>0</v>
      </c>
      <c r="BY53" s="80"/>
      <c r="BZ53" s="65"/>
      <c r="CA53" s="40" t="s">
        <v>3</v>
      </c>
      <c r="CB53" s="65"/>
      <c r="CC53" s="40">
        <v>-40.695867768595036</v>
      </c>
      <c r="CD53" s="40">
        <v>-120.49586776859505</v>
      </c>
      <c r="CE53" s="40">
        <v>-139.69586776859504</v>
      </c>
      <c r="CF53" s="65"/>
      <c r="CG53" s="40">
        <v>-46.09586776859507</v>
      </c>
      <c r="CH53" s="40">
        <v>-139.69586776859504</v>
      </c>
      <c r="CI53" s="40">
        <v>-192.49586776859505</v>
      </c>
      <c r="CJ53" s="40">
        <v>-192.49586776859505</v>
      </c>
      <c r="CK53" s="40">
        <v>-192.49586776859505</v>
      </c>
    </row>
    <row r="54" spans="1:89" s="2" customFormat="1">
      <c r="A54" s="196" t="s">
        <v>833</v>
      </c>
      <c r="B54" s="211" t="s">
        <v>670</v>
      </c>
      <c r="C54" s="211" t="s">
        <v>628</v>
      </c>
      <c r="D54" s="41">
        <v>309</v>
      </c>
      <c r="E54" s="41">
        <v>3.25</v>
      </c>
      <c r="F54" s="22" t="s">
        <v>387</v>
      </c>
      <c r="G54" s="40">
        <v>30</v>
      </c>
      <c r="H54" s="388">
        <v>240.49586776859505</v>
      </c>
      <c r="I54" s="321"/>
      <c r="J54" s="40" t="s">
        <v>3</v>
      </c>
      <c r="K54" s="36" t="s">
        <v>3</v>
      </c>
      <c r="L54" s="37"/>
      <c r="M54" s="35">
        <v>39</v>
      </c>
      <c r="N54" s="136">
        <v>5.4</v>
      </c>
      <c r="O54" s="35">
        <v>0</v>
      </c>
      <c r="P54" s="136">
        <v>4</v>
      </c>
      <c r="Q54" s="37">
        <v>0</v>
      </c>
      <c r="R54" s="136">
        <v>3.4000000000000004</v>
      </c>
      <c r="S54" s="37"/>
      <c r="T54" s="35">
        <v>0</v>
      </c>
      <c r="U54" s="136">
        <v>6.5</v>
      </c>
      <c r="V54" s="35">
        <v>0</v>
      </c>
      <c r="W54" s="136">
        <v>3.4000000000000004</v>
      </c>
      <c r="X54" s="35">
        <v>0</v>
      </c>
      <c r="Y54" s="149">
        <v>1.6</v>
      </c>
      <c r="Z54" s="35">
        <v>0</v>
      </c>
      <c r="AA54" s="136">
        <v>1.6</v>
      </c>
      <c r="AB54" s="37">
        <v>0</v>
      </c>
      <c r="AC54" s="136">
        <v>1.6</v>
      </c>
      <c r="AD54" s="37"/>
      <c r="AE54" s="40">
        <v>69</v>
      </c>
      <c r="AF54" s="65"/>
      <c r="AG54" s="35">
        <v>0</v>
      </c>
      <c r="AH54" s="36">
        <v>0</v>
      </c>
      <c r="AI54" s="37"/>
      <c r="AJ54" s="35">
        <v>108</v>
      </c>
      <c r="AK54" s="36">
        <v>162</v>
      </c>
      <c r="AL54" s="35">
        <v>189</v>
      </c>
      <c r="AM54" s="36">
        <v>120</v>
      </c>
      <c r="AN54" s="37">
        <v>207</v>
      </c>
      <c r="AO54" s="36">
        <v>102.00000000000001</v>
      </c>
      <c r="AP54" s="37"/>
      <c r="AQ54" s="35">
        <v>114</v>
      </c>
      <c r="AR54" s="36">
        <v>195</v>
      </c>
      <c r="AS54" s="35">
        <v>207</v>
      </c>
      <c r="AT54" s="36">
        <v>102.00000000000001</v>
      </c>
      <c r="AU54" s="37">
        <v>261</v>
      </c>
      <c r="AV54" s="36">
        <v>48</v>
      </c>
      <c r="AW54" s="37">
        <v>261</v>
      </c>
      <c r="AX54" s="36">
        <v>48</v>
      </c>
      <c r="AY54" s="37">
        <v>261</v>
      </c>
      <c r="AZ54" s="36">
        <v>48</v>
      </c>
      <c r="BB54" s="40">
        <v>0</v>
      </c>
      <c r="BC54" s="65"/>
      <c r="BD54" s="35">
        <v>0</v>
      </c>
      <c r="BE54" s="36">
        <v>0</v>
      </c>
      <c r="BF54" s="37"/>
      <c r="BG54" s="415">
        <v>39</v>
      </c>
      <c r="BH54" s="353">
        <v>0.59999999999999964</v>
      </c>
      <c r="BI54" s="415">
        <v>0</v>
      </c>
      <c r="BJ54" s="353">
        <v>0</v>
      </c>
      <c r="BK54" s="415">
        <v>0</v>
      </c>
      <c r="BL54" s="353">
        <v>0</v>
      </c>
      <c r="BM54" s="416"/>
      <c r="BN54" s="415">
        <v>0</v>
      </c>
      <c r="BO54" s="353">
        <v>0</v>
      </c>
      <c r="BP54" s="415">
        <v>0</v>
      </c>
      <c r="BQ54" s="353">
        <v>0</v>
      </c>
      <c r="BR54" s="415">
        <v>0</v>
      </c>
      <c r="BS54" s="353">
        <v>-1.8000000000000003</v>
      </c>
      <c r="BT54" s="415">
        <v>0</v>
      </c>
      <c r="BU54" s="353">
        <v>0</v>
      </c>
      <c r="BV54" s="415">
        <v>0</v>
      </c>
      <c r="BW54" s="353">
        <v>0</v>
      </c>
      <c r="BY54" s="80"/>
      <c r="BZ54" s="65"/>
      <c r="CA54" s="40" t="s">
        <v>3</v>
      </c>
      <c r="CB54" s="65"/>
      <c r="CC54" s="40">
        <v>-39.495867768595048</v>
      </c>
      <c r="CD54" s="40">
        <v>-120.49586776859505</v>
      </c>
      <c r="CE54" s="40">
        <v>-138.49586776859502</v>
      </c>
      <c r="CF54" s="65"/>
      <c r="CG54" s="40">
        <v>-45.495867768595048</v>
      </c>
      <c r="CH54" s="40">
        <v>-138.49586776859502</v>
      </c>
      <c r="CI54" s="40">
        <v>-192.49586776859505</v>
      </c>
      <c r="CJ54" s="40">
        <v>-192.49586776859505</v>
      </c>
      <c r="CK54" s="40">
        <v>-192.49586776859505</v>
      </c>
    </row>
    <row r="55" spans="1:89" s="2" customFormat="1">
      <c r="A55" s="196" t="s">
        <v>834</v>
      </c>
      <c r="B55" s="211" t="s">
        <v>670</v>
      </c>
      <c r="C55" s="211" t="s">
        <v>629</v>
      </c>
      <c r="D55" s="41">
        <v>661</v>
      </c>
      <c r="E55" s="41">
        <v>3.25</v>
      </c>
      <c r="F55" s="41" t="s">
        <v>387</v>
      </c>
      <c r="G55" s="413">
        <v>24</v>
      </c>
      <c r="H55" s="414">
        <v>547.93388429752065</v>
      </c>
      <c r="I55" s="321"/>
      <c r="J55" s="40" t="s">
        <v>3</v>
      </c>
      <c r="K55" s="36" t="s">
        <v>3</v>
      </c>
      <c r="L55" s="37"/>
      <c r="M55" s="35">
        <v>229</v>
      </c>
      <c r="N55" s="136">
        <v>9.3000000000000007</v>
      </c>
      <c r="O55" s="35">
        <v>139</v>
      </c>
      <c r="P55" s="136">
        <v>10</v>
      </c>
      <c r="Q55" s="37">
        <v>139</v>
      </c>
      <c r="R55" s="136">
        <v>9.1</v>
      </c>
      <c r="S55" s="37"/>
      <c r="T55" s="35">
        <v>0</v>
      </c>
      <c r="U55" s="136">
        <v>19.100000000000001</v>
      </c>
      <c r="V55" s="35">
        <v>0</v>
      </c>
      <c r="W55" s="136">
        <v>14.5</v>
      </c>
      <c r="X55" s="35">
        <v>0</v>
      </c>
      <c r="Y55" s="149">
        <v>10.4</v>
      </c>
      <c r="Z55" s="35">
        <v>0</v>
      </c>
      <c r="AA55" s="136">
        <v>10.3</v>
      </c>
      <c r="AB55" s="37">
        <v>0</v>
      </c>
      <c r="AC55" s="136">
        <v>10.3</v>
      </c>
      <c r="AD55" s="37"/>
      <c r="AE55" s="40">
        <v>113</v>
      </c>
      <c r="AF55" s="65"/>
      <c r="AG55" s="35">
        <v>0</v>
      </c>
      <c r="AH55" s="36">
        <v>0</v>
      </c>
      <c r="AI55" s="37"/>
      <c r="AJ55" s="35">
        <v>209</v>
      </c>
      <c r="AK55" s="36">
        <v>223.20000000000002</v>
      </c>
      <c r="AL55" s="35">
        <v>282</v>
      </c>
      <c r="AM55" s="36">
        <v>240</v>
      </c>
      <c r="AN55" s="35">
        <v>304</v>
      </c>
      <c r="AO55" s="36">
        <v>218.39999999999998</v>
      </c>
      <c r="AP55" s="37"/>
      <c r="AQ55" s="35">
        <v>203</v>
      </c>
      <c r="AR55" s="36">
        <v>458.40000000000003</v>
      </c>
      <c r="AS55" s="35">
        <v>313</v>
      </c>
      <c r="AT55" s="36">
        <v>348</v>
      </c>
      <c r="AU55" s="35">
        <v>411</v>
      </c>
      <c r="AV55" s="36">
        <v>249.60000000000002</v>
      </c>
      <c r="AW55" s="35">
        <v>414</v>
      </c>
      <c r="AX55" s="36">
        <v>247.20000000000002</v>
      </c>
      <c r="AY55" s="35">
        <v>414</v>
      </c>
      <c r="AZ55" s="36">
        <v>247.20000000000002</v>
      </c>
      <c r="BB55" s="40">
        <v>0</v>
      </c>
      <c r="BC55" s="65"/>
      <c r="BD55" s="35">
        <v>0</v>
      </c>
      <c r="BE55" s="36">
        <v>0</v>
      </c>
      <c r="BF55" s="37"/>
      <c r="BG55" s="415">
        <v>90</v>
      </c>
      <c r="BH55" s="353">
        <v>-1.6999999999999993</v>
      </c>
      <c r="BI55" s="415">
        <v>0</v>
      </c>
      <c r="BJ55" s="353">
        <v>0</v>
      </c>
      <c r="BK55" s="415">
        <v>0</v>
      </c>
      <c r="BL55" s="353">
        <v>0</v>
      </c>
      <c r="BM55" s="416"/>
      <c r="BN55" s="415">
        <v>0</v>
      </c>
      <c r="BO55" s="353">
        <v>0</v>
      </c>
      <c r="BP55" s="415">
        <v>0</v>
      </c>
      <c r="BQ55" s="353">
        <v>0</v>
      </c>
      <c r="BR55" s="415">
        <v>0</v>
      </c>
      <c r="BS55" s="353">
        <v>-4.0999999999999996</v>
      </c>
      <c r="BT55" s="415">
        <v>0</v>
      </c>
      <c r="BU55" s="353">
        <v>-0.19999999999999929</v>
      </c>
      <c r="BV55" s="415">
        <v>0</v>
      </c>
      <c r="BW55" s="353">
        <v>-0.19999999999999929</v>
      </c>
      <c r="BY55" s="80"/>
      <c r="BZ55" s="65"/>
      <c r="CA55" s="40" t="s">
        <v>3</v>
      </c>
      <c r="CB55" s="65"/>
      <c r="CC55" s="40">
        <v>-95.733884297520603</v>
      </c>
      <c r="CD55" s="40">
        <v>-168.93388429752065</v>
      </c>
      <c r="CE55" s="40">
        <v>-190.53388429752067</v>
      </c>
      <c r="CF55" s="65"/>
      <c r="CG55" s="40">
        <v>-89.533884297520615</v>
      </c>
      <c r="CH55" s="40">
        <v>-199.93388429752065</v>
      </c>
      <c r="CI55" s="40">
        <v>-298.33388429752063</v>
      </c>
      <c r="CJ55" s="40">
        <v>-300.7338842975206</v>
      </c>
      <c r="CK55" s="40">
        <v>-300.7338842975206</v>
      </c>
    </row>
    <row r="56" spans="1:89" s="2" customFormat="1">
      <c r="A56" s="196" t="s">
        <v>835</v>
      </c>
      <c r="B56" s="211" t="s">
        <v>670</v>
      </c>
      <c r="C56" s="211" t="s">
        <v>629</v>
      </c>
      <c r="D56" s="41">
        <v>661</v>
      </c>
      <c r="E56" s="41">
        <v>3.25</v>
      </c>
      <c r="F56" s="22" t="s">
        <v>387</v>
      </c>
      <c r="G56" s="40">
        <v>30</v>
      </c>
      <c r="H56" s="388">
        <v>547.93388429752065</v>
      </c>
      <c r="I56" s="321"/>
      <c r="J56" s="40" t="s">
        <v>3</v>
      </c>
      <c r="K56" s="36" t="s">
        <v>3</v>
      </c>
      <c r="L56" s="37"/>
      <c r="M56" s="35">
        <v>229</v>
      </c>
      <c r="N56" s="136">
        <v>7.5</v>
      </c>
      <c r="O56" s="35">
        <v>139</v>
      </c>
      <c r="P56" s="136">
        <v>8</v>
      </c>
      <c r="Q56" s="37">
        <v>139</v>
      </c>
      <c r="R56" s="136">
        <v>7.3000000000000007</v>
      </c>
      <c r="S56" s="37"/>
      <c r="T56" s="35">
        <v>0</v>
      </c>
      <c r="U56" s="136">
        <v>15.3</v>
      </c>
      <c r="V56" s="35">
        <v>0</v>
      </c>
      <c r="W56" s="136">
        <v>11.600000000000001</v>
      </c>
      <c r="X56" s="35">
        <v>0</v>
      </c>
      <c r="Y56" s="149">
        <v>8.4</v>
      </c>
      <c r="Z56" s="35">
        <v>0</v>
      </c>
      <c r="AA56" s="136">
        <v>8.2000000000000011</v>
      </c>
      <c r="AB56" s="37">
        <v>0</v>
      </c>
      <c r="AC56" s="136">
        <v>8.2000000000000011</v>
      </c>
      <c r="AD56" s="37"/>
      <c r="AE56" s="40">
        <v>113</v>
      </c>
      <c r="AF56" s="65"/>
      <c r="AG56" s="35">
        <v>0</v>
      </c>
      <c r="AH56" s="36">
        <v>0</v>
      </c>
      <c r="AI56" s="37"/>
      <c r="AJ56" s="35">
        <v>207</v>
      </c>
      <c r="AK56" s="36">
        <v>225</v>
      </c>
      <c r="AL56" s="35">
        <v>282</v>
      </c>
      <c r="AM56" s="36">
        <v>240</v>
      </c>
      <c r="AN56" s="37">
        <v>303</v>
      </c>
      <c r="AO56" s="36">
        <v>219.00000000000003</v>
      </c>
      <c r="AP56" s="37"/>
      <c r="AQ56" s="35">
        <v>202</v>
      </c>
      <c r="AR56" s="36">
        <v>459</v>
      </c>
      <c r="AS56" s="35">
        <v>313</v>
      </c>
      <c r="AT56" s="36">
        <v>348.00000000000006</v>
      </c>
      <c r="AU56" s="37">
        <v>409</v>
      </c>
      <c r="AV56" s="36">
        <v>252</v>
      </c>
      <c r="AW56" s="37">
        <v>415</v>
      </c>
      <c r="AX56" s="36">
        <v>246.00000000000003</v>
      </c>
      <c r="AY56" s="37">
        <v>415</v>
      </c>
      <c r="AZ56" s="36">
        <v>246.00000000000003</v>
      </c>
      <c r="BB56" s="40">
        <v>0</v>
      </c>
      <c r="BC56" s="65"/>
      <c r="BD56" s="35">
        <v>0</v>
      </c>
      <c r="BE56" s="36">
        <v>0</v>
      </c>
      <c r="BF56" s="37"/>
      <c r="BG56" s="415">
        <v>90</v>
      </c>
      <c r="BH56" s="353">
        <v>-1.3000000000000007</v>
      </c>
      <c r="BI56" s="415">
        <v>0</v>
      </c>
      <c r="BJ56" s="353">
        <v>0</v>
      </c>
      <c r="BK56" s="415">
        <v>0</v>
      </c>
      <c r="BL56" s="353">
        <v>0</v>
      </c>
      <c r="BM56" s="416"/>
      <c r="BN56" s="415">
        <v>0</v>
      </c>
      <c r="BO56" s="353">
        <v>0</v>
      </c>
      <c r="BP56" s="415">
        <v>0</v>
      </c>
      <c r="BQ56" s="353">
        <v>0</v>
      </c>
      <c r="BR56" s="415">
        <v>0</v>
      </c>
      <c r="BS56" s="353">
        <v>-3.2000000000000011</v>
      </c>
      <c r="BT56" s="415">
        <v>0</v>
      </c>
      <c r="BU56" s="353">
        <v>-0.19999999999999929</v>
      </c>
      <c r="BV56" s="415">
        <v>0</v>
      </c>
      <c r="BW56" s="353">
        <v>-0.19999999999999929</v>
      </c>
      <c r="BY56" s="80"/>
      <c r="BZ56" s="65"/>
      <c r="CA56" s="40" t="s">
        <v>3</v>
      </c>
      <c r="CB56" s="65"/>
      <c r="CC56" s="40">
        <v>-93.933884297520649</v>
      </c>
      <c r="CD56" s="40">
        <v>-168.93388429752065</v>
      </c>
      <c r="CE56" s="40">
        <v>-189.93388429752065</v>
      </c>
      <c r="CF56" s="65"/>
      <c r="CG56" s="40">
        <v>-88.933884297520649</v>
      </c>
      <c r="CH56" s="40">
        <v>-199.93388429752059</v>
      </c>
      <c r="CI56" s="40">
        <v>-295.93388429752065</v>
      </c>
      <c r="CJ56" s="40">
        <v>-301.93388429752065</v>
      </c>
      <c r="CK56" s="40">
        <v>-301.93388429752065</v>
      </c>
    </row>
    <row r="57" spans="1:89" s="2" customFormat="1">
      <c r="A57" s="196" t="s">
        <v>836</v>
      </c>
      <c r="B57" s="211" t="s">
        <v>670</v>
      </c>
      <c r="C57" s="211" t="s">
        <v>703</v>
      </c>
      <c r="D57" s="41">
        <v>181</v>
      </c>
      <c r="E57" s="41">
        <v>3.25</v>
      </c>
      <c r="F57" s="41" t="s">
        <v>387</v>
      </c>
      <c r="G57" s="413">
        <v>24</v>
      </c>
      <c r="H57" s="414">
        <v>110.74380165289257</v>
      </c>
      <c r="I57" s="321"/>
      <c r="J57" s="40" t="s">
        <v>3</v>
      </c>
      <c r="K57" s="36" t="s">
        <v>3</v>
      </c>
      <c r="L57" s="37"/>
      <c r="M57" s="35">
        <v>0</v>
      </c>
      <c r="N57" s="136">
        <v>4</v>
      </c>
      <c r="O57" s="35">
        <v>0</v>
      </c>
      <c r="P57" s="136">
        <v>1.1000000000000001</v>
      </c>
      <c r="Q57" s="37">
        <v>0</v>
      </c>
      <c r="R57" s="136">
        <v>0.5</v>
      </c>
      <c r="S57" s="37"/>
      <c r="T57" s="35">
        <v>0</v>
      </c>
      <c r="U57" s="136">
        <v>4.2</v>
      </c>
      <c r="V57" s="35">
        <v>0</v>
      </c>
      <c r="W57" s="136">
        <v>1.1000000000000001</v>
      </c>
      <c r="X57" s="35">
        <v>0</v>
      </c>
      <c r="Y57" s="149">
        <v>0.5</v>
      </c>
      <c r="Z57" s="35">
        <v>0</v>
      </c>
      <c r="AA57" s="136">
        <v>0.5</v>
      </c>
      <c r="AB57" s="37">
        <v>0</v>
      </c>
      <c r="AC57" s="136">
        <v>0.5</v>
      </c>
      <c r="AD57" s="37"/>
      <c r="AE57" s="40">
        <v>70</v>
      </c>
      <c r="AF57" s="65"/>
      <c r="AG57" s="35">
        <v>0</v>
      </c>
      <c r="AH57" s="36">
        <v>0</v>
      </c>
      <c r="AI57" s="37"/>
      <c r="AJ57" s="35">
        <v>85</v>
      </c>
      <c r="AK57" s="36">
        <v>96</v>
      </c>
      <c r="AL57" s="35">
        <v>155</v>
      </c>
      <c r="AM57" s="36">
        <v>26.400000000000002</v>
      </c>
      <c r="AN57" s="35">
        <v>169</v>
      </c>
      <c r="AO57" s="36">
        <v>12</v>
      </c>
      <c r="AP57" s="37"/>
      <c r="AQ57" s="35">
        <v>80</v>
      </c>
      <c r="AR57" s="36">
        <v>100.80000000000001</v>
      </c>
      <c r="AS57" s="35">
        <v>155</v>
      </c>
      <c r="AT57" s="36">
        <v>26.400000000000002</v>
      </c>
      <c r="AU57" s="35">
        <v>169</v>
      </c>
      <c r="AV57" s="36">
        <v>12</v>
      </c>
      <c r="AW57" s="35">
        <v>169</v>
      </c>
      <c r="AX57" s="36">
        <v>12</v>
      </c>
      <c r="AY57" s="35">
        <v>169</v>
      </c>
      <c r="AZ57" s="36">
        <v>12</v>
      </c>
      <c r="BB57" s="40">
        <v>0</v>
      </c>
      <c r="BC57" s="65"/>
      <c r="BD57" s="35">
        <v>0</v>
      </c>
      <c r="BE57" s="36">
        <v>0</v>
      </c>
      <c r="BF57" s="37"/>
      <c r="BG57" s="415">
        <v>0</v>
      </c>
      <c r="BH57" s="353">
        <v>2.2999999999999998</v>
      </c>
      <c r="BI57" s="415">
        <v>0</v>
      </c>
      <c r="BJ57" s="353">
        <v>0.4</v>
      </c>
      <c r="BK57" s="415">
        <v>0</v>
      </c>
      <c r="BL57" s="353">
        <v>0</v>
      </c>
      <c r="BM57" s="416"/>
      <c r="BN57" s="415">
        <v>0</v>
      </c>
      <c r="BO57" s="353">
        <v>0.39999999999999991</v>
      </c>
      <c r="BP57" s="415">
        <v>0</v>
      </c>
      <c r="BQ57" s="353">
        <v>0</v>
      </c>
      <c r="BR57" s="415">
        <v>0</v>
      </c>
      <c r="BS57" s="353">
        <v>-0.60000000000000009</v>
      </c>
      <c r="BT57" s="415">
        <v>0</v>
      </c>
      <c r="BU57" s="353">
        <v>0</v>
      </c>
      <c r="BV57" s="415">
        <v>0</v>
      </c>
      <c r="BW57" s="353">
        <v>0</v>
      </c>
      <c r="BY57" s="80"/>
      <c r="BZ57" s="65"/>
      <c r="CA57" s="40" t="s">
        <v>3</v>
      </c>
      <c r="CB57" s="65"/>
      <c r="CC57" s="40">
        <v>-14.743801652892571</v>
      </c>
      <c r="CD57" s="40">
        <v>-84.343801652892566</v>
      </c>
      <c r="CE57" s="40">
        <v>-98.743801652892571</v>
      </c>
      <c r="CF57" s="65"/>
      <c r="CG57" s="40">
        <v>-9.9438016528925601</v>
      </c>
      <c r="CH57" s="40">
        <v>-84.343801652892566</v>
      </c>
      <c r="CI57" s="40">
        <v>-98.743801652892571</v>
      </c>
      <c r="CJ57" s="40">
        <v>-98.743801652892571</v>
      </c>
      <c r="CK57" s="40">
        <v>-98.743801652892571</v>
      </c>
    </row>
    <row r="58" spans="1:89" s="2" customFormat="1">
      <c r="A58" s="196" t="s">
        <v>837</v>
      </c>
      <c r="B58" s="211" t="s">
        <v>670</v>
      </c>
      <c r="C58" s="211" t="s">
        <v>703</v>
      </c>
      <c r="D58" s="41">
        <v>181</v>
      </c>
      <c r="E58" s="41">
        <v>3.25</v>
      </c>
      <c r="F58" s="22" t="s">
        <v>387</v>
      </c>
      <c r="G58" s="40">
        <v>30</v>
      </c>
      <c r="H58" s="388">
        <v>110.74380165289257</v>
      </c>
      <c r="I58" s="321"/>
      <c r="J58" s="40" t="s">
        <v>3</v>
      </c>
      <c r="K58" s="36" t="s">
        <v>3</v>
      </c>
      <c r="L58" s="37"/>
      <c r="M58" s="35">
        <v>0</v>
      </c>
      <c r="N58" s="136">
        <v>3.2</v>
      </c>
      <c r="O58" s="35">
        <v>0</v>
      </c>
      <c r="P58" s="136">
        <v>0.9</v>
      </c>
      <c r="Q58" s="37">
        <v>0</v>
      </c>
      <c r="R58" s="136">
        <v>0.4</v>
      </c>
      <c r="S58" s="37"/>
      <c r="T58" s="35">
        <v>0</v>
      </c>
      <c r="U58" s="136">
        <v>3.4000000000000004</v>
      </c>
      <c r="V58" s="35">
        <v>0</v>
      </c>
      <c r="W58" s="136">
        <v>0.9</v>
      </c>
      <c r="X58" s="35">
        <v>0</v>
      </c>
      <c r="Y58" s="149">
        <v>0.4</v>
      </c>
      <c r="Z58" s="35">
        <v>0</v>
      </c>
      <c r="AA58" s="136">
        <v>0.4</v>
      </c>
      <c r="AB58" s="37">
        <v>0</v>
      </c>
      <c r="AC58" s="136">
        <v>0.4</v>
      </c>
      <c r="AD58" s="37"/>
      <c r="AE58" s="40">
        <v>70</v>
      </c>
      <c r="AF58" s="65"/>
      <c r="AG58" s="35">
        <v>0</v>
      </c>
      <c r="AH58" s="36">
        <v>0</v>
      </c>
      <c r="AI58" s="37"/>
      <c r="AJ58" s="35">
        <v>85</v>
      </c>
      <c r="AK58" s="36">
        <v>96</v>
      </c>
      <c r="AL58" s="35">
        <v>154</v>
      </c>
      <c r="AM58" s="36">
        <v>27</v>
      </c>
      <c r="AN58" s="37">
        <v>169</v>
      </c>
      <c r="AO58" s="36">
        <v>12</v>
      </c>
      <c r="AP58" s="37"/>
      <c r="AQ58" s="35">
        <v>79</v>
      </c>
      <c r="AR58" s="36">
        <v>102.00000000000001</v>
      </c>
      <c r="AS58" s="35">
        <v>154</v>
      </c>
      <c r="AT58" s="36">
        <v>27</v>
      </c>
      <c r="AU58" s="37">
        <v>169</v>
      </c>
      <c r="AV58" s="36">
        <v>12</v>
      </c>
      <c r="AW58" s="37">
        <v>169</v>
      </c>
      <c r="AX58" s="36">
        <v>12</v>
      </c>
      <c r="AY58" s="37">
        <v>169</v>
      </c>
      <c r="AZ58" s="36">
        <v>12</v>
      </c>
      <c r="BB58" s="40">
        <v>0</v>
      </c>
      <c r="BC58" s="65"/>
      <c r="BD58" s="35">
        <v>0</v>
      </c>
      <c r="BE58" s="36">
        <v>0</v>
      </c>
      <c r="BF58" s="37"/>
      <c r="BG58" s="415">
        <v>0</v>
      </c>
      <c r="BH58" s="353">
        <v>1.8</v>
      </c>
      <c r="BI58" s="415">
        <v>0</v>
      </c>
      <c r="BJ58" s="353">
        <v>0.29999999999999993</v>
      </c>
      <c r="BK58" s="415">
        <v>0</v>
      </c>
      <c r="BL58" s="353">
        <v>0</v>
      </c>
      <c r="BM58" s="416"/>
      <c r="BN58" s="415">
        <v>0</v>
      </c>
      <c r="BO58" s="353">
        <v>0.30000000000000027</v>
      </c>
      <c r="BP58" s="415">
        <v>0</v>
      </c>
      <c r="BQ58" s="353">
        <v>0</v>
      </c>
      <c r="BR58" s="415">
        <v>0</v>
      </c>
      <c r="BS58" s="353">
        <v>-0.5</v>
      </c>
      <c r="BT58" s="415">
        <v>0</v>
      </c>
      <c r="BU58" s="353">
        <v>0</v>
      </c>
      <c r="BV58" s="415">
        <v>0</v>
      </c>
      <c r="BW58" s="353">
        <v>0</v>
      </c>
      <c r="BY58" s="80"/>
      <c r="BZ58" s="65"/>
      <c r="CA58" s="40" t="s">
        <v>3</v>
      </c>
      <c r="CB58" s="65"/>
      <c r="CC58" s="40">
        <v>-14.743801652892571</v>
      </c>
      <c r="CD58" s="40">
        <v>-83.743801652892571</v>
      </c>
      <c r="CE58" s="40">
        <v>-98.743801652892571</v>
      </c>
      <c r="CF58" s="65"/>
      <c r="CG58" s="40">
        <v>-8.7438016528925573</v>
      </c>
      <c r="CH58" s="40">
        <v>-83.743801652892571</v>
      </c>
      <c r="CI58" s="40">
        <v>-98.743801652892571</v>
      </c>
      <c r="CJ58" s="40">
        <v>-98.743801652892571</v>
      </c>
      <c r="CK58" s="40">
        <v>-98.743801652892571</v>
      </c>
    </row>
    <row r="59" spans="1:89" s="2" customFormat="1">
      <c r="A59" s="196" t="s">
        <v>838</v>
      </c>
      <c r="B59" s="211" t="s">
        <v>670</v>
      </c>
      <c r="C59" s="211" t="s">
        <v>704</v>
      </c>
      <c r="D59" s="41">
        <v>1653</v>
      </c>
      <c r="E59" s="41">
        <v>3.25</v>
      </c>
      <c r="F59" s="41" t="s">
        <v>387</v>
      </c>
      <c r="G59" s="413">
        <v>24</v>
      </c>
      <c r="H59" s="414">
        <v>1282.6446280991736</v>
      </c>
      <c r="I59" s="321"/>
      <c r="J59" s="40" t="s">
        <v>3</v>
      </c>
      <c r="K59" s="36" t="s">
        <v>3</v>
      </c>
      <c r="L59" s="37"/>
      <c r="M59" s="35">
        <v>569</v>
      </c>
      <c r="N59" s="136">
        <v>23.6</v>
      </c>
      <c r="O59" s="35">
        <v>339</v>
      </c>
      <c r="P59" s="136">
        <v>30</v>
      </c>
      <c r="Q59" s="37">
        <v>339</v>
      </c>
      <c r="R59" s="136">
        <v>29.400000000000002</v>
      </c>
      <c r="S59" s="37"/>
      <c r="T59" s="35">
        <v>0</v>
      </c>
      <c r="U59" s="136">
        <v>47.400000000000006</v>
      </c>
      <c r="V59" s="35">
        <v>0</v>
      </c>
      <c r="W59" s="136">
        <v>40</v>
      </c>
      <c r="X59" s="35">
        <v>0</v>
      </c>
      <c r="Y59" s="149">
        <v>40</v>
      </c>
      <c r="Z59" s="35">
        <v>0</v>
      </c>
      <c r="AA59" s="136">
        <v>40</v>
      </c>
      <c r="AB59" s="37">
        <v>0</v>
      </c>
      <c r="AC59" s="136">
        <v>40</v>
      </c>
      <c r="AD59" s="37"/>
      <c r="AE59" s="40">
        <v>370</v>
      </c>
      <c r="AF59" s="65"/>
      <c r="AG59" s="35">
        <v>0</v>
      </c>
      <c r="AH59" s="36">
        <v>0</v>
      </c>
      <c r="AI59" s="37"/>
      <c r="AJ59" s="35">
        <v>518</v>
      </c>
      <c r="AK59" s="36">
        <v>566.40000000000009</v>
      </c>
      <c r="AL59" s="35">
        <v>594</v>
      </c>
      <c r="AM59" s="36">
        <v>720</v>
      </c>
      <c r="AN59" s="35">
        <v>608</v>
      </c>
      <c r="AO59" s="36">
        <v>705.6</v>
      </c>
      <c r="AP59" s="37"/>
      <c r="AQ59" s="35">
        <v>515</v>
      </c>
      <c r="AR59" s="36">
        <v>1137.6000000000001</v>
      </c>
      <c r="AS59" s="35">
        <v>693</v>
      </c>
      <c r="AT59" s="36">
        <v>960</v>
      </c>
      <c r="AU59" s="35">
        <v>693</v>
      </c>
      <c r="AV59" s="36">
        <v>960</v>
      </c>
      <c r="AW59" s="35">
        <v>693</v>
      </c>
      <c r="AX59" s="36">
        <v>960</v>
      </c>
      <c r="AY59" s="35">
        <v>693</v>
      </c>
      <c r="AZ59" s="36">
        <v>960</v>
      </c>
      <c r="BB59" s="40">
        <v>0</v>
      </c>
      <c r="BC59" s="65"/>
      <c r="BD59" s="35">
        <v>0</v>
      </c>
      <c r="BE59" s="36">
        <v>0</v>
      </c>
      <c r="BF59" s="37"/>
      <c r="BG59" s="415">
        <v>250</v>
      </c>
      <c r="BH59" s="353">
        <v>-4.3000000000000007</v>
      </c>
      <c r="BI59" s="415">
        <v>20</v>
      </c>
      <c r="BJ59" s="353">
        <v>3.0999999999999979</v>
      </c>
      <c r="BK59" s="415">
        <v>20</v>
      </c>
      <c r="BL59" s="353">
        <v>3.1000000000000014</v>
      </c>
      <c r="BM59" s="416"/>
      <c r="BN59" s="415">
        <v>0</v>
      </c>
      <c r="BO59" s="353">
        <v>4.2000000000000028</v>
      </c>
      <c r="BP59" s="415">
        <v>0</v>
      </c>
      <c r="BQ59" s="353">
        <v>3.7999999999999972</v>
      </c>
      <c r="BR59" s="415">
        <v>0</v>
      </c>
      <c r="BS59" s="353">
        <v>3.7999999999999972</v>
      </c>
      <c r="BT59" s="415">
        <v>0</v>
      </c>
      <c r="BU59" s="353">
        <v>5</v>
      </c>
      <c r="BV59" s="415">
        <v>0</v>
      </c>
      <c r="BW59" s="353">
        <v>5</v>
      </c>
      <c r="BY59" s="80"/>
      <c r="BZ59" s="65"/>
      <c r="CA59" s="40" t="s">
        <v>3</v>
      </c>
      <c r="CB59" s="65"/>
      <c r="CC59" s="40">
        <v>-147.2446280991735</v>
      </c>
      <c r="CD59" s="40">
        <v>-223.64462809917359</v>
      </c>
      <c r="CE59" s="40">
        <v>-238.04462809917368</v>
      </c>
      <c r="CF59" s="65"/>
      <c r="CG59" s="40">
        <v>-145.04462809917345</v>
      </c>
      <c r="CH59" s="40">
        <v>-322.64462809917359</v>
      </c>
      <c r="CI59" s="40">
        <v>-322.64462809917359</v>
      </c>
      <c r="CJ59" s="40">
        <v>-322.64462809917359</v>
      </c>
      <c r="CK59" s="40">
        <v>-322.64462809917359</v>
      </c>
    </row>
    <row r="60" spans="1:89" s="2" customFormat="1">
      <c r="A60" s="196" t="s">
        <v>839</v>
      </c>
      <c r="B60" s="211" t="s">
        <v>670</v>
      </c>
      <c r="C60" s="211" t="s">
        <v>704</v>
      </c>
      <c r="D60" s="41">
        <v>1653</v>
      </c>
      <c r="E60" s="41">
        <v>3.25</v>
      </c>
      <c r="F60" s="22" t="s">
        <v>387</v>
      </c>
      <c r="G60" s="40">
        <v>30</v>
      </c>
      <c r="H60" s="388">
        <v>1282.6446280991736</v>
      </c>
      <c r="I60" s="321"/>
      <c r="J60" s="40" t="s">
        <v>3</v>
      </c>
      <c r="K60" s="36" t="s">
        <v>3</v>
      </c>
      <c r="L60" s="37"/>
      <c r="M60" s="35">
        <v>569</v>
      </c>
      <c r="N60" s="136">
        <v>18.900000000000002</v>
      </c>
      <c r="O60" s="35">
        <v>339</v>
      </c>
      <c r="P60" s="136">
        <v>24</v>
      </c>
      <c r="Q60" s="37">
        <v>339</v>
      </c>
      <c r="R60" s="136">
        <v>23.6</v>
      </c>
      <c r="S60" s="37"/>
      <c r="T60" s="35">
        <v>0</v>
      </c>
      <c r="U60" s="136">
        <v>38</v>
      </c>
      <c r="V60" s="35">
        <v>0</v>
      </c>
      <c r="W60" s="136">
        <v>32</v>
      </c>
      <c r="X60" s="35">
        <v>0</v>
      </c>
      <c r="Y60" s="149">
        <v>32</v>
      </c>
      <c r="Z60" s="35">
        <v>0</v>
      </c>
      <c r="AA60" s="136">
        <v>32</v>
      </c>
      <c r="AB60" s="37">
        <v>0</v>
      </c>
      <c r="AC60" s="136">
        <v>32</v>
      </c>
      <c r="AD60" s="37"/>
      <c r="AE60" s="40">
        <v>370</v>
      </c>
      <c r="AF60" s="65"/>
      <c r="AG60" s="35">
        <v>0</v>
      </c>
      <c r="AH60" s="36">
        <v>0</v>
      </c>
      <c r="AI60" s="37"/>
      <c r="AJ60" s="35">
        <v>517</v>
      </c>
      <c r="AK60" s="36">
        <v>567.00000000000011</v>
      </c>
      <c r="AL60" s="35">
        <v>594</v>
      </c>
      <c r="AM60" s="36">
        <v>720</v>
      </c>
      <c r="AN60" s="37">
        <v>606</v>
      </c>
      <c r="AO60" s="36">
        <v>708</v>
      </c>
      <c r="AP60" s="37"/>
      <c r="AQ60" s="35">
        <v>513</v>
      </c>
      <c r="AR60" s="36">
        <v>1140</v>
      </c>
      <c r="AS60" s="35">
        <v>693</v>
      </c>
      <c r="AT60" s="36">
        <v>960</v>
      </c>
      <c r="AU60" s="37">
        <v>693</v>
      </c>
      <c r="AV60" s="36">
        <v>960</v>
      </c>
      <c r="AW60" s="37">
        <v>693</v>
      </c>
      <c r="AX60" s="36">
        <v>960</v>
      </c>
      <c r="AY60" s="37">
        <v>693</v>
      </c>
      <c r="AZ60" s="36">
        <v>960</v>
      </c>
      <c r="BB60" s="40">
        <v>0</v>
      </c>
      <c r="BC60" s="65"/>
      <c r="BD60" s="35">
        <v>0</v>
      </c>
      <c r="BE60" s="36">
        <v>0</v>
      </c>
      <c r="BF60" s="37"/>
      <c r="BG60" s="415">
        <v>250</v>
      </c>
      <c r="BH60" s="353">
        <v>-3.5</v>
      </c>
      <c r="BI60" s="415">
        <v>20</v>
      </c>
      <c r="BJ60" s="353">
        <v>2.3999999999999986</v>
      </c>
      <c r="BK60" s="415">
        <v>20</v>
      </c>
      <c r="BL60" s="353">
        <v>2.5</v>
      </c>
      <c r="BM60" s="416"/>
      <c r="BN60" s="415">
        <v>0</v>
      </c>
      <c r="BO60" s="353">
        <v>3.3999999999999986</v>
      </c>
      <c r="BP60" s="415">
        <v>0</v>
      </c>
      <c r="BQ60" s="353">
        <v>3</v>
      </c>
      <c r="BR60" s="415">
        <v>0</v>
      </c>
      <c r="BS60" s="353">
        <v>3</v>
      </c>
      <c r="BT60" s="415">
        <v>0</v>
      </c>
      <c r="BU60" s="353">
        <v>4</v>
      </c>
      <c r="BV60" s="415">
        <v>0</v>
      </c>
      <c r="BW60" s="353">
        <v>4</v>
      </c>
      <c r="BY60" s="80"/>
      <c r="BZ60" s="65"/>
      <c r="CA60" s="40" t="s">
        <v>3</v>
      </c>
      <c r="CB60" s="65"/>
      <c r="CC60" s="40">
        <v>-146.64462809917359</v>
      </c>
      <c r="CD60" s="40">
        <v>-223.64462809917359</v>
      </c>
      <c r="CE60" s="40">
        <v>-235.64462809917359</v>
      </c>
      <c r="CF60" s="65"/>
      <c r="CG60" s="40">
        <v>-142.64462809917359</v>
      </c>
      <c r="CH60" s="40">
        <v>-322.64462809917359</v>
      </c>
      <c r="CI60" s="40">
        <v>-322.64462809917359</v>
      </c>
      <c r="CJ60" s="40">
        <v>-322.64462809917359</v>
      </c>
      <c r="CK60" s="40">
        <v>-322.64462809917359</v>
      </c>
    </row>
    <row r="61" spans="1:89" s="2" customFormat="1">
      <c r="A61" s="196" t="s">
        <v>840</v>
      </c>
      <c r="B61" s="211" t="s">
        <v>670</v>
      </c>
      <c r="C61" s="211" t="s">
        <v>566</v>
      </c>
      <c r="D61" s="41">
        <v>358</v>
      </c>
      <c r="E61" s="41">
        <v>3.25</v>
      </c>
      <c r="F61" s="41" t="s">
        <v>387</v>
      </c>
      <c r="G61" s="413">
        <v>24</v>
      </c>
      <c r="H61" s="414">
        <v>297.52066115702479</v>
      </c>
      <c r="I61" s="321"/>
      <c r="J61" s="40" t="s">
        <v>3</v>
      </c>
      <c r="K61" s="36" t="s">
        <v>3</v>
      </c>
      <c r="L61" s="37"/>
      <c r="M61" s="35">
        <v>99</v>
      </c>
      <c r="N61" s="136">
        <v>5.8000000000000007</v>
      </c>
      <c r="O61" s="35">
        <v>19</v>
      </c>
      <c r="P61" s="136">
        <v>6.7</v>
      </c>
      <c r="Q61" s="37">
        <v>19</v>
      </c>
      <c r="R61" s="136">
        <v>5.8000000000000007</v>
      </c>
      <c r="S61" s="37"/>
      <c r="T61" s="35">
        <v>0</v>
      </c>
      <c r="U61" s="136">
        <v>9.8000000000000007</v>
      </c>
      <c r="V61" s="35">
        <v>0</v>
      </c>
      <c r="W61" s="136">
        <v>4.2</v>
      </c>
      <c r="X61" s="35">
        <v>0</v>
      </c>
      <c r="Y61" s="149">
        <v>4.2</v>
      </c>
      <c r="Z61" s="35">
        <v>0</v>
      </c>
      <c r="AA61" s="136">
        <v>4</v>
      </c>
      <c r="AB61" s="37">
        <v>0</v>
      </c>
      <c r="AC61" s="136">
        <v>4</v>
      </c>
      <c r="AD61" s="37"/>
      <c r="AE61" s="40">
        <v>60</v>
      </c>
      <c r="AF61" s="65"/>
      <c r="AG61" s="35">
        <v>0</v>
      </c>
      <c r="AH61" s="36">
        <v>0</v>
      </c>
      <c r="AI61" s="37"/>
      <c r="AJ61" s="35">
        <v>120</v>
      </c>
      <c r="AK61" s="36">
        <v>139.20000000000002</v>
      </c>
      <c r="AL61" s="35">
        <v>178</v>
      </c>
      <c r="AM61" s="36">
        <v>160.80000000000001</v>
      </c>
      <c r="AN61" s="35">
        <v>200</v>
      </c>
      <c r="AO61" s="36">
        <v>139.20000000000002</v>
      </c>
      <c r="AP61" s="37"/>
      <c r="AQ61" s="35">
        <v>123</v>
      </c>
      <c r="AR61" s="36">
        <v>235.20000000000002</v>
      </c>
      <c r="AS61" s="35">
        <v>257</v>
      </c>
      <c r="AT61" s="36">
        <v>100.80000000000001</v>
      </c>
      <c r="AU61" s="35">
        <v>257</v>
      </c>
      <c r="AV61" s="36">
        <v>100.80000000000001</v>
      </c>
      <c r="AW61" s="35">
        <v>262</v>
      </c>
      <c r="AX61" s="36">
        <v>96</v>
      </c>
      <c r="AY61" s="35">
        <v>262</v>
      </c>
      <c r="AZ61" s="36">
        <v>96</v>
      </c>
      <c r="BB61" s="40">
        <v>0</v>
      </c>
      <c r="BC61" s="65"/>
      <c r="BD61" s="35">
        <v>0</v>
      </c>
      <c r="BE61" s="36">
        <v>0</v>
      </c>
      <c r="BF61" s="37"/>
      <c r="BG61" s="415">
        <v>80</v>
      </c>
      <c r="BH61" s="353">
        <v>-1.2999999999999998</v>
      </c>
      <c r="BI61" s="415">
        <v>0</v>
      </c>
      <c r="BJ61" s="353">
        <v>0</v>
      </c>
      <c r="BK61" s="415">
        <v>0</v>
      </c>
      <c r="BL61" s="353">
        <v>0</v>
      </c>
      <c r="BM61" s="416"/>
      <c r="BN61" s="415">
        <v>0</v>
      </c>
      <c r="BO61" s="353">
        <v>0</v>
      </c>
      <c r="BP61" s="415">
        <v>0</v>
      </c>
      <c r="BQ61" s="353">
        <v>0</v>
      </c>
      <c r="BR61" s="415">
        <v>0</v>
      </c>
      <c r="BS61" s="353">
        <v>0</v>
      </c>
      <c r="BT61" s="415">
        <v>0</v>
      </c>
      <c r="BU61" s="353">
        <v>-0.10000000000000053</v>
      </c>
      <c r="BV61" s="415">
        <v>0</v>
      </c>
      <c r="BW61" s="353">
        <v>-0.10000000000000053</v>
      </c>
      <c r="BY61" s="80"/>
      <c r="BZ61" s="65"/>
      <c r="CA61" s="40" t="s">
        <v>3</v>
      </c>
      <c r="CB61" s="65"/>
      <c r="CC61" s="40">
        <v>-59.320661157024773</v>
      </c>
      <c r="CD61" s="40">
        <v>-117.72066115702478</v>
      </c>
      <c r="CE61" s="40">
        <v>-139.32066115702477</v>
      </c>
      <c r="CF61" s="65"/>
      <c r="CG61" s="40">
        <v>-62.320661157024773</v>
      </c>
      <c r="CH61" s="40">
        <v>-196.72066115702478</v>
      </c>
      <c r="CI61" s="40">
        <v>-196.72066115702478</v>
      </c>
      <c r="CJ61" s="40">
        <v>-201.52066115702479</v>
      </c>
      <c r="CK61" s="40">
        <v>-201.52066115702479</v>
      </c>
    </row>
    <row r="62" spans="1:89" s="2" customFormat="1">
      <c r="A62" s="196" t="s">
        <v>841</v>
      </c>
      <c r="B62" s="211" t="s">
        <v>670</v>
      </c>
      <c r="C62" s="211" t="s">
        <v>566</v>
      </c>
      <c r="D62" s="41">
        <v>358</v>
      </c>
      <c r="E62" s="41">
        <v>3.25</v>
      </c>
      <c r="F62" s="22" t="s">
        <v>387</v>
      </c>
      <c r="G62" s="40">
        <v>30</v>
      </c>
      <c r="H62" s="388">
        <v>297.52066115702479</v>
      </c>
      <c r="I62" s="321"/>
      <c r="J62" s="40" t="s">
        <v>3</v>
      </c>
      <c r="K62" s="36" t="s">
        <v>3</v>
      </c>
      <c r="L62" s="37"/>
      <c r="M62" s="35">
        <v>99</v>
      </c>
      <c r="N62" s="136">
        <v>4.7</v>
      </c>
      <c r="O62" s="35">
        <v>19</v>
      </c>
      <c r="P62" s="136">
        <v>5.4</v>
      </c>
      <c r="Q62" s="37">
        <v>19</v>
      </c>
      <c r="R62" s="136">
        <v>4.7</v>
      </c>
      <c r="S62" s="37"/>
      <c r="T62" s="35">
        <v>0</v>
      </c>
      <c r="U62" s="136">
        <v>7.9</v>
      </c>
      <c r="V62" s="35">
        <v>0</v>
      </c>
      <c r="W62" s="136">
        <v>3.4000000000000004</v>
      </c>
      <c r="X62" s="35">
        <v>0</v>
      </c>
      <c r="Y62" s="149">
        <v>3.4000000000000004</v>
      </c>
      <c r="Z62" s="35">
        <v>0</v>
      </c>
      <c r="AA62" s="136">
        <v>3.2</v>
      </c>
      <c r="AB62" s="37">
        <v>0</v>
      </c>
      <c r="AC62" s="136">
        <v>3.2</v>
      </c>
      <c r="AD62" s="37"/>
      <c r="AE62" s="40">
        <v>60</v>
      </c>
      <c r="AF62" s="65"/>
      <c r="AG62" s="35">
        <v>0</v>
      </c>
      <c r="AH62" s="36">
        <v>0</v>
      </c>
      <c r="AI62" s="37"/>
      <c r="AJ62" s="35">
        <v>118</v>
      </c>
      <c r="AK62" s="36">
        <v>141</v>
      </c>
      <c r="AL62" s="35">
        <v>177</v>
      </c>
      <c r="AM62" s="36">
        <v>162</v>
      </c>
      <c r="AN62" s="37">
        <v>198</v>
      </c>
      <c r="AO62" s="36">
        <v>141</v>
      </c>
      <c r="AP62" s="37"/>
      <c r="AQ62" s="35">
        <v>121</v>
      </c>
      <c r="AR62" s="36">
        <v>237</v>
      </c>
      <c r="AS62" s="35">
        <v>256</v>
      </c>
      <c r="AT62" s="36">
        <v>102.00000000000001</v>
      </c>
      <c r="AU62" s="37">
        <v>256</v>
      </c>
      <c r="AV62" s="36">
        <v>102.00000000000001</v>
      </c>
      <c r="AW62" s="37">
        <v>262</v>
      </c>
      <c r="AX62" s="36">
        <v>96</v>
      </c>
      <c r="AY62" s="37">
        <v>262</v>
      </c>
      <c r="AZ62" s="36">
        <v>96</v>
      </c>
      <c r="BB62" s="40">
        <v>0</v>
      </c>
      <c r="BC62" s="65"/>
      <c r="BD62" s="35">
        <v>0</v>
      </c>
      <c r="BE62" s="36">
        <v>0</v>
      </c>
      <c r="BF62" s="37"/>
      <c r="BG62" s="415">
        <v>80</v>
      </c>
      <c r="BH62" s="353">
        <v>-1</v>
      </c>
      <c r="BI62" s="415">
        <v>0</v>
      </c>
      <c r="BJ62" s="353">
        <v>0</v>
      </c>
      <c r="BK62" s="415">
        <v>0</v>
      </c>
      <c r="BL62" s="353">
        <v>0</v>
      </c>
      <c r="BM62" s="416"/>
      <c r="BN62" s="415">
        <v>0</v>
      </c>
      <c r="BO62" s="353">
        <v>0</v>
      </c>
      <c r="BP62" s="415">
        <v>0</v>
      </c>
      <c r="BQ62" s="353">
        <v>0</v>
      </c>
      <c r="BR62" s="415">
        <v>0</v>
      </c>
      <c r="BS62" s="353">
        <v>0</v>
      </c>
      <c r="BT62" s="415">
        <v>0</v>
      </c>
      <c r="BU62" s="353">
        <v>-0.10000000000000009</v>
      </c>
      <c r="BV62" s="415">
        <v>0</v>
      </c>
      <c r="BW62" s="353">
        <v>-0.10000000000000009</v>
      </c>
      <c r="BY62" s="80"/>
      <c r="BZ62" s="65"/>
      <c r="CA62" s="40" t="s">
        <v>3</v>
      </c>
      <c r="CB62" s="65"/>
      <c r="CC62" s="40">
        <v>-57.52066115702479</v>
      </c>
      <c r="CD62" s="40">
        <v>-116.52066115702479</v>
      </c>
      <c r="CE62" s="40">
        <v>-137.52066115702479</v>
      </c>
      <c r="CF62" s="65"/>
      <c r="CG62" s="40">
        <v>-60.52066115702479</v>
      </c>
      <c r="CH62" s="40">
        <v>-195.52066115702479</v>
      </c>
      <c r="CI62" s="40">
        <v>-195.52066115702479</v>
      </c>
      <c r="CJ62" s="40">
        <v>-201.52066115702479</v>
      </c>
      <c r="CK62" s="40">
        <v>-201.52066115702479</v>
      </c>
    </row>
    <row r="63" spans="1:89" s="2" customFormat="1">
      <c r="A63" s="196" t="s">
        <v>842</v>
      </c>
      <c r="B63" s="211" t="s">
        <v>670</v>
      </c>
      <c r="C63" s="211" t="s">
        <v>589</v>
      </c>
      <c r="D63" s="41">
        <v>1074</v>
      </c>
      <c r="E63" s="41">
        <v>3.25</v>
      </c>
      <c r="F63" s="41" t="s">
        <v>387</v>
      </c>
      <c r="G63" s="413">
        <v>24</v>
      </c>
      <c r="H63" s="414">
        <v>808.2644628099174</v>
      </c>
      <c r="I63" s="321"/>
      <c r="J63" s="40" t="s">
        <v>3</v>
      </c>
      <c r="K63" s="36" t="s">
        <v>3</v>
      </c>
      <c r="L63" s="37"/>
      <c r="M63" s="35">
        <v>339</v>
      </c>
      <c r="N63" s="136">
        <v>13.9</v>
      </c>
      <c r="O63" s="35">
        <v>209</v>
      </c>
      <c r="P63" s="136">
        <v>16.400000000000002</v>
      </c>
      <c r="Q63" s="37">
        <v>209</v>
      </c>
      <c r="R63" s="136">
        <v>15.5</v>
      </c>
      <c r="S63" s="37"/>
      <c r="T63" s="35">
        <v>0</v>
      </c>
      <c r="U63" s="136">
        <v>27.900000000000002</v>
      </c>
      <c r="V63" s="35">
        <v>0</v>
      </c>
      <c r="W63" s="136">
        <v>20.700000000000003</v>
      </c>
      <c r="X63" s="35">
        <v>0</v>
      </c>
      <c r="Y63" s="149">
        <v>20.700000000000003</v>
      </c>
      <c r="Z63" s="35">
        <v>0</v>
      </c>
      <c r="AA63" s="136">
        <v>20.700000000000003</v>
      </c>
      <c r="AB63" s="37">
        <v>0</v>
      </c>
      <c r="AC63" s="136">
        <v>20.700000000000003</v>
      </c>
      <c r="AD63" s="37"/>
      <c r="AE63" s="40">
        <v>266</v>
      </c>
      <c r="AF63" s="65"/>
      <c r="AG63" s="35">
        <v>0</v>
      </c>
      <c r="AH63" s="36">
        <v>0</v>
      </c>
      <c r="AI63" s="37"/>
      <c r="AJ63" s="35">
        <v>401</v>
      </c>
      <c r="AK63" s="36">
        <v>333.6</v>
      </c>
      <c r="AL63" s="35">
        <v>471</v>
      </c>
      <c r="AM63" s="36">
        <v>393.6</v>
      </c>
      <c r="AN63" s="35">
        <v>493</v>
      </c>
      <c r="AO63" s="36">
        <v>372</v>
      </c>
      <c r="AP63" s="37"/>
      <c r="AQ63" s="35">
        <v>404</v>
      </c>
      <c r="AR63" s="36">
        <v>669.6</v>
      </c>
      <c r="AS63" s="35">
        <v>577</v>
      </c>
      <c r="AT63" s="36">
        <v>496.80000000000007</v>
      </c>
      <c r="AU63" s="35">
        <v>577</v>
      </c>
      <c r="AV63" s="36">
        <v>496.80000000000007</v>
      </c>
      <c r="AW63" s="35">
        <v>577</v>
      </c>
      <c r="AX63" s="36">
        <v>496.80000000000007</v>
      </c>
      <c r="AY63" s="35">
        <v>577</v>
      </c>
      <c r="AZ63" s="36">
        <v>496.80000000000007</v>
      </c>
      <c r="BB63" s="40">
        <v>0</v>
      </c>
      <c r="BC63" s="65"/>
      <c r="BD63" s="35">
        <v>0</v>
      </c>
      <c r="BE63" s="36">
        <v>0</v>
      </c>
      <c r="BF63" s="37"/>
      <c r="BG63" s="415">
        <v>130</v>
      </c>
      <c r="BH63" s="353">
        <v>-3.5000000000000018</v>
      </c>
      <c r="BI63" s="415">
        <v>0</v>
      </c>
      <c r="BJ63" s="353">
        <v>0</v>
      </c>
      <c r="BK63" s="415">
        <v>0</v>
      </c>
      <c r="BL63" s="353">
        <v>0</v>
      </c>
      <c r="BM63" s="416"/>
      <c r="BN63" s="415">
        <v>0</v>
      </c>
      <c r="BO63" s="353">
        <v>0</v>
      </c>
      <c r="BP63" s="415">
        <v>0</v>
      </c>
      <c r="BQ63" s="353">
        <v>0</v>
      </c>
      <c r="BR63" s="415">
        <v>0</v>
      </c>
      <c r="BS63" s="353">
        <v>0</v>
      </c>
      <c r="BT63" s="415">
        <v>0</v>
      </c>
      <c r="BU63" s="353">
        <v>0.10000000000000142</v>
      </c>
      <c r="BV63" s="415">
        <v>0</v>
      </c>
      <c r="BW63" s="353">
        <v>0.10000000000000142</v>
      </c>
      <c r="BY63" s="80"/>
      <c r="BZ63" s="65"/>
      <c r="CA63" s="40" t="s">
        <v>3</v>
      </c>
      <c r="CB63" s="65"/>
      <c r="CC63" s="40">
        <v>-135.66446280991738</v>
      </c>
      <c r="CD63" s="40">
        <v>-205.66446280991738</v>
      </c>
      <c r="CE63" s="40">
        <v>-227.2644628099174</v>
      </c>
      <c r="CF63" s="65"/>
      <c r="CG63" s="40">
        <v>-138.66446280991738</v>
      </c>
      <c r="CH63" s="40">
        <v>-311.46446280991734</v>
      </c>
      <c r="CI63" s="40">
        <v>-311.46446280991734</v>
      </c>
      <c r="CJ63" s="40">
        <v>-311.46446280991734</v>
      </c>
      <c r="CK63" s="40">
        <v>-311.46446280991734</v>
      </c>
    </row>
    <row r="64" spans="1:89" s="2" customFormat="1">
      <c r="A64" s="196" t="s">
        <v>843</v>
      </c>
      <c r="B64" s="211" t="s">
        <v>670</v>
      </c>
      <c r="C64" s="211" t="s">
        <v>589</v>
      </c>
      <c r="D64" s="41">
        <v>1074</v>
      </c>
      <c r="E64" s="41">
        <v>3.25</v>
      </c>
      <c r="F64" s="22" t="s">
        <v>387</v>
      </c>
      <c r="G64" s="40">
        <v>30</v>
      </c>
      <c r="H64" s="388">
        <v>808.2644628099174</v>
      </c>
      <c r="I64" s="321"/>
      <c r="J64" s="40" t="s">
        <v>3</v>
      </c>
      <c r="K64" s="36" t="s">
        <v>3</v>
      </c>
      <c r="L64" s="37"/>
      <c r="M64" s="35">
        <v>339</v>
      </c>
      <c r="N64" s="136">
        <v>11.200000000000001</v>
      </c>
      <c r="O64" s="35">
        <v>209</v>
      </c>
      <c r="P64" s="136">
        <v>13.200000000000001</v>
      </c>
      <c r="Q64" s="37">
        <v>209</v>
      </c>
      <c r="R64" s="136">
        <v>12.4</v>
      </c>
      <c r="S64" s="37"/>
      <c r="T64" s="35">
        <v>0</v>
      </c>
      <c r="U64" s="136">
        <v>22.400000000000002</v>
      </c>
      <c r="V64" s="35">
        <v>0</v>
      </c>
      <c r="W64" s="136">
        <v>16.600000000000001</v>
      </c>
      <c r="X64" s="35">
        <v>0</v>
      </c>
      <c r="Y64" s="149">
        <v>16.600000000000001</v>
      </c>
      <c r="Z64" s="35">
        <v>0</v>
      </c>
      <c r="AA64" s="136">
        <v>16.600000000000001</v>
      </c>
      <c r="AB64" s="37">
        <v>0</v>
      </c>
      <c r="AC64" s="136">
        <v>16.600000000000001</v>
      </c>
      <c r="AD64" s="37"/>
      <c r="AE64" s="40">
        <v>266</v>
      </c>
      <c r="AF64" s="65"/>
      <c r="AG64" s="35">
        <v>0</v>
      </c>
      <c r="AH64" s="36">
        <v>0</v>
      </c>
      <c r="AI64" s="37"/>
      <c r="AJ64" s="35">
        <v>399</v>
      </c>
      <c r="AK64" s="36">
        <v>336.00000000000006</v>
      </c>
      <c r="AL64" s="35">
        <v>469</v>
      </c>
      <c r="AM64" s="36">
        <v>396.00000000000006</v>
      </c>
      <c r="AN64" s="37">
        <v>493</v>
      </c>
      <c r="AO64" s="36">
        <v>372</v>
      </c>
      <c r="AP64" s="37"/>
      <c r="AQ64" s="35">
        <v>402</v>
      </c>
      <c r="AR64" s="36">
        <v>672.00000000000011</v>
      </c>
      <c r="AS64" s="35">
        <v>576</v>
      </c>
      <c r="AT64" s="36">
        <v>498.00000000000006</v>
      </c>
      <c r="AU64" s="37">
        <v>576</v>
      </c>
      <c r="AV64" s="36">
        <v>498.00000000000006</v>
      </c>
      <c r="AW64" s="37">
        <v>576</v>
      </c>
      <c r="AX64" s="36">
        <v>498.00000000000006</v>
      </c>
      <c r="AY64" s="37">
        <v>576</v>
      </c>
      <c r="AZ64" s="36">
        <v>498.00000000000006</v>
      </c>
      <c r="BB64" s="40">
        <v>0</v>
      </c>
      <c r="BC64" s="65"/>
      <c r="BD64" s="35">
        <v>0</v>
      </c>
      <c r="BE64" s="36">
        <v>0</v>
      </c>
      <c r="BF64" s="37"/>
      <c r="BG64" s="415">
        <v>130</v>
      </c>
      <c r="BH64" s="353">
        <v>-2.7999999999999989</v>
      </c>
      <c r="BI64" s="415">
        <v>0</v>
      </c>
      <c r="BJ64" s="353">
        <v>0</v>
      </c>
      <c r="BK64" s="415">
        <v>0</v>
      </c>
      <c r="BL64" s="353">
        <v>0</v>
      </c>
      <c r="BM64" s="416"/>
      <c r="BN64" s="415">
        <v>0</v>
      </c>
      <c r="BO64" s="353">
        <v>0</v>
      </c>
      <c r="BP64" s="415">
        <v>0</v>
      </c>
      <c r="BQ64" s="353">
        <v>0</v>
      </c>
      <c r="BR64" s="415">
        <v>0</v>
      </c>
      <c r="BS64" s="353">
        <v>0</v>
      </c>
      <c r="BT64" s="415">
        <v>0</v>
      </c>
      <c r="BU64" s="353">
        <v>0.10000000000000142</v>
      </c>
      <c r="BV64" s="415">
        <v>0</v>
      </c>
      <c r="BW64" s="353">
        <v>0.10000000000000142</v>
      </c>
      <c r="BY64" s="80"/>
      <c r="BZ64" s="65"/>
      <c r="CA64" s="40" t="s">
        <v>3</v>
      </c>
      <c r="CB64" s="65"/>
      <c r="CC64" s="40">
        <v>-133.2644628099174</v>
      </c>
      <c r="CD64" s="40">
        <v>-203.2644628099174</v>
      </c>
      <c r="CE64" s="40">
        <v>-227.2644628099174</v>
      </c>
      <c r="CF64" s="65"/>
      <c r="CG64" s="40">
        <v>-136.26446280991729</v>
      </c>
      <c r="CH64" s="40">
        <v>-310.26446280991735</v>
      </c>
      <c r="CI64" s="40">
        <v>-310.26446280991735</v>
      </c>
      <c r="CJ64" s="40">
        <v>-310.26446280991735</v>
      </c>
      <c r="CK64" s="40">
        <v>-310.26446280991735</v>
      </c>
    </row>
    <row r="65" spans="1:89" s="2" customFormat="1">
      <c r="A65" s="196" t="s">
        <v>800</v>
      </c>
      <c r="B65" s="211" t="s">
        <v>58</v>
      </c>
      <c r="C65" s="211" t="s">
        <v>472</v>
      </c>
      <c r="D65" s="41">
        <v>920</v>
      </c>
      <c r="E65" s="41">
        <v>3.25</v>
      </c>
      <c r="F65" s="41" t="s">
        <v>387</v>
      </c>
      <c r="G65" s="413">
        <v>24</v>
      </c>
      <c r="H65" s="414">
        <v>612.39669421487611</v>
      </c>
      <c r="I65" s="321"/>
      <c r="J65" s="40" t="s">
        <v>3</v>
      </c>
      <c r="K65" s="36" t="s">
        <v>3</v>
      </c>
      <c r="L65" s="37"/>
      <c r="M65" s="35">
        <v>169</v>
      </c>
      <c r="N65" s="136">
        <v>16.600000000000001</v>
      </c>
      <c r="O65" s="35">
        <v>0</v>
      </c>
      <c r="P65" s="136">
        <v>23.400000000000002</v>
      </c>
      <c r="Q65" s="37">
        <v>0</v>
      </c>
      <c r="R65" s="136">
        <v>22.200000000000003</v>
      </c>
      <c r="S65" s="37"/>
      <c r="T65" s="35">
        <v>0</v>
      </c>
      <c r="U65" s="136">
        <v>22.6</v>
      </c>
      <c r="V65" s="35">
        <v>0</v>
      </c>
      <c r="W65" s="136">
        <v>20.5</v>
      </c>
      <c r="X65" s="35">
        <v>0</v>
      </c>
      <c r="Y65" s="149">
        <v>20.5</v>
      </c>
      <c r="Z65" s="35">
        <v>0</v>
      </c>
      <c r="AA65" s="136">
        <v>20.5</v>
      </c>
      <c r="AB65" s="37">
        <v>0</v>
      </c>
      <c r="AC65" s="136">
        <v>20.5</v>
      </c>
      <c r="AD65" s="37"/>
      <c r="AE65" s="40">
        <v>308</v>
      </c>
      <c r="AF65" s="65"/>
      <c r="AG65" s="35">
        <v>0</v>
      </c>
      <c r="AH65" s="36">
        <v>0</v>
      </c>
      <c r="AI65" s="37"/>
      <c r="AJ65" s="35">
        <v>353</v>
      </c>
      <c r="AK65" s="36">
        <v>398.40000000000003</v>
      </c>
      <c r="AL65" s="35">
        <v>358</v>
      </c>
      <c r="AM65" s="36">
        <v>561.6</v>
      </c>
      <c r="AN65" s="35">
        <v>387</v>
      </c>
      <c r="AO65" s="36">
        <v>532.80000000000007</v>
      </c>
      <c r="AP65" s="37"/>
      <c r="AQ65" s="35">
        <v>378</v>
      </c>
      <c r="AR65" s="36">
        <v>542.40000000000009</v>
      </c>
      <c r="AS65" s="35">
        <v>428</v>
      </c>
      <c r="AT65" s="36">
        <v>492</v>
      </c>
      <c r="AU65" s="35">
        <v>428</v>
      </c>
      <c r="AV65" s="36">
        <v>492</v>
      </c>
      <c r="AW65" s="35">
        <v>428</v>
      </c>
      <c r="AX65" s="36">
        <v>492</v>
      </c>
      <c r="AY65" s="35">
        <v>428</v>
      </c>
      <c r="AZ65" s="36">
        <v>492</v>
      </c>
      <c r="BB65" s="40">
        <v>0</v>
      </c>
      <c r="BC65" s="65"/>
      <c r="BD65" s="35">
        <v>0</v>
      </c>
      <c r="BE65" s="36">
        <v>0</v>
      </c>
      <c r="BF65" s="37"/>
      <c r="BG65" s="415">
        <v>169</v>
      </c>
      <c r="BH65" s="353">
        <v>-6.8000000000000007</v>
      </c>
      <c r="BI65" s="415">
        <v>0</v>
      </c>
      <c r="BJ65" s="353">
        <v>0</v>
      </c>
      <c r="BK65" s="415">
        <v>0</v>
      </c>
      <c r="BL65" s="353">
        <v>0</v>
      </c>
      <c r="BM65" s="416"/>
      <c r="BN65" s="415">
        <v>0</v>
      </c>
      <c r="BO65" s="353">
        <v>0</v>
      </c>
      <c r="BP65" s="415">
        <v>0</v>
      </c>
      <c r="BQ65" s="353">
        <v>0</v>
      </c>
      <c r="BR65" s="415">
        <v>0</v>
      </c>
      <c r="BS65" s="353">
        <v>0</v>
      </c>
      <c r="BT65" s="415">
        <v>0</v>
      </c>
      <c r="BU65" s="353">
        <v>0</v>
      </c>
      <c r="BV65" s="415">
        <v>0</v>
      </c>
      <c r="BW65" s="353">
        <v>0</v>
      </c>
      <c r="BY65" s="80"/>
      <c r="BZ65" s="65"/>
      <c r="CA65" s="40" t="s">
        <v>3</v>
      </c>
      <c r="CB65" s="65"/>
      <c r="CC65" s="40">
        <v>-44.996694214876015</v>
      </c>
      <c r="CD65" s="40">
        <v>-50.796694214876084</v>
      </c>
      <c r="CE65" s="40">
        <v>-79.596694214876038</v>
      </c>
      <c r="CF65" s="65"/>
      <c r="CG65" s="40">
        <v>-69.996694214876015</v>
      </c>
      <c r="CH65" s="40">
        <v>-120.39669421487611</v>
      </c>
      <c r="CI65" s="40">
        <v>-120.39669421487611</v>
      </c>
      <c r="CJ65" s="40">
        <v>-120.39669421487611</v>
      </c>
      <c r="CK65" s="40">
        <v>-120.39669421487611</v>
      </c>
    </row>
    <row r="66" spans="1:89" s="2" customFormat="1">
      <c r="A66" s="196" t="s">
        <v>801</v>
      </c>
      <c r="B66" s="211" t="s">
        <v>58</v>
      </c>
      <c r="C66" s="211" t="s">
        <v>472</v>
      </c>
      <c r="D66" s="41">
        <v>920</v>
      </c>
      <c r="E66" s="41">
        <v>3.25</v>
      </c>
      <c r="F66" s="22" t="s">
        <v>387</v>
      </c>
      <c r="G66" s="40">
        <v>30</v>
      </c>
      <c r="H66" s="388">
        <v>612.39669421487611</v>
      </c>
      <c r="I66" s="321"/>
      <c r="J66" s="40" t="s">
        <v>3</v>
      </c>
      <c r="K66" s="36" t="s">
        <v>3</v>
      </c>
      <c r="L66" s="37"/>
      <c r="M66" s="35">
        <v>169</v>
      </c>
      <c r="N66" s="136">
        <v>13.3</v>
      </c>
      <c r="O66" s="35">
        <v>0</v>
      </c>
      <c r="P66" s="136">
        <v>18.8</v>
      </c>
      <c r="Q66" s="37">
        <v>0</v>
      </c>
      <c r="R66" s="136">
        <v>17.8</v>
      </c>
      <c r="S66" s="37"/>
      <c r="T66" s="35">
        <v>0</v>
      </c>
      <c r="U66" s="136">
        <v>18.100000000000001</v>
      </c>
      <c r="V66" s="35">
        <v>0</v>
      </c>
      <c r="W66" s="136">
        <v>16.400000000000002</v>
      </c>
      <c r="X66" s="35">
        <v>0</v>
      </c>
      <c r="Y66" s="149">
        <v>16.400000000000002</v>
      </c>
      <c r="Z66" s="35">
        <v>0</v>
      </c>
      <c r="AA66" s="136">
        <v>16.400000000000002</v>
      </c>
      <c r="AB66" s="37">
        <v>0</v>
      </c>
      <c r="AC66" s="136">
        <v>16.400000000000002</v>
      </c>
      <c r="AD66" s="37"/>
      <c r="AE66" s="40">
        <v>308</v>
      </c>
      <c r="AF66" s="65"/>
      <c r="AG66" s="35">
        <v>0</v>
      </c>
      <c r="AH66" s="36">
        <v>0</v>
      </c>
      <c r="AI66" s="37"/>
      <c r="AJ66" s="35">
        <v>352</v>
      </c>
      <c r="AK66" s="36">
        <v>399</v>
      </c>
      <c r="AL66" s="35">
        <v>356</v>
      </c>
      <c r="AM66" s="36">
        <v>564</v>
      </c>
      <c r="AN66" s="37">
        <v>386</v>
      </c>
      <c r="AO66" s="36">
        <v>534</v>
      </c>
      <c r="AP66" s="37"/>
      <c r="AQ66" s="35">
        <v>377</v>
      </c>
      <c r="AR66" s="36">
        <v>543</v>
      </c>
      <c r="AS66" s="35">
        <v>428</v>
      </c>
      <c r="AT66" s="36">
        <v>492.00000000000006</v>
      </c>
      <c r="AU66" s="37">
        <v>428</v>
      </c>
      <c r="AV66" s="36">
        <v>492.00000000000006</v>
      </c>
      <c r="AW66" s="37">
        <v>428</v>
      </c>
      <c r="AX66" s="36">
        <v>492.00000000000006</v>
      </c>
      <c r="AY66" s="37">
        <v>428</v>
      </c>
      <c r="AZ66" s="36">
        <v>492.00000000000006</v>
      </c>
      <c r="BB66" s="40">
        <v>0</v>
      </c>
      <c r="BC66" s="65"/>
      <c r="BD66" s="35">
        <v>0</v>
      </c>
      <c r="BE66" s="36">
        <v>0</v>
      </c>
      <c r="BF66" s="37"/>
      <c r="BG66" s="415">
        <v>169</v>
      </c>
      <c r="BH66" s="353">
        <v>-5.5</v>
      </c>
      <c r="BI66" s="415">
        <v>0</v>
      </c>
      <c r="BJ66" s="353">
        <v>0</v>
      </c>
      <c r="BK66" s="415">
        <v>0</v>
      </c>
      <c r="BL66" s="353">
        <v>0</v>
      </c>
      <c r="BM66" s="416"/>
      <c r="BN66" s="415">
        <v>0</v>
      </c>
      <c r="BO66" s="353">
        <v>0</v>
      </c>
      <c r="BP66" s="415">
        <v>0</v>
      </c>
      <c r="BQ66" s="353">
        <v>0</v>
      </c>
      <c r="BR66" s="415">
        <v>0</v>
      </c>
      <c r="BS66" s="353">
        <v>0</v>
      </c>
      <c r="BT66" s="415">
        <v>0</v>
      </c>
      <c r="BU66" s="353">
        <v>0</v>
      </c>
      <c r="BV66" s="415">
        <v>0</v>
      </c>
      <c r="BW66" s="353">
        <v>0</v>
      </c>
      <c r="BY66" s="80"/>
      <c r="BZ66" s="65"/>
      <c r="CA66" s="40" t="s">
        <v>3</v>
      </c>
      <c r="CB66" s="65"/>
      <c r="CC66" s="40">
        <v>-44.396694214876106</v>
      </c>
      <c r="CD66" s="40">
        <v>-48.396694214876106</v>
      </c>
      <c r="CE66" s="40">
        <v>-78.396694214876106</v>
      </c>
      <c r="CF66" s="65"/>
      <c r="CG66" s="40">
        <v>-69.396694214876106</v>
      </c>
      <c r="CH66" s="40">
        <v>-120.39669421487605</v>
      </c>
      <c r="CI66" s="40">
        <v>-120.39669421487605</v>
      </c>
      <c r="CJ66" s="40">
        <v>-120.39669421487605</v>
      </c>
      <c r="CK66" s="40">
        <v>-120.39669421487605</v>
      </c>
    </row>
    <row r="67" spans="1:89" s="2" customFormat="1">
      <c r="A67" s="196" t="s">
        <v>802</v>
      </c>
      <c r="B67" s="211" t="s">
        <v>58</v>
      </c>
      <c r="C67" s="211" t="s">
        <v>551</v>
      </c>
      <c r="D67" s="41">
        <v>883</v>
      </c>
      <c r="E67" s="41">
        <v>3.25</v>
      </c>
      <c r="F67" s="41" t="s">
        <v>387</v>
      </c>
      <c r="G67" s="413">
        <v>24</v>
      </c>
      <c r="H67" s="414">
        <v>714.04958677685954</v>
      </c>
      <c r="I67" s="321"/>
      <c r="J67" s="40" t="s">
        <v>3</v>
      </c>
      <c r="K67" s="36" t="s">
        <v>3</v>
      </c>
      <c r="L67" s="37"/>
      <c r="M67" s="35">
        <v>169</v>
      </c>
      <c r="N67" s="136">
        <v>18.600000000000001</v>
      </c>
      <c r="O67" s="35">
        <v>0</v>
      </c>
      <c r="P67" s="136">
        <v>25.700000000000003</v>
      </c>
      <c r="Q67" s="37">
        <v>0</v>
      </c>
      <c r="R67" s="136">
        <v>24.8</v>
      </c>
      <c r="S67" s="37"/>
      <c r="T67" s="35">
        <v>0</v>
      </c>
      <c r="U67" s="136">
        <v>24.8</v>
      </c>
      <c r="V67" s="35">
        <v>0</v>
      </c>
      <c r="W67" s="136">
        <v>23.200000000000003</v>
      </c>
      <c r="X67" s="35">
        <v>0</v>
      </c>
      <c r="Y67" s="149">
        <v>18.75</v>
      </c>
      <c r="Z67" s="35">
        <v>0</v>
      </c>
      <c r="AA67" s="136">
        <v>22.5</v>
      </c>
      <c r="AB67" s="37">
        <v>0</v>
      </c>
      <c r="AC67" s="136">
        <v>22.5</v>
      </c>
      <c r="AD67" s="37"/>
      <c r="AE67" s="40">
        <v>169</v>
      </c>
      <c r="AF67" s="65"/>
      <c r="AG67" s="35">
        <v>0</v>
      </c>
      <c r="AH67" s="36">
        <v>0</v>
      </c>
      <c r="AI67" s="37"/>
      <c r="AJ67" s="35">
        <v>268</v>
      </c>
      <c r="AK67" s="36">
        <v>446.40000000000003</v>
      </c>
      <c r="AL67" s="35">
        <v>266</v>
      </c>
      <c r="AM67" s="36">
        <v>616.80000000000007</v>
      </c>
      <c r="AN67" s="35">
        <v>288</v>
      </c>
      <c r="AO67" s="36">
        <v>595.20000000000005</v>
      </c>
      <c r="AP67" s="37"/>
      <c r="AQ67" s="35">
        <v>288</v>
      </c>
      <c r="AR67" s="36">
        <v>595.20000000000005</v>
      </c>
      <c r="AS67" s="35">
        <v>326</v>
      </c>
      <c r="AT67" s="36">
        <v>556.80000000000007</v>
      </c>
      <c r="AU67" s="35">
        <v>433</v>
      </c>
      <c r="AV67" s="36">
        <v>450</v>
      </c>
      <c r="AW67" s="35">
        <v>343</v>
      </c>
      <c r="AX67" s="36">
        <v>540</v>
      </c>
      <c r="AY67" s="35">
        <v>343</v>
      </c>
      <c r="AZ67" s="36">
        <v>540</v>
      </c>
      <c r="BB67" s="40">
        <v>0</v>
      </c>
      <c r="BC67" s="65"/>
      <c r="BD67" s="35">
        <v>0</v>
      </c>
      <c r="BE67" s="36">
        <v>0</v>
      </c>
      <c r="BF67" s="37"/>
      <c r="BG67" s="415">
        <v>169</v>
      </c>
      <c r="BH67" s="353">
        <v>-8.6999999999999993</v>
      </c>
      <c r="BI67" s="415">
        <v>0</v>
      </c>
      <c r="BJ67" s="353">
        <v>-1.5999999999999979</v>
      </c>
      <c r="BK67" s="415">
        <v>0</v>
      </c>
      <c r="BL67" s="353">
        <v>-1.6999999999999993</v>
      </c>
      <c r="BM67" s="416"/>
      <c r="BN67" s="415">
        <v>0</v>
      </c>
      <c r="BO67" s="353">
        <v>-1.6999999999999993</v>
      </c>
      <c r="BP67" s="415">
        <v>0</v>
      </c>
      <c r="BQ67" s="353">
        <v>-1.5999999999999979</v>
      </c>
      <c r="BR67" s="415">
        <v>0</v>
      </c>
      <c r="BS67" s="353">
        <v>-6.0500000000000007</v>
      </c>
      <c r="BT67" s="415">
        <v>0</v>
      </c>
      <c r="BU67" s="353">
        <v>0</v>
      </c>
      <c r="BV67" s="415">
        <v>0</v>
      </c>
      <c r="BW67" s="353">
        <v>0</v>
      </c>
      <c r="BY67" s="80"/>
      <c r="BZ67" s="65"/>
      <c r="CA67" s="40" t="s">
        <v>3</v>
      </c>
      <c r="CB67" s="65"/>
      <c r="CC67" s="40">
        <v>-98.649586776859451</v>
      </c>
      <c r="CD67" s="40">
        <v>-97.249586776859474</v>
      </c>
      <c r="CE67" s="40">
        <v>-118.8495867768595</v>
      </c>
      <c r="CF67" s="65"/>
      <c r="CG67" s="40">
        <v>-118.8495867768595</v>
      </c>
      <c r="CH67" s="40">
        <v>-157.24958677685947</v>
      </c>
      <c r="CI67" s="40">
        <v>-264.04958677685954</v>
      </c>
      <c r="CJ67" s="40">
        <v>-174.04958677685954</v>
      </c>
      <c r="CK67" s="40">
        <v>-174.04958677685954</v>
      </c>
    </row>
    <row r="68" spans="1:89" s="2" customFormat="1">
      <c r="A68" s="196" t="s">
        <v>803</v>
      </c>
      <c r="B68" s="211" t="s">
        <v>58</v>
      </c>
      <c r="C68" s="211" t="s">
        <v>551</v>
      </c>
      <c r="D68" s="41">
        <v>883</v>
      </c>
      <c r="E68" s="41">
        <v>3.25</v>
      </c>
      <c r="F68" s="22" t="s">
        <v>387</v>
      </c>
      <c r="G68" s="40">
        <v>30</v>
      </c>
      <c r="H68" s="388">
        <v>714.04958677685954</v>
      </c>
      <c r="I68" s="321"/>
      <c r="J68" s="40" t="s">
        <v>3</v>
      </c>
      <c r="K68" s="36" t="s">
        <v>3</v>
      </c>
      <c r="L68" s="37"/>
      <c r="M68" s="35">
        <v>169</v>
      </c>
      <c r="N68" s="136">
        <v>14.9</v>
      </c>
      <c r="O68" s="35">
        <v>0</v>
      </c>
      <c r="P68" s="136">
        <v>20.6</v>
      </c>
      <c r="Q68" s="37">
        <v>0</v>
      </c>
      <c r="R68" s="136">
        <v>19.900000000000002</v>
      </c>
      <c r="S68" s="37"/>
      <c r="T68" s="35">
        <v>0</v>
      </c>
      <c r="U68" s="136">
        <v>19.900000000000002</v>
      </c>
      <c r="V68" s="35">
        <v>0</v>
      </c>
      <c r="W68" s="136">
        <v>18.600000000000001</v>
      </c>
      <c r="X68" s="35">
        <v>0</v>
      </c>
      <c r="Y68" s="149">
        <v>15</v>
      </c>
      <c r="Z68" s="35">
        <v>0</v>
      </c>
      <c r="AA68" s="136">
        <v>18</v>
      </c>
      <c r="AB68" s="37">
        <v>0</v>
      </c>
      <c r="AC68" s="136">
        <v>18</v>
      </c>
      <c r="AD68" s="37"/>
      <c r="AE68" s="40">
        <v>169</v>
      </c>
      <c r="AF68" s="65"/>
      <c r="AG68" s="35">
        <v>0</v>
      </c>
      <c r="AH68" s="36">
        <v>0</v>
      </c>
      <c r="AI68" s="37"/>
      <c r="AJ68" s="35">
        <v>267</v>
      </c>
      <c r="AK68" s="36">
        <v>447</v>
      </c>
      <c r="AL68" s="35">
        <v>265</v>
      </c>
      <c r="AM68" s="36">
        <v>618</v>
      </c>
      <c r="AN68" s="37">
        <v>286</v>
      </c>
      <c r="AO68" s="36">
        <v>597.00000000000011</v>
      </c>
      <c r="AP68" s="37"/>
      <c r="AQ68" s="35">
        <v>286</v>
      </c>
      <c r="AR68" s="36">
        <v>597.00000000000011</v>
      </c>
      <c r="AS68" s="35">
        <v>325</v>
      </c>
      <c r="AT68" s="36">
        <v>558</v>
      </c>
      <c r="AU68" s="37">
        <v>433</v>
      </c>
      <c r="AV68" s="36">
        <v>450</v>
      </c>
      <c r="AW68" s="37">
        <v>343</v>
      </c>
      <c r="AX68" s="36">
        <v>540</v>
      </c>
      <c r="AY68" s="37">
        <v>343</v>
      </c>
      <c r="AZ68" s="36">
        <v>540</v>
      </c>
      <c r="BB68" s="40">
        <v>0</v>
      </c>
      <c r="BC68" s="65"/>
      <c r="BD68" s="35">
        <v>0</v>
      </c>
      <c r="BE68" s="36">
        <v>0</v>
      </c>
      <c r="BF68" s="37"/>
      <c r="BG68" s="415">
        <v>169</v>
      </c>
      <c r="BH68" s="353">
        <v>-7.0000000000000018</v>
      </c>
      <c r="BI68" s="415">
        <v>0</v>
      </c>
      <c r="BJ68" s="353">
        <v>-1.3000000000000007</v>
      </c>
      <c r="BK68" s="415">
        <v>0</v>
      </c>
      <c r="BL68" s="353">
        <v>-1.3000000000000007</v>
      </c>
      <c r="BM68" s="416"/>
      <c r="BN68" s="415">
        <v>0</v>
      </c>
      <c r="BO68" s="353">
        <v>-1.3000000000000007</v>
      </c>
      <c r="BP68" s="415">
        <v>0</v>
      </c>
      <c r="BQ68" s="353">
        <v>-1.3000000000000007</v>
      </c>
      <c r="BR68" s="415">
        <v>0</v>
      </c>
      <c r="BS68" s="353">
        <v>-4.9000000000000021</v>
      </c>
      <c r="BT68" s="415">
        <v>0</v>
      </c>
      <c r="BU68" s="353">
        <v>0</v>
      </c>
      <c r="BV68" s="415">
        <v>0</v>
      </c>
      <c r="BW68" s="353">
        <v>0</v>
      </c>
      <c r="BY68" s="80"/>
      <c r="BZ68" s="65"/>
      <c r="CA68" s="40" t="s">
        <v>3</v>
      </c>
      <c r="CB68" s="65"/>
      <c r="CC68" s="40">
        <v>-98.049586776859542</v>
      </c>
      <c r="CD68" s="40">
        <v>-96.049586776859542</v>
      </c>
      <c r="CE68" s="40">
        <v>-117.04958677685943</v>
      </c>
      <c r="CF68" s="65"/>
      <c r="CG68" s="40">
        <v>-117.04958677685943</v>
      </c>
      <c r="CH68" s="40">
        <v>-156.04958677685954</v>
      </c>
      <c r="CI68" s="40">
        <v>-264.04958677685954</v>
      </c>
      <c r="CJ68" s="40">
        <v>-174.04958677685954</v>
      </c>
      <c r="CK68" s="40">
        <v>-174.04958677685954</v>
      </c>
    </row>
    <row r="69" spans="1:89" s="2" customFormat="1">
      <c r="A69" s="196" t="s">
        <v>804</v>
      </c>
      <c r="B69" s="211" t="s">
        <v>58</v>
      </c>
      <c r="C69" s="211" t="s">
        <v>707</v>
      </c>
      <c r="D69" s="41">
        <v>883</v>
      </c>
      <c r="E69" s="41">
        <v>3.25</v>
      </c>
      <c r="F69" s="41" t="s">
        <v>387</v>
      </c>
      <c r="G69" s="413">
        <v>24</v>
      </c>
      <c r="H69" s="414">
        <v>799.17355371900828</v>
      </c>
      <c r="I69" s="321"/>
      <c r="J69" s="40" t="s">
        <v>3</v>
      </c>
      <c r="K69" s="36" t="s">
        <v>3</v>
      </c>
      <c r="L69" s="37"/>
      <c r="M69" s="35">
        <v>169</v>
      </c>
      <c r="N69" s="136">
        <v>22.200000000000003</v>
      </c>
      <c r="O69" s="35">
        <v>0</v>
      </c>
      <c r="P69" s="136">
        <v>27.700000000000003</v>
      </c>
      <c r="Q69" s="37">
        <v>0</v>
      </c>
      <c r="R69" s="136">
        <v>27.700000000000003</v>
      </c>
      <c r="S69" s="37"/>
      <c r="T69" s="35">
        <v>0</v>
      </c>
      <c r="U69" s="136">
        <v>27.700000000000003</v>
      </c>
      <c r="V69" s="35">
        <v>0</v>
      </c>
      <c r="W69" s="136">
        <v>25.900000000000002</v>
      </c>
      <c r="X69" s="35">
        <v>0</v>
      </c>
      <c r="Y69" s="149">
        <v>25.6</v>
      </c>
      <c r="Z69" s="35">
        <v>0</v>
      </c>
      <c r="AA69" s="136">
        <v>25.6</v>
      </c>
      <c r="AB69" s="37">
        <v>0</v>
      </c>
      <c r="AC69" s="136">
        <v>25.6</v>
      </c>
      <c r="AD69" s="37"/>
      <c r="AE69" s="40">
        <v>84</v>
      </c>
      <c r="AF69" s="65"/>
      <c r="AG69" s="35">
        <v>0</v>
      </c>
      <c r="AH69" s="36">
        <v>0</v>
      </c>
      <c r="AI69" s="37"/>
      <c r="AJ69" s="35">
        <v>181</v>
      </c>
      <c r="AK69" s="36">
        <v>532.80000000000007</v>
      </c>
      <c r="AL69" s="35">
        <v>218</v>
      </c>
      <c r="AM69" s="36">
        <v>664.80000000000007</v>
      </c>
      <c r="AN69" s="35">
        <v>218</v>
      </c>
      <c r="AO69" s="36">
        <v>664.80000000000007</v>
      </c>
      <c r="AP69" s="37"/>
      <c r="AQ69" s="35">
        <v>218</v>
      </c>
      <c r="AR69" s="36">
        <v>664.80000000000007</v>
      </c>
      <c r="AS69" s="35">
        <v>261</v>
      </c>
      <c r="AT69" s="36">
        <v>621.6</v>
      </c>
      <c r="AU69" s="35">
        <v>269</v>
      </c>
      <c r="AV69" s="36">
        <v>614.40000000000009</v>
      </c>
      <c r="AW69" s="35">
        <v>269</v>
      </c>
      <c r="AX69" s="36">
        <v>614.40000000000009</v>
      </c>
      <c r="AY69" s="35">
        <v>269</v>
      </c>
      <c r="AZ69" s="36">
        <v>614.40000000000009</v>
      </c>
      <c r="BB69" s="40">
        <v>0</v>
      </c>
      <c r="BC69" s="65"/>
      <c r="BD69" s="35">
        <v>0</v>
      </c>
      <c r="BE69" s="36">
        <v>0</v>
      </c>
      <c r="BF69" s="37"/>
      <c r="BG69" s="415">
        <v>169</v>
      </c>
      <c r="BH69" s="353">
        <v>-7.1999999999999993</v>
      </c>
      <c r="BI69" s="415">
        <v>0</v>
      </c>
      <c r="BJ69" s="353">
        <v>-1.6999999999999993</v>
      </c>
      <c r="BK69" s="415">
        <v>0</v>
      </c>
      <c r="BL69" s="353">
        <v>-1.6999999999999993</v>
      </c>
      <c r="BM69" s="416"/>
      <c r="BN69" s="415">
        <v>0</v>
      </c>
      <c r="BO69" s="353">
        <v>-1.6999999999999993</v>
      </c>
      <c r="BP69" s="415">
        <v>0</v>
      </c>
      <c r="BQ69" s="353">
        <v>-3.5</v>
      </c>
      <c r="BR69" s="415">
        <v>0</v>
      </c>
      <c r="BS69" s="353">
        <v>-3.8000000000000007</v>
      </c>
      <c r="BT69" s="415">
        <v>0</v>
      </c>
      <c r="BU69" s="353">
        <v>-3.8000000000000007</v>
      </c>
      <c r="BV69" s="415">
        <v>0</v>
      </c>
      <c r="BW69" s="353">
        <v>-3.8000000000000007</v>
      </c>
      <c r="BY69" s="80"/>
      <c r="BZ69" s="65"/>
      <c r="CA69" s="40" t="s">
        <v>3</v>
      </c>
      <c r="CB69" s="65"/>
      <c r="CC69" s="40">
        <v>-97.373553719008214</v>
      </c>
      <c r="CD69" s="40">
        <v>-134.37355371900821</v>
      </c>
      <c r="CE69" s="40">
        <v>-134.37355371900821</v>
      </c>
      <c r="CF69" s="65"/>
      <c r="CG69" s="40">
        <v>-134.37355371900821</v>
      </c>
      <c r="CH69" s="40">
        <v>-177.57355371900826</v>
      </c>
      <c r="CI69" s="40">
        <v>-184.77355371900819</v>
      </c>
      <c r="CJ69" s="40">
        <v>-184.77355371900819</v>
      </c>
      <c r="CK69" s="40">
        <v>-184.77355371900819</v>
      </c>
    </row>
    <row r="70" spans="1:89" s="2" customFormat="1">
      <c r="A70" s="196" t="s">
        <v>805</v>
      </c>
      <c r="B70" s="211" t="s">
        <v>58</v>
      </c>
      <c r="C70" s="211" t="s">
        <v>707</v>
      </c>
      <c r="D70" s="41">
        <v>883</v>
      </c>
      <c r="E70" s="41">
        <v>3.25</v>
      </c>
      <c r="F70" s="22" t="s">
        <v>387</v>
      </c>
      <c r="G70" s="40">
        <v>30</v>
      </c>
      <c r="H70" s="388">
        <v>799.17355371900828</v>
      </c>
      <c r="I70" s="321"/>
      <c r="J70" s="40" t="s">
        <v>3</v>
      </c>
      <c r="K70" s="36" t="s">
        <v>3</v>
      </c>
      <c r="L70" s="37"/>
      <c r="M70" s="35">
        <v>169</v>
      </c>
      <c r="N70" s="136">
        <v>17.8</v>
      </c>
      <c r="O70" s="35">
        <v>0</v>
      </c>
      <c r="P70" s="136">
        <v>22.200000000000003</v>
      </c>
      <c r="Q70" s="37">
        <v>0</v>
      </c>
      <c r="R70" s="136">
        <v>22.200000000000003</v>
      </c>
      <c r="S70" s="37"/>
      <c r="T70" s="35">
        <v>0</v>
      </c>
      <c r="U70" s="136">
        <v>22.200000000000003</v>
      </c>
      <c r="V70" s="35">
        <v>0</v>
      </c>
      <c r="W70" s="136">
        <v>20.8</v>
      </c>
      <c r="X70" s="35">
        <v>0</v>
      </c>
      <c r="Y70" s="149">
        <v>20.5</v>
      </c>
      <c r="Z70" s="35">
        <v>0</v>
      </c>
      <c r="AA70" s="136">
        <v>20.5</v>
      </c>
      <c r="AB70" s="37">
        <v>0</v>
      </c>
      <c r="AC70" s="136">
        <v>20.5</v>
      </c>
      <c r="AD70" s="37"/>
      <c r="AE70" s="40">
        <v>84</v>
      </c>
      <c r="AF70" s="65"/>
      <c r="AG70" s="35">
        <v>0</v>
      </c>
      <c r="AH70" s="36">
        <v>0</v>
      </c>
      <c r="AI70" s="37"/>
      <c r="AJ70" s="35">
        <v>180</v>
      </c>
      <c r="AK70" s="36">
        <v>534</v>
      </c>
      <c r="AL70" s="35">
        <v>217</v>
      </c>
      <c r="AM70" s="36">
        <v>666.00000000000011</v>
      </c>
      <c r="AN70" s="37">
        <v>217</v>
      </c>
      <c r="AO70" s="36">
        <v>666.00000000000011</v>
      </c>
      <c r="AP70" s="37"/>
      <c r="AQ70" s="35">
        <v>217</v>
      </c>
      <c r="AR70" s="36">
        <v>666.00000000000011</v>
      </c>
      <c r="AS70" s="35">
        <v>259</v>
      </c>
      <c r="AT70" s="36">
        <v>624</v>
      </c>
      <c r="AU70" s="37">
        <v>268</v>
      </c>
      <c r="AV70" s="36">
        <v>615</v>
      </c>
      <c r="AW70" s="37">
        <v>268</v>
      </c>
      <c r="AX70" s="36">
        <v>615</v>
      </c>
      <c r="AY70" s="37">
        <v>268</v>
      </c>
      <c r="AZ70" s="36">
        <v>615</v>
      </c>
      <c r="BB70" s="40">
        <v>0</v>
      </c>
      <c r="BC70" s="65"/>
      <c r="BD70" s="35">
        <v>0</v>
      </c>
      <c r="BE70" s="36">
        <v>0</v>
      </c>
      <c r="BF70" s="37"/>
      <c r="BG70" s="415">
        <v>169</v>
      </c>
      <c r="BH70" s="353">
        <v>-5.8000000000000007</v>
      </c>
      <c r="BI70" s="415">
        <v>0</v>
      </c>
      <c r="BJ70" s="353">
        <v>-1.3999999999999986</v>
      </c>
      <c r="BK70" s="415">
        <v>0</v>
      </c>
      <c r="BL70" s="353">
        <v>-1.3999999999999986</v>
      </c>
      <c r="BM70" s="416"/>
      <c r="BN70" s="415">
        <v>0</v>
      </c>
      <c r="BO70" s="353">
        <v>-1.3999999999999986</v>
      </c>
      <c r="BP70" s="415">
        <v>0</v>
      </c>
      <c r="BQ70" s="353">
        <v>-2.8000000000000007</v>
      </c>
      <c r="BR70" s="415">
        <v>0</v>
      </c>
      <c r="BS70" s="353">
        <v>-3.1000000000000014</v>
      </c>
      <c r="BT70" s="415">
        <v>0</v>
      </c>
      <c r="BU70" s="353">
        <v>-3</v>
      </c>
      <c r="BV70" s="415">
        <v>0</v>
      </c>
      <c r="BW70" s="353">
        <v>-3</v>
      </c>
      <c r="BY70" s="80"/>
      <c r="BZ70" s="65"/>
      <c r="CA70" s="40" t="s">
        <v>3</v>
      </c>
      <c r="CB70" s="65"/>
      <c r="CC70" s="40">
        <v>-96.173553719008282</v>
      </c>
      <c r="CD70" s="40">
        <v>-133.17355371900817</v>
      </c>
      <c r="CE70" s="40">
        <v>-133.17355371900817</v>
      </c>
      <c r="CF70" s="65"/>
      <c r="CG70" s="40">
        <v>-133.17355371900817</v>
      </c>
      <c r="CH70" s="40">
        <v>-175.17355371900828</v>
      </c>
      <c r="CI70" s="40">
        <v>-184.17355371900828</v>
      </c>
      <c r="CJ70" s="40">
        <v>-184.17355371900828</v>
      </c>
      <c r="CK70" s="40">
        <v>-184.17355371900828</v>
      </c>
    </row>
    <row r="71" spans="1:89" s="2" customFormat="1">
      <c r="A71" s="196" t="s">
        <v>806</v>
      </c>
      <c r="B71" s="211" t="s">
        <v>58</v>
      </c>
      <c r="C71" s="211" t="s">
        <v>708</v>
      </c>
      <c r="D71" s="41">
        <v>983</v>
      </c>
      <c r="E71" s="41">
        <v>3.25</v>
      </c>
      <c r="F71" s="41" t="s">
        <v>387</v>
      </c>
      <c r="G71" s="413">
        <v>24</v>
      </c>
      <c r="H71" s="414">
        <v>909.91735537190084</v>
      </c>
      <c r="I71" s="321"/>
      <c r="J71" s="40" t="s">
        <v>3</v>
      </c>
      <c r="K71" s="36" t="s">
        <v>3</v>
      </c>
      <c r="L71" s="37"/>
      <c r="M71" s="35">
        <v>169</v>
      </c>
      <c r="N71" s="136">
        <v>26.3</v>
      </c>
      <c r="O71" s="35">
        <v>0</v>
      </c>
      <c r="P71" s="136">
        <v>31.900000000000002</v>
      </c>
      <c r="Q71" s="37">
        <v>0</v>
      </c>
      <c r="R71" s="136">
        <v>31.900000000000002</v>
      </c>
      <c r="S71" s="37"/>
      <c r="T71" s="35">
        <v>0</v>
      </c>
      <c r="U71" s="136">
        <v>32.1</v>
      </c>
      <c r="V71" s="35">
        <v>0</v>
      </c>
      <c r="W71" s="136">
        <v>32.1</v>
      </c>
      <c r="X71" s="35">
        <v>0</v>
      </c>
      <c r="Y71" s="149">
        <v>32.1</v>
      </c>
      <c r="Z71" s="35">
        <v>0</v>
      </c>
      <c r="AA71" s="136">
        <v>30</v>
      </c>
      <c r="AB71" s="37">
        <v>0</v>
      </c>
      <c r="AC71" s="136">
        <v>30</v>
      </c>
      <c r="AD71" s="37"/>
      <c r="AE71" s="40">
        <v>73</v>
      </c>
      <c r="AF71" s="65"/>
      <c r="AG71" s="35">
        <v>0</v>
      </c>
      <c r="AH71" s="36">
        <v>0</v>
      </c>
      <c r="AI71" s="37"/>
      <c r="AJ71" s="35">
        <v>183</v>
      </c>
      <c r="AK71" s="36">
        <v>631.20000000000005</v>
      </c>
      <c r="AL71" s="35">
        <v>217</v>
      </c>
      <c r="AM71" s="36">
        <v>765.6</v>
      </c>
      <c r="AN71" s="35">
        <v>217</v>
      </c>
      <c r="AO71" s="36">
        <v>765.6</v>
      </c>
      <c r="AP71" s="37"/>
      <c r="AQ71" s="35">
        <v>213</v>
      </c>
      <c r="AR71" s="36">
        <v>770.40000000000009</v>
      </c>
      <c r="AS71" s="35">
        <v>213</v>
      </c>
      <c r="AT71" s="36">
        <v>770.40000000000009</v>
      </c>
      <c r="AU71" s="35">
        <v>213</v>
      </c>
      <c r="AV71" s="36">
        <v>770.40000000000009</v>
      </c>
      <c r="AW71" s="35">
        <v>263</v>
      </c>
      <c r="AX71" s="36">
        <v>720</v>
      </c>
      <c r="AY71" s="35">
        <v>263</v>
      </c>
      <c r="AZ71" s="36">
        <v>720</v>
      </c>
      <c r="BB71" s="40">
        <v>0</v>
      </c>
      <c r="BC71" s="65"/>
      <c r="BD71" s="35">
        <v>0</v>
      </c>
      <c r="BE71" s="36">
        <v>0</v>
      </c>
      <c r="BF71" s="37"/>
      <c r="BG71" s="415">
        <v>169</v>
      </c>
      <c r="BH71" s="353">
        <v>-7.1999999999999993</v>
      </c>
      <c r="BI71" s="415">
        <v>0</v>
      </c>
      <c r="BJ71" s="353">
        <v>-1.5999999999999979</v>
      </c>
      <c r="BK71" s="415">
        <v>0</v>
      </c>
      <c r="BL71" s="353">
        <v>-1.5999999999999979</v>
      </c>
      <c r="BM71" s="416"/>
      <c r="BN71" s="415">
        <v>0</v>
      </c>
      <c r="BO71" s="353">
        <v>-1.6000000000000014</v>
      </c>
      <c r="BP71" s="415">
        <v>0</v>
      </c>
      <c r="BQ71" s="353">
        <v>-1.6000000000000014</v>
      </c>
      <c r="BR71" s="415">
        <v>0</v>
      </c>
      <c r="BS71" s="353">
        <v>-1.6000000000000014</v>
      </c>
      <c r="BT71" s="415">
        <v>0</v>
      </c>
      <c r="BU71" s="353">
        <v>-3.6000000000000014</v>
      </c>
      <c r="BV71" s="415">
        <v>0</v>
      </c>
      <c r="BW71" s="353">
        <v>-3.6000000000000014</v>
      </c>
      <c r="BY71" s="80"/>
      <c r="BZ71" s="65"/>
      <c r="CA71" s="40" t="s">
        <v>3</v>
      </c>
      <c r="CB71" s="65"/>
      <c r="CC71" s="40">
        <v>-109.71735537190079</v>
      </c>
      <c r="CD71" s="40">
        <v>-144.31735537190082</v>
      </c>
      <c r="CE71" s="40">
        <v>-144.31735537190082</v>
      </c>
      <c r="CF71" s="65"/>
      <c r="CG71" s="40">
        <v>-139.51735537190075</v>
      </c>
      <c r="CH71" s="40">
        <v>-139.51735537190075</v>
      </c>
      <c r="CI71" s="40">
        <v>-139.51735537190075</v>
      </c>
      <c r="CJ71" s="40">
        <v>-189.91735537190084</v>
      </c>
      <c r="CK71" s="40">
        <v>-189.91735537190084</v>
      </c>
    </row>
    <row r="72" spans="1:89" s="2" customFormat="1">
      <c r="A72" s="196" t="s">
        <v>807</v>
      </c>
      <c r="B72" s="211" t="s">
        <v>58</v>
      </c>
      <c r="C72" s="211" t="s">
        <v>708</v>
      </c>
      <c r="D72" s="41">
        <v>983</v>
      </c>
      <c r="E72" s="41">
        <v>3.25</v>
      </c>
      <c r="F72" s="22" t="s">
        <v>387</v>
      </c>
      <c r="G72" s="40">
        <v>30</v>
      </c>
      <c r="H72" s="388">
        <v>909.91735537190084</v>
      </c>
      <c r="I72" s="321"/>
      <c r="J72" s="40" t="s">
        <v>3</v>
      </c>
      <c r="K72" s="36" t="s">
        <v>3</v>
      </c>
      <c r="L72" s="37"/>
      <c r="M72" s="35">
        <v>169</v>
      </c>
      <c r="N72" s="136">
        <v>21.1</v>
      </c>
      <c r="O72" s="35">
        <v>0</v>
      </c>
      <c r="P72" s="136">
        <v>25.6</v>
      </c>
      <c r="Q72" s="37">
        <v>0</v>
      </c>
      <c r="R72" s="136">
        <v>25.6</v>
      </c>
      <c r="S72" s="37"/>
      <c r="T72" s="35">
        <v>0</v>
      </c>
      <c r="U72" s="136">
        <v>25.700000000000003</v>
      </c>
      <c r="V72" s="35">
        <v>0</v>
      </c>
      <c r="W72" s="136">
        <v>25.700000000000003</v>
      </c>
      <c r="X72" s="35">
        <v>0</v>
      </c>
      <c r="Y72" s="149">
        <v>25.700000000000003</v>
      </c>
      <c r="Z72" s="35">
        <v>0</v>
      </c>
      <c r="AA72" s="136">
        <v>24</v>
      </c>
      <c r="AB72" s="37">
        <v>0</v>
      </c>
      <c r="AC72" s="136">
        <v>24</v>
      </c>
      <c r="AD72" s="37"/>
      <c r="AE72" s="40">
        <v>73</v>
      </c>
      <c r="AF72" s="65"/>
      <c r="AG72" s="35">
        <v>0</v>
      </c>
      <c r="AH72" s="36">
        <v>0</v>
      </c>
      <c r="AI72" s="37"/>
      <c r="AJ72" s="35">
        <v>181</v>
      </c>
      <c r="AK72" s="36">
        <v>633</v>
      </c>
      <c r="AL72" s="35">
        <v>215</v>
      </c>
      <c r="AM72" s="36">
        <v>768</v>
      </c>
      <c r="AN72" s="37">
        <v>215</v>
      </c>
      <c r="AO72" s="36">
        <v>768</v>
      </c>
      <c r="AP72" s="37"/>
      <c r="AQ72" s="35">
        <v>212</v>
      </c>
      <c r="AR72" s="36">
        <v>771.00000000000011</v>
      </c>
      <c r="AS72" s="35">
        <v>212</v>
      </c>
      <c r="AT72" s="36">
        <v>771.00000000000011</v>
      </c>
      <c r="AU72" s="37">
        <v>212</v>
      </c>
      <c r="AV72" s="36">
        <v>771.00000000000011</v>
      </c>
      <c r="AW72" s="37">
        <v>263</v>
      </c>
      <c r="AX72" s="36">
        <v>720</v>
      </c>
      <c r="AY72" s="37">
        <v>263</v>
      </c>
      <c r="AZ72" s="36">
        <v>720</v>
      </c>
      <c r="BB72" s="40">
        <v>0</v>
      </c>
      <c r="BC72" s="65"/>
      <c r="BD72" s="35">
        <v>0</v>
      </c>
      <c r="BE72" s="36">
        <v>0</v>
      </c>
      <c r="BF72" s="37"/>
      <c r="BG72" s="415">
        <v>169</v>
      </c>
      <c r="BH72" s="353">
        <v>-5.6999999999999993</v>
      </c>
      <c r="BI72" s="415">
        <v>0</v>
      </c>
      <c r="BJ72" s="353">
        <v>-1.1999999999999993</v>
      </c>
      <c r="BK72" s="415">
        <v>0</v>
      </c>
      <c r="BL72" s="353">
        <v>-1.1999999999999993</v>
      </c>
      <c r="BM72" s="416"/>
      <c r="BN72" s="415">
        <v>0</v>
      </c>
      <c r="BO72" s="353">
        <v>-1.2999999999999972</v>
      </c>
      <c r="BP72" s="415">
        <v>0</v>
      </c>
      <c r="BQ72" s="353">
        <v>-1.2999999999999972</v>
      </c>
      <c r="BR72" s="415">
        <v>0</v>
      </c>
      <c r="BS72" s="353">
        <v>-1.2999999999999972</v>
      </c>
      <c r="BT72" s="415">
        <v>0</v>
      </c>
      <c r="BU72" s="353">
        <v>-2.9000000000000021</v>
      </c>
      <c r="BV72" s="415">
        <v>0</v>
      </c>
      <c r="BW72" s="353">
        <v>-2.9000000000000021</v>
      </c>
      <c r="BY72" s="80"/>
      <c r="BZ72" s="65"/>
      <c r="CA72" s="40" t="s">
        <v>3</v>
      </c>
      <c r="CB72" s="65"/>
      <c r="CC72" s="40">
        <v>-107.91735537190084</v>
      </c>
      <c r="CD72" s="40">
        <v>-141.91735537190084</v>
      </c>
      <c r="CE72" s="40">
        <v>-141.91735537190084</v>
      </c>
      <c r="CF72" s="65"/>
      <c r="CG72" s="40">
        <v>-138.91735537190073</v>
      </c>
      <c r="CH72" s="40">
        <v>-138.91735537190073</v>
      </c>
      <c r="CI72" s="40">
        <v>-138.91735537190073</v>
      </c>
      <c r="CJ72" s="40">
        <v>-189.91735537190084</v>
      </c>
      <c r="CK72" s="40">
        <v>-189.91735537190084</v>
      </c>
    </row>
    <row r="73" spans="1:89" s="2" customFormat="1">
      <c r="A73" s="196" t="s">
        <v>808</v>
      </c>
      <c r="B73" s="211" t="s">
        <v>58</v>
      </c>
      <c r="C73" s="211" t="s">
        <v>709</v>
      </c>
      <c r="D73" s="41">
        <v>998</v>
      </c>
      <c r="E73" s="41">
        <v>3.25</v>
      </c>
      <c r="F73" s="41" t="s">
        <v>387</v>
      </c>
      <c r="G73" s="413">
        <v>24</v>
      </c>
      <c r="H73" s="414">
        <v>926.44628099173553</v>
      </c>
      <c r="I73" s="321"/>
      <c r="J73" s="40" t="s">
        <v>3</v>
      </c>
      <c r="K73" s="36" t="s">
        <v>3</v>
      </c>
      <c r="L73" s="37"/>
      <c r="M73" s="35">
        <v>169</v>
      </c>
      <c r="N73" s="136">
        <v>26.700000000000003</v>
      </c>
      <c r="O73" s="35">
        <v>0</v>
      </c>
      <c r="P73" s="136">
        <v>32.700000000000003</v>
      </c>
      <c r="Q73" s="37">
        <v>0</v>
      </c>
      <c r="R73" s="136">
        <v>32.700000000000003</v>
      </c>
      <c r="S73" s="37"/>
      <c r="T73" s="35">
        <v>0</v>
      </c>
      <c r="U73" s="136">
        <v>32.700000000000003</v>
      </c>
      <c r="V73" s="35">
        <v>0</v>
      </c>
      <c r="W73" s="136">
        <v>32.700000000000003</v>
      </c>
      <c r="X73" s="35">
        <v>0</v>
      </c>
      <c r="Y73" s="149">
        <v>32.700000000000003</v>
      </c>
      <c r="Z73" s="35">
        <v>0</v>
      </c>
      <c r="AA73" s="136">
        <v>31</v>
      </c>
      <c r="AB73" s="37">
        <v>0</v>
      </c>
      <c r="AC73" s="136">
        <v>31</v>
      </c>
      <c r="AD73" s="37"/>
      <c r="AE73" s="40">
        <v>72</v>
      </c>
      <c r="AF73" s="65"/>
      <c r="AG73" s="35">
        <v>0</v>
      </c>
      <c r="AH73" s="36">
        <v>0</v>
      </c>
      <c r="AI73" s="37"/>
      <c r="AJ73" s="35">
        <v>188</v>
      </c>
      <c r="AK73" s="36">
        <v>640.80000000000007</v>
      </c>
      <c r="AL73" s="35">
        <v>213</v>
      </c>
      <c r="AM73" s="36">
        <v>784.80000000000007</v>
      </c>
      <c r="AN73" s="35">
        <v>213</v>
      </c>
      <c r="AO73" s="36">
        <v>784.80000000000007</v>
      </c>
      <c r="AP73" s="37"/>
      <c r="AQ73" s="35">
        <v>213</v>
      </c>
      <c r="AR73" s="36">
        <v>784.80000000000007</v>
      </c>
      <c r="AS73" s="35">
        <v>213</v>
      </c>
      <c r="AT73" s="36">
        <v>784.80000000000007</v>
      </c>
      <c r="AU73" s="35">
        <v>213</v>
      </c>
      <c r="AV73" s="36">
        <v>784.80000000000007</v>
      </c>
      <c r="AW73" s="35">
        <v>254</v>
      </c>
      <c r="AX73" s="36">
        <v>744</v>
      </c>
      <c r="AY73" s="35">
        <v>254</v>
      </c>
      <c r="AZ73" s="36">
        <v>744</v>
      </c>
      <c r="BB73" s="40">
        <v>0</v>
      </c>
      <c r="BC73" s="65"/>
      <c r="BD73" s="35">
        <v>0</v>
      </c>
      <c r="BE73" s="36">
        <v>0</v>
      </c>
      <c r="BF73" s="37"/>
      <c r="BG73" s="415">
        <v>169</v>
      </c>
      <c r="BH73" s="353">
        <v>-7.3999999999999986</v>
      </c>
      <c r="BI73" s="415">
        <v>0</v>
      </c>
      <c r="BJ73" s="353">
        <v>-1.3999999999999986</v>
      </c>
      <c r="BK73" s="415">
        <v>0</v>
      </c>
      <c r="BL73" s="353">
        <v>-1.3999999999999986</v>
      </c>
      <c r="BM73" s="416"/>
      <c r="BN73" s="415">
        <v>0</v>
      </c>
      <c r="BO73" s="353">
        <v>-1.3999999999999986</v>
      </c>
      <c r="BP73" s="415">
        <v>0</v>
      </c>
      <c r="BQ73" s="353">
        <v>-1.3999999999999986</v>
      </c>
      <c r="BR73" s="415">
        <v>0</v>
      </c>
      <c r="BS73" s="353">
        <v>-1.3999999999999986</v>
      </c>
      <c r="BT73" s="415">
        <v>0</v>
      </c>
      <c r="BU73" s="353">
        <v>-3.1000000000000014</v>
      </c>
      <c r="BV73" s="415">
        <v>0</v>
      </c>
      <c r="BW73" s="353">
        <v>-3.1000000000000014</v>
      </c>
      <c r="BY73" s="80"/>
      <c r="BZ73" s="65"/>
      <c r="CA73" s="40" t="s">
        <v>3</v>
      </c>
      <c r="CB73" s="65"/>
      <c r="CC73" s="40">
        <v>-116.64628099173547</v>
      </c>
      <c r="CD73" s="40">
        <v>-141.64628099173547</v>
      </c>
      <c r="CE73" s="40">
        <v>-141.64628099173547</v>
      </c>
      <c r="CF73" s="65"/>
      <c r="CG73" s="40">
        <v>-141.64628099173547</v>
      </c>
      <c r="CH73" s="40">
        <v>-141.64628099173547</v>
      </c>
      <c r="CI73" s="40">
        <v>-141.64628099173547</v>
      </c>
      <c r="CJ73" s="40">
        <v>-182.44628099173553</v>
      </c>
      <c r="CK73" s="40">
        <v>-182.44628099173553</v>
      </c>
    </row>
    <row r="74" spans="1:89" s="2" customFormat="1">
      <c r="A74" s="196" t="s">
        <v>809</v>
      </c>
      <c r="B74" s="211" t="s">
        <v>58</v>
      </c>
      <c r="C74" s="211" t="s">
        <v>709</v>
      </c>
      <c r="D74" s="41">
        <v>998</v>
      </c>
      <c r="E74" s="41">
        <v>3.25</v>
      </c>
      <c r="F74" s="22" t="s">
        <v>387</v>
      </c>
      <c r="G74" s="40">
        <v>30</v>
      </c>
      <c r="H74" s="388">
        <v>926.44628099173553</v>
      </c>
      <c r="I74" s="321"/>
      <c r="J74" s="40" t="s">
        <v>3</v>
      </c>
      <c r="K74" s="36" t="s">
        <v>3</v>
      </c>
      <c r="L74" s="37"/>
      <c r="M74" s="35">
        <v>169</v>
      </c>
      <c r="N74" s="136">
        <v>21.400000000000002</v>
      </c>
      <c r="O74" s="35">
        <v>0</v>
      </c>
      <c r="P74" s="136">
        <v>26.200000000000003</v>
      </c>
      <c r="Q74" s="37">
        <v>0</v>
      </c>
      <c r="R74" s="136">
        <v>26.200000000000003</v>
      </c>
      <c r="S74" s="37"/>
      <c r="T74" s="35">
        <v>0</v>
      </c>
      <c r="U74" s="136">
        <v>26.200000000000003</v>
      </c>
      <c r="V74" s="35">
        <v>0</v>
      </c>
      <c r="W74" s="136">
        <v>26.200000000000003</v>
      </c>
      <c r="X74" s="35">
        <v>0</v>
      </c>
      <c r="Y74" s="149">
        <v>26.200000000000003</v>
      </c>
      <c r="Z74" s="35">
        <v>0</v>
      </c>
      <c r="AA74" s="136">
        <v>24.8</v>
      </c>
      <c r="AB74" s="37">
        <v>0</v>
      </c>
      <c r="AC74" s="136">
        <v>24.8</v>
      </c>
      <c r="AD74" s="37"/>
      <c r="AE74" s="40">
        <v>72</v>
      </c>
      <c r="AF74" s="65"/>
      <c r="AG74" s="35">
        <v>0</v>
      </c>
      <c r="AH74" s="36">
        <v>0</v>
      </c>
      <c r="AI74" s="37"/>
      <c r="AJ74" s="35">
        <v>187</v>
      </c>
      <c r="AK74" s="36">
        <v>642.00000000000011</v>
      </c>
      <c r="AL74" s="35">
        <v>212</v>
      </c>
      <c r="AM74" s="36">
        <v>786.00000000000011</v>
      </c>
      <c r="AN74" s="37">
        <v>212</v>
      </c>
      <c r="AO74" s="36">
        <v>786.00000000000011</v>
      </c>
      <c r="AP74" s="37"/>
      <c r="AQ74" s="35">
        <v>212</v>
      </c>
      <c r="AR74" s="36">
        <v>786.00000000000011</v>
      </c>
      <c r="AS74" s="35">
        <v>212</v>
      </c>
      <c r="AT74" s="36">
        <v>786.00000000000011</v>
      </c>
      <c r="AU74" s="37">
        <v>212</v>
      </c>
      <c r="AV74" s="36">
        <v>786.00000000000011</v>
      </c>
      <c r="AW74" s="37">
        <v>254</v>
      </c>
      <c r="AX74" s="36">
        <v>744</v>
      </c>
      <c r="AY74" s="37">
        <v>254</v>
      </c>
      <c r="AZ74" s="36">
        <v>744</v>
      </c>
      <c r="BB74" s="40">
        <v>0</v>
      </c>
      <c r="BC74" s="65"/>
      <c r="BD74" s="35">
        <v>0</v>
      </c>
      <c r="BE74" s="36">
        <v>0</v>
      </c>
      <c r="BF74" s="37"/>
      <c r="BG74" s="415">
        <v>169</v>
      </c>
      <c r="BH74" s="353">
        <v>-5.8999999999999986</v>
      </c>
      <c r="BI74" s="415">
        <v>0</v>
      </c>
      <c r="BJ74" s="353">
        <v>-1.0999999999999979</v>
      </c>
      <c r="BK74" s="415">
        <v>0</v>
      </c>
      <c r="BL74" s="353">
        <v>-1.0999999999999979</v>
      </c>
      <c r="BM74" s="416"/>
      <c r="BN74" s="415">
        <v>0</v>
      </c>
      <c r="BO74" s="353">
        <v>-1.0999999999999979</v>
      </c>
      <c r="BP74" s="415">
        <v>0</v>
      </c>
      <c r="BQ74" s="353">
        <v>-1.0999999999999979</v>
      </c>
      <c r="BR74" s="415">
        <v>0</v>
      </c>
      <c r="BS74" s="353">
        <v>-1.0999999999999979</v>
      </c>
      <c r="BT74" s="415">
        <v>0</v>
      </c>
      <c r="BU74" s="353">
        <v>-2.5</v>
      </c>
      <c r="BV74" s="415">
        <v>0</v>
      </c>
      <c r="BW74" s="353">
        <v>-2.5</v>
      </c>
      <c r="BY74" s="80"/>
      <c r="BZ74" s="65"/>
      <c r="CA74" s="40" t="s">
        <v>3</v>
      </c>
      <c r="CB74" s="65"/>
      <c r="CC74" s="40">
        <v>-115.44628099173542</v>
      </c>
      <c r="CD74" s="40">
        <v>-140.44628099173542</v>
      </c>
      <c r="CE74" s="40">
        <v>-140.44628099173542</v>
      </c>
      <c r="CF74" s="65"/>
      <c r="CG74" s="40">
        <v>-140.44628099173542</v>
      </c>
      <c r="CH74" s="40">
        <v>-140.44628099173542</v>
      </c>
      <c r="CI74" s="40">
        <v>-140.44628099173542</v>
      </c>
      <c r="CJ74" s="40">
        <v>-182.44628099173553</v>
      </c>
      <c r="CK74" s="40">
        <v>-182.44628099173553</v>
      </c>
    </row>
    <row r="75" spans="1:89" s="2" customFormat="1">
      <c r="A75" s="196" t="s">
        <v>810</v>
      </c>
      <c r="B75" s="211" t="s">
        <v>58</v>
      </c>
      <c r="C75" s="211" t="s">
        <v>710</v>
      </c>
      <c r="D75" s="41">
        <v>1097</v>
      </c>
      <c r="E75" s="41">
        <v>3.25</v>
      </c>
      <c r="F75" s="41" t="s">
        <v>387</v>
      </c>
      <c r="G75" s="413">
        <v>24</v>
      </c>
      <c r="H75" s="414">
        <v>1036.3636363636365</v>
      </c>
      <c r="I75" s="321"/>
      <c r="J75" s="40" t="s">
        <v>3</v>
      </c>
      <c r="K75" s="36" t="s">
        <v>3</v>
      </c>
      <c r="L75" s="37"/>
      <c r="M75" s="35">
        <v>169</v>
      </c>
      <c r="N75" s="136">
        <v>30.8</v>
      </c>
      <c r="O75" s="35">
        <v>0</v>
      </c>
      <c r="P75" s="136">
        <v>36.800000000000004</v>
      </c>
      <c r="Q75" s="37">
        <v>0</v>
      </c>
      <c r="R75" s="136">
        <v>36.800000000000004</v>
      </c>
      <c r="S75" s="37"/>
      <c r="T75" s="35">
        <v>0</v>
      </c>
      <c r="U75" s="136">
        <v>36.800000000000004</v>
      </c>
      <c r="V75" s="35">
        <v>0</v>
      </c>
      <c r="W75" s="136">
        <v>36.800000000000004</v>
      </c>
      <c r="X75" s="35">
        <v>0</v>
      </c>
      <c r="Y75" s="149">
        <v>36.800000000000004</v>
      </c>
      <c r="Z75" s="35">
        <v>0</v>
      </c>
      <c r="AA75" s="136">
        <v>35</v>
      </c>
      <c r="AB75" s="37">
        <v>0</v>
      </c>
      <c r="AC75" s="136">
        <v>35</v>
      </c>
      <c r="AD75" s="37"/>
      <c r="AE75" s="40">
        <v>61</v>
      </c>
      <c r="AF75" s="65"/>
      <c r="AG75" s="35">
        <v>0</v>
      </c>
      <c r="AH75" s="36">
        <v>0</v>
      </c>
      <c r="AI75" s="37"/>
      <c r="AJ75" s="35">
        <v>189</v>
      </c>
      <c r="AK75" s="36">
        <v>739.2</v>
      </c>
      <c r="AL75" s="35">
        <v>214</v>
      </c>
      <c r="AM75" s="36">
        <v>883.2</v>
      </c>
      <c r="AN75" s="35">
        <v>214</v>
      </c>
      <c r="AO75" s="36">
        <v>883.2</v>
      </c>
      <c r="AP75" s="37"/>
      <c r="AQ75" s="35">
        <v>214</v>
      </c>
      <c r="AR75" s="36">
        <v>883.2</v>
      </c>
      <c r="AS75" s="35">
        <v>214</v>
      </c>
      <c r="AT75" s="36">
        <v>883.2</v>
      </c>
      <c r="AU75" s="35">
        <v>214</v>
      </c>
      <c r="AV75" s="36">
        <v>883.2</v>
      </c>
      <c r="AW75" s="35">
        <v>257</v>
      </c>
      <c r="AX75" s="36">
        <v>840</v>
      </c>
      <c r="AY75" s="35">
        <v>257</v>
      </c>
      <c r="AZ75" s="36">
        <v>840</v>
      </c>
      <c r="BB75" s="40">
        <v>0</v>
      </c>
      <c r="BC75" s="65"/>
      <c r="BD75" s="35">
        <v>0</v>
      </c>
      <c r="BE75" s="36">
        <v>0</v>
      </c>
      <c r="BF75" s="37"/>
      <c r="BG75" s="415">
        <v>169</v>
      </c>
      <c r="BH75" s="353">
        <v>-7.5000000000000036</v>
      </c>
      <c r="BI75" s="415">
        <v>0</v>
      </c>
      <c r="BJ75" s="353">
        <v>-1.5</v>
      </c>
      <c r="BK75" s="415">
        <v>0</v>
      </c>
      <c r="BL75" s="353">
        <v>-1.5</v>
      </c>
      <c r="BM75" s="416"/>
      <c r="BN75" s="415">
        <v>0</v>
      </c>
      <c r="BO75" s="353">
        <v>-1.5</v>
      </c>
      <c r="BP75" s="415">
        <v>0</v>
      </c>
      <c r="BQ75" s="353">
        <v>-1.5</v>
      </c>
      <c r="BR75" s="415">
        <v>0</v>
      </c>
      <c r="BS75" s="353">
        <v>-1.5</v>
      </c>
      <c r="BT75" s="415">
        <v>0</v>
      </c>
      <c r="BU75" s="353">
        <v>-3.3000000000000043</v>
      </c>
      <c r="BV75" s="415">
        <v>0</v>
      </c>
      <c r="BW75" s="353">
        <v>-3.3000000000000043</v>
      </c>
      <c r="BY75" s="80"/>
      <c r="BZ75" s="65"/>
      <c r="CA75" s="40" t="s">
        <v>3</v>
      </c>
      <c r="CB75" s="65"/>
      <c r="CC75" s="40">
        <v>-128.16363636363644</v>
      </c>
      <c r="CD75" s="40">
        <v>-153.16363636363644</v>
      </c>
      <c r="CE75" s="40">
        <v>-153.16363636363644</v>
      </c>
      <c r="CF75" s="65"/>
      <c r="CG75" s="40">
        <v>-153.16363636363644</v>
      </c>
      <c r="CH75" s="40">
        <v>-153.16363636363644</v>
      </c>
      <c r="CI75" s="40">
        <v>-153.16363636363644</v>
      </c>
      <c r="CJ75" s="40">
        <v>-196.36363636363649</v>
      </c>
      <c r="CK75" s="40">
        <v>-196.36363636363649</v>
      </c>
    </row>
    <row r="76" spans="1:89" s="2" customFormat="1">
      <c r="A76" s="196" t="s">
        <v>811</v>
      </c>
      <c r="B76" s="211" t="s">
        <v>58</v>
      </c>
      <c r="C76" s="211" t="s">
        <v>710</v>
      </c>
      <c r="D76" s="41">
        <v>1097</v>
      </c>
      <c r="E76" s="41">
        <v>3.25</v>
      </c>
      <c r="F76" s="22" t="s">
        <v>387</v>
      </c>
      <c r="G76" s="40">
        <v>30</v>
      </c>
      <c r="H76" s="388">
        <v>1036.3636363636365</v>
      </c>
      <c r="I76" s="321"/>
      <c r="J76" s="40" t="s">
        <v>3</v>
      </c>
      <c r="K76" s="36" t="s">
        <v>3</v>
      </c>
      <c r="L76" s="37"/>
      <c r="M76" s="35">
        <v>169</v>
      </c>
      <c r="N76" s="136">
        <v>24.700000000000003</v>
      </c>
      <c r="O76" s="35">
        <v>0</v>
      </c>
      <c r="P76" s="136">
        <v>29.5</v>
      </c>
      <c r="Q76" s="37">
        <v>0</v>
      </c>
      <c r="R76" s="136">
        <v>29.5</v>
      </c>
      <c r="S76" s="37"/>
      <c r="T76" s="35">
        <v>0</v>
      </c>
      <c r="U76" s="136">
        <v>29.5</v>
      </c>
      <c r="V76" s="35">
        <v>0</v>
      </c>
      <c r="W76" s="136">
        <v>29.5</v>
      </c>
      <c r="X76" s="35">
        <v>0</v>
      </c>
      <c r="Y76" s="149">
        <v>29.5</v>
      </c>
      <c r="Z76" s="35">
        <v>0</v>
      </c>
      <c r="AA76" s="136">
        <v>28</v>
      </c>
      <c r="AB76" s="37">
        <v>0</v>
      </c>
      <c r="AC76" s="136">
        <v>28</v>
      </c>
      <c r="AD76" s="37"/>
      <c r="AE76" s="40">
        <v>61</v>
      </c>
      <c r="AF76" s="65"/>
      <c r="AG76" s="35">
        <v>0</v>
      </c>
      <c r="AH76" s="36">
        <v>0</v>
      </c>
      <c r="AI76" s="37"/>
      <c r="AJ76" s="35">
        <v>187</v>
      </c>
      <c r="AK76" s="36">
        <v>741.00000000000011</v>
      </c>
      <c r="AL76" s="35">
        <v>212</v>
      </c>
      <c r="AM76" s="36">
        <v>885</v>
      </c>
      <c r="AN76" s="37">
        <v>212</v>
      </c>
      <c r="AO76" s="36">
        <v>885</v>
      </c>
      <c r="AP76" s="37"/>
      <c r="AQ76" s="35">
        <v>212</v>
      </c>
      <c r="AR76" s="36">
        <v>885</v>
      </c>
      <c r="AS76" s="35">
        <v>212</v>
      </c>
      <c r="AT76" s="36">
        <v>885</v>
      </c>
      <c r="AU76" s="37">
        <v>212</v>
      </c>
      <c r="AV76" s="36">
        <v>885</v>
      </c>
      <c r="AW76" s="37">
        <v>257</v>
      </c>
      <c r="AX76" s="36">
        <v>840</v>
      </c>
      <c r="AY76" s="37">
        <v>257</v>
      </c>
      <c r="AZ76" s="36">
        <v>840</v>
      </c>
      <c r="BB76" s="40">
        <v>0</v>
      </c>
      <c r="BC76" s="65"/>
      <c r="BD76" s="35">
        <v>0</v>
      </c>
      <c r="BE76" s="36">
        <v>0</v>
      </c>
      <c r="BF76" s="37"/>
      <c r="BG76" s="415">
        <v>169</v>
      </c>
      <c r="BH76" s="353">
        <v>-6</v>
      </c>
      <c r="BI76" s="415">
        <v>0</v>
      </c>
      <c r="BJ76" s="353">
        <v>-1.2000000000000028</v>
      </c>
      <c r="BK76" s="415">
        <v>0</v>
      </c>
      <c r="BL76" s="353">
        <v>-1.2000000000000028</v>
      </c>
      <c r="BM76" s="416"/>
      <c r="BN76" s="415">
        <v>0</v>
      </c>
      <c r="BO76" s="353">
        <v>-1.2000000000000028</v>
      </c>
      <c r="BP76" s="415">
        <v>0</v>
      </c>
      <c r="BQ76" s="353">
        <v>-1.2000000000000028</v>
      </c>
      <c r="BR76" s="415">
        <v>0</v>
      </c>
      <c r="BS76" s="353">
        <v>-1.2000000000000028</v>
      </c>
      <c r="BT76" s="415">
        <v>0</v>
      </c>
      <c r="BU76" s="353">
        <v>-2.6000000000000014</v>
      </c>
      <c r="BV76" s="415">
        <v>0</v>
      </c>
      <c r="BW76" s="353">
        <v>-2.6000000000000014</v>
      </c>
      <c r="BY76" s="80"/>
      <c r="BZ76" s="65"/>
      <c r="CA76" s="40" t="s">
        <v>3</v>
      </c>
      <c r="CB76" s="65"/>
      <c r="CC76" s="40">
        <v>-126.36363636363637</v>
      </c>
      <c r="CD76" s="40">
        <v>-151.36363636363649</v>
      </c>
      <c r="CE76" s="40">
        <v>-151.36363636363649</v>
      </c>
      <c r="CF76" s="65"/>
      <c r="CG76" s="40">
        <v>-151.36363636363649</v>
      </c>
      <c r="CH76" s="40">
        <v>-151.36363636363649</v>
      </c>
      <c r="CI76" s="40">
        <v>-151.36363636363649</v>
      </c>
      <c r="CJ76" s="40">
        <v>-196.36363636363649</v>
      </c>
      <c r="CK76" s="40">
        <v>-196.36363636363649</v>
      </c>
    </row>
    <row r="77" spans="1:89" s="2" customFormat="1">
      <c r="A77" s="196" t="s">
        <v>812</v>
      </c>
      <c r="B77" s="211" t="s">
        <v>58</v>
      </c>
      <c r="C77" s="211" t="s">
        <v>711</v>
      </c>
      <c r="D77" s="41">
        <v>1074</v>
      </c>
      <c r="E77" s="41">
        <v>3.25</v>
      </c>
      <c r="F77" s="41" t="s">
        <v>387</v>
      </c>
      <c r="G77" s="413">
        <v>24</v>
      </c>
      <c r="H77" s="414">
        <v>1010.7438016528926</v>
      </c>
      <c r="I77" s="321"/>
      <c r="J77" s="40" t="s">
        <v>3</v>
      </c>
      <c r="K77" s="36" t="s">
        <v>3</v>
      </c>
      <c r="L77" s="37"/>
      <c r="M77" s="35">
        <v>169</v>
      </c>
      <c r="N77" s="136">
        <v>29.8</v>
      </c>
      <c r="O77" s="35">
        <v>0</v>
      </c>
      <c r="P77" s="136">
        <v>35.800000000000004</v>
      </c>
      <c r="Q77" s="37">
        <v>0</v>
      </c>
      <c r="R77" s="136">
        <v>35.800000000000004</v>
      </c>
      <c r="S77" s="37"/>
      <c r="T77" s="35">
        <v>0</v>
      </c>
      <c r="U77" s="136">
        <v>35.800000000000004</v>
      </c>
      <c r="V77" s="35">
        <v>0</v>
      </c>
      <c r="W77" s="136">
        <v>34.1</v>
      </c>
      <c r="X77" s="35">
        <v>0</v>
      </c>
      <c r="Y77" s="149">
        <v>34.1</v>
      </c>
      <c r="Z77" s="35">
        <v>0</v>
      </c>
      <c r="AA77" s="136">
        <v>34</v>
      </c>
      <c r="AB77" s="37">
        <v>0</v>
      </c>
      <c r="AC77" s="136">
        <v>34</v>
      </c>
      <c r="AD77" s="37"/>
      <c r="AE77" s="40">
        <v>63</v>
      </c>
      <c r="AF77" s="65"/>
      <c r="AG77" s="35">
        <v>0</v>
      </c>
      <c r="AH77" s="36">
        <v>0</v>
      </c>
      <c r="AI77" s="37"/>
      <c r="AJ77" s="35">
        <v>190</v>
      </c>
      <c r="AK77" s="36">
        <v>715.2</v>
      </c>
      <c r="AL77" s="35">
        <v>215</v>
      </c>
      <c r="AM77" s="36">
        <v>859.2</v>
      </c>
      <c r="AN77" s="35">
        <v>215</v>
      </c>
      <c r="AO77" s="36">
        <v>859.2</v>
      </c>
      <c r="AP77" s="37"/>
      <c r="AQ77" s="35">
        <v>215</v>
      </c>
      <c r="AR77" s="36">
        <v>859.2</v>
      </c>
      <c r="AS77" s="35">
        <v>256</v>
      </c>
      <c r="AT77" s="36">
        <v>818.40000000000009</v>
      </c>
      <c r="AU77" s="35">
        <v>256</v>
      </c>
      <c r="AV77" s="36">
        <v>818.40000000000009</v>
      </c>
      <c r="AW77" s="35">
        <v>258</v>
      </c>
      <c r="AX77" s="36">
        <v>816</v>
      </c>
      <c r="AY77" s="35">
        <v>258</v>
      </c>
      <c r="AZ77" s="36">
        <v>816</v>
      </c>
      <c r="BB77" s="40">
        <v>0</v>
      </c>
      <c r="BC77" s="65"/>
      <c r="BD77" s="35">
        <v>0</v>
      </c>
      <c r="BE77" s="36">
        <v>0</v>
      </c>
      <c r="BF77" s="37"/>
      <c r="BG77" s="415">
        <v>169</v>
      </c>
      <c r="BH77" s="353">
        <v>-7.4000000000000021</v>
      </c>
      <c r="BI77" s="415">
        <v>0</v>
      </c>
      <c r="BJ77" s="353">
        <v>-1.3999999999999986</v>
      </c>
      <c r="BK77" s="415">
        <v>0</v>
      </c>
      <c r="BL77" s="353">
        <v>-1.3999999999999986</v>
      </c>
      <c r="BM77" s="416"/>
      <c r="BN77" s="415">
        <v>0</v>
      </c>
      <c r="BO77" s="353">
        <v>-1.8999999999999986</v>
      </c>
      <c r="BP77" s="415">
        <v>0</v>
      </c>
      <c r="BQ77" s="353">
        <v>-3.6000000000000014</v>
      </c>
      <c r="BR77" s="415">
        <v>0</v>
      </c>
      <c r="BS77" s="353">
        <v>-3.6000000000000014</v>
      </c>
      <c r="BT77" s="415">
        <v>0</v>
      </c>
      <c r="BU77" s="353">
        <v>1</v>
      </c>
      <c r="BV77" s="415">
        <v>0</v>
      </c>
      <c r="BW77" s="353">
        <v>1</v>
      </c>
      <c r="BY77" s="80"/>
      <c r="BZ77" s="65"/>
      <c r="CA77" s="40" t="s">
        <v>3</v>
      </c>
      <c r="CB77" s="65"/>
      <c r="CC77" s="40">
        <v>-126.54380165289251</v>
      </c>
      <c r="CD77" s="40">
        <v>-151.54380165289251</v>
      </c>
      <c r="CE77" s="40">
        <v>-151.54380165289251</v>
      </c>
      <c r="CF77" s="65"/>
      <c r="CG77" s="40">
        <v>-151.54380165289251</v>
      </c>
      <c r="CH77" s="40">
        <v>-192.34380165289247</v>
      </c>
      <c r="CI77" s="40">
        <v>-192.34380165289247</v>
      </c>
      <c r="CJ77" s="40">
        <v>-194.74380165289256</v>
      </c>
      <c r="CK77" s="40">
        <v>-194.74380165289256</v>
      </c>
    </row>
    <row r="78" spans="1:89" s="2" customFormat="1">
      <c r="A78" s="196" t="s">
        <v>813</v>
      </c>
      <c r="B78" s="211" t="s">
        <v>58</v>
      </c>
      <c r="C78" s="211" t="s">
        <v>711</v>
      </c>
      <c r="D78" s="41">
        <v>1074</v>
      </c>
      <c r="E78" s="41">
        <v>3.25</v>
      </c>
      <c r="F78" s="22" t="s">
        <v>387</v>
      </c>
      <c r="G78" s="40">
        <v>30</v>
      </c>
      <c r="H78" s="388">
        <v>1010.7438016528926</v>
      </c>
      <c r="I78" s="321"/>
      <c r="J78" s="40" t="s">
        <v>3</v>
      </c>
      <c r="K78" s="36" t="s">
        <v>3</v>
      </c>
      <c r="L78" s="37"/>
      <c r="M78" s="35">
        <v>169</v>
      </c>
      <c r="N78" s="136">
        <v>23.900000000000002</v>
      </c>
      <c r="O78" s="35">
        <v>0</v>
      </c>
      <c r="P78" s="136">
        <v>28.700000000000003</v>
      </c>
      <c r="Q78" s="37">
        <v>0</v>
      </c>
      <c r="R78" s="136">
        <v>28.700000000000003</v>
      </c>
      <c r="S78" s="37"/>
      <c r="T78" s="35">
        <v>0</v>
      </c>
      <c r="U78" s="136">
        <v>28.700000000000003</v>
      </c>
      <c r="V78" s="35">
        <v>0</v>
      </c>
      <c r="W78" s="136">
        <v>27.3</v>
      </c>
      <c r="X78" s="35">
        <v>0</v>
      </c>
      <c r="Y78" s="149">
        <v>27.3</v>
      </c>
      <c r="Z78" s="35">
        <v>0</v>
      </c>
      <c r="AA78" s="136">
        <v>27.200000000000003</v>
      </c>
      <c r="AB78" s="37">
        <v>0</v>
      </c>
      <c r="AC78" s="136">
        <v>27.200000000000003</v>
      </c>
      <c r="AD78" s="37"/>
      <c r="AE78" s="40">
        <v>63</v>
      </c>
      <c r="AF78" s="65"/>
      <c r="AG78" s="35">
        <v>0</v>
      </c>
      <c r="AH78" s="36">
        <v>0</v>
      </c>
      <c r="AI78" s="37"/>
      <c r="AJ78" s="35">
        <v>188</v>
      </c>
      <c r="AK78" s="36">
        <v>717.00000000000011</v>
      </c>
      <c r="AL78" s="35">
        <v>213</v>
      </c>
      <c r="AM78" s="36">
        <v>861.00000000000011</v>
      </c>
      <c r="AN78" s="37">
        <v>213</v>
      </c>
      <c r="AO78" s="36">
        <v>861.00000000000011</v>
      </c>
      <c r="AP78" s="37"/>
      <c r="AQ78" s="35">
        <v>213</v>
      </c>
      <c r="AR78" s="36">
        <v>861.00000000000011</v>
      </c>
      <c r="AS78" s="35">
        <v>255</v>
      </c>
      <c r="AT78" s="36">
        <v>819</v>
      </c>
      <c r="AU78" s="37">
        <v>255</v>
      </c>
      <c r="AV78" s="36">
        <v>819</v>
      </c>
      <c r="AW78" s="37">
        <v>258</v>
      </c>
      <c r="AX78" s="36">
        <v>816.00000000000011</v>
      </c>
      <c r="AY78" s="37">
        <v>258</v>
      </c>
      <c r="AZ78" s="36">
        <v>816.00000000000011</v>
      </c>
      <c r="BB78" s="40">
        <v>0</v>
      </c>
      <c r="BC78" s="65"/>
      <c r="BD78" s="35">
        <v>0</v>
      </c>
      <c r="BE78" s="36">
        <v>0</v>
      </c>
      <c r="BF78" s="37"/>
      <c r="BG78" s="415">
        <v>169</v>
      </c>
      <c r="BH78" s="353">
        <v>-5.8999999999999986</v>
      </c>
      <c r="BI78" s="415">
        <v>0</v>
      </c>
      <c r="BJ78" s="353">
        <v>-1.0999999999999979</v>
      </c>
      <c r="BK78" s="415">
        <v>0</v>
      </c>
      <c r="BL78" s="353">
        <v>-1.0999999999999979</v>
      </c>
      <c r="BM78" s="416"/>
      <c r="BN78" s="415">
        <v>0</v>
      </c>
      <c r="BO78" s="353">
        <v>-1.5</v>
      </c>
      <c r="BP78" s="415">
        <v>0</v>
      </c>
      <c r="BQ78" s="353">
        <v>-2.9000000000000021</v>
      </c>
      <c r="BR78" s="415">
        <v>0</v>
      </c>
      <c r="BS78" s="353">
        <v>-2.9000000000000021</v>
      </c>
      <c r="BT78" s="415">
        <v>0</v>
      </c>
      <c r="BU78" s="353">
        <v>0.80000000000000426</v>
      </c>
      <c r="BV78" s="415">
        <v>0</v>
      </c>
      <c r="BW78" s="353">
        <v>0.80000000000000426</v>
      </c>
      <c r="BY78" s="80"/>
      <c r="BZ78" s="65"/>
      <c r="CA78" s="40" t="s">
        <v>3</v>
      </c>
      <c r="CB78" s="65"/>
      <c r="CC78" s="40">
        <v>-124.74380165289244</v>
      </c>
      <c r="CD78" s="40">
        <v>-149.74380165289244</v>
      </c>
      <c r="CE78" s="40">
        <v>-149.74380165289244</v>
      </c>
      <c r="CF78" s="65"/>
      <c r="CG78" s="40">
        <v>-149.74380165289244</v>
      </c>
      <c r="CH78" s="40">
        <v>-191.74380165289256</v>
      </c>
      <c r="CI78" s="40">
        <v>-191.74380165289256</v>
      </c>
      <c r="CJ78" s="40">
        <v>-194.74380165289244</v>
      </c>
      <c r="CK78" s="40">
        <v>-194.74380165289244</v>
      </c>
    </row>
    <row r="79" spans="1:89" s="2" customFormat="1">
      <c r="A79" s="196" t="s">
        <v>814</v>
      </c>
      <c r="B79" s="211" t="s">
        <v>58</v>
      </c>
      <c r="C79" s="211" t="s">
        <v>712</v>
      </c>
      <c r="D79" s="41">
        <v>1174</v>
      </c>
      <c r="E79" s="41">
        <v>3.25</v>
      </c>
      <c r="F79" s="41" t="s">
        <v>387</v>
      </c>
      <c r="G79" s="413">
        <v>24</v>
      </c>
      <c r="H79" s="414">
        <v>1121.4876033057851</v>
      </c>
      <c r="I79" s="321"/>
      <c r="J79" s="40" t="s">
        <v>3</v>
      </c>
      <c r="K79" s="36" t="s">
        <v>3</v>
      </c>
      <c r="L79" s="37"/>
      <c r="M79" s="35">
        <v>169</v>
      </c>
      <c r="N79" s="136">
        <v>33.9</v>
      </c>
      <c r="O79" s="35">
        <v>0</v>
      </c>
      <c r="P79" s="136">
        <v>39.900000000000006</v>
      </c>
      <c r="Q79" s="37">
        <v>0</v>
      </c>
      <c r="R79" s="136">
        <v>39.900000000000006</v>
      </c>
      <c r="S79" s="37"/>
      <c r="T79" s="35">
        <v>0</v>
      </c>
      <c r="U79" s="136">
        <v>39.900000000000006</v>
      </c>
      <c r="V79" s="35">
        <v>0</v>
      </c>
      <c r="W79" s="136">
        <v>39.900000000000006</v>
      </c>
      <c r="X79" s="35">
        <v>0</v>
      </c>
      <c r="Y79" s="149">
        <v>39.900000000000006</v>
      </c>
      <c r="Z79" s="35">
        <v>0</v>
      </c>
      <c r="AA79" s="136">
        <v>38</v>
      </c>
      <c r="AB79" s="37">
        <v>0</v>
      </c>
      <c r="AC79" s="136">
        <v>38</v>
      </c>
      <c r="AD79" s="37"/>
      <c r="AE79" s="40">
        <v>53</v>
      </c>
      <c r="AF79" s="65"/>
      <c r="AG79" s="35">
        <v>0</v>
      </c>
      <c r="AH79" s="36">
        <v>0</v>
      </c>
      <c r="AI79" s="37"/>
      <c r="AJ79" s="35">
        <v>191</v>
      </c>
      <c r="AK79" s="36">
        <v>813.59999999999991</v>
      </c>
      <c r="AL79" s="35">
        <v>216</v>
      </c>
      <c r="AM79" s="36">
        <v>957.60000000000014</v>
      </c>
      <c r="AN79" s="35">
        <v>216</v>
      </c>
      <c r="AO79" s="36">
        <v>957.60000000000014</v>
      </c>
      <c r="AP79" s="37"/>
      <c r="AQ79" s="35">
        <v>216</v>
      </c>
      <c r="AR79" s="36">
        <v>957.60000000000014</v>
      </c>
      <c r="AS79" s="35">
        <v>216</v>
      </c>
      <c r="AT79" s="36">
        <v>957.60000000000014</v>
      </c>
      <c r="AU79" s="35">
        <v>216</v>
      </c>
      <c r="AV79" s="36">
        <v>957.60000000000014</v>
      </c>
      <c r="AW79" s="35">
        <v>262</v>
      </c>
      <c r="AX79" s="36">
        <v>912</v>
      </c>
      <c r="AY79" s="35">
        <v>262</v>
      </c>
      <c r="AZ79" s="36">
        <v>912</v>
      </c>
      <c r="BB79" s="40">
        <v>0</v>
      </c>
      <c r="BC79" s="65"/>
      <c r="BD79" s="35">
        <v>0</v>
      </c>
      <c r="BE79" s="36">
        <v>0</v>
      </c>
      <c r="BF79" s="37"/>
      <c r="BG79" s="415">
        <v>169</v>
      </c>
      <c r="BH79" s="353">
        <v>-7.5000000000000071</v>
      </c>
      <c r="BI79" s="415">
        <v>0</v>
      </c>
      <c r="BJ79" s="353">
        <v>-1.5</v>
      </c>
      <c r="BK79" s="415">
        <v>0</v>
      </c>
      <c r="BL79" s="353">
        <v>-1.5</v>
      </c>
      <c r="BM79" s="416"/>
      <c r="BN79" s="415">
        <v>0</v>
      </c>
      <c r="BO79" s="353">
        <v>-1.8999999999999986</v>
      </c>
      <c r="BP79" s="415">
        <v>0</v>
      </c>
      <c r="BQ79" s="353">
        <v>-1.8999999999999986</v>
      </c>
      <c r="BR79" s="415">
        <v>0</v>
      </c>
      <c r="BS79" s="353">
        <v>-1.8999999999999986</v>
      </c>
      <c r="BT79" s="415">
        <v>0</v>
      </c>
      <c r="BU79" s="353">
        <v>-3.8000000000000043</v>
      </c>
      <c r="BV79" s="415">
        <v>0</v>
      </c>
      <c r="BW79" s="353">
        <v>-3.8000000000000043</v>
      </c>
      <c r="BY79" s="80"/>
      <c r="BZ79" s="65"/>
      <c r="CA79" s="40" t="s">
        <v>3</v>
      </c>
      <c r="CB79" s="65"/>
      <c r="CC79" s="40">
        <v>-138.88760330578521</v>
      </c>
      <c r="CD79" s="40">
        <v>-163.88760330578498</v>
      </c>
      <c r="CE79" s="40">
        <v>-163.88760330578498</v>
      </c>
      <c r="CF79" s="65"/>
      <c r="CG79" s="40">
        <v>-163.88760330578498</v>
      </c>
      <c r="CH79" s="40">
        <v>-163.88760330578498</v>
      </c>
      <c r="CI79" s="40">
        <v>-163.88760330578498</v>
      </c>
      <c r="CJ79" s="40">
        <v>-209.48760330578511</v>
      </c>
      <c r="CK79" s="40">
        <v>-209.48760330578511</v>
      </c>
    </row>
    <row r="80" spans="1:89" s="2" customFormat="1">
      <c r="A80" s="196" t="s">
        <v>815</v>
      </c>
      <c r="B80" s="211" t="s">
        <v>58</v>
      </c>
      <c r="C80" s="211" t="s">
        <v>712</v>
      </c>
      <c r="D80" s="41">
        <v>1174</v>
      </c>
      <c r="E80" s="41">
        <v>3.25</v>
      </c>
      <c r="F80" s="22" t="s">
        <v>387</v>
      </c>
      <c r="G80" s="40">
        <v>30</v>
      </c>
      <c r="H80" s="388">
        <v>1121.4876033057851</v>
      </c>
      <c r="I80" s="321"/>
      <c r="J80" s="40" t="s">
        <v>3</v>
      </c>
      <c r="K80" s="36" t="s">
        <v>3</v>
      </c>
      <c r="L80" s="37"/>
      <c r="M80" s="35">
        <v>169</v>
      </c>
      <c r="N80" s="136">
        <v>27.200000000000003</v>
      </c>
      <c r="O80" s="35">
        <v>0</v>
      </c>
      <c r="P80" s="136">
        <v>32</v>
      </c>
      <c r="Q80" s="37">
        <v>0</v>
      </c>
      <c r="R80" s="136">
        <v>32</v>
      </c>
      <c r="S80" s="37"/>
      <c r="T80" s="35">
        <v>0</v>
      </c>
      <c r="U80" s="136">
        <v>32</v>
      </c>
      <c r="V80" s="35">
        <v>0</v>
      </c>
      <c r="W80" s="136">
        <v>32</v>
      </c>
      <c r="X80" s="35">
        <v>0</v>
      </c>
      <c r="Y80" s="149">
        <v>32</v>
      </c>
      <c r="Z80" s="35">
        <v>0</v>
      </c>
      <c r="AA80" s="136">
        <v>30.400000000000002</v>
      </c>
      <c r="AB80" s="37">
        <v>0</v>
      </c>
      <c r="AC80" s="136">
        <v>30.400000000000002</v>
      </c>
      <c r="AD80" s="37"/>
      <c r="AE80" s="40">
        <v>53</v>
      </c>
      <c r="AF80" s="65"/>
      <c r="AG80" s="35">
        <v>0</v>
      </c>
      <c r="AH80" s="36">
        <v>0</v>
      </c>
      <c r="AI80" s="37"/>
      <c r="AJ80" s="35">
        <v>189</v>
      </c>
      <c r="AK80" s="36">
        <v>816.00000000000011</v>
      </c>
      <c r="AL80" s="35">
        <v>214</v>
      </c>
      <c r="AM80" s="36">
        <v>960</v>
      </c>
      <c r="AN80" s="37">
        <v>214</v>
      </c>
      <c r="AO80" s="36">
        <v>960</v>
      </c>
      <c r="AP80" s="37"/>
      <c r="AQ80" s="35">
        <v>214</v>
      </c>
      <c r="AR80" s="36">
        <v>960</v>
      </c>
      <c r="AS80" s="35">
        <v>214</v>
      </c>
      <c r="AT80" s="36">
        <v>960</v>
      </c>
      <c r="AU80" s="37">
        <v>214</v>
      </c>
      <c r="AV80" s="36">
        <v>960</v>
      </c>
      <c r="AW80" s="37">
        <v>262</v>
      </c>
      <c r="AX80" s="36">
        <v>912.00000000000011</v>
      </c>
      <c r="AY80" s="37">
        <v>262</v>
      </c>
      <c r="AZ80" s="36">
        <v>912.00000000000011</v>
      </c>
      <c r="BB80" s="40">
        <v>0</v>
      </c>
      <c r="BC80" s="65"/>
      <c r="BD80" s="35">
        <v>0</v>
      </c>
      <c r="BE80" s="36">
        <v>0</v>
      </c>
      <c r="BF80" s="37"/>
      <c r="BG80" s="415">
        <v>169</v>
      </c>
      <c r="BH80" s="353">
        <v>-6</v>
      </c>
      <c r="BI80" s="415">
        <v>0</v>
      </c>
      <c r="BJ80" s="353">
        <v>-1.2000000000000028</v>
      </c>
      <c r="BK80" s="415">
        <v>0</v>
      </c>
      <c r="BL80" s="353">
        <v>-1.2000000000000028</v>
      </c>
      <c r="BM80" s="416"/>
      <c r="BN80" s="415">
        <v>0</v>
      </c>
      <c r="BO80" s="353">
        <v>-1.5</v>
      </c>
      <c r="BP80" s="415">
        <v>0</v>
      </c>
      <c r="BQ80" s="353">
        <v>-1.5</v>
      </c>
      <c r="BR80" s="415">
        <v>0</v>
      </c>
      <c r="BS80" s="353">
        <v>-1.5</v>
      </c>
      <c r="BT80" s="415">
        <v>0</v>
      </c>
      <c r="BU80" s="353">
        <v>-2.9999999999999964</v>
      </c>
      <c r="BV80" s="415">
        <v>0</v>
      </c>
      <c r="BW80" s="353">
        <v>-2.9999999999999964</v>
      </c>
      <c r="BY80" s="80"/>
      <c r="BZ80" s="65"/>
      <c r="CA80" s="40" t="s">
        <v>3</v>
      </c>
      <c r="CB80" s="65"/>
      <c r="CC80" s="40">
        <v>-136.487603305785</v>
      </c>
      <c r="CD80" s="40">
        <v>-161.48760330578511</v>
      </c>
      <c r="CE80" s="40">
        <v>-161.48760330578511</v>
      </c>
      <c r="CF80" s="65"/>
      <c r="CG80" s="40">
        <v>-161.48760330578511</v>
      </c>
      <c r="CH80" s="40">
        <v>-161.48760330578511</v>
      </c>
      <c r="CI80" s="40">
        <v>-161.48760330578511</v>
      </c>
      <c r="CJ80" s="40">
        <v>-209.487603305785</v>
      </c>
      <c r="CK80" s="40">
        <v>-209.487603305785</v>
      </c>
    </row>
    <row r="81" spans="1:89" s="2" customFormat="1">
      <c r="A81" s="196" t="s">
        <v>816</v>
      </c>
      <c r="B81" s="211" t="s">
        <v>58</v>
      </c>
      <c r="C81" s="211" t="s">
        <v>713</v>
      </c>
      <c r="D81" s="41">
        <v>1265</v>
      </c>
      <c r="E81" s="41">
        <v>3.25</v>
      </c>
      <c r="F81" s="41" t="s">
        <v>387</v>
      </c>
      <c r="G81" s="413">
        <v>24</v>
      </c>
      <c r="H81" s="414">
        <v>1223.1404958677685</v>
      </c>
      <c r="I81" s="321"/>
      <c r="J81" s="40" t="s">
        <v>3</v>
      </c>
      <c r="K81" s="36" t="s">
        <v>3</v>
      </c>
      <c r="L81" s="37"/>
      <c r="M81" s="35">
        <v>169</v>
      </c>
      <c r="N81" s="136">
        <v>37.9</v>
      </c>
      <c r="O81" s="35">
        <v>0</v>
      </c>
      <c r="P81" s="136">
        <v>43.400000000000006</v>
      </c>
      <c r="Q81" s="37">
        <v>0</v>
      </c>
      <c r="R81" s="136">
        <v>43.400000000000006</v>
      </c>
      <c r="S81" s="37"/>
      <c r="T81" s="35">
        <v>0</v>
      </c>
      <c r="U81" s="136">
        <v>43.400000000000006</v>
      </c>
      <c r="V81" s="35">
        <v>0</v>
      </c>
      <c r="W81" s="136">
        <v>43.400000000000006</v>
      </c>
      <c r="X81" s="35">
        <v>0</v>
      </c>
      <c r="Y81" s="149">
        <v>43.400000000000006</v>
      </c>
      <c r="Z81" s="35">
        <v>0</v>
      </c>
      <c r="AA81" s="136">
        <v>42</v>
      </c>
      <c r="AB81" s="37">
        <v>0</v>
      </c>
      <c r="AC81" s="136">
        <v>42</v>
      </c>
      <c r="AD81" s="37"/>
      <c r="AE81" s="40">
        <v>42</v>
      </c>
      <c r="AF81" s="65"/>
      <c r="AG81" s="35">
        <v>0</v>
      </c>
      <c r="AH81" s="36">
        <v>0</v>
      </c>
      <c r="AI81" s="37"/>
      <c r="AJ81" s="35">
        <v>186</v>
      </c>
      <c r="AK81" s="36">
        <v>909.59999999999991</v>
      </c>
      <c r="AL81" s="35">
        <v>223</v>
      </c>
      <c r="AM81" s="36">
        <v>1041.6000000000001</v>
      </c>
      <c r="AN81" s="35">
        <v>223</v>
      </c>
      <c r="AO81" s="36">
        <v>1041.6000000000001</v>
      </c>
      <c r="AP81" s="37"/>
      <c r="AQ81" s="35">
        <v>223</v>
      </c>
      <c r="AR81" s="36">
        <v>1041.6000000000001</v>
      </c>
      <c r="AS81" s="35">
        <v>223</v>
      </c>
      <c r="AT81" s="36">
        <v>1041.6000000000001</v>
      </c>
      <c r="AU81" s="35">
        <v>223</v>
      </c>
      <c r="AV81" s="36">
        <v>1041.6000000000001</v>
      </c>
      <c r="AW81" s="35">
        <v>257</v>
      </c>
      <c r="AX81" s="36">
        <v>1008</v>
      </c>
      <c r="AY81" s="35">
        <v>257</v>
      </c>
      <c r="AZ81" s="36">
        <v>1008</v>
      </c>
      <c r="BB81" s="40">
        <v>0</v>
      </c>
      <c r="BC81" s="65"/>
      <c r="BD81" s="35">
        <v>0</v>
      </c>
      <c r="BE81" s="36">
        <v>0</v>
      </c>
      <c r="BF81" s="37"/>
      <c r="BG81" s="415">
        <v>169</v>
      </c>
      <c r="BH81" s="353">
        <v>-7.4000000000000057</v>
      </c>
      <c r="BI81" s="415">
        <v>0</v>
      </c>
      <c r="BJ81" s="353">
        <v>-1.8999999999999986</v>
      </c>
      <c r="BK81" s="415">
        <v>0</v>
      </c>
      <c r="BL81" s="353">
        <v>-1.8999999999999986</v>
      </c>
      <c r="BM81" s="416"/>
      <c r="BN81" s="415">
        <v>0</v>
      </c>
      <c r="BO81" s="353">
        <v>-1.8999999999999986</v>
      </c>
      <c r="BP81" s="415">
        <v>0</v>
      </c>
      <c r="BQ81" s="353">
        <v>-1.8999999999999986</v>
      </c>
      <c r="BR81" s="415">
        <v>0</v>
      </c>
      <c r="BS81" s="353">
        <v>-1.8999999999999986</v>
      </c>
      <c r="BT81" s="415">
        <v>0</v>
      </c>
      <c r="BU81" s="353">
        <v>-3.3000000000000043</v>
      </c>
      <c r="BV81" s="415">
        <v>0</v>
      </c>
      <c r="BW81" s="353">
        <v>-3.3000000000000043</v>
      </c>
      <c r="BY81" s="80"/>
      <c r="BZ81" s="65"/>
      <c r="CA81" s="40" t="s">
        <v>3</v>
      </c>
      <c r="CB81" s="65"/>
      <c r="CC81" s="40">
        <v>-144.54049586776864</v>
      </c>
      <c r="CD81" s="40">
        <v>-181.54049586776841</v>
      </c>
      <c r="CE81" s="40">
        <v>-181.54049586776841</v>
      </c>
      <c r="CF81" s="65"/>
      <c r="CG81" s="40">
        <v>-181.54049586776841</v>
      </c>
      <c r="CH81" s="40">
        <v>-181.54049586776841</v>
      </c>
      <c r="CI81" s="40">
        <v>-181.54049586776841</v>
      </c>
      <c r="CJ81" s="40">
        <v>-215.14049586776855</v>
      </c>
      <c r="CK81" s="40">
        <v>-215.14049586776855</v>
      </c>
    </row>
    <row r="82" spans="1:89" s="2" customFormat="1">
      <c r="A82" s="196" t="s">
        <v>817</v>
      </c>
      <c r="B82" s="211" t="s">
        <v>58</v>
      </c>
      <c r="C82" s="211" t="s">
        <v>713</v>
      </c>
      <c r="D82" s="41">
        <v>1265</v>
      </c>
      <c r="E82" s="41">
        <v>3.25</v>
      </c>
      <c r="F82" s="22" t="s">
        <v>387</v>
      </c>
      <c r="G82" s="40">
        <v>30</v>
      </c>
      <c r="H82" s="388">
        <v>1223.1404958677685</v>
      </c>
      <c r="I82" s="321"/>
      <c r="J82" s="40" t="s">
        <v>3</v>
      </c>
      <c r="K82" s="36" t="s">
        <v>3</v>
      </c>
      <c r="L82" s="37"/>
      <c r="M82" s="35">
        <v>169</v>
      </c>
      <c r="N82" s="136">
        <v>30.400000000000002</v>
      </c>
      <c r="O82" s="35">
        <v>0</v>
      </c>
      <c r="P82" s="136">
        <v>34.800000000000004</v>
      </c>
      <c r="Q82" s="37">
        <v>0</v>
      </c>
      <c r="R82" s="136">
        <v>34.800000000000004</v>
      </c>
      <c r="S82" s="37"/>
      <c r="T82" s="35">
        <v>0</v>
      </c>
      <c r="U82" s="136">
        <v>34.800000000000004</v>
      </c>
      <c r="V82" s="35">
        <v>0</v>
      </c>
      <c r="W82" s="136">
        <v>34.800000000000004</v>
      </c>
      <c r="X82" s="35">
        <v>0</v>
      </c>
      <c r="Y82" s="149">
        <v>34.800000000000004</v>
      </c>
      <c r="Z82" s="35">
        <v>0</v>
      </c>
      <c r="AA82" s="136">
        <v>33.6</v>
      </c>
      <c r="AB82" s="37">
        <v>0</v>
      </c>
      <c r="AC82" s="136">
        <v>33.6</v>
      </c>
      <c r="AD82" s="37"/>
      <c r="AE82" s="40">
        <v>42</v>
      </c>
      <c r="AF82" s="65"/>
      <c r="AG82" s="35">
        <v>0</v>
      </c>
      <c r="AH82" s="36">
        <v>0</v>
      </c>
      <c r="AI82" s="37"/>
      <c r="AJ82" s="35">
        <v>184</v>
      </c>
      <c r="AK82" s="36">
        <v>912.00000000000011</v>
      </c>
      <c r="AL82" s="35">
        <v>221</v>
      </c>
      <c r="AM82" s="36">
        <v>1044.0000000000002</v>
      </c>
      <c r="AN82" s="37">
        <v>221</v>
      </c>
      <c r="AO82" s="36">
        <v>1044.0000000000002</v>
      </c>
      <c r="AP82" s="37"/>
      <c r="AQ82" s="35">
        <v>221</v>
      </c>
      <c r="AR82" s="36">
        <v>1044.0000000000002</v>
      </c>
      <c r="AS82" s="35">
        <v>221</v>
      </c>
      <c r="AT82" s="36">
        <v>1044.0000000000002</v>
      </c>
      <c r="AU82" s="37">
        <v>221</v>
      </c>
      <c r="AV82" s="36">
        <v>1044.0000000000002</v>
      </c>
      <c r="AW82" s="37">
        <v>257</v>
      </c>
      <c r="AX82" s="36">
        <v>1008</v>
      </c>
      <c r="AY82" s="37">
        <v>257</v>
      </c>
      <c r="AZ82" s="36">
        <v>1008</v>
      </c>
      <c r="BB82" s="40">
        <v>0</v>
      </c>
      <c r="BC82" s="65"/>
      <c r="BD82" s="35">
        <v>0</v>
      </c>
      <c r="BE82" s="36">
        <v>0</v>
      </c>
      <c r="BF82" s="37"/>
      <c r="BG82" s="415">
        <v>169</v>
      </c>
      <c r="BH82" s="353">
        <v>-5.9000000000000021</v>
      </c>
      <c r="BI82" s="415">
        <v>0</v>
      </c>
      <c r="BJ82" s="353">
        <v>-1.5</v>
      </c>
      <c r="BK82" s="415">
        <v>0</v>
      </c>
      <c r="BL82" s="353">
        <v>-1.5</v>
      </c>
      <c r="BM82" s="416"/>
      <c r="BN82" s="415">
        <v>0</v>
      </c>
      <c r="BO82" s="353">
        <v>-1.5</v>
      </c>
      <c r="BP82" s="415">
        <v>0</v>
      </c>
      <c r="BQ82" s="353">
        <v>-1.5</v>
      </c>
      <c r="BR82" s="415">
        <v>0</v>
      </c>
      <c r="BS82" s="353">
        <v>-1.5</v>
      </c>
      <c r="BT82" s="415">
        <v>0</v>
      </c>
      <c r="BU82" s="353">
        <v>-2.6000000000000014</v>
      </c>
      <c r="BV82" s="415">
        <v>0</v>
      </c>
      <c r="BW82" s="353">
        <v>-2.6000000000000014</v>
      </c>
      <c r="BY82" s="80"/>
      <c r="BZ82" s="65"/>
      <c r="CA82" s="40" t="s">
        <v>3</v>
      </c>
      <c r="CB82" s="65"/>
      <c r="CC82" s="40">
        <v>-142.14049586776855</v>
      </c>
      <c r="CD82" s="40">
        <v>-179.14049586776832</v>
      </c>
      <c r="CE82" s="40">
        <v>-179.14049586776832</v>
      </c>
      <c r="CF82" s="65"/>
      <c r="CG82" s="40">
        <v>-179.14049586776832</v>
      </c>
      <c r="CH82" s="40">
        <v>-179.14049586776832</v>
      </c>
      <c r="CI82" s="40">
        <v>-179.14049586776832</v>
      </c>
      <c r="CJ82" s="40">
        <v>-215.14049586776855</v>
      </c>
      <c r="CK82" s="40">
        <v>-215.14049586776855</v>
      </c>
    </row>
    <row r="83" spans="1:89" s="2" customFormat="1">
      <c r="A83" s="196" t="s">
        <v>818</v>
      </c>
      <c r="B83" s="211" t="s">
        <v>58</v>
      </c>
      <c r="C83" s="211" t="s">
        <v>714</v>
      </c>
      <c r="D83" s="41">
        <v>1456</v>
      </c>
      <c r="E83" s="41">
        <v>3.25</v>
      </c>
      <c r="F83" s="41" t="s">
        <v>387</v>
      </c>
      <c r="G83" s="413">
        <v>24</v>
      </c>
      <c r="H83" s="414">
        <v>1415.702479338843</v>
      </c>
      <c r="I83" s="321"/>
      <c r="J83" s="40" t="s">
        <v>3</v>
      </c>
      <c r="K83" s="36" t="s">
        <v>3</v>
      </c>
      <c r="L83" s="37"/>
      <c r="M83" s="35">
        <v>169</v>
      </c>
      <c r="N83" s="136">
        <v>45.900000000000006</v>
      </c>
      <c r="O83" s="35">
        <v>0</v>
      </c>
      <c r="P83" s="136">
        <v>51.5</v>
      </c>
      <c r="Q83" s="37">
        <v>0</v>
      </c>
      <c r="R83" s="136">
        <v>51.5</v>
      </c>
      <c r="S83" s="37"/>
      <c r="T83" s="35">
        <v>0</v>
      </c>
      <c r="U83" s="136">
        <v>51.5</v>
      </c>
      <c r="V83" s="35">
        <v>0</v>
      </c>
      <c r="W83" s="136">
        <v>51.5</v>
      </c>
      <c r="X83" s="35">
        <v>0</v>
      </c>
      <c r="Y83" s="149">
        <v>51.5</v>
      </c>
      <c r="Z83" s="35">
        <v>0</v>
      </c>
      <c r="AA83" s="136">
        <v>50</v>
      </c>
      <c r="AB83" s="37">
        <v>0</v>
      </c>
      <c r="AC83" s="136">
        <v>50</v>
      </c>
      <c r="AD83" s="37"/>
      <c r="AE83" s="40">
        <v>40</v>
      </c>
      <c r="AF83" s="65"/>
      <c r="AG83" s="35">
        <v>0</v>
      </c>
      <c r="AH83" s="36">
        <v>0</v>
      </c>
      <c r="AI83" s="37"/>
      <c r="AJ83" s="35">
        <v>185</v>
      </c>
      <c r="AK83" s="36">
        <v>1101.6000000000001</v>
      </c>
      <c r="AL83" s="35">
        <v>220</v>
      </c>
      <c r="AM83" s="36">
        <v>1236</v>
      </c>
      <c r="AN83" s="35">
        <v>220</v>
      </c>
      <c r="AO83" s="36">
        <v>1236</v>
      </c>
      <c r="AP83" s="37"/>
      <c r="AQ83" s="35">
        <v>220</v>
      </c>
      <c r="AR83" s="36">
        <v>1236</v>
      </c>
      <c r="AS83" s="35">
        <v>220</v>
      </c>
      <c r="AT83" s="36">
        <v>1236</v>
      </c>
      <c r="AU83" s="35">
        <v>220</v>
      </c>
      <c r="AV83" s="36">
        <v>1236</v>
      </c>
      <c r="AW83" s="35">
        <v>256</v>
      </c>
      <c r="AX83" s="36">
        <v>1200</v>
      </c>
      <c r="AY83" s="35">
        <v>256</v>
      </c>
      <c r="AZ83" s="36">
        <v>1200</v>
      </c>
      <c r="BB83" s="40">
        <v>0</v>
      </c>
      <c r="BC83" s="65"/>
      <c r="BD83" s="35">
        <v>0</v>
      </c>
      <c r="BE83" s="36">
        <v>0</v>
      </c>
      <c r="BF83" s="37"/>
      <c r="BG83" s="415">
        <v>169</v>
      </c>
      <c r="BH83" s="353">
        <v>-7.5</v>
      </c>
      <c r="BI83" s="415">
        <v>0</v>
      </c>
      <c r="BJ83" s="353">
        <v>-1.9000000000000057</v>
      </c>
      <c r="BK83" s="415">
        <v>0</v>
      </c>
      <c r="BL83" s="353">
        <v>-1.9000000000000057</v>
      </c>
      <c r="BM83" s="416"/>
      <c r="BN83" s="415">
        <v>0</v>
      </c>
      <c r="BO83" s="353">
        <v>-1.9000000000000057</v>
      </c>
      <c r="BP83" s="415">
        <v>0</v>
      </c>
      <c r="BQ83" s="353">
        <v>-1.9000000000000057</v>
      </c>
      <c r="BR83" s="415">
        <v>0</v>
      </c>
      <c r="BS83" s="353">
        <v>-1.9000000000000057</v>
      </c>
      <c r="BT83" s="415">
        <v>0</v>
      </c>
      <c r="BU83" s="353">
        <v>-3.3000000000000043</v>
      </c>
      <c r="BV83" s="415">
        <v>0</v>
      </c>
      <c r="BW83" s="353">
        <v>-3.3000000000000043</v>
      </c>
      <c r="BY83" s="80"/>
      <c r="BZ83" s="65"/>
      <c r="CA83" s="40" t="s">
        <v>3</v>
      </c>
      <c r="CB83" s="65"/>
      <c r="CC83" s="40">
        <v>-145.10247933884284</v>
      </c>
      <c r="CD83" s="40">
        <v>-179.70247933884298</v>
      </c>
      <c r="CE83" s="40">
        <v>-179.70247933884298</v>
      </c>
      <c r="CF83" s="65"/>
      <c r="CG83" s="40">
        <v>-179.70247933884298</v>
      </c>
      <c r="CH83" s="40">
        <v>-179.70247933884298</v>
      </c>
      <c r="CI83" s="40">
        <v>-179.70247933884298</v>
      </c>
      <c r="CJ83" s="40">
        <v>-215.70247933884298</v>
      </c>
      <c r="CK83" s="40">
        <v>-215.70247933884298</v>
      </c>
    </row>
    <row r="84" spans="1:89" s="2" customFormat="1">
      <c r="A84" s="196" t="s">
        <v>819</v>
      </c>
      <c r="B84" s="211" t="s">
        <v>58</v>
      </c>
      <c r="C84" s="211" t="s">
        <v>714</v>
      </c>
      <c r="D84" s="41">
        <v>1456</v>
      </c>
      <c r="E84" s="41">
        <v>3.25</v>
      </c>
      <c r="F84" s="22" t="s">
        <v>387</v>
      </c>
      <c r="G84" s="40">
        <v>30</v>
      </c>
      <c r="H84" s="388">
        <v>1415.702479338843</v>
      </c>
      <c r="I84" s="321"/>
      <c r="J84" s="40" t="s">
        <v>3</v>
      </c>
      <c r="K84" s="36" t="s">
        <v>3</v>
      </c>
      <c r="L84" s="37"/>
      <c r="M84" s="35">
        <v>169</v>
      </c>
      <c r="N84" s="136">
        <v>36.800000000000004</v>
      </c>
      <c r="O84" s="35">
        <v>0</v>
      </c>
      <c r="P84" s="136">
        <v>41.2</v>
      </c>
      <c r="Q84" s="37">
        <v>0</v>
      </c>
      <c r="R84" s="136">
        <v>41.2</v>
      </c>
      <c r="S84" s="37"/>
      <c r="T84" s="35">
        <v>0</v>
      </c>
      <c r="U84" s="136">
        <v>41.2</v>
      </c>
      <c r="V84" s="35">
        <v>0</v>
      </c>
      <c r="W84" s="136">
        <v>41.2</v>
      </c>
      <c r="X84" s="35">
        <v>0</v>
      </c>
      <c r="Y84" s="149">
        <v>41.2</v>
      </c>
      <c r="Z84" s="35">
        <v>0</v>
      </c>
      <c r="AA84" s="136">
        <v>40</v>
      </c>
      <c r="AB84" s="37">
        <v>0</v>
      </c>
      <c r="AC84" s="136">
        <v>40</v>
      </c>
      <c r="AD84" s="37"/>
      <c r="AE84" s="40">
        <v>40</v>
      </c>
      <c r="AF84" s="65"/>
      <c r="AG84" s="35">
        <v>0</v>
      </c>
      <c r="AH84" s="36">
        <v>0</v>
      </c>
      <c r="AI84" s="37"/>
      <c r="AJ84" s="35">
        <v>183</v>
      </c>
      <c r="AK84" s="36">
        <v>1104.0000000000002</v>
      </c>
      <c r="AL84" s="35">
        <v>220</v>
      </c>
      <c r="AM84" s="36">
        <v>1236</v>
      </c>
      <c r="AN84" s="37">
        <v>220</v>
      </c>
      <c r="AO84" s="36">
        <v>1236</v>
      </c>
      <c r="AP84" s="37"/>
      <c r="AQ84" s="35">
        <v>220</v>
      </c>
      <c r="AR84" s="36">
        <v>1236</v>
      </c>
      <c r="AS84" s="35">
        <v>220</v>
      </c>
      <c r="AT84" s="36">
        <v>1236</v>
      </c>
      <c r="AU84" s="37">
        <v>220</v>
      </c>
      <c r="AV84" s="36">
        <v>1236</v>
      </c>
      <c r="AW84" s="37">
        <v>256</v>
      </c>
      <c r="AX84" s="36">
        <v>1200</v>
      </c>
      <c r="AY84" s="37">
        <v>256</v>
      </c>
      <c r="AZ84" s="36">
        <v>1200</v>
      </c>
      <c r="BB84" s="40">
        <v>0</v>
      </c>
      <c r="BC84" s="65"/>
      <c r="BD84" s="35">
        <v>0</v>
      </c>
      <c r="BE84" s="36">
        <v>0</v>
      </c>
      <c r="BF84" s="37"/>
      <c r="BG84" s="415">
        <v>169</v>
      </c>
      <c r="BH84" s="353">
        <v>-6</v>
      </c>
      <c r="BI84" s="415">
        <v>0</v>
      </c>
      <c r="BJ84" s="353">
        <v>-1.6000000000000014</v>
      </c>
      <c r="BK84" s="415">
        <v>0</v>
      </c>
      <c r="BL84" s="353">
        <v>-1.6000000000000014</v>
      </c>
      <c r="BM84" s="416"/>
      <c r="BN84" s="415">
        <v>0</v>
      </c>
      <c r="BO84" s="353">
        <v>-1.6000000000000014</v>
      </c>
      <c r="BP84" s="415">
        <v>0</v>
      </c>
      <c r="BQ84" s="353">
        <v>-1.6000000000000014</v>
      </c>
      <c r="BR84" s="415">
        <v>0</v>
      </c>
      <c r="BS84" s="353">
        <v>-1.6000000000000014</v>
      </c>
      <c r="BT84" s="415">
        <v>0</v>
      </c>
      <c r="BU84" s="353">
        <v>-2.6000000000000014</v>
      </c>
      <c r="BV84" s="415">
        <v>0</v>
      </c>
      <c r="BW84" s="353">
        <v>-2.6000000000000014</v>
      </c>
      <c r="BY84" s="80"/>
      <c r="BZ84" s="65"/>
      <c r="CA84" s="40" t="s">
        <v>3</v>
      </c>
      <c r="CB84" s="65"/>
      <c r="CC84" s="40">
        <v>-142.70247933884275</v>
      </c>
      <c r="CD84" s="40">
        <v>-179.70247933884298</v>
      </c>
      <c r="CE84" s="40">
        <v>-179.70247933884298</v>
      </c>
      <c r="CF84" s="65"/>
      <c r="CG84" s="40">
        <v>-179.70247933884298</v>
      </c>
      <c r="CH84" s="40">
        <v>-179.70247933884298</v>
      </c>
      <c r="CI84" s="40">
        <v>-179.70247933884298</v>
      </c>
      <c r="CJ84" s="40">
        <v>-215.70247933884298</v>
      </c>
      <c r="CK84" s="40">
        <v>-215.70247933884298</v>
      </c>
    </row>
    <row r="85" spans="1:89" s="2" customFormat="1">
      <c r="A85" s="196" t="s">
        <v>844</v>
      </c>
      <c r="B85" s="211" t="s">
        <v>110</v>
      </c>
      <c r="C85" s="211" t="s">
        <v>720</v>
      </c>
      <c r="D85" s="41">
        <v>481</v>
      </c>
      <c r="E85" s="41">
        <v>3.25</v>
      </c>
      <c r="F85" s="41" t="s">
        <v>387</v>
      </c>
      <c r="G85" s="413">
        <v>24</v>
      </c>
      <c r="H85" s="414">
        <v>420.6611570247934</v>
      </c>
      <c r="I85" s="321"/>
      <c r="J85" s="40" t="s">
        <v>3</v>
      </c>
      <c r="K85" s="36" t="s">
        <v>3</v>
      </c>
      <c r="L85" s="37"/>
      <c r="M85" s="35">
        <v>139</v>
      </c>
      <c r="N85" s="136">
        <v>8.3000000000000007</v>
      </c>
      <c r="O85" s="35">
        <v>19</v>
      </c>
      <c r="P85" s="136">
        <v>10.8</v>
      </c>
      <c r="Q85" s="37">
        <v>19</v>
      </c>
      <c r="R85" s="136">
        <v>9.8000000000000007</v>
      </c>
      <c r="S85" s="37"/>
      <c r="T85" s="35">
        <v>0</v>
      </c>
      <c r="U85" s="136">
        <v>14.5</v>
      </c>
      <c r="V85" s="35">
        <v>0</v>
      </c>
      <c r="W85" s="136">
        <v>6.2</v>
      </c>
      <c r="X85" s="35">
        <v>0</v>
      </c>
      <c r="Y85" s="149">
        <v>6.2</v>
      </c>
      <c r="Z85" s="35">
        <v>0</v>
      </c>
      <c r="AA85" s="136">
        <v>4.5</v>
      </c>
      <c r="AB85" s="37">
        <v>0</v>
      </c>
      <c r="AC85" s="136">
        <v>4.5</v>
      </c>
      <c r="AD85" s="37"/>
      <c r="AE85" s="40">
        <v>60</v>
      </c>
      <c r="AF85" s="65"/>
      <c r="AG85" s="35">
        <v>0</v>
      </c>
      <c r="AH85" s="36">
        <v>0</v>
      </c>
      <c r="AI85" s="37"/>
      <c r="AJ85" s="35">
        <v>143</v>
      </c>
      <c r="AK85" s="36">
        <v>199.20000000000002</v>
      </c>
      <c r="AL85" s="35">
        <v>203</v>
      </c>
      <c r="AM85" s="36">
        <v>259.20000000000005</v>
      </c>
      <c r="AN85" s="35">
        <v>227</v>
      </c>
      <c r="AO85" s="36">
        <v>235.20000000000002</v>
      </c>
      <c r="AP85" s="37"/>
      <c r="AQ85" s="35">
        <v>133</v>
      </c>
      <c r="AR85" s="36">
        <v>348</v>
      </c>
      <c r="AS85" s="35">
        <v>332</v>
      </c>
      <c r="AT85" s="36">
        <v>148.80000000000001</v>
      </c>
      <c r="AU85" s="35">
        <v>332</v>
      </c>
      <c r="AV85" s="36">
        <v>148.80000000000001</v>
      </c>
      <c r="AW85" s="35">
        <v>373</v>
      </c>
      <c r="AX85" s="36">
        <v>108</v>
      </c>
      <c r="AY85" s="35">
        <v>373</v>
      </c>
      <c r="AZ85" s="36">
        <v>108</v>
      </c>
      <c r="BB85" s="40">
        <v>0</v>
      </c>
      <c r="BC85" s="65"/>
      <c r="BD85" s="35">
        <v>0</v>
      </c>
      <c r="BE85" s="36">
        <v>0</v>
      </c>
      <c r="BF85" s="37"/>
      <c r="BG85" s="415">
        <v>120</v>
      </c>
      <c r="BH85" s="353">
        <v>-3.5</v>
      </c>
      <c r="BI85" s="415">
        <v>0</v>
      </c>
      <c r="BJ85" s="353">
        <v>0</v>
      </c>
      <c r="BK85" s="415">
        <v>0</v>
      </c>
      <c r="BL85" s="353">
        <v>0</v>
      </c>
      <c r="BM85" s="416"/>
      <c r="BN85" s="415">
        <v>0</v>
      </c>
      <c r="BO85" s="353">
        <v>0</v>
      </c>
      <c r="BP85" s="415">
        <v>0</v>
      </c>
      <c r="BQ85" s="353">
        <v>0</v>
      </c>
      <c r="BR85" s="415">
        <v>0</v>
      </c>
      <c r="BS85" s="353">
        <v>0</v>
      </c>
      <c r="BT85" s="415">
        <v>0</v>
      </c>
      <c r="BU85" s="353">
        <v>0</v>
      </c>
      <c r="BV85" s="415">
        <v>0</v>
      </c>
      <c r="BW85" s="353">
        <v>0</v>
      </c>
      <c r="BY85" s="80"/>
      <c r="BZ85" s="65"/>
      <c r="CA85" s="40" t="s">
        <v>3</v>
      </c>
      <c r="CB85" s="65"/>
      <c r="CC85" s="40">
        <v>-82.461157024793351</v>
      </c>
      <c r="CD85" s="40">
        <v>-142.46115702479335</v>
      </c>
      <c r="CE85" s="40">
        <v>-166.46115702479338</v>
      </c>
      <c r="CF85" s="65"/>
      <c r="CG85" s="40">
        <v>-72.661157024793397</v>
      </c>
      <c r="CH85" s="40">
        <v>-271.86115702479339</v>
      </c>
      <c r="CI85" s="40">
        <v>-271.86115702479339</v>
      </c>
      <c r="CJ85" s="40">
        <v>-312.6611570247934</v>
      </c>
      <c r="CK85" s="40">
        <v>-312.6611570247934</v>
      </c>
    </row>
    <row r="86" spans="1:89" s="2" customFormat="1">
      <c r="A86" s="196" t="s">
        <v>845</v>
      </c>
      <c r="B86" s="211" t="s">
        <v>110</v>
      </c>
      <c r="C86" s="211" t="s">
        <v>720</v>
      </c>
      <c r="D86" s="41">
        <v>481</v>
      </c>
      <c r="E86" s="41">
        <v>3.25</v>
      </c>
      <c r="F86" s="22" t="s">
        <v>387</v>
      </c>
      <c r="G86" s="40">
        <v>30</v>
      </c>
      <c r="H86" s="388">
        <v>420.6611570247934</v>
      </c>
      <c r="I86" s="321"/>
      <c r="J86" s="40" t="s">
        <v>3</v>
      </c>
      <c r="K86" s="36" t="s">
        <v>3</v>
      </c>
      <c r="L86" s="37"/>
      <c r="M86" s="35">
        <v>139</v>
      </c>
      <c r="N86" s="136">
        <v>6.7</v>
      </c>
      <c r="O86" s="35">
        <v>19</v>
      </c>
      <c r="P86" s="136">
        <v>8.7000000000000011</v>
      </c>
      <c r="Q86" s="37">
        <v>19</v>
      </c>
      <c r="R86" s="136">
        <v>7.9</v>
      </c>
      <c r="S86" s="37"/>
      <c r="T86" s="35">
        <v>0</v>
      </c>
      <c r="U86" s="136">
        <v>11.600000000000001</v>
      </c>
      <c r="V86" s="35">
        <v>0</v>
      </c>
      <c r="W86" s="136">
        <v>5</v>
      </c>
      <c r="X86" s="35">
        <v>0</v>
      </c>
      <c r="Y86" s="149">
        <v>5</v>
      </c>
      <c r="Z86" s="35">
        <v>0</v>
      </c>
      <c r="AA86" s="136">
        <v>3.6</v>
      </c>
      <c r="AB86" s="37">
        <v>0</v>
      </c>
      <c r="AC86" s="136">
        <v>3.6</v>
      </c>
      <c r="AD86" s="37"/>
      <c r="AE86" s="40">
        <v>60</v>
      </c>
      <c r="AF86" s="65"/>
      <c r="AG86" s="35">
        <v>0</v>
      </c>
      <c r="AH86" s="36">
        <v>0</v>
      </c>
      <c r="AI86" s="37"/>
      <c r="AJ86" s="35">
        <v>141</v>
      </c>
      <c r="AK86" s="36">
        <v>201</v>
      </c>
      <c r="AL86" s="35">
        <v>201</v>
      </c>
      <c r="AM86" s="36">
        <v>261.00000000000006</v>
      </c>
      <c r="AN86" s="37">
        <v>225</v>
      </c>
      <c r="AO86" s="36">
        <v>237</v>
      </c>
      <c r="AP86" s="37"/>
      <c r="AQ86" s="35">
        <v>133</v>
      </c>
      <c r="AR86" s="36">
        <v>348.00000000000006</v>
      </c>
      <c r="AS86" s="35">
        <v>331</v>
      </c>
      <c r="AT86" s="36">
        <v>150</v>
      </c>
      <c r="AU86" s="37">
        <v>331</v>
      </c>
      <c r="AV86" s="36">
        <v>150</v>
      </c>
      <c r="AW86" s="37">
        <v>373</v>
      </c>
      <c r="AX86" s="36">
        <v>108</v>
      </c>
      <c r="AY86" s="37">
        <v>373</v>
      </c>
      <c r="AZ86" s="36">
        <v>108</v>
      </c>
      <c r="BB86" s="40">
        <v>0</v>
      </c>
      <c r="BC86" s="65"/>
      <c r="BD86" s="35">
        <v>0</v>
      </c>
      <c r="BE86" s="36">
        <v>0</v>
      </c>
      <c r="BF86" s="37"/>
      <c r="BG86" s="415">
        <v>120</v>
      </c>
      <c r="BH86" s="353">
        <v>-2.8</v>
      </c>
      <c r="BI86" s="415">
        <v>0</v>
      </c>
      <c r="BJ86" s="353">
        <v>0</v>
      </c>
      <c r="BK86" s="415">
        <v>0</v>
      </c>
      <c r="BL86" s="353">
        <v>0</v>
      </c>
      <c r="BM86" s="416"/>
      <c r="BN86" s="415">
        <v>0</v>
      </c>
      <c r="BO86" s="353">
        <v>0</v>
      </c>
      <c r="BP86" s="415">
        <v>0</v>
      </c>
      <c r="BQ86" s="353">
        <v>0</v>
      </c>
      <c r="BR86" s="415">
        <v>0</v>
      </c>
      <c r="BS86" s="353">
        <v>0</v>
      </c>
      <c r="BT86" s="415">
        <v>0</v>
      </c>
      <c r="BU86" s="353">
        <v>0</v>
      </c>
      <c r="BV86" s="415">
        <v>0</v>
      </c>
      <c r="BW86" s="353">
        <v>0</v>
      </c>
      <c r="BY86" s="80"/>
      <c r="BZ86" s="65"/>
      <c r="CA86" s="40" t="s">
        <v>3</v>
      </c>
      <c r="CB86" s="65"/>
      <c r="CC86" s="40">
        <v>-80.661157024793397</v>
      </c>
      <c r="CD86" s="40">
        <v>-140.66115702479334</v>
      </c>
      <c r="CE86" s="40">
        <v>-164.6611570247934</v>
      </c>
      <c r="CF86" s="65"/>
      <c r="CG86" s="40">
        <v>-72.66115702479334</v>
      </c>
      <c r="CH86" s="40">
        <v>-270.6611570247934</v>
      </c>
      <c r="CI86" s="40">
        <v>-270.6611570247934</v>
      </c>
      <c r="CJ86" s="40">
        <v>-312.6611570247934</v>
      </c>
      <c r="CK86" s="40">
        <v>-312.6611570247934</v>
      </c>
    </row>
    <row r="87" spans="1:89" s="2" customFormat="1">
      <c r="A87" s="196" t="s">
        <v>846</v>
      </c>
      <c r="B87" s="211" t="s">
        <v>110</v>
      </c>
      <c r="C87" s="211" t="s">
        <v>606</v>
      </c>
      <c r="D87" s="41">
        <v>658</v>
      </c>
      <c r="E87" s="41">
        <v>3.25</v>
      </c>
      <c r="F87" s="41" t="s">
        <v>387</v>
      </c>
      <c r="G87" s="413">
        <v>24</v>
      </c>
      <c r="H87" s="414">
        <v>429.75206611570252</v>
      </c>
      <c r="I87" s="321"/>
      <c r="J87" s="40" t="s">
        <v>3</v>
      </c>
      <c r="K87" s="36" t="s">
        <v>3</v>
      </c>
      <c r="L87" s="37"/>
      <c r="M87" s="35">
        <v>139</v>
      </c>
      <c r="N87" s="136">
        <v>8.7000000000000011</v>
      </c>
      <c r="O87" s="35">
        <v>19</v>
      </c>
      <c r="P87" s="136">
        <v>11</v>
      </c>
      <c r="Q87" s="37">
        <v>19</v>
      </c>
      <c r="R87" s="136">
        <v>10.200000000000001</v>
      </c>
      <c r="S87" s="37"/>
      <c r="T87" s="35">
        <v>0</v>
      </c>
      <c r="U87" s="136">
        <v>14.9</v>
      </c>
      <c r="V87" s="35">
        <v>0</v>
      </c>
      <c r="W87" s="136">
        <v>7.3000000000000007</v>
      </c>
      <c r="X87" s="35">
        <v>0</v>
      </c>
      <c r="Y87" s="149">
        <v>7.3000000000000007</v>
      </c>
      <c r="Z87" s="35">
        <v>0</v>
      </c>
      <c r="AA87" s="136">
        <v>7.2</v>
      </c>
      <c r="AB87" s="37">
        <v>0</v>
      </c>
      <c r="AC87" s="136">
        <v>7.2</v>
      </c>
      <c r="AD87" s="37"/>
      <c r="AE87" s="40">
        <v>228</v>
      </c>
      <c r="AF87" s="65"/>
      <c r="AG87" s="35">
        <v>0</v>
      </c>
      <c r="AH87" s="36">
        <v>0</v>
      </c>
      <c r="AI87" s="37"/>
      <c r="AJ87" s="35">
        <v>310</v>
      </c>
      <c r="AK87" s="36">
        <v>208.8</v>
      </c>
      <c r="AL87" s="35">
        <v>375</v>
      </c>
      <c r="AM87" s="36">
        <v>264</v>
      </c>
      <c r="AN87" s="35">
        <v>394</v>
      </c>
      <c r="AO87" s="36">
        <v>244.8</v>
      </c>
      <c r="AP87" s="37"/>
      <c r="AQ87" s="35">
        <v>300</v>
      </c>
      <c r="AR87" s="36">
        <v>357.6</v>
      </c>
      <c r="AS87" s="35">
        <v>483</v>
      </c>
      <c r="AT87" s="36">
        <v>175.20000000000002</v>
      </c>
      <c r="AU87" s="35">
        <v>483</v>
      </c>
      <c r="AV87" s="36">
        <v>175.20000000000002</v>
      </c>
      <c r="AW87" s="35">
        <v>485</v>
      </c>
      <c r="AX87" s="36">
        <v>172.8</v>
      </c>
      <c r="AY87" s="35">
        <v>485</v>
      </c>
      <c r="AZ87" s="36">
        <v>172.8</v>
      </c>
      <c r="BB87" s="40">
        <v>0</v>
      </c>
      <c r="BC87" s="65"/>
      <c r="BD87" s="35">
        <v>0</v>
      </c>
      <c r="BE87" s="36">
        <v>0</v>
      </c>
      <c r="BF87" s="37"/>
      <c r="BG87" s="415">
        <v>120</v>
      </c>
      <c r="BH87" s="353">
        <v>-4.1999999999999993</v>
      </c>
      <c r="BI87" s="415">
        <v>0</v>
      </c>
      <c r="BJ87" s="353">
        <v>-0.80000000000000071</v>
      </c>
      <c r="BK87" s="415">
        <v>0</v>
      </c>
      <c r="BL87" s="353">
        <v>-0.79999999999999893</v>
      </c>
      <c r="BM87" s="416"/>
      <c r="BN87" s="415">
        <v>0</v>
      </c>
      <c r="BO87" s="353">
        <v>-0.59999999999999964</v>
      </c>
      <c r="BP87" s="415">
        <v>0</v>
      </c>
      <c r="BQ87" s="353">
        <v>0</v>
      </c>
      <c r="BR87" s="415">
        <v>0</v>
      </c>
      <c r="BS87" s="353">
        <v>0</v>
      </c>
      <c r="BT87" s="415">
        <v>0</v>
      </c>
      <c r="BU87" s="353">
        <v>-0.10000000000000053</v>
      </c>
      <c r="BV87" s="415">
        <v>0</v>
      </c>
      <c r="BW87" s="353">
        <v>-0.10000000000000053</v>
      </c>
      <c r="BY87" s="80"/>
      <c r="BZ87" s="65"/>
      <c r="CA87" s="40" t="s">
        <v>3</v>
      </c>
      <c r="CB87" s="65"/>
      <c r="CC87" s="40">
        <v>-81.952066115702507</v>
      </c>
      <c r="CD87" s="40">
        <v>-146.75206611570252</v>
      </c>
      <c r="CE87" s="40">
        <v>-165.95206611570251</v>
      </c>
      <c r="CF87" s="65"/>
      <c r="CG87" s="40">
        <v>-72.152066115702496</v>
      </c>
      <c r="CH87" s="40">
        <v>-254.5520661157025</v>
      </c>
      <c r="CI87" s="40">
        <v>-254.5520661157025</v>
      </c>
      <c r="CJ87" s="40">
        <v>-256.95206611570251</v>
      </c>
      <c r="CK87" s="40">
        <v>-256.95206611570251</v>
      </c>
    </row>
    <row r="88" spans="1:89" s="2" customFormat="1">
      <c r="A88" s="196" t="s">
        <v>847</v>
      </c>
      <c r="B88" s="211" t="s">
        <v>110</v>
      </c>
      <c r="C88" s="211" t="s">
        <v>606</v>
      </c>
      <c r="D88" s="41">
        <v>658</v>
      </c>
      <c r="E88" s="41">
        <v>3.25</v>
      </c>
      <c r="F88" s="22" t="s">
        <v>387</v>
      </c>
      <c r="G88" s="40">
        <v>30</v>
      </c>
      <c r="H88" s="388">
        <v>429.75206611570252</v>
      </c>
      <c r="I88" s="321"/>
      <c r="J88" s="40" t="s">
        <v>3</v>
      </c>
      <c r="K88" s="36" t="s">
        <v>3</v>
      </c>
      <c r="L88" s="37"/>
      <c r="M88" s="35">
        <v>139</v>
      </c>
      <c r="N88" s="136">
        <v>7</v>
      </c>
      <c r="O88" s="35">
        <v>19</v>
      </c>
      <c r="P88" s="136">
        <v>8.8000000000000007</v>
      </c>
      <c r="Q88" s="37">
        <v>19</v>
      </c>
      <c r="R88" s="136">
        <v>8.2000000000000011</v>
      </c>
      <c r="S88" s="37"/>
      <c r="T88" s="35">
        <v>0</v>
      </c>
      <c r="U88" s="136">
        <v>12</v>
      </c>
      <c r="V88" s="35">
        <v>0</v>
      </c>
      <c r="W88" s="136">
        <v>5.9</v>
      </c>
      <c r="X88" s="35">
        <v>0</v>
      </c>
      <c r="Y88" s="149">
        <v>5.9</v>
      </c>
      <c r="Z88" s="35">
        <v>0</v>
      </c>
      <c r="AA88" s="136">
        <v>5.8000000000000007</v>
      </c>
      <c r="AB88" s="37">
        <v>0</v>
      </c>
      <c r="AC88" s="136">
        <v>5.8000000000000007</v>
      </c>
      <c r="AD88" s="37"/>
      <c r="AE88" s="40">
        <v>228</v>
      </c>
      <c r="AF88" s="65"/>
      <c r="AG88" s="35">
        <v>0</v>
      </c>
      <c r="AH88" s="36">
        <v>0</v>
      </c>
      <c r="AI88" s="37"/>
      <c r="AJ88" s="35">
        <v>309</v>
      </c>
      <c r="AK88" s="36">
        <v>210</v>
      </c>
      <c r="AL88" s="35">
        <v>375</v>
      </c>
      <c r="AM88" s="36">
        <v>264</v>
      </c>
      <c r="AN88" s="37">
        <v>393</v>
      </c>
      <c r="AO88" s="36">
        <v>246.00000000000003</v>
      </c>
      <c r="AP88" s="37"/>
      <c r="AQ88" s="35">
        <v>298</v>
      </c>
      <c r="AR88" s="36">
        <v>360</v>
      </c>
      <c r="AS88" s="35">
        <v>481</v>
      </c>
      <c r="AT88" s="36">
        <v>177</v>
      </c>
      <c r="AU88" s="37">
        <v>481</v>
      </c>
      <c r="AV88" s="36">
        <v>177</v>
      </c>
      <c r="AW88" s="37">
        <v>484</v>
      </c>
      <c r="AX88" s="36">
        <v>174.00000000000003</v>
      </c>
      <c r="AY88" s="37">
        <v>484</v>
      </c>
      <c r="AZ88" s="36">
        <v>174.00000000000003</v>
      </c>
      <c r="BB88" s="40">
        <v>0</v>
      </c>
      <c r="BC88" s="65"/>
      <c r="BD88" s="35">
        <v>0</v>
      </c>
      <c r="BE88" s="36">
        <v>0</v>
      </c>
      <c r="BF88" s="37"/>
      <c r="BG88" s="415">
        <v>120</v>
      </c>
      <c r="BH88" s="353">
        <v>-3.4000000000000004</v>
      </c>
      <c r="BI88" s="415">
        <v>0</v>
      </c>
      <c r="BJ88" s="353">
        <v>-0.69999999999999929</v>
      </c>
      <c r="BK88" s="415">
        <v>0</v>
      </c>
      <c r="BL88" s="353">
        <v>-0.59999999999999964</v>
      </c>
      <c r="BM88" s="416"/>
      <c r="BN88" s="415">
        <v>0</v>
      </c>
      <c r="BO88" s="353">
        <v>-0.40000000000000036</v>
      </c>
      <c r="BP88" s="415">
        <v>0</v>
      </c>
      <c r="BQ88" s="353">
        <v>0</v>
      </c>
      <c r="BR88" s="415">
        <v>0</v>
      </c>
      <c r="BS88" s="353">
        <v>0</v>
      </c>
      <c r="BT88" s="415">
        <v>0</v>
      </c>
      <c r="BU88" s="353">
        <v>0</v>
      </c>
      <c r="BV88" s="415">
        <v>0</v>
      </c>
      <c r="BW88" s="353">
        <v>0</v>
      </c>
      <c r="BY88" s="80"/>
      <c r="BZ88" s="65"/>
      <c r="CA88" s="40" t="s">
        <v>3</v>
      </c>
      <c r="CB88" s="65"/>
      <c r="CC88" s="40">
        <v>-80.752066115702519</v>
      </c>
      <c r="CD88" s="40">
        <v>-146.75206611570252</v>
      </c>
      <c r="CE88" s="40">
        <v>-164.75206611570252</v>
      </c>
      <c r="CF88" s="65"/>
      <c r="CG88" s="40">
        <v>-69.752066115702519</v>
      </c>
      <c r="CH88" s="40">
        <v>-252.75206611570252</v>
      </c>
      <c r="CI88" s="40">
        <v>-252.75206611570252</v>
      </c>
      <c r="CJ88" s="40">
        <v>-255.75206611570249</v>
      </c>
      <c r="CK88" s="40">
        <v>-255.75206611570249</v>
      </c>
    </row>
    <row r="89" spans="1:89" s="2" customFormat="1">
      <c r="A89" s="196" t="s">
        <v>848</v>
      </c>
      <c r="B89" s="211" t="s">
        <v>110</v>
      </c>
      <c r="C89" s="435" t="s">
        <v>721</v>
      </c>
      <c r="D89" s="41">
        <v>183</v>
      </c>
      <c r="E89" s="41">
        <v>3.25</v>
      </c>
      <c r="F89" s="41" t="s">
        <v>387</v>
      </c>
      <c r="G89" s="413">
        <v>24</v>
      </c>
      <c r="H89" s="414">
        <v>114.04958677685951</v>
      </c>
      <c r="I89" s="321"/>
      <c r="J89" s="40" t="s">
        <v>3</v>
      </c>
      <c r="K89" s="36" t="s">
        <v>3</v>
      </c>
      <c r="L89" s="37"/>
      <c r="M89" s="35">
        <v>0</v>
      </c>
      <c r="N89" s="136">
        <v>4.2</v>
      </c>
      <c r="O89" s="35">
        <v>0</v>
      </c>
      <c r="P89" s="136">
        <v>1.5</v>
      </c>
      <c r="Q89" s="37">
        <v>0</v>
      </c>
      <c r="R89" s="136">
        <v>0.5</v>
      </c>
      <c r="S89" s="37"/>
      <c r="T89" s="35">
        <v>0</v>
      </c>
      <c r="U89" s="136">
        <v>4.6000000000000005</v>
      </c>
      <c r="V89" s="35">
        <v>0</v>
      </c>
      <c r="W89" s="136">
        <v>1.1000000000000001</v>
      </c>
      <c r="X89" s="35">
        <v>0</v>
      </c>
      <c r="Y89" s="149">
        <v>0.5</v>
      </c>
      <c r="Z89" s="35">
        <v>0</v>
      </c>
      <c r="AA89" s="136">
        <v>0.5</v>
      </c>
      <c r="AB89" s="37">
        <v>0</v>
      </c>
      <c r="AC89" s="136">
        <v>0.5</v>
      </c>
      <c r="AD89" s="37"/>
      <c r="AE89" s="40">
        <v>69</v>
      </c>
      <c r="AF89" s="65"/>
      <c r="AG89" s="35">
        <v>0</v>
      </c>
      <c r="AH89" s="36">
        <v>0</v>
      </c>
      <c r="AI89" s="37"/>
      <c r="AJ89" s="35">
        <v>82</v>
      </c>
      <c r="AK89" s="36">
        <v>100.80000000000001</v>
      </c>
      <c r="AL89" s="35">
        <v>147</v>
      </c>
      <c r="AM89" s="36">
        <v>36</v>
      </c>
      <c r="AN89" s="35">
        <v>171</v>
      </c>
      <c r="AO89" s="36">
        <v>12</v>
      </c>
      <c r="AP89" s="37"/>
      <c r="AQ89" s="35">
        <v>73</v>
      </c>
      <c r="AR89" s="36">
        <v>110.4</v>
      </c>
      <c r="AS89" s="35">
        <v>157</v>
      </c>
      <c r="AT89" s="36">
        <v>26.400000000000002</v>
      </c>
      <c r="AU89" s="35">
        <v>171</v>
      </c>
      <c r="AV89" s="36">
        <v>12</v>
      </c>
      <c r="AW89" s="35">
        <v>171</v>
      </c>
      <c r="AX89" s="36">
        <v>12</v>
      </c>
      <c r="AY89" s="35">
        <v>171</v>
      </c>
      <c r="AZ89" s="36">
        <v>12</v>
      </c>
      <c r="BB89" s="40">
        <v>0</v>
      </c>
      <c r="BC89" s="65"/>
      <c r="BD89" s="35">
        <v>0</v>
      </c>
      <c r="BE89" s="36">
        <v>0</v>
      </c>
      <c r="BF89" s="37"/>
      <c r="BG89" s="415">
        <v>0</v>
      </c>
      <c r="BH89" s="353">
        <v>0</v>
      </c>
      <c r="BI89" s="415">
        <v>0</v>
      </c>
      <c r="BJ89" s="353">
        <v>0</v>
      </c>
      <c r="BK89" s="415">
        <v>0</v>
      </c>
      <c r="BL89" s="353">
        <v>0</v>
      </c>
      <c r="BM89" s="416"/>
      <c r="BN89" s="415">
        <v>0</v>
      </c>
      <c r="BO89" s="353">
        <v>0</v>
      </c>
      <c r="BP89" s="415">
        <v>0</v>
      </c>
      <c r="BQ89" s="353">
        <v>0</v>
      </c>
      <c r="BR89" s="415">
        <v>0</v>
      </c>
      <c r="BS89" s="353">
        <v>0</v>
      </c>
      <c r="BT89" s="415">
        <v>0</v>
      </c>
      <c r="BU89" s="353">
        <v>0</v>
      </c>
      <c r="BV89" s="415">
        <v>0</v>
      </c>
      <c r="BW89" s="353">
        <v>0</v>
      </c>
      <c r="BY89" s="80"/>
      <c r="BZ89" s="65"/>
      <c r="CA89" s="40" t="s">
        <v>3</v>
      </c>
      <c r="CB89" s="65"/>
      <c r="CC89" s="40">
        <v>-13.249586776859502</v>
      </c>
      <c r="CD89" s="40">
        <v>-78.049586776859513</v>
      </c>
      <c r="CE89" s="40">
        <v>-102.04958677685951</v>
      </c>
      <c r="CF89" s="65"/>
      <c r="CG89" s="40">
        <v>-3.6495867768595076</v>
      </c>
      <c r="CH89" s="40">
        <v>-87.649586776859508</v>
      </c>
      <c r="CI89" s="40">
        <v>-102.04958677685951</v>
      </c>
      <c r="CJ89" s="40">
        <v>-102.04958677685951</v>
      </c>
      <c r="CK89" s="40">
        <v>-102.04958677685951</v>
      </c>
    </row>
    <row r="90" spans="1:89" s="2" customFormat="1">
      <c r="A90" s="196" t="s">
        <v>849</v>
      </c>
      <c r="B90" s="211" t="s">
        <v>110</v>
      </c>
      <c r="C90" s="435" t="s">
        <v>721</v>
      </c>
      <c r="D90" s="41">
        <v>183</v>
      </c>
      <c r="E90" s="41">
        <v>3.25</v>
      </c>
      <c r="F90" s="22" t="s">
        <v>387</v>
      </c>
      <c r="G90" s="40">
        <v>30</v>
      </c>
      <c r="H90" s="388">
        <v>114.04958677685951</v>
      </c>
      <c r="I90" s="321"/>
      <c r="J90" s="40" t="s">
        <v>3</v>
      </c>
      <c r="K90" s="36" t="s">
        <v>3</v>
      </c>
      <c r="L90" s="37"/>
      <c r="M90" s="35">
        <v>0</v>
      </c>
      <c r="N90" s="136">
        <v>3.4000000000000004</v>
      </c>
      <c r="O90" s="35">
        <v>0</v>
      </c>
      <c r="P90" s="136">
        <v>1.2000000000000002</v>
      </c>
      <c r="Q90" s="37">
        <v>0</v>
      </c>
      <c r="R90" s="136">
        <v>0.4</v>
      </c>
      <c r="S90" s="37"/>
      <c r="T90" s="35">
        <v>0</v>
      </c>
      <c r="U90" s="136">
        <v>3.7</v>
      </c>
      <c r="V90" s="35">
        <v>0</v>
      </c>
      <c r="W90" s="136">
        <v>0.9</v>
      </c>
      <c r="X90" s="35">
        <v>0</v>
      </c>
      <c r="Y90" s="149">
        <v>0.4</v>
      </c>
      <c r="Z90" s="35">
        <v>0</v>
      </c>
      <c r="AA90" s="136">
        <v>0.4</v>
      </c>
      <c r="AB90" s="37">
        <v>0</v>
      </c>
      <c r="AC90" s="136">
        <v>0.4</v>
      </c>
      <c r="AD90" s="37"/>
      <c r="AE90" s="40">
        <v>69</v>
      </c>
      <c r="AF90" s="65"/>
      <c r="AG90" s="35">
        <v>0</v>
      </c>
      <c r="AH90" s="36">
        <v>0</v>
      </c>
      <c r="AI90" s="37"/>
      <c r="AJ90" s="35">
        <v>81</v>
      </c>
      <c r="AK90" s="36">
        <v>102.00000000000001</v>
      </c>
      <c r="AL90" s="35">
        <v>147</v>
      </c>
      <c r="AM90" s="36">
        <v>36.000000000000007</v>
      </c>
      <c r="AN90" s="37">
        <v>171</v>
      </c>
      <c r="AO90" s="36">
        <v>12</v>
      </c>
      <c r="AP90" s="37"/>
      <c r="AQ90" s="35">
        <v>72</v>
      </c>
      <c r="AR90" s="36">
        <v>111</v>
      </c>
      <c r="AS90" s="35">
        <v>156</v>
      </c>
      <c r="AT90" s="36">
        <v>27</v>
      </c>
      <c r="AU90" s="37">
        <v>171</v>
      </c>
      <c r="AV90" s="36">
        <v>12</v>
      </c>
      <c r="AW90" s="37">
        <v>171</v>
      </c>
      <c r="AX90" s="36">
        <v>12</v>
      </c>
      <c r="AY90" s="37">
        <v>171</v>
      </c>
      <c r="AZ90" s="36">
        <v>12</v>
      </c>
      <c r="BB90" s="40">
        <v>0</v>
      </c>
      <c r="BC90" s="65"/>
      <c r="BD90" s="35">
        <v>0</v>
      </c>
      <c r="BE90" s="36">
        <v>0</v>
      </c>
      <c r="BF90" s="37"/>
      <c r="BG90" s="415">
        <v>0</v>
      </c>
      <c r="BH90" s="353">
        <v>0</v>
      </c>
      <c r="BI90" s="415">
        <v>0</v>
      </c>
      <c r="BJ90" s="353">
        <v>0</v>
      </c>
      <c r="BK90" s="415">
        <v>0</v>
      </c>
      <c r="BL90" s="353">
        <v>0</v>
      </c>
      <c r="BM90" s="416"/>
      <c r="BN90" s="415">
        <v>0</v>
      </c>
      <c r="BO90" s="353">
        <v>0</v>
      </c>
      <c r="BP90" s="415">
        <v>0</v>
      </c>
      <c r="BQ90" s="353">
        <v>0</v>
      </c>
      <c r="BR90" s="415">
        <v>0</v>
      </c>
      <c r="BS90" s="353">
        <v>0</v>
      </c>
      <c r="BT90" s="415">
        <v>0</v>
      </c>
      <c r="BU90" s="353">
        <v>0</v>
      </c>
      <c r="BV90" s="415">
        <v>0</v>
      </c>
      <c r="BW90" s="353">
        <v>0</v>
      </c>
      <c r="BY90" s="80"/>
      <c r="BZ90" s="65"/>
      <c r="CA90" s="40" t="s">
        <v>3</v>
      </c>
      <c r="CB90" s="65"/>
      <c r="CC90" s="40">
        <v>-12.049586776859499</v>
      </c>
      <c r="CD90" s="40">
        <v>-78.049586776859513</v>
      </c>
      <c r="CE90" s="40">
        <v>-102.04958677685951</v>
      </c>
      <c r="CF90" s="65"/>
      <c r="CG90" s="40">
        <v>-3.0495867768595133</v>
      </c>
      <c r="CH90" s="40">
        <v>-87.049586776859513</v>
      </c>
      <c r="CI90" s="40">
        <v>-102.04958677685951</v>
      </c>
      <c r="CJ90" s="40">
        <v>-102.04958677685951</v>
      </c>
      <c r="CK90" s="40">
        <v>-102.04958677685951</v>
      </c>
    </row>
    <row r="91" spans="1:89" s="2" customFormat="1">
      <c r="A91" s="196" t="s">
        <v>850</v>
      </c>
      <c r="B91" s="211" t="s">
        <v>110</v>
      </c>
      <c r="C91" s="211" t="s">
        <v>722</v>
      </c>
      <c r="D91" s="41">
        <v>255</v>
      </c>
      <c r="E91" s="41">
        <v>3.25</v>
      </c>
      <c r="F91" s="41" t="s">
        <v>387</v>
      </c>
      <c r="G91" s="413">
        <v>24</v>
      </c>
      <c r="H91" s="414">
        <v>177.68595041322314</v>
      </c>
      <c r="I91" s="321"/>
      <c r="J91" s="40" t="s">
        <v>3</v>
      </c>
      <c r="K91" s="36" t="s">
        <v>3</v>
      </c>
      <c r="L91" s="37"/>
      <c r="M91" s="35">
        <v>29</v>
      </c>
      <c r="N91" s="136">
        <v>5</v>
      </c>
      <c r="O91" s="35">
        <v>0</v>
      </c>
      <c r="P91" s="136">
        <v>3.1</v>
      </c>
      <c r="Q91" s="37">
        <v>0</v>
      </c>
      <c r="R91" s="136">
        <v>2.1</v>
      </c>
      <c r="S91" s="37"/>
      <c r="T91" s="35">
        <v>0</v>
      </c>
      <c r="U91" s="136">
        <v>6.2</v>
      </c>
      <c r="V91" s="35">
        <v>0</v>
      </c>
      <c r="W91" s="136">
        <v>2.1</v>
      </c>
      <c r="X91" s="35">
        <v>0</v>
      </c>
      <c r="Y91" s="149">
        <v>2.1</v>
      </c>
      <c r="Z91" s="35">
        <v>0</v>
      </c>
      <c r="AA91" s="136">
        <v>1.5</v>
      </c>
      <c r="AB91" s="37">
        <v>0</v>
      </c>
      <c r="AC91" s="136">
        <v>1.5</v>
      </c>
      <c r="AD91" s="37"/>
      <c r="AE91" s="40">
        <v>77</v>
      </c>
      <c r="AF91" s="65"/>
      <c r="AG91" s="35">
        <v>0</v>
      </c>
      <c r="AH91" s="36">
        <v>0</v>
      </c>
      <c r="AI91" s="37"/>
      <c r="AJ91" s="35">
        <v>106</v>
      </c>
      <c r="AK91" s="36">
        <v>120</v>
      </c>
      <c r="AL91" s="35">
        <v>181</v>
      </c>
      <c r="AM91" s="36">
        <v>74.400000000000006</v>
      </c>
      <c r="AN91" s="35">
        <v>205</v>
      </c>
      <c r="AO91" s="36">
        <v>50.400000000000006</v>
      </c>
      <c r="AP91" s="37"/>
      <c r="AQ91" s="35">
        <v>106</v>
      </c>
      <c r="AR91" s="36">
        <v>148.80000000000001</v>
      </c>
      <c r="AS91" s="35">
        <v>205</v>
      </c>
      <c r="AT91" s="36">
        <v>50.400000000000006</v>
      </c>
      <c r="AU91" s="35">
        <v>205</v>
      </c>
      <c r="AV91" s="36">
        <v>50.400000000000006</v>
      </c>
      <c r="AW91" s="35">
        <v>219</v>
      </c>
      <c r="AX91" s="36">
        <v>36</v>
      </c>
      <c r="AY91" s="35">
        <v>219</v>
      </c>
      <c r="AZ91" s="36">
        <v>36</v>
      </c>
      <c r="BB91" s="40">
        <v>0</v>
      </c>
      <c r="BC91" s="65"/>
      <c r="BD91" s="35">
        <v>0</v>
      </c>
      <c r="BE91" s="36">
        <v>0</v>
      </c>
      <c r="BF91" s="37"/>
      <c r="BG91" s="415">
        <v>0</v>
      </c>
      <c r="BH91" s="353">
        <v>0</v>
      </c>
      <c r="BI91" s="415">
        <v>0</v>
      </c>
      <c r="BJ91" s="353">
        <v>0</v>
      </c>
      <c r="BK91" s="415">
        <v>0</v>
      </c>
      <c r="BL91" s="353">
        <v>0</v>
      </c>
      <c r="BM91" s="416"/>
      <c r="BN91" s="415">
        <v>0</v>
      </c>
      <c r="BO91" s="353">
        <v>0</v>
      </c>
      <c r="BP91" s="415">
        <v>0</v>
      </c>
      <c r="BQ91" s="353">
        <v>0</v>
      </c>
      <c r="BR91" s="415">
        <v>0</v>
      </c>
      <c r="BS91" s="353">
        <v>0</v>
      </c>
      <c r="BT91" s="415">
        <v>0</v>
      </c>
      <c r="BU91" s="353">
        <v>-1.5</v>
      </c>
      <c r="BV91" s="415">
        <v>0</v>
      </c>
      <c r="BW91" s="353">
        <v>-1.5</v>
      </c>
      <c r="BY91" s="80"/>
      <c r="BZ91" s="65"/>
      <c r="CA91" s="40" t="s">
        <v>3</v>
      </c>
      <c r="CB91" s="65"/>
      <c r="CC91" s="40">
        <v>-28.685950413223139</v>
      </c>
      <c r="CD91" s="40">
        <v>-103.28595041322313</v>
      </c>
      <c r="CE91" s="40">
        <v>-127.28595041322313</v>
      </c>
      <c r="CF91" s="65"/>
      <c r="CG91" s="40">
        <v>-28.885950413223128</v>
      </c>
      <c r="CH91" s="40">
        <v>-127.28595041322313</v>
      </c>
      <c r="CI91" s="40">
        <v>-127.28595041322313</v>
      </c>
      <c r="CJ91" s="40">
        <v>-141.68595041322314</v>
      </c>
      <c r="CK91" s="40">
        <v>-141.68595041322314</v>
      </c>
    </row>
    <row r="92" spans="1:89" s="2" customFormat="1">
      <c r="A92" s="196" t="s">
        <v>851</v>
      </c>
      <c r="B92" s="211" t="s">
        <v>110</v>
      </c>
      <c r="C92" s="211" t="s">
        <v>722</v>
      </c>
      <c r="D92" s="41">
        <v>255</v>
      </c>
      <c r="E92" s="41">
        <v>3.25</v>
      </c>
      <c r="F92" s="22" t="s">
        <v>387</v>
      </c>
      <c r="G92" s="40">
        <v>30</v>
      </c>
      <c r="H92" s="388">
        <v>177.68595041322314</v>
      </c>
      <c r="I92" s="321"/>
      <c r="J92" s="40" t="s">
        <v>3</v>
      </c>
      <c r="K92" s="36" t="s">
        <v>3</v>
      </c>
      <c r="L92" s="37"/>
      <c r="M92" s="35">
        <v>29</v>
      </c>
      <c r="N92" s="136">
        <v>4</v>
      </c>
      <c r="O92" s="35">
        <v>0</v>
      </c>
      <c r="P92" s="136">
        <v>2.5</v>
      </c>
      <c r="Q92" s="37">
        <v>0</v>
      </c>
      <c r="R92" s="136">
        <v>1.7000000000000002</v>
      </c>
      <c r="S92" s="37"/>
      <c r="T92" s="35">
        <v>0</v>
      </c>
      <c r="U92" s="136">
        <v>5</v>
      </c>
      <c r="V92" s="35">
        <v>0</v>
      </c>
      <c r="W92" s="136">
        <v>1.7000000000000002</v>
      </c>
      <c r="X92" s="35">
        <v>0</v>
      </c>
      <c r="Y92" s="149">
        <v>1.7000000000000002</v>
      </c>
      <c r="Z92" s="35">
        <v>0</v>
      </c>
      <c r="AA92" s="136">
        <v>1.2000000000000002</v>
      </c>
      <c r="AB92" s="37">
        <v>0</v>
      </c>
      <c r="AC92" s="136">
        <v>1.2000000000000002</v>
      </c>
      <c r="AD92" s="37"/>
      <c r="AE92" s="40">
        <v>77</v>
      </c>
      <c r="AF92" s="65"/>
      <c r="AG92" s="35">
        <v>0</v>
      </c>
      <c r="AH92" s="36">
        <v>0</v>
      </c>
      <c r="AI92" s="37"/>
      <c r="AJ92" s="35">
        <v>106</v>
      </c>
      <c r="AK92" s="36">
        <v>120</v>
      </c>
      <c r="AL92" s="35">
        <v>180</v>
      </c>
      <c r="AM92" s="36">
        <v>75</v>
      </c>
      <c r="AN92" s="37">
        <v>204</v>
      </c>
      <c r="AO92" s="36">
        <v>51.000000000000007</v>
      </c>
      <c r="AP92" s="37"/>
      <c r="AQ92" s="35">
        <v>105</v>
      </c>
      <c r="AR92" s="36">
        <v>150</v>
      </c>
      <c r="AS92" s="35">
        <v>204</v>
      </c>
      <c r="AT92" s="36">
        <v>51.000000000000007</v>
      </c>
      <c r="AU92" s="37">
        <v>204</v>
      </c>
      <c r="AV92" s="36">
        <v>51.000000000000007</v>
      </c>
      <c r="AW92" s="37">
        <v>219</v>
      </c>
      <c r="AX92" s="36">
        <v>36.000000000000007</v>
      </c>
      <c r="AY92" s="37">
        <v>219</v>
      </c>
      <c r="AZ92" s="36">
        <v>36.000000000000007</v>
      </c>
      <c r="BB92" s="40">
        <v>0</v>
      </c>
      <c r="BC92" s="65"/>
      <c r="BD92" s="35">
        <v>0</v>
      </c>
      <c r="BE92" s="36">
        <v>0</v>
      </c>
      <c r="BF92" s="37"/>
      <c r="BG92" s="415">
        <v>0</v>
      </c>
      <c r="BH92" s="353">
        <v>0</v>
      </c>
      <c r="BI92" s="415">
        <v>0</v>
      </c>
      <c r="BJ92" s="353">
        <v>0</v>
      </c>
      <c r="BK92" s="415">
        <v>0</v>
      </c>
      <c r="BL92" s="353">
        <v>0</v>
      </c>
      <c r="BM92" s="416"/>
      <c r="BN92" s="415">
        <v>0</v>
      </c>
      <c r="BO92" s="353">
        <v>0</v>
      </c>
      <c r="BP92" s="415">
        <v>0</v>
      </c>
      <c r="BQ92" s="353">
        <v>0</v>
      </c>
      <c r="BR92" s="415">
        <v>0</v>
      </c>
      <c r="BS92" s="353">
        <v>0</v>
      </c>
      <c r="BT92" s="415">
        <v>0</v>
      </c>
      <c r="BU92" s="353">
        <v>-1.1999999999999997</v>
      </c>
      <c r="BV92" s="415">
        <v>0</v>
      </c>
      <c r="BW92" s="353">
        <v>-1.1999999999999997</v>
      </c>
      <c r="BY92" s="80"/>
      <c r="BZ92" s="65"/>
      <c r="CA92" s="40" t="s">
        <v>3</v>
      </c>
      <c r="CB92" s="65"/>
      <c r="CC92" s="40">
        <v>-28.685950413223139</v>
      </c>
      <c r="CD92" s="40">
        <v>-102.68595041322314</v>
      </c>
      <c r="CE92" s="40">
        <v>-126.68595041322314</v>
      </c>
      <c r="CF92" s="65"/>
      <c r="CG92" s="40">
        <v>-27.685950413223139</v>
      </c>
      <c r="CH92" s="40">
        <v>-126.68595041322314</v>
      </c>
      <c r="CI92" s="40">
        <v>-126.68595041322314</v>
      </c>
      <c r="CJ92" s="40">
        <v>-141.68595041322314</v>
      </c>
      <c r="CK92" s="40">
        <v>-141.68595041322314</v>
      </c>
    </row>
    <row r="93" spans="1:89" s="2" customFormat="1">
      <c r="A93" s="196" t="s">
        <v>852</v>
      </c>
      <c r="B93" s="211" t="s">
        <v>110</v>
      </c>
      <c r="C93" s="211" t="s">
        <v>643</v>
      </c>
      <c r="D93" s="41">
        <v>353</v>
      </c>
      <c r="E93" s="41">
        <v>3.25</v>
      </c>
      <c r="F93" s="41" t="s">
        <v>387</v>
      </c>
      <c r="G93" s="413">
        <v>24</v>
      </c>
      <c r="H93" s="414">
        <v>312.39669421487605</v>
      </c>
      <c r="I93" s="321"/>
      <c r="J93" s="40" t="s">
        <v>3</v>
      </c>
      <c r="K93" s="36" t="s">
        <v>3</v>
      </c>
      <c r="L93" s="37"/>
      <c r="M93" s="35">
        <v>99</v>
      </c>
      <c r="N93" s="136">
        <v>6</v>
      </c>
      <c r="O93" s="35">
        <v>19</v>
      </c>
      <c r="P93" s="136">
        <v>6.7</v>
      </c>
      <c r="Q93" s="37">
        <v>19</v>
      </c>
      <c r="R93" s="136">
        <v>6.2</v>
      </c>
      <c r="S93" s="37"/>
      <c r="T93" s="35">
        <v>0</v>
      </c>
      <c r="U93" s="136">
        <v>10.4</v>
      </c>
      <c r="V93" s="35">
        <v>0</v>
      </c>
      <c r="W93" s="136">
        <v>5.2</v>
      </c>
      <c r="X93" s="35">
        <v>0</v>
      </c>
      <c r="Y93" s="149">
        <v>2</v>
      </c>
      <c r="Z93" s="35">
        <v>0</v>
      </c>
      <c r="AA93" s="136">
        <v>2</v>
      </c>
      <c r="AB93" s="37">
        <v>0</v>
      </c>
      <c r="AC93" s="136">
        <v>2</v>
      </c>
      <c r="AD93" s="37"/>
      <c r="AE93" s="40">
        <v>41</v>
      </c>
      <c r="AF93" s="65"/>
      <c r="AG93" s="35">
        <v>0</v>
      </c>
      <c r="AH93" s="36">
        <v>0</v>
      </c>
      <c r="AI93" s="37"/>
      <c r="AJ93" s="35">
        <v>110</v>
      </c>
      <c r="AK93" s="36">
        <v>144</v>
      </c>
      <c r="AL93" s="35">
        <v>173</v>
      </c>
      <c r="AM93" s="36">
        <v>160.80000000000001</v>
      </c>
      <c r="AN93" s="35">
        <v>185</v>
      </c>
      <c r="AO93" s="36">
        <v>148.80000000000001</v>
      </c>
      <c r="AP93" s="37"/>
      <c r="AQ93" s="35">
        <v>103</v>
      </c>
      <c r="AR93" s="36">
        <v>249.60000000000002</v>
      </c>
      <c r="AS93" s="35">
        <v>228</v>
      </c>
      <c r="AT93" s="36">
        <v>124.80000000000001</v>
      </c>
      <c r="AU93" s="35">
        <v>305</v>
      </c>
      <c r="AV93" s="36">
        <v>48</v>
      </c>
      <c r="AW93" s="35">
        <v>305</v>
      </c>
      <c r="AX93" s="36">
        <v>48</v>
      </c>
      <c r="AY93" s="35">
        <v>305</v>
      </c>
      <c r="AZ93" s="36">
        <v>48</v>
      </c>
      <c r="BB93" s="40">
        <v>0</v>
      </c>
      <c r="BC93" s="65"/>
      <c r="BD93" s="35">
        <v>0</v>
      </c>
      <c r="BE93" s="36">
        <v>0</v>
      </c>
      <c r="BF93" s="37"/>
      <c r="BG93" s="415">
        <v>80</v>
      </c>
      <c r="BH93" s="353">
        <v>-1.7000000000000002</v>
      </c>
      <c r="BI93" s="415">
        <v>0</v>
      </c>
      <c r="BJ93" s="353">
        <v>0</v>
      </c>
      <c r="BK93" s="415">
        <v>0</v>
      </c>
      <c r="BL93" s="353">
        <v>0</v>
      </c>
      <c r="BM93" s="416"/>
      <c r="BN93" s="415">
        <v>0</v>
      </c>
      <c r="BO93" s="353">
        <v>0.59999999999999964</v>
      </c>
      <c r="BP93" s="415">
        <v>0</v>
      </c>
      <c r="BQ93" s="353">
        <v>2.1</v>
      </c>
      <c r="BR93" s="415">
        <v>0</v>
      </c>
      <c r="BS93" s="353">
        <v>-1.1000000000000001</v>
      </c>
      <c r="BT93" s="415">
        <v>0</v>
      </c>
      <c r="BU93" s="353">
        <v>0</v>
      </c>
      <c r="BV93" s="415">
        <v>0</v>
      </c>
      <c r="BW93" s="353">
        <v>0</v>
      </c>
      <c r="BY93" s="80"/>
      <c r="BZ93" s="65"/>
      <c r="CA93" s="40" t="s">
        <v>3</v>
      </c>
      <c r="CB93" s="65"/>
      <c r="CC93" s="40">
        <v>-69.39669421487605</v>
      </c>
      <c r="CD93" s="40">
        <v>-132.59669421487604</v>
      </c>
      <c r="CE93" s="40">
        <v>-144.59669421487604</v>
      </c>
      <c r="CF93" s="65"/>
      <c r="CG93" s="40">
        <v>-62.796694214876027</v>
      </c>
      <c r="CH93" s="40">
        <v>-187.59669421487604</v>
      </c>
      <c r="CI93" s="40">
        <v>-264.39669421487605</v>
      </c>
      <c r="CJ93" s="40">
        <v>-264.39669421487605</v>
      </c>
      <c r="CK93" s="40">
        <v>-264.39669421487605</v>
      </c>
    </row>
    <row r="94" spans="1:89" s="2" customFormat="1">
      <c r="A94" s="196" t="s">
        <v>853</v>
      </c>
      <c r="B94" s="211" t="s">
        <v>110</v>
      </c>
      <c r="C94" s="211" t="s">
        <v>643</v>
      </c>
      <c r="D94" s="41">
        <v>353</v>
      </c>
      <c r="E94" s="41">
        <v>3.25</v>
      </c>
      <c r="F94" s="22" t="s">
        <v>387</v>
      </c>
      <c r="G94" s="40">
        <v>30</v>
      </c>
      <c r="H94" s="388">
        <v>312.39669421487605</v>
      </c>
      <c r="I94" s="321"/>
      <c r="J94" s="40" t="s">
        <v>3</v>
      </c>
      <c r="K94" s="36" t="s">
        <v>3</v>
      </c>
      <c r="L94" s="37"/>
      <c r="M94" s="35">
        <v>99</v>
      </c>
      <c r="N94" s="136">
        <v>4.8000000000000007</v>
      </c>
      <c r="O94" s="35">
        <v>19</v>
      </c>
      <c r="P94" s="136">
        <v>5.4</v>
      </c>
      <c r="Q94" s="37">
        <v>19</v>
      </c>
      <c r="R94" s="136">
        <v>5</v>
      </c>
      <c r="S94" s="37"/>
      <c r="T94" s="35">
        <v>0</v>
      </c>
      <c r="U94" s="136">
        <v>8.4</v>
      </c>
      <c r="V94" s="35">
        <v>0</v>
      </c>
      <c r="W94" s="136">
        <v>4.2</v>
      </c>
      <c r="X94" s="35">
        <v>0</v>
      </c>
      <c r="Y94" s="149">
        <v>1.6</v>
      </c>
      <c r="Z94" s="35">
        <v>0</v>
      </c>
      <c r="AA94" s="136">
        <v>1.6</v>
      </c>
      <c r="AB94" s="37">
        <v>0</v>
      </c>
      <c r="AC94" s="136">
        <v>1.6</v>
      </c>
      <c r="AD94" s="37"/>
      <c r="AE94" s="40">
        <v>41</v>
      </c>
      <c r="AF94" s="65"/>
      <c r="AG94" s="35">
        <v>0</v>
      </c>
      <c r="AH94" s="36">
        <v>0</v>
      </c>
      <c r="AI94" s="37"/>
      <c r="AJ94" s="35">
        <v>110</v>
      </c>
      <c r="AK94" s="36">
        <v>144.00000000000003</v>
      </c>
      <c r="AL94" s="35">
        <v>172</v>
      </c>
      <c r="AM94" s="36">
        <v>162</v>
      </c>
      <c r="AN94" s="37">
        <v>184</v>
      </c>
      <c r="AO94" s="36">
        <v>150</v>
      </c>
      <c r="AP94" s="37"/>
      <c r="AQ94" s="35">
        <v>101</v>
      </c>
      <c r="AR94" s="36">
        <v>252</v>
      </c>
      <c r="AS94" s="35">
        <v>227</v>
      </c>
      <c r="AT94" s="36">
        <v>126</v>
      </c>
      <c r="AU94" s="37">
        <v>305</v>
      </c>
      <c r="AV94" s="36">
        <v>48</v>
      </c>
      <c r="AW94" s="37">
        <v>305</v>
      </c>
      <c r="AX94" s="36">
        <v>48</v>
      </c>
      <c r="AY94" s="37">
        <v>305</v>
      </c>
      <c r="AZ94" s="36">
        <v>48</v>
      </c>
      <c r="BB94" s="40">
        <v>0</v>
      </c>
      <c r="BC94" s="65"/>
      <c r="BD94" s="35">
        <v>0</v>
      </c>
      <c r="BE94" s="36">
        <v>0</v>
      </c>
      <c r="BF94" s="37"/>
      <c r="BG94" s="415">
        <v>80</v>
      </c>
      <c r="BH94" s="353">
        <v>-1.3999999999999995</v>
      </c>
      <c r="BI94" s="415">
        <v>0</v>
      </c>
      <c r="BJ94" s="353">
        <v>0</v>
      </c>
      <c r="BK94" s="415">
        <v>0</v>
      </c>
      <c r="BL94" s="353">
        <v>0</v>
      </c>
      <c r="BM94" s="416"/>
      <c r="BN94" s="415">
        <v>0</v>
      </c>
      <c r="BO94" s="353">
        <v>0.5</v>
      </c>
      <c r="BP94" s="415">
        <v>0</v>
      </c>
      <c r="BQ94" s="353">
        <v>1.7000000000000002</v>
      </c>
      <c r="BR94" s="415">
        <v>0</v>
      </c>
      <c r="BS94" s="353">
        <v>-0.89999999999999991</v>
      </c>
      <c r="BT94" s="415">
        <v>0</v>
      </c>
      <c r="BU94" s="353">
        <v>0</v>
      </c>
      <c r="BV94" s="415">
        <v>0</v>
      </c>
      <c r="BW94" s="353">
        <v>0</v>
      </c>
      <c r="BY94" s="80"/>
      <c r="BZ94" s="65"/>
      <c r="CA94" s="40" t="s">
        <v>3</v>
      </c>
      <c r="CB94" s="65"/>
      <c r="CC94" s="40">
        <v>-69.396694214876021</v>
      </c>
      <c r="CD94" s="40">
        <v>-131.39669421487605</v>
      </c>
      <c r="CE94" s="40">
        <v>-143.39669421487605</v>
      </c>
      <c r="CF94" s="65"/>
      <c r="CG94" s="40">
        <v>-60.39669421487605</v>
      </c>
      <c r="CH94" s="40">
        <v>-186.39669421487605</v>
      </c>
      <c r="CI94" s="40">
        <v>-264.39669421487605</v>
      </c>
      <c r="CJ94" s="40">
        <v>-264.39669421487605</v>
      </c>
      <c r="CK94" s="40">
        <v>-264.39669421487605</v>
      </c>
    </row>
    <row r="95" spans="1:89" s="2" customFormat="1">
      <c r="A95" s="196" t="s">
        <v>1208</v>
      </c>
      <c r="B95" s="211" t="s">
        <v>110</v>
      </c>
      <c r="C95" s="434" t="s">
        <v>723</v>
      </c>
      <c r="D95" s="41">
        <v>481</v>
      </c>
      <c r="E95" s="41">
        <v>3.25</v>
      </c>
      <c r="F95" s="22" t="s">
        <v>387</v>
      </c>
      <c r="G95" s="22">
        <v>24</v>
      </c>
      <c r="H95" s="388">
        <v>448</v>
      </c>
      <c r="I95" s="321"/>
      <c r="J95" s="40" t="s">
        <v>3</v>
      </c>
      <c r="K95" s="36" t="s">
        <v>3</v>
      </c>
      <c r="L95" s="37"/>
      <c r="M95" s="35">
        <v>0</v>
      </c>
      <c r="N95" s="136">
        <v>16.8</v>
      </c>
      <c r="O95" s="35">
        <v>0</v>
      </c>
      <c r="P95" s="136">
        <v>16.8</v>
      </c>
      <c r="Q95" s="37">
        <v>0</v>
      </c>
      <c r="R95" s="136">
        <v>16.8</v>
      </c>
      <c r="S95" s="37"/>
      <c r="T95" s="35">
        <v>0</v>
      </c>
      <c r="U95" s="136">
        <v>16.8</v>
      </c>
      <c r="V95" s="35">
        <v>0</v>
      </c>
      <c r="W95" s="136">
        <v>16</v>
      </c>
      <c r="X95" s="35">
        <v>0</v>
      </c>
      <c r="Y95" s="149">
        <v>4</v>
      </c>
      <c r="Z95" s="35">
        <v>0</v>
      </c>
      <c r="AA95" s="136">
        <v>4</v>
      </c>
      <c r="AB95" s="37">
        <v>0</v>
      </c>
      <c r="AC95" s="136">
        <v>4</v>
      </c>
      <c r="AD95" s="37"/>
      <c r="AE95" s="40">
        <v>481</v>
      </c>
      <c r="AF95" s="65"/>
      <c r="AG95" s="35">
        <v>0</v>
      </c>
      <c r="AH95" s="36">
        <v>0</v>
      </c>
      <c r="AI95" s="37"/>
      <c r="AJ95" s="35">
        <v>78</v>
      </c>
      <c r="AK95" s="36">
        <v>403.20000000000005</v>
      </c>
      <c r="AL95" s="35">
        <v>78</v>
      </c>
      <c r="AM95" s="36">
        <v>403.20000000000005</v>
      </c>
      <c r="AN95" s="35">
        <v>78</v>
      </c>
      <c r="AO95" s="36">
        <v>403.20000000000005</v>
      </c>
      <c r="AP95" s="37"/>
      <c r="AQ95" s="35">
        <v>78</v>
      </c>
      <c r="AR95" s="36">
        <v>403.20000000000005</v>
      </c>
      <c r="AS95" s="35">
        <v>97</v>
      </c>
      <c r="AT95" s="36">
        <v>384</v>
      </c>
      <c r="AU95" s="35">
        <v>385</v>
      </c>
      <c r="AV95" s="36">
        <v>96</v>
      </c>
      <c r="AW95" s="35">
        <v>385</v>
      </c>
      <c r="AX95" s="36">
        <v>96</v>
      </c>
      <c r="AY95" s="35">
        <v>385</v>
      </c>
      <c r="AZ95" s="36">
        <v>96</v>
      </c>
      <c r="BB95" s="40">
        <v>0</v>
      </c>
      <c r="BC95" s="65"/>
      <c r="BD95" s="35">
        <v>0</v>
      </c>
      <c r="BE95" s="36">
        <v>0</v>
      </c>
      <c r="BF95" s="37"/>
      <c r="BG95" s="415">
        <v>0</v>
      </c>
      <c r="BH95" s="353">
        <v>0</v>
      </c>
      <c r="BI95" s="415">
        <v>0</v>
      </c>
      <c r="BJ95" s="353">
        <v>0</v>
      </c>
      <c r="BK95" s="415">
        <v>0</v>
      </c>
      <c r="BL95" s="353">
        <v>0</v>
      </c>
      <c r="BM95" s="416"/>
      <c r="BN95" s="415">
        <v>0</v>
      </c>
      <c r="BO95" s="353">
        <v>0</v>
      </c>
      <c r="BP95" s="415">
        <v>0</v>
      </c>
      <c r="BQ95" s="353">
        <v>0</v>
      </c>
      <c r="BR95" s="415">
        <v>0</v>
      </c>
      <c r="BS95" s="353">
        <v>0</v>
      </c>
      <c r="BT95" s="415">
        <v>0</v>
      </c>
      <c r="BU95" s="353">
        <v>0</v>
      </c>
      <c r="BV95" s="415">
        <v>0</v>
      </c>
      <c r="BW95" s="353">
        <v>0</v>
      </c>
      <c r="BY95" s="80"/>
      <c r="BZ95" s="65"/>
      <c r="CA95" s="40" t="s">
        <v>3</v>
      </c>
      <c r="CB95" s="65"/>
      <c r="CC95" s="40">
        <v>403.20000000000005</v>
      </c>
      <c r="CD95" s="40">
        <v>403.20000000000005</v>
      </c>
      <c r="CE95" s="40">
        <v>403.20000000000005</v>
      </c>
      <c r="CF95" s="65"/>
      <c r="CG95" s="40">
        <v>403.20000000000005</v>
      </c>
      <c r="CH95" s="40">
        <v>384</v>
      </c>
      <c r="CI95" s="40">
        <v>96</v>
      </c>
      <c r="CJ95" s="40">
        <v>96</v>
      </c>
      <c r="CK95" s="40">
        <v>96</v>
      </c>
    </row>
    <row r="96" spans="1:89" s="2" customFormat="1">
      <c r="A96" s="196" t="s">
        <v>1209</v>
      </c>
      <c r="B96" s="211" t="s">
        <v>110</v>
      </c>
      <c r="C96" s="434" t="s">
        <v>723</v>
      </c>
      <c r="D96" s="41">
        <v>481</v>
      </c>
      <c r="E96" s="41">
        <v>3.25</v>
      </c>
      <c r="F96" s="41" t="s">
        <v>387</v>
      </c>
      <c r="G96" s="41">
        <v>30</v>
      </c>
      <c r="H96" s="414">
        <v>448</v>
      </c>
      <c r="I96" s="321"/>
      <c r="J96" s="40" t="s">
        <v>3</v>
      </c>
      <c r="K96" s="36" t="s">
        <v>3</v>
      </c>
      <c r="L96" s="37"/>
      <c r="M96" s="35">
        <v>0</v>
      </c>
      <c r="N96" s="136">
        <v>13.5</v>
      </c>
      <c r="O96" s="35">
        <v>0</v>
      </c>
      <c r="P96" s="136">
        <v>13.5</v>
      </c>
      <c r="Q96" s="37">
        <v>0</v>
      </c>
      <c r="R96" s="136">
        <v>13.5</v>
      </c>
      <c r="S96" s="37"/>
      <c r="T96" s="35">
        <v>0</v>
      </c>
      <c r="U96" s="136">
        <v>13.5</v>
      </c>
      <c r="V96" s="35">
        <v>0</v>
      </c>
      <c r="W96" s="136">
        <v>12.8</v>
      </c>
      <c r="X96" s="35">
        <v>0</v>
      </c>
      <c r="Y96" s="149">
        <v>3.2</v>
      </c>
      <c r="Z96" s="35">
        <v>0</v>
      </c>
      <c r="AA96" s="136">
        <v>3.2</v>
      </c>
      <c r="AB96" s="37">
        <v>0</v>
      </c>
      <c r="AC96" s="136">
        <v>3.2</v>
      </c>
      <c r="AD96" s="37"/>
      <c r="AE96" s="40">
        <v>481</v>
      </c>
      <c r="AF96" s="65"/>
      <c r="AG96" s="35">
        <v>0</v>
      </c>
      <c r="AH96" s="36">
        <v>0</v>
      </c>
      <c r="AI96" s="37"/>
      <c r="AJ96" s="35">
        <v>76</v>
      </c>
      <c r="AK96" s="36">
        <v>405</v>
      </c>
      <c r="AL96" s="35">
        <v>76</v>
      </c>
      <c r="AM96" s="36">
        <v>405</v>
      </c>
      <c r="AN96" s="37">
        <v>76</v>
      </c>
      <c r="AO96" s="36">
        <v>405</v>
      </c>
      <c r="AP96" s="37"/>
      <c r="AQ96" s="35">
        <v>76</v>
      </c>
      <c r="AR96" s="36">
        <v>405</v>
      </c>
      <c r="AS96" s="35">
        <v>97</v>
      </c>
      <c r="AT96" s="36">
        <v>384</v>
      </c>
      <c r="AU96" s="37">
        <v>385</v>
      </c>
      <c r="AV96" s="36">
        <v>96</v>
      </c>
      <c r="AW96" s="37">
        <v>385</v>
      </c>
      <c r="AX96" s="36">
        <v>96</v>
      </c>
      <c r="AY96" s="37">
        <v>385</v>
      </c>
      <c r="AZ96" s="36">
        <v>96</v>
      </c>
      <c r="BB96" s="40">
        <v>0</v>
      </c>
      <c r="BC96" s="65"/>
      <c r="BD96" s="35">
        <v>0</v>
      </c>
      <c r="BE96" s="36">
        <v>0</v>
      </c>
      <c r="BF96" s="37"/>
      <c r="BG96" s="415">
        <v>0</v>
      </c>
      <c r="BH96" s="353">
        <v>0</v>
      </c>
      <c r="BI96" s="415">
        <v>0</v>
      </c>
      <c r="BJ96" s="353">
        <v>0</v>
      </c>
      <c r="BK96" s="415">
        <v>0</v>
      </c>
      <c r="BL96" s="353">
        <v>0</v>
      </c>
      <c r="BM96" s="416"/>
      <c r="BN96" s="415">
        <v>0</v>
      </c>
      <c r="BO96" s="353">
        <v>0</v>
      </c>
      <c r="BP96" s="415">
        <v>0</v>
      </c>
      <c r="BQ96" s="353">
        <v>0</v>
      </c>
      <c r="BR96" s="415">
        <v>0</v>
      </c>
      <c r="BS96" s="353">
        <v>0</v>
      </c>
      <c r="BT96" s="415">
        <v>0</v>
      </c>
      <c r="BU96" s="353">
        <v>0</v>
      </c>
      <c r="BV96" s="415">
        <v>0</v>
      </c>
      <c r="BW96" s="353">
        <v>0</v>
      </c>
      <c r="BY96" s="80"/>
      <c r="BZ96" s="65"/>
      <c r="CA96" s="40" t="s">
        <v>3</v>
      </c>
      <c r="CB96" s="65"/>
      <c r="CC96" s="40">
        <v>405</v>
      </c>
      <c r="CD96" s="40">
        <v>405</v>
      </c>
      <c r="CE96" s="40">
        <v>405</v>
      </c>
      <c r="CF96" s="65"/>
      <c r="CG96" s="40">
        <v>405</v>
      </c>
      <c r="CH96" s="40">
        <v>384</v>
      </c>
      <c r="CI96" s="40">
        <v>96</v>
      </c>
      <c r="CJ96" s="40">
        <v>96</v>
      </c>
      <c r="CK96" s="40">
        <v>96</v>
      </c>
    </row>
    <row r="97" spans="1:89" s="2" customFormat="1">
      <c r="A97" s="196" t="s">
        <v>854</v>
      </c>
      <c r="B97" s="211" t="s">
        <v>110</v>
      </c>
      <c r="C97" s="211" t="s">
        <v>631</v>
      </c>
      <c r="D97" s="41">
        <v>869</v>
      </c>
      <c r="E97" s="41">
        <v>3.25</v>
      </c>
      <c r="F97" s="41" t="s">
        <v>387</v>
      </c>
      <c r="G97" s="413">
        <v>24</v>
      </c>
      <c r="H97" s="414">
        <v>655.37190082644634</v>
      </c>
      <c r="I97" s="321"/>
      <c r="J97" s="40" t="s">
        <v>3</v>
      </c>
      <c r="K97" s="36" t="s">
        <v>3</v>
      </c>
      <c r="L97" s="37"/>
      <c r="M97" s="35">
        <v>289</v>
      </c>
      <c r="N97" s="136">
        <v>11.4</v>
      </c>
      <c r="O97" s="35">
        <v>169</v>
      </c>
      <c r="P97" s="136">
        <v>13.3</v>
      </c>
      <c r="Q97" s="37">
        <v>169</v>
      </c>
      <c r="R97" s="136">
        <v>12.4</v>
      </c>
      <c r="S97" s="37"/>
      <c r="T97" s="35">
        <v>0</v>
      </c>
      <c r="U97" s="136">
        <v>23.400000000000002</v>
      </c>
      <c r="V97" s="35">
        <v>0</v>
      </c>
      <c r="W97" s="136">
        <v>17.5</v>
      </c>
      <c r="X97" s="35">
        <v>0</v>
      </c>
      <c r="Y97" s="149">
        <v>17.5</v>
      </c>
      <c r="Z97" s="35">
        <v>0</v>
      </c>
      <c r="AA97" s="136">
        <v>17.5</v>
      </c>
      <c r="AB97" s="37">
        <v>0</v>
      </c>
      <c r="AC97" s="136">
        <v>17.5</v>
      </c>
      <c r="AD97" s="37"/>
      <c r="AE97" s="40">
        <v>214</v>
      </c>
      <c r="AF97" s="65"/>
      <c r="AG97" s="35">
        <v>0</v>
      </c>
      <c r="AH97" s="36">
        <v>0</v>
      </c>
      <c r="AI97" s="37"/>
      <c r="AJ97" s="35">
        <v>306</v>
      </c>
      <c r="AK97" s="36">
        <v>273.60000000000002</v>
      </c>
      <c r="AL97" s="35">
        <v>381</v>
      </c>
      <c r="AM97" s="36">
        <v>319.20000000000005</v>
      </c>
      <c r="AN97" s="35">
        <v>402</v>
      </c>
      <c r="AO97" s="36">
        <v>297.60000000000002</v>
      </c>
      <c r="AP97" s="37"/>
      <c r="AQ97" s="35">
        <v>307</v>
      </c>
      <c r="AR97" s="36">
        <v>561.6</v>
      </c>
      <c r="AS97" s="35">
        <v>449</v>
      </c>
      <c r="AT97" s="36">
        <v>420</v>
      </c>
      <c r="AU97" s="35">
        <v>449</v>
      </c>
      <c r="AV97" s="36">
        <v>420</v>
      </c>
      <c r="AW97" s="35">
        <v>449</v>
      </c>
      <c r="AX97" s="36">
        <v>420</v>
      </c>
      <c r="AY97" s="35">
        <v>449</v>
      </c>
      <c r="AZ97" s="36">
        <v>420</v>
      </c>
      <c r="BB97" s="40">
        <v>0</v>
      </c>
      <c r="BC97" s="65"/>
      <c r="BD97" s="35">
        <v>0</v>
      </c>
      <c r="BE97" s="36">
        <v>0</v>
      </c>
      <c r="BF97" s="37"/>
      <c r="BG97" s="415">
        <v>100</v>
      </c>
      <c r="BH97" s="353">
        <v>-4.5999999999999996</v>
      </c>
      <c r="BI97" s="415">
        <v>-20</v>
      </c>
      <c r="BJ97" s="353">
        <v>-1.5999999999999996</v>
      </c>
      <c r="BK97" s="415">
        <v>-20</v>
      </c>
      <c r="BL97" s="353">
        <v>-1.7000000000000011</v>
      </c>
      <c r="BM97" s="416"/>
      <c r="BN97" s="415">
        <v>0</v>
      </c>
      <c r="BO97" s="353">
        <v>-2.0999999999999979</v>
      </c>
      <c r="BP97" s="415">
        <v>0</v>
      </c>
      <c r="BQ97" s="353">
        <v>2</v>
      </c>
      <c r="BR97" s="415">
        <v>0</v>
      </c>
      <c r="BS97" s="353">
        <v>2</v>
      </c>
      <c r="BT97" s="415">
        <v>0</v>
      </c>
      <c r="BU97" s="353">
        <v>0</v>
      </c>
      <c r="BV97" s="415">
        <v>0</v>
      </c>
      <c r="BW97" s="353">
        <v>0</v>
      </c>
      <c r="BY97" s="80"/>
      <c r="BZ97" s="65"/>
      <c r="CA97" s="40" t="s">
        <v>3</v>
      </c>
      <c r="CB97" s="65"/>
      <c r="CC97" s="40">
        <v>-92.771900826446313</v>
      </c>
      <c r="CD97" s="40">
        <v>-167.17190082644629</v>
      </c>
      <c r="CE97" s="40">
        <v>-188.77190082644631</v>
      </c>
      <c r="CF97" s="65"/>
      <c r="CG97" s="40">
        <v>-93.771900826446313</v>
      </c>
      <c r="CH97" s="40">
        <v>-235.37190082644634</v>
      </c>
      <c r="CI97" s="40">
        <v>-235.37190082644634</v>
      </c>
      <c r="CJ97" s="40">
        <v>-235.37190082644634</v>
      </c>
      <c r="CK97" s="40">
        <v>-235.37190082644634</v>
      </c>
    </row>
    <row r="98" spans="1:89" s="2" customFormat="1">
      <c r="A98" s="196" t="s">
        <v>855</v>
      </c>
      <c r="B98" s="211" t="s">
        <v>110</v>
      </c>
      <c r="C98" s="211" t="s">
        <v>631</v>
      </c>
      <c r="D98" s="41">
        <v>869</v>
      </c>
      <c r="E98" s="41">
        <v>3.25</v>
      </c>
      <c r="F98" s="22" t="s">
        <v>387</v>
      </c>
      <c r="G98" s="40">
        <v>30</v>
      </c>
      <c r="H98" s="388">
        <v>655.37190082644634</v>
      </c>
      <c r="I98" s="321"/>
      <c r="J98" s="40" t="s">
        <v>3</v>
      </c>
      <c r="K98" s="36" t="s">
        <v>3</v>
      </c>
      <c r="L98" s="37"/>
      <c r="M98" s="35">
        <v>289</v>
      </c>
      <c r="N98" s="136">
        <v>9.2000000000000011</v>
      </c>
      <c r="O98" s="35">
        <v>169</v>
      </c>
      <c r="P98" s="136">
        <v>10.700000000000001</v>
      </c>
      <c r="Q98" s="37">
        <v>169</v>
      </c>
      <c r="R98" s="136">
        <v>10</v>
      </c>
      <c r="S98" s="37"/>
      <c r="T98" s="35">
        <v>0</v>
      </c>
      <c r="U98" s="136">
        <v>18.8</v>
      </c>
      <c r="V98" s="35">
        <v>0</v>
      </c>
      <c r="W98" s="136">
        <v>14</v>
      </c>
      <c r="X98" s="35">
        <v>0</v>
      </c>
      <c r="Y98" s="149">
        <v>14</v>
      </c>
      <c r="Z98" s="35">
        <v>0</v>
      </c>
      <c r="AA98" s="136">
        <v>14</v>
      </c>
      <c r="AB98" s="37">
        <v>0</v>
      </c>
      <c r="AC98" s="136">
        <v>14</v>
      </c>
      <c r="AD98" s="37"/>
      <c r="AE98" s="40">
        <v>214</v>
      </c>
      <c r="AF98" s="65"/>
      <c r="AG98" s="35">
        <v>0</v>
      </c>
      <c r="AH98" s="36">
        <v>0</v>
      </c>
      <c r="AI98" s="37"/>
      <c r="AJ98" s="35">
        <v>304</v>
      </c>
      <c r="AK98" s="36">
        <v>276.00000000000006</v>
      </c>
      <c r="AL98" s="35">
        <v>379</v>
      </c>
      <c r="AM98" s="36">
        <v>321.00000000000006</v>
      </c>
      <c r="AN98" s="37">
        <v>400</v>
      </c>
      <c r="AO98" s="36">
        <v>300</v>
      </c>
      <c r="AP98" s="37"/>
      <c r="AQ98" s="35">
        <v>305</v>
      </c>
      <c r="AR98" s="36">
        <v>564</v>
      </c>
      <c r="AS98" s="35">
        <v>449</v>
      </c>
      <c r="AT98" s="36">
        <v>420</v>
      </c>
      <c r="AU98" s="37">
        <v>449</v>
      </c>
      <c r="AV98" s="36">
        <v>420</v>
      </c>
      <c r="AW98" s="37">
        <v>449</v>
      </c>
      <c r="AX98" s="36">
        <v>420</v>
      </c>
      <c r="AY98" s="37">
        <v>449</v>
      </c>
      <c r="AZ98" s="36">
        <v>420</v>
      </c>
      <c r="BB98" s="40">
        <v>0</v>
      </c>
      <c r="BC98" s="65"/>
      <c r="BD98" s="35">
        <v>0</v>
      </c>
      <c r="BE98" s="36">
        <v>0</v>
      </c>
      <c r="BF98" s="37"/>
      <c r="BG98" s="415">
        <v>100</v>
      </c>
      <c r="BH98" s="353">
        <v>-3.5999999999999996</v>
      </c>
      <c r="BI98" s="415">
        <v>-20</v>
      </c>
      <c r="BJ98" s="353">
        <v>-1.2999999999999989</v>
      </c>
      <c r="BK98" s="415">
        <v>-20</v>
      </c>
      <c r="BL98" s="353">
        <v>-1.3000000000000007</v>
      </c>
      <c r="BM98" s="416"/>
      <c r="BN98" s="415">
        <v>0</v>
      </c>
      <c r="BO98" s="353">
        <v>-1.6000000000000014</v>
      </c>
      <c r="BP98" s="415">
        <v>0</v>
      </c>
      <c r="BQ98" s="353">
        <v>1.5999999999999996</v>
      </c>
      <c r="BR98" s="415">
        <v>0</v>
      </c>
      <c r="BS98" s="353">
        <v>1.5999999999999996</v>
      </c>
      <c r="BT98" s="415">
        <v>0</v>
      </c>
      <c r="BU98" s="353">
        <v>0</v>
      </c>
      <c r="BV98" s="415">
        <v>0</v>
      </c>
      <c r="BW98" s="353">
        <v>0</v>
      </c>
      <c r="BY98" s="80"/>
      <c r="BZ98" s="65"/>
      <c r="CA98" s="40" t="s">
        <v>3</v>
      </c>
      <c r="CB98" s="65"/>
      <c r="CC98" s="40">
        <v>-90.371900826446335</v>
      </c>
      <c r="CD98" s="40">
        <v>-165.37190082644628</v>
      </c>
      <c r="CE98" s="40">
        <v>-186.37190082644634</v>
      </c>
      <c r="CF98" s="65"/>
      <c r="CG98" s="40">
        <v>-91.371900826446335</v>
      </c>
      <c r="CH98" s="40">
        <v>-235.37190082644634</v>
      </c>
      <c r="CI98" s="40">
        <v>-235.37190082644634</v>
      </c>
      <c r="CJ98" s="40">
        <v>-235.37190082644634</v>
      </c>
      <c r="CK98" s="40">
        <v>-235.37190082644634</v>
      </c>
    </row>
    <row r="99" spans="1:89" s="2" customFormat="1">
      <c r="A99" s="196" t="s">
        <v>856</v>
      </c>
      <c r="B99" s="211" t="s">
        <v>667</v>
      </c>
      <c r="C99" s="211" t="s">
        <v>688</v>
      </c>
      <c r="D99" s="41">
        <v>160</v>
      </c>
      <c r="E99" s="41">
        <v>3.25</v>
      </c>
      <c r="F99" s="41" t="s">
        <v>387</v>
      </c>
      <c r="G99" s="413">
        <v>24</v>
      </c>
      <c r="H99" s="414">
        <v>88.429752066115711</v>
      </c>
      <c r="I99" s="321"/>
      <c r="J99" s="40" t="s">
        <v>3</v>
      </c>
      <c r="K99" s="36" t="s">
        <v>3</v>
      </c>
      <c r="L99" s="37"/>
      <c r="M99" s="35">
        <v>0</v>
      </c>
      <c r="N99" s="136">
        <v>3.1</v>
      </c>
      <c r="O99" s="35">
        <v>0</v>
      </c>
      <c r="P99" s="136">
        <v>0.30000000000000004</v>
      </c>
      <c r="Q99" s="37">
        <v>0</v>
      </c>
      <c r="R99" s="136">
        <v>0.30000000000000004</v>
      </c>
      <c r="S99" s="37"/>
      <c r="T99" s="35">
        <v>0</v>
      </c>
      <c r="U99" s="136">
        <v>3.4000000000000004</v>
      </c>
      <c r="V99" s="35">
        <v>0</v>
      </c>
      <c r="W99" s="136">
        <v>0</v>
      </c>
      <c r="X99" s="35">
        <v>0</v>
      </c>
      <c r="Y99" s="149">
        <v>0</v>
      </c>
      <c r="Z99" s="35">
        <v>0</v>
      </c>
      <c r="AA99" s="136">
        <v>0</v>
      </c>
      <c r="AB99" s="37">
        <v>0</v>
      </c>
      <c r="AC99" s="136">
        <v>0</v>
      </c>
      <c r="AD99" s="37"/>
      <c r="AE99" s="40">
        <v>72</v>
      </c>
      <c r="AF99" s="65"/>
      <c r="AG99" s="35">
        <v>0</v>
      </c>
      <c r="AH99" s="36">
        <v>0</v>
      </c>
      <c r="AI99" s="37"/>
      <c r="AJ99" s="35">
        <v>86</v>
      </c>
      <c r="AK99" s="36">
        <v>74.400000000000006</v>
      </c>
      <c r="AL99" s="35">
        <v>153</v>
      </c>
      <c r="AM99" s="36">
        <v>7.2000000000000011</v>
      </c>
      <c r="AN99" s="35">
        <v>153</v>
      </c>
      <c r="AO99" s="36">
        <v>7.2000000000000011</v>
      </c>
      <c r="AP99" s="37"/>
      <c r="AQ99" s="35">
        <v>78</v>
      </c>
      <c r="AR99" s="36">
        <v>81.600000000000009</v>
      </c>
      <c r="AS99" s="35">
        <v>160</v>
      </c>
      <c r="AT99" s="36">
        <v>0</v>
      </c>
      <c r="AU99" s="35">
        <v>160</v>
      </c>
      <c r="AV99" s="36">
        <v>0</v>
      </c>
      <c r="AW99" s="35">
        <v>160</v>
      </c>
      <c r="AX99" s="36">
        <v>0</v>
      </c>
      <c r="AY99" s="35">
        <v>160</v>
      </c>
      <c r="AZ99" s="36">
        <v>0</v>
      </c>
      <c r="BB99" s="40">
        <v>0</v>
      </c>
      <c r="BC99" s="65"/>
      <c r="BD99" s="35">
        <v>0</v>
      </c>
      <c r="BE99" s="36">
        <v>0</v>
      </c>
      <c r="BF99" s="37"/>
      <c r="BG99" s="415">
        <v>0</v>
      </c>
      <c r="BH99" s="353">
        <v>0</v>
      </c>
      <c r="BI99" s="415">
        <v>0</v>
      </c>
      <c r="BJ99" s="353">
        <v>0</v>
      </c>
      <c r="BK99" s="415">
        <v>0</v>
      </c>
      <c r="BL99" s="353">
        <v>0</v>
      </c>
      <c r="BM99" s="416"/>
      <c r="BN99" s="415">
        <v>0</v>
      </c>
      <c r="BO99" s="353">
        <v>0</v>
      </c>
      <c r="BP99" s="415">
        <v>0</v>
      </c>
      <c r="BQ99" s="353">
        <v>0</v>
      </c>
      <c r="BR99" s="415">
        <v>0</v>
      </c>
      <c r="BS99" s="353">
        <v>0</v>
      </c>
      <c r="BT99" s="415">
        <v>0</v>
      </c>
      <c r="BU99" s="353">
        <v>0</v>
      </c>
      <c r="BV99" s="415">
        <v>0</v>
      </c>
      <c r="BW99" s="353">
        <v>0</v>
      </c>
      <c r="BY99" s="80"/>
      <c r="BZ99" s="65"/>
      <c r="CA99" s="40" t="s">
        <v>3</v>
      </c>
      <c r="CB99" s="65"/>
      <c r="CC99" s="40">
        <v>-14.029752066115705</v>
      </c>
      <c r="CD99" s="40">
        <v>-81.229752066115708</v>
      </c>
      <c r="CE99" s="40">
        <v>-81.229752066115708</v>
      </c>
      <c r="CF99" s="65"/>
      <c r="CG99" s="40">
        <v>-6.8297520661157023</v>
      </c>
      <c r="CH99" s="40">
        <v>-88.429752066115711</v>
      </c>
      <c r="CI99" s="40">
        <v>-88.429752066115711</v>
      </c>
      <c r="CJ99" s="40">
        <v>-88.429752066115711</v>
      </c>
      <c r="CK99" s="40">
        <v>-88.429752066115711</v>
      </c>
    </row>
    <row r="100" spans="1:89" s="2" customFormat="1">
      <c r="A100" s="196" t="s">
        <v>857</v>
      </c>
      <c r="B100" s="211" t="s">
        <v>667</v>
      </c>
      <c r="C100" s="211" t="s">
        <v>689</v>
      </c>
      <c r="D100" s="41">
        <v>176</v>
      </c>
      <c r="E100" s="41">
        <v>3.25</v>
      </c>
      <c r="F100" s="22" t="s">
        <v>387</v>
      </c>
      <c r="G100" s="40">
        <v>24</v>
      </c>
      <c r="H100" s="388">
        <v>157.85123966942149</v>
      </c>
      <c r="I100" s="321"/>
      <c r="J100" s="40" t="s">
        <v>3</v>
      </c>
      <c r="K100" s="36" t="s">
        <v>3</v>
      </c>
      <c r="L100" s="37"/>
      <c r="M100" s="35">
        <v>0</v>
      </c>
      <c r="N100" s="136">
        <v>4.2</v>
      </c>
      <c r="O100" s="35">
        <v>0</v>
      </c>
      <c r="P100" s="136">
        <v>1.5</v>
      </c>
      <c r="Q100" s="37">
        <v>0</v>
      </c>
      <c r="R100" s="136">
        <v>0.5</v>
      </c>
      <c r="S100" s="37"/>
      <c r="T100" s="35">
        <v>0</v>
      </c>
      <c r="U100" s="136">
        <v>4.6000000000000005</v>
      </c>
      <c r="V100" s="35">
        <v>0</v>
      </c>
      <c r="W100" s="136">
        <v>2.1</v>
      </c>
      <c r="X100" s="35">
        <v>0</v>
      </c>
      <c r="Y100" s="149">
        <v>0.5</v>
      </c>
      <c r="Z100" s="35">
        <v>0</v>
      </c>
      <c r="AA100" s="136">
        <v>0.5</v>
      </c>
      <c r="AB100" s="37">
        <v>0</v>
      </c>
      <c r="AC100" s="136">
        <v>0.5</v>
      </c>
      <c r="AD100" s="37"/>
      <c r="AE100" s="40">
        <v>18</v>
      </c>
      <c r="AF100" s="65"/>
      <c r="AG100" s="35">
        <v>0</v>
      </c>
      <c r="AH100" s="36">
        <v>0</v>
      </c>
      <c r="AI100" s="37"/>
      <c r="AJ100" s="35">
        <v>75</v>
      </c>
      <c r="AK100" s="36">
        <v>100.80000000000001</v>
      </c>
      <c r="AL100" s="35">
        <v>140</v>
      </c>
      <c r="AM100" s="36">
        <v>36</v>
      </c>
      <c r="AN100" s="37">
        <v>164</v>
      </c>
      <c r="AO100" s="36">
        <v>12</v>
      </c>
      <c r="AP100" s="37"/>
      <c r="AQ100" s="35">
        <v>66</v>
      </c>
      <c r="AR100" s="36">
        <v>110.4</v>
      </c>
      <c r="AS100" s="35">
        <v>126</v>
      </c>
      <c r="AT100" s="36">
        <v>50.400000000000006</v>
      </c>
      <c r="AU100" s="37">
        <v>164</v>
      </c>
      <c r="AV100" s="36">
        <v>12</v>
      </c>
      <c r="AW100" s="37">
        <v>164</v>
      </c>
      <c r="AX100" s="36">
        <v>12</v>
      </c>
      <c r="AY100" s="37">
        <v>164</v>
      </c>
      <c r="AZ100" s="36">
        <v>12</v>
      </c>
      <c r="BB100" s="40">
        <v>0</v>
      </c>
      <c r="BC100" s="65"/>
      <c r="BD100" s="35">
        <v>0</v>
      </c>
      <c r="BE100" s="36">
        <v>0</v>
      </c>
      <c r="BF100" s="37"/>
      <c r="BG100" s="415">
        <v>0</v>
      </c>
      <c r="BH100" s="353">
        <v>1.7000000000000002</v>
      </c>
      <c r="BI100" s="415">
        <v>0</v>
      </c>
      <c r="BJ100" s="353">
        <v>0</v>
      </c>
      <c r="BK100" s="415">
        <v>0</v>
      </c>
      <c r="BL100" s="353">
        <v>0</v>
      </c>
      <c r="BM100" s="416"/>
      <c r="BN100" s="415">
        <v>0</v>
      </c>
      <c r="BO100" s="353">
        <v>0</v>
      </c>
      <c r="BP100" s="415">
        <v>0</v>
      </c>
      <c r="BQ100" s="353">
        <v>0</v>
      </c>
      <c r="BR100" s="415">
        <v>0</v>
      </c>
      <c r="BS100" s="353">
        <v>-1.6</v>
      </c>
      <c r="BT100" s="415">
        <v>0</v>
      </c>
      <c r="BU100" s="353">
        <v>0</v>
      </c>
      <c r="BV100" s="415">
        <v>0</v>
      </c>
      <c r="BW100" s="353">
        <v>0</v>
      </c>
      <c r="BY100" s="80"/>
      <c r="BZ100" s="65"/>
      <c r="CA100" s="40" t="s">
        <v>3</v>
      </c>
      <c r="CB100" s="65"/>
      <c r="CC100" s="40">
        <v>-57.051239669421477</v>
      </c>
      <c r="CD100" s="40">
        <v>-121.85123966942149</v>
      </c>
      <c r="CE100" s="40">
        <v>-145.85123966942149</v>
      </c>
      <c r="CF100" s="65"/>
      <c r="CG100" s="40">
        <v>-47.451239669421483</v>
      </c>
      <c r="CH100" s="40">
        <v>-107.45123966942148</v>
      </c>
      <c r="CI100" s="40">
        <v>-145.85123966942149</v>
      </c>
      <c r="CJ100" s="40">
        <v>-145.85123966942149</v>
      </c>
      <c r="CK100" s="40">
        <v>-145.85123966942149</v>
      </c>
    </row>
    <row r="101" spans="1:89" s="2" customFormat="1">
      <c r="A101" s="196" t="s">
        <v>858</v>
      </c>
      <c r="B101" s="211" t="s">
        <v>667</v>
      </c>
      <c r="C101" s="211" t="s">
        <v>689</v>
      </c>
      <c r="D101" s="41">
        <v>176</v>
      </c>
      <c r="E101" s="41">
        <v>3.25</v>
      </c>
      <c r="F101" s="41" t="s">
        <v>387</v>
      </c>
      <c r="G101" s="413">
        <v>30</v>
      </c>
      <c r="H101" s="414">
        <v>157.85123966942149</v>
      </c>
      <c r="I101" s="321"/>
      <c r="J101" s="40" t="s">
        <v>3</v>
      </c>
      <c r="K101" s="36" t="s">
        <v>3</v>
      </c>
      <c r="L101" s="37"/>
      <c r="M101" s="35">
        <v>0</v>
      </c>
      <c r="N101" s="136">
        <v>3.4000000000000004</v>
      </c>
      <c r="O101" s="35">
        <v>0</v>
      </c>
      <c r="P101" s="136">
        <v>1.2000000000000002</v>
      </c>
      <c r="Q101" s="37">
        <v>0</v>
      </c>
      <c r="R101" s="136">
        <v>0.4</v>
      </c>
      <c r="S101" s="37"/>
      <c r="T101" s="35">
        <v>0</v>
      </c>
      <c r="U101" s="136">
        <v>3.7</v>
      </c>
      <c r="V101" s="35">
        <v>0</v>
      </c>
      <c r="W101" s="136">
        <v>1.7000000000000002</v>
      </c>
      <c r="X101" s="35">
        <v>0</v>
      </c>
      <c r="Y101" s="149">
        <v>0.4</v>
      </c>
      <c r="Z101" s="35">
        <v>0</v>
      </c>
      <c r="AA101" s="136">
        <v>0.4</v>
      </c>
      <c r="AB101" s="37">
        <v>0</v>
      </c>
      <c r="AC101" s="136">
        <v>0.4</v>
      </c>
      <c r="AD101" s="37"/>
      <c r="AE101" s="40">
        <v>18</v>
      </c>
      <c r="AF101" s="65"/>
      <c r="AG101" s="35">
        <v>0</v>
      </c>
      <c r="AH101" s="36">
        <v>0</v>
      </c>
      <c r="AI101" s="37"/>
      <c r="AJ101" s="35">
        <v>74</v>
      </c>
      <c r="AK101" s="36">
        <v>102.00000000000001</v>
      </c>
      <c r="AL101" s="35">
        <v>140</v>
      </c>
      <c r="AM101" s="36">
        <v>36.000000000000007</v>
      </c>
      <c r="AN101" s="35">
        <v>164</v>
      </c>
      <c r="AO101" s="36">
        <v>12</v>
      </c>
      <c r="AP101" s="37"/>
      <c r="AQ101" s="35">
        <v>65</v>
      </c>
      <c r="AR101" s="36">
        <v>111</v>
      </c>
      <c r="AS101" s="35">
        <v>125</v>
      </c>
      <c r="AT101" s="36">
        <v>51.000000000000007</v>
      </c>
      <c r="AU101" s="35">
        <v>164</v>
      </c>
      <c r="AV101" s="36">
        <v>12</v>
      </c>
      <c r="AW101" s="35">
        <v>164</v>
      </c>
      <c r="AX101" s="36">
        <v>12</v>
      </c>
      <c r="AY101" s="35">
        <v>164</v>
      </c>
      <c r="AZ101" s="36">
        <v>12</v>
      </c>
      <c r="BB101" s="40">
        <v>0</v>
      </c>
      <c r="BC101" s="65"/>
      <c r="BD101" s="35">
        <v>0</v>
      </c>
      <c r="BE101" s="36">
        <v>0</v>
      </c>
      <c r="BF101" s="37"/>
      <c r="BG101" s="415">
        <v>0</v>
      </c>
      <c r="BH101" s="353">
        <v>1.4000000000000004</v>
      </c>
      <c r="BI101" s="415">
        <v>0</v>
      </c>
      <c r="BJ101" s="353">
        <v>0</v>
      </c>
      <c r="BK101" s="415">
        <v>0</v>
      </c>
      <c r="BL101" s="353">
        <v>0</v>
      </c>
      <c r="BM101" s="416"/>
      <c r="BN101" s="415">
        <v>0</v>
      </c>
      <c r="BO101" s="353">
        <v>0</v>
      </c>
      <c r="BP101" s="415">
        <v>0</v>
      </c>
      <c r="BQ101" s="353">
        <v>0</v>
      </c>
      <c r="BR101" s="415">
        <v>0</v>
      </c>
      <c r="BS101" s="353">
        <v>-1.3000000000000003</v>
      </c>
      <c r="BT101" s="415">
        <v>0</v>
      </c>
      <c r="BU101" s="353">
        <v>0</v>
      </c>
      <c r="BV101" s="415">
        <v>0</v>
      </c>
      <c r="BW101" s="353">
        <v>0</v>
      </c>
      <c r="BY101" s="80"/>
      <c r="BZ101" s="65"/>
      <c r="CA101" s="40" t="s">
        <v>3</v>
      </c>
      <c r="CB101" s="65"/>
      <c r="CC101" s="40">
        <v>-55.851239669421474</v>
      </c>
      <c r="CD101" s="40">
        <v>-121.85123966942149</v>
      </c>
      <c r="CE101" s="40">
        <v>-145.85123966942149</v>
      </c>
      <c r="CF101" s="65"/>
      <c r="CG101" s="40">
        <v>-46.851239669421489</v>
      </c>
      <c r="CH101" s="40">
        <v>-106.85123966942149</v>
      </c>
      <c r="CI101" s="40">
        <v>-145.85123966942149</v>
      </c>
      <c r="CJ101" s="40">
        <v>-145.85123966942149</v>
      </c>
      <c r="CK101" s="40">
        <v>-145.85123966942149</v>
      </c>
    </row>
    <row r="102" spans="1:89" s="2" customFormat="1">
      <c r="A102" s="196" t="s">
        <v>859</v>
      </c>
      <c r="B102" s="211" t="s">
        <v>667</v>
      </c>
      <c r="C102" s="211" t="s">
        <v>644</v>
      </c>
      <c r="D102" s="41">
        <v>245</v>
      </c>
      <c r="E102" s="41">
        <v>3.25</v>
      </c>
      <c r="F102" s="22" t="s">
        <v>387</v>
      </c>
      <c r="G102" s="40">
        <v>24</v>
      </c>
      <c r="H102" s="388">
        <v>203.30578512396696</v>
      </c>
      <c r="I102" s="321"/>
      <c r="J102" s="40" t="s">
        <v>3</v>
      </c>
      <c r="K102" s="36" t="s">
        <v>3</v>
      </c>
      <c r="L102" s="37"/>
      <c r="M102" s="35">
        <v>29</v>
      </c>
      <c r="N102" s="136">
        <v>6</v>
      </c>
      <c r="O102" s="35">
        <v>0</v>
      </c>
      <c r="P102" s="136">
        <v>4.2</v>
      </c>
      <c r="Q102" s="37">
        <v>0</v>
      </c>
      <c r="R102" s="136">
        <v>3.1</v>
      </c>
      <c r="S102" s="37"/>
      <c r="T102" s="35">
        <v>0</v>
      </c>
      <c r="U102" s="136">
        <v>7.3000000000000007</v>
      </c>
      <c r="V102" s="35">
        <v>0</v>
      </c>
      <c r="W102" s="136">
        <v>3.1</v>
      </c>
      <c r="X102" s="35">
        <v>0</v>
      </c>
      <c r="Y102" s="149">
        <v>2</v>
      </c>
      <c r="Z102" s="35">
        <v>0</v>
      </c>
      <c r="AA102" s="136">
        <v>2</v>
      </c>
      <c r="AB102" s="37">
        <v>0</v>
      </c>
      <c r="AC102" s="136">
        <v>2</v>
      </c>
      <c r="AD102" s="37"/>
      <c r="AE102" s="40">
        <v>42</v>
      </c>
      <c r="AF102" s="65"/>
      <c r="AG102" s="35">
        <v>0</v>
      </c>
      <c r="AH102" s="36">
        <v>0</v>
      </c>
      <c r="AI102" s="37"/>
      <c r="AJ102" s="35">
        <v>72</v>
      </c>
      <c r="AK102" s="36">
        <v>144</v>
      </c>
      <c r="AL102" s="35">
        <v>144</v>
      </c>
      <c r="AM102" s="36">
        <v>100.80000000000001</v>
      </c>
      <c r="AN102" s="37">
        <v>171</v>
      </c>
      <c r="AO102" s="36">
        <v>74.400000000000006</v>
      </c>
      <c r="AP102" s="37"/>
      <c r="AQ102" s="35">
        <v>70</v>
      </c>
      <c r="AR102" s="36">
        <v>175.20000000000002</v>
      </c>
      <c r="AS102" s="35">
        <v>171</v>
      </c>
      <c r="AT102" s="36">
        <v>74.400000000000006</v>
      </c>
      <c r="AU102" s="37">
        <v>197</v>
      </c>
      <c r="AV102" s="36">
        <v>48</v>
      </c>
      <c r="AW102" s="37">
        <v>197</v>
      </c>
      <c r="AX102" s="36">
        <v>48</v>
      </c>
      <c r="AY102" s="37">
        <v>197</v>
      </c>
      <c r="AZ102" s="36">
        <v>48</v>
      </c>
      <c r="BB102" s="40">
        <v>0</v>
      </c>
      <c r="BC102" s="65"/>
      <c r="BD102" s="35">
        <v>0</v>
      </c>
      <c r="BE102" s="36">
        <v>0</v>
      </c>
      <c r="BF102" s="37"/>
      <c r="BG102" s="415">
        <v>29</v>
      </c>
      <c r="BH102" s="353">
        <v>0.79999999999999982</v>
      </c>
      <c r="BI102" s="415">
        <v>0</v>
      </c>
      <c r="BJ102" s="353">
        <v>0</v>
      </c>
      <c r="BK102" s="415">
        <v>0</v>
      </c>
      <c r="BL102" s="353">
        <v>0</v>
      </c>
      <c r="BM102" s="416"/>
      <c r="BN102" s="415">
        <v>0</v>
      </c>
      <c r="BO102" s="353">
        <v>0</v>
      </c>
      <c r="BP102" s="415">
        <v>0</v>
      </c>
      <c r="BQ102" s="353">
        <v>0</v>
      </c>
      <c r="BR102" s="415">
        <v>0</v>
      </c>
      <c r="BS102" s="353">
        <v>-1.1000000000000001</v>
      </c>
      <c r="BT102" s="415">
        <v>0</v>
      </c>
      <c r="BU102" s="353">
        <v>0</v>
      </c>
      <c r="BV102" s="415">
        <v>0</v>
      </c>
      <c r="BW102" s="353">
        <v>0</v>
      </c>
      <c r="BY102" s="80"/>
      <c r="BZ102" s="65"/>
      <c r="CA102" s="40" t="s">
        <v>3</v>
      </c>
      <c r="CB102" s="65"/>
      <c r="CC102" s="40">
        <v>-30.305785123966956</v>
      </c>
      <c r="CD102" s="40">
        <v>-102.50578512396694</v>
      </c>
      <c r="CE102" s="40">
        <v>-128.90578512396695</v>
      </c>
      <c r="CF102" s="65"/>
      <c r="CG102" s="40">
        <v>-28.105785123966939</v>
      </c>
      <c r="CH102" s="40">
        <v>-128.90578512396695</v>
      </c>
      <c r="CI102" s="40">
        <v>-155.30578512396696</v>
      </c>
      <c r="CJ102" s="40">
        <v>-155.30578512396696</v>
      </c>
      <c r="CK102" s="40">
        <v>-155.30578512396696</v>
      </c>
    </row>
    <row r="103" spans="1:89" s="2" customFormat="1">
      <c r="A103" s="196" t="s">
        <v>860</v>
      </c>
      <c r="B103" s="211" t="s">
        <v>667</v>
      </c>
      <c r="C103" s="211" t="s">
        <v>644</v>
      </c>
      <c r="D103" s="41">
        <v>245</v>
      </c>
      <c r="E103" s="41">
        <v>3.25</v>
      </c>
      <c r="F103" s="41" t="s">
        <v>387</v>
      </c>
      <c r="G103" s="413">
        <v>30</v>
      </c>
      <c r="H103" s="414">
        <v>203.30578512396696</v>
      </c>
      <c r="I103" s="321"/>
      <c r="J103" s="40" t="s">
        <v>3</v>
      </c>
      <c r="K103" s="36" t="s">
        <v>3</v>
      </c>
      <c r="L103" s="37"/>
      <c r="M103" s="35">
        <v>29</v>
      </c>
      <c r="N103" s="136">
        <v>4.8000000000000007</v>
      </c>
      <c r="O103" s="35">
        <v>0</v>
      </c>
      <c r="P103" s="136">
        <v>3.4000000000000004</v>
      </c>
      <c r="Q103" s="37">
        <v>0</v>
      </c>
      <c r="R103" s="136">
        <v>2.5</v>
      </c>
      <c r="S103" s="37"/>
      <c r="T103" s="35">
        <v>0</v>
      </c>
      <c r="U103" s="136">
        <v>5.9</v>
      </c>
      <c r="V103" s="35">
        <v>0</v>
      </c>
      <c r="W103" s="136">
        <v>2.5</v>
      </c>
      <c r="X103" s="35">
        <v>0</v>
      </c>
      <c r="Y103" s="149">
        <v>1.6</v>
      </c>
      <c r="Z103" s="35">
        <v>0</v>
      </c>
      <c r="AA103" s="136">
        <v>1.6</v>
      </c>
      <c r="AB103" s="37">
        <v>0</v>
      </c>
      <c r="AC103" s="136">
        <v>1.6</v>
      </c>
      <c r="AD103" s="37"/>
      <c r="AE103" s="40">
        <v>42</v>
      </c>
      <c r="AF103" s="65"/>
      <c r="AG103" s="35">
        <v>0</v>
      </c>
      <c r="AH103" s="36">
        <v>0</v>
      </c>
      <c r="AI103" s="37"/>
      <c r="AJ103" s="35">
        <v>72</v>
      </c>
      <c r="AK103" s="36">
        <v>144.00000000000003</v>
      </c>
      <c r="AL103" s="35">
        <v>143</v>
      </c>
      <c r="AM103" s="36">
        <v>102.00000000000001</v>
      </c>
      <c r="AN103" s="35">
        <v>170</v>
      </c>
      <c r="AO103" s="36">
        <v>75</v>
      </c>
      <c r="AP103" s="37"/>
      <c r="AQ103" s="35">
        <v>68</v>
      </c>
      <c r="AR103" s="36">
        <v>177</v>
      </c>
      <c r="AS103" s="35">
        <v>170</v>
      </c>
      <c r="AT103" s="36">
        <v>75</v>
      </c>
      <c r="AU103" s="35">
        <v>197</v>
      </c>
      <c r="AV103" s="36">
        <v>48</v>
      </c>
      <c r="AW103" s="35">
        <v>197</v>
      </c>
      <c r="AX103" s="36">
        <v>48</v>
      </c>
      <c r="AY103" s="35">
        <v>197</v>
      </c>
      <c r="AZ103" s="36">
        <v>48</v>
      </c>
      <c r="BB103" s="40">
        <v>0</v>
      </c>
      <c r="BC103" s="65"/>
      <c r="BD103" s="35">
        <v>0</v>
      </c>
      <c r="BE103" s="36">
        <v>0</v>
      </c>
      <c r="BF103" s="37"/>
      <c r="BG103" s="415">
        <v>29</v>
      </c>
      <c r="BH103" s="353">
        <v>0.60000000000000053</v>
      </c>
      <c r="BI103" s="415">
        <v>0</v>
      </c>
      <c r="BJ103" s="353">
        <v>0</v>
      </c>
      <c r="BK103" s="415">
        <v>0</v>
      </c>
      <c r="BL103" s="353">
        <v>0</v>
      </c>
      <c r="BM103" s="416"/>
      <c r="BN103" s="415">
        <v>0</v>
      </c>
      <c r="BO103" s="353">
        <v>0</v>
      </c>
      <c r="BP103" s="415">
        <v>0</v>
      </c>
      <c r="BQ103" s="353">
        <v>0</v>
      </c>
      <c r="BR103" s="415">
        <v>0</v>
      </c>
      <c r="BS103" s="353">
        <v>-0.89999999999999991</v>
      </c>
      <c r="BT103" s="415">
        <v>0</v>
      </c>
      <c r="BU103" s="353">
        <v>0</v>
      </c>
      <c r="BV103" s="415">
        <v>0</v>
      </c>
      <c r="BW103" s="353">
        <v>0</v>
      </c>
      <c r="BY103" s="80"/>
      <c r="BZ103" s="65"/>
      <c r="CA103" s="40" t="s">
        <v>3</v>
      </c>
      <c r="CB103" s="65"/>
      <c r="CC103" s="40">
        <v>-30.305785123966928</v>
      </c>
      <c r="CD103" s="40">
        <v>-101.30578512396694</v>
      </c>
      <c r="CE103" s="40">
        <v>-128.30578512396696</v>
      </c>
      <c r="CF103" s="65"/>
      <c r="CG103" s="40">
        <v>-26.305785123966956</v>
      </c>
      <c r="CH103" s="40">
        <v>-128.30578512396696</v>
      </c>
      <c r="CI103" s="40">
        <v>-155.30578512396696</v>
      </c>
      <c r="CJ103" s="40">
        <v>-155.30578512396696</v>
      </c>
      <c r="CK103" s="40">
        <v>-155.30578512396696</v>
      </c>
    </row>
    <row r="104" spans="1:89" s="2" customFormat="1">
      <c r="A104" s="196" t="s">
        <v>861</v>
      </c>
      <c r="B104" s="211" t="s">
        <v>667</v>
      </c>
      <c r="C104" s="211" t="s">
        <v>724</v>
      </c>
      <c r="D104" s="41">
        <v>1072</v>
      </c>
      <c r="E104" s="41">
        <v>3.25</v>
      </c>
      <c r="F104" s="22" t="s">
        <v>387</v>
      </c>
      <c r="G104" s="40">
        <v>24</v>
      </c>
      <c r="H104" s="388">
        <v>951.23966942148763</v>
      </c>
      <c r="I104" s="321"/>
      <c r="J104" s="40" t="s">
        <v>3</v>
      </c>
      <c r="K104" s="36" t="s">
        <v>3</v>
      </c>
      <c r="L104" s="37"/>
      <c r="M104" s="35">
        <v>399</v>
      </c>
      <c r="N104" s="136">
        <v>16.600000000000001</v>
      </c>
      <c r="O104" s="35">
        <v>239</v>
      </c>
      <c r="P104" s="136">
        <v>20.3</v>
      </c>
      <c r="Q104" s="37">
        <v>239</v>
      </c>
      <c r="R104" s="136">
        <v>19.5</v>
      </c>
      <c r="S104" s="37"/>
      <c r="T104" s="35">
        <v>0</v>
      </c>
      <c r="U104" s="136">
        <v>33.5</v>
      </c>
      <c r="V104" s="35">
        <v>0</v>
      </c>
      <c r="W104" s="136">
        <v>29</v>
      </c>
      <c r="X104" s="35">
        <v>0</v>
      </c>
      <c r="Y104" s="149">
        <v>25</v>
      </c>
      <c r="Z104" s="35">
        <v>0</v>
      </c>
      <c r="AA104" s="136">
        <v>25</v>
      </c>
      <c r="AB104" s="37">
        <v>0</v>
      </c>
      <c r="AC104" s="136">
        <v>25</v>
      </c>
      <c r="AD104" s="37"/>
      <c r="AE104" s="40">
        <v>121</v>
      </c>
      <c r="AF104" s="65"/>
      <c r="AG104" s="35">
        <v>0</v>
      </c>
      <c r="AH104" s="36">
        <v>0</v>
      </c>
      <c r="AI104" s="37"/>
      <c r="AJ104" s="35">
        <v>275</v>
      </c>
      <c r="AK104" s="36">
        <v>398.40000000000003</v>
      </c>
      <c r="AL104" s="35">
        <v>346</v>
      </c>
      <c r="AM104" s="36">
        <v>487.20000000000005</v>
      </c>
      <c r="AN104" s="37">
        <v>365</v>
      </c>
      <c r="AO104" s="36">
        <v>468</v>
      </c>
      <c r="AP104" s="37"/>
      <c r="AQ104" s="35">
        <v>268</v>
      </c>
      <c r="AR104" s="36">
        <v>804</v>
      </c>
      <c r="AS104" s="35">
        <v>376</v>
      </c>
      <c r="AT104" s="36">
        <v>696</v>
      </c>
      <c r="AU104" s="37">
        <v>472</v>
      </c>
      <c r="AV104" s="36">
        <v>600</v>
      </c>
      <c r="AW104" s="37">
        <v>472</v>
      </c>
      <c r="AX104" s="36">
        <v>600</v>
      </c>
      <c r="AY104" s="37">
        <v>472</v>
      </c>
      <c r="AZ104" s="36">
        <v>600</v>
      </c>
      <c r="BB104" s="40">
        <v>0</v>
      </c>
      <c r="BC104" s="65"/>
      <c r="BD104" s="35">
        <v>0</v>
      </c>
      <c r="BE104" s="36">
        <v>0</v>
      </c>
      <c r="BF104" s="37"/>
      <c r="BG104" s="415">
        <v>0</v>
      </c>
      <c r="BH104" s="353">
        <v>0</v>
      </c>
      <c r="BI104" s="415">
        <v>0</v>
      </c>
      <c r="BJ104" s="353">
        <v>0</v>
      </c>
      <c r="BK104" s="415">
        <v>0</v>
      </c>
      <c r="BL104" s="353">
        <v>0</v>
      </c>
      <c r="BM104" s="416"/>
      <c r="BN104" s="415">
        <v>0</v>
      </c>
      <c r="BO104" s="353">
        <v>0</v>
      </c>
      <c r="BP104" s="415">
        <v>0</v>
      </c>
      <c r="BQ104" s="353">
        <v>0</v>
      </c>
      <c r="BR104" s="415">
        <v>0</v>
      </c>
      <c r="BS104" s="353">
        <v>0</v>
      </c>
      <c r="BT104" s="415">
        <v>0</v>
      </c>
      <c r="BU104" s="353">
        <v>0</v>
      </c>
      <c r="BV104" s="415">
        <v>0</v>
      </c>
      <c r="BW104" s="353">
        <v>0</v>
      </c>
      <c r="BY104" s="80"/>
      <c r="BZ104" s="65"/>
      <c r="CA104" s="40" t="s">
        <v>3</v>
      </c>
      <c r="CB104" s="65"/>
      <c r="CC104" s="40">
        <v>-153.83966942148754</v>
      </c>
      <c r="CD104" s="40">
        <v>-225.03966942148759</v>
      </c>
      <c r="CE104" s="40">
        <v>-244.23966942148763</v>
      </c>
      <c r="CF104" s="65"/>
      <c r="CG104" s="40">
        <v>-147.23966942148763</v>
      </c>
      <c r="CH104" s="40">
        <v>-255.23966942148763</v>
      </c>
      <c r="CI104" s="40">
        <v>-351.23966942148763</v>
      </c>
      <c r="CJ104" s="40">
        <v>-351.23966942148763</v>
      </c>
      <c r="CK104" s="40">
        <v>-351.23966942148763</v>
      </c>
    </row>
    <row r="105" spans="1:89" s="2" customFormat="1">
      <c r="A105" s="196" t="s">
        <v>862</v>
      </c>
      <c r="B105" s="211" t="s">
        <v>667</v>
      </c>
      <c r="C105" s="211" t="s">
        <v>724</v>
      </c>
      <c r="D105" s="41">
        <v>1072</v>
      </c>
      <c r="E105" s="41">
        <v>3.25</v>
      </c>
      <c r="F105" s="41" t="s">
        <v>387</v>
      </c>
      <c r="G105" s="413">
        <v>30</v>
      </c>
      <c r="H105" s="414">
        <v>951.23966942148763</v>
      </c>
      <c r="I105" s="321"/>
      <c r="J105" s="40" t="s">
        <v>3</v>
      </c>
      <c r="K105" s="36" t="s">
        <v>3</v>
      </c>
      <c r="L105" s="37"/>
      <c r="M105" s="35">
        <v>399</v>
      </c>
      <c r="N105" s="136">
        <v>13.3</v>
      </c>
      <c r="O105" s="35">
        <v>239</v>
      </c>
      <c r="P105" s="136">
        <v>16.3</v>
      </c>
      <c r="Q105" s="37">
        <v>239</v>
      </c>
      <c r="R105" s="136">
        <v>15.600000000000001</v>
      </c>
      <c r="S105" s="37"/>
      <c r="T105" s="35">
        <v>0</v>
      </c>
      <c r="U105" s="136">
        <v>26.8</v>
      </c>
      <c r="V105" s="35">
        <v>0</v>
      </c>
      <c r="W105" s="136">
        <v>23.200000000000003</v>
      </c>
      <c r="X105" s="35">
        <v>0</v>
      </c>
      <c r="Y105" s="149">
        <v>20</v>
      </c>
      <c r="Z105" s="35">
        <v>0</v>
      </c>
      <c r="AA105" s="136">
        <v>20</v>
      </c>
      <c r="AB105" s="37">
        <v>0</v>
      </c>
      <c r="AC105" s="136">
        <v>20</v>
      </c>
      <c r="AD105" s="37"/>
      <c r="AE105" s="40">
        <v>121</v>
      </c>
      <c r="AF105" s="65"/>
      <c r="AG105" s="35">
        <v>0</v>
      </c>
      <c r="AH105" s="36">
        <v>0</v>
      </c>
      <c r="AI105" s="37"/>
      <c r="AJ105" s="35">
        <v>274</v>
      </c>
      <c r="AK105" s="36">
        <v>399</v>
      </c>
      <c r="AL105" s="35">
        <v>344</v>
      </c>
      <c r="AM105" s="36">
        <v>489</v>
      </c>
      <c r="AN105" s="35">
        <v>365</v>
      </c>
      <c r="AO105" s="36">
        <v>468.00000000000006</v>
      </c>
      <c r="AP105" s="37"/>
      <c r="AQ105" s="35">
        <v>268</v>
      </c>
      <c r="AR105" s="36">
        <v>804</v>
      </c>
      <c r="AS105" s="35">
        <v>376</v>
      </c>
      <c r="AT105" s="36">
        <v>696.00000000000011</v>
      </c>
      <c r="AU105" s="35">
        <v>472</v>
      </c>
      <c r="AV105" s="36">
        <v>600</v>
      </c>
      <c r="AW105" s="35">
        <v>472</v>
      </c>
      <c r="AX105" s="36">
        <v>600</v>
      </c>
      <c r="AY105" s="35">
        <v>472</v>
      </c>
      <c r="AZ105" s="36">
        <v>600</v>
      </c>
      <c r="BB105" s="40">
        <v>0</v>
      </c>
      <c r="BC105" s="65"/>
      <c r="BD105" s="35">
        <v>0</v>
      </c>
      <c r="BE105" s="36">
        <v>0</v>
      </c>
      <c r="BF105" s="37"/>
      <c r="BG105" s="415">
        <v>0</v>
      </c>
      <c r="BH105" s="353">
        <v>0</v>
      </c>
      <c r="BI105" s="415">
        <v>0</v>
      </c>
      <c r="BJ105" s="353">
        <v>0</v>
      </c>
      <c r="BK105" s="415">
        <v>0</v>
      </c>
      <c r="BL105" s="353">
        <v>0</v>
      </c>
      <c r="BM105" s="416"/>
      <c r="BN105" s="415">
        <v>0</v>
      </c>
      <c r="BO105" s="353">
        <v>0</v>
      </c>
      <c r="BP105" s="415">
        <v>0</v>
      </c>
      <c r="BQ105" s="353">
        <v>0</v>
      </c>
      <c r="BR105" s="415">
        <v>0</v>
      </c>
      <c r="BS105" s="353">
        <v>0</v>
      </c>
      <c r="BT105" s="415">
        <v>0</v>
      </c>
      <c r="BU105" s="353">
        <v>0</v>
      </c>
      <c r="BV105" s="415">
        <v>0</v>
      </c>
      <c r="BW105" s="353">
        <v>0</v>
      </c>
      <c r="BY105" s="80"/>
      <c r="BZ105" s="65"/>
      <c r="CA105" s="40" t="s">
        <v>3</v>
      </c>
      <c r="CB105" s="65"/>
      <c r="CC105" s="40">
        <v>-153.23966942148763</v>
      </c>
      <c r="CD105" s="40">
        <v>-223.23966942148763</v>
      </c>
      <c r="CE105" s="40">
        <v>-244.23966942148763</v>
      </c>
      <c r="CF105" s="65"/>
      <c r="CG105" s="40">
        <v>-147.23966942148763</v>
      </c>
      <c r="CH105" s="40">
        <v>-255.23966942148752</v>
      </c>
      <c r="CI105" s="40">
        <v>-351.23966942148763</v>
      </c>
      <c r="CJ105" s="40">
        <v>-351.23966942148763</v>
      </c>
      <c r="CK105" s="40">
        <v>-351.23966942148763</v>
      </c>
    </row>
    <row r="106" spans="1:89" s="2" customFormat="1">
      <c r="A106" s="196" t="s">
        <v>863</v>
      </c>
      <c r="B106" s="211" t="s">
        <v>667</v>
      </c>
      <c r="C106" s="211" t="s">
        <v>632</v>
      </c>
      <c r="D106" s="41">
        <v>428</v>
      </c>
      <c r="E106" s="41">
        <v>3.25</v>
      </c>
      <c r="F106" s="22" t="s">
        <v>387</v>
      </c>
      <c r="G106" s="40">
        <v>24</v>
      </c>
      <c r="H106" s="388">
        <v>357.02479338842977</v>
      </c>
      <c r="I106" s="321"/>
      <c r="J106" s="40" t="s">
        <v>3</v>
      </c>
      <c r="K106" s="36" t="s">
        <v>3</v>
      </c>
      <c r="L106" s="37"/>
      <c r="M106" s="35">
        <v>119</v>
      </c>
      <c r="N106" s="136">
        <v>7.1000000000000005</v>
      </c>
      <c r="O106" s="35">
        <v>19</v>
      </c>
      <c r="P106" s="136">
        <v>8.3000000000000007</v>
      </c>
      <c r="Q106" s="37">
        <v>19</v>
      </c>
      <c r="R106" s="136">
        <v>7.7</v>
      </c>
      <c r="S106" s="37"/>
      <c r="T106" s="35">
        <v>0</v>
      </c>
      <c r="U106" s="136">
        <v>12.200000000000001</v>
      </c>
      <c r="V106" s="35">
        <v>0</v>
      </c>
      <c r="W106" s="136">
        <v>5.2</v>
      </c>
      <c r="X106" s="35">
        <v>0</v>
      </c>
      <c r="Y106" s="149">
        <v>5.2</v>
      </c>
      <c r="Z106" s="35">
        <v>0</v>
      </c>
      <c r="AA106" s="136">
        <v>4</v>
      </c>
      <c r="AB106" s="37">
        <v>0</v>
      </c>
      <c r="AC106" s="136">
        <v>4</v>
      </c>
      <c r="AD106" s="37"/>
      <c r="AE106" s="40">
        <v>71</v>
      </c>
      <c r="AF106" s="65"/>
      <c r="AG106" s="35">
        <v>0</v>
      </c>
      <c r="AH106" s="36">
        <v>0</v>
      </c>
      <c r="AI106" s="37"/>
      <c r="AJ106" s="35">
        <v>139</v>
      </c>
      <c r="AK106" s="36">
        <v>170.4</v>
      </c>
      <c r="AL106" s="35">
        <v>210</v>
      </c>
      <c r="AM106" s="36">
        <v>199.20000000000002</v>
      </c>
      <c r="AN106" s="37">
        <v>224</v>
      </c>
      <c r="AO106" s="36">
        <v>184.8</v>
      </c>
      <c r="AP106" s="37"/>
      <c r="AQ106" s="35">
        <v>135</v>
      </c>
      <c r="AR106" s="36">
        <v>292.8</v>
      </c>
      <c r="AS106" s="35">
        <v>303</v>
      </c>
      <c r="AT106" s="36">
        <v>124.80000000000001</v>
      </c>
      <c r="AU106" s="37">
        <v>303</v>
      </c>
      <c r="AV106" s="36">
        <v>124.80000000000001</v>
      </c>
      <c r="AW106" s="37">
        <v>332</v>
      </c>
      <c r="AX106" s="36">
        <v>96</v>
      </c>
      <c r="AY106" s="37">
        <v>332</v>
      </c>
      <c r="AZ106" s="36">
        <v>96</v>
      </c>
      <c r="BB106" s="40">
        <v>0</v>
      </c>
      <c r="BC106" s="65"/>
      <c r="BD106" s="35">
        <v>0</v>
      </c>
      <c r="BE106" s="36">
        <v>0</v>
      </c>
      <c r="BF106" s="37"/>
      <c r="BG106" s="415">
        <v>100</v>
      </c>
      <c r="BH106" s="353">
        <v>-2.2000000000000002</v>
      </c>
      <c r="BI106" s="415">
        <v>0</v>
      </c>
      <c r="BJ106" s="353">
        <v>0</v>
      </c>
      <c r="BK106" s="415">
        <v>0</v>
      </c>
      <c r="BL106" s="353">
        <v>0</v>
      </c>
      <c r="BM106" s="416"/>
      <c r="BN106" s="415">
        <v>0</v>
      </c>
      <c r="BO106" s="353">
        <v>0</v>
      </c>
      <c r="BP106" s="415">
        <v>0</v>
      </c>
      <c r="BQ106" s="353">
        <v>0</v>
      </c>
      <c r="BR106" s="415">
        <v>0</v>
      </c>
      <c r="BS106" s="353">
        <v>0</v>
      </c>
      <c r="BT106" s="415">
        <v>0</v>
      </c>
      <c r="BU106" s="353">
        <v>-1</v>
      </c>
      <c r="BV106" s="415">
        <v>0</v>
      </c>
      <c r="BW106" s="353">
        <v>-1</v>
      </c>
      <c r="BY106" s="80"/>
      <c r="BZ106" s="65"/>
      <c r="CA106" s="40" t="s">
        <v>3</v>
      </c>
      <c r="CB106" s="65"/>
      <c r="CC106" s="40">
        <v>-67.624793388429794</v>
      </c>
      <c r="CD106" s="40">
        <v>-138.82479338842975</v>
      </c>
      <c r="CE106" s="40">
        <v>-153.22479338842976</v>
      </c>
      <c r="CF106" s="65"/>
      <c r="CG106" s="40">
        <v>-64.224793388429759</v>
      </c>
      <c r="CH106" s="40">
        <v>-232.22479338842976</v>
      </c>
      <c r="CI106" s="40">
        <v>-232.22479338842976</v>
      </c>
      <c r="CJ106" s="40">
        <v>-261.02479338842977</v>
      </c>
      <c r="CK106" s="40">
        <v>-261.02479338842977</v>
      </c>
    </row>
    <row r="107" spans="1:89" s="2" customFormat="1">
      <c r="A107" s="196" t="s">
        <v>864</v>
      </c>
      <c r="B107" s="211" t="s">
        <v>667</v>
      </c>
      <c r="C107" s="211" t="s">
        <v>632</v>
      </c>
      <c r="D107" s="41">
        <v>428</v>
      </c>
      <c r="E107" s="41">
        <v>3.25</v>
      </c>
      <c r="F107" s="41" t="s">
        <v>387</v>
      </c>
      <c r="G107" s="413">
        <v>30</v>
      </c>
      <c r="H107" s="414">
        <v>357.02479338842977</v>
      </c>
      <c r="I107" s="321"/>
      <c r="J107" s="40" t="s">
        <v>3</v>
      </c>
      <c r="K107" s="36" t="s">
        <v>3</v>
      </c>
      <c r="L107" s="37"/>
      <c r="M107" s="35">
        <v>119</v>
      </c>
      <c r="N107" s="136">
        <v>5.7</v>
      </c>
      <c r="O107" s="35">
        <v>19</v>
      </c>
      <c r="P107" s="136">
        <v>6.7</v>
      </c>
      <c r="Q107" s="37">
        <v>19</v>
      </c>
      <c r="R107" s="136">
        <v>6.2</v>
      </c>
      <c r="S107" s="37"/>
      <c r="T107" s="35">
        <v>0</v>
      </c>
      <c r="U107" s="136">
        <v>9.8000000000000007</v>
      </c>
      <c r="V107" s="35">
        <v>0</v>
      </c>
      <c r="W107" s="136">
        <v>4.2</v>
      </c>
      <c r="X107" s="35">
        <v>0</v>
      </c>
      <c r="Y107" s="149">
        <v>4.2</v>
      </c>
      <c r="Z107" s="35">
        <v>0</v>
      </c>
      <c r="AA107" s="136">
        <v>3.2</v>
      </c>
      <c r="AB107" s="37">
        <v>0</v>
      </c>
      <c r="AC107" s="136">
        <v>3.2</v>
      </c>
      <c r="AD107" s="37"/>
      <c r="AE107" s="40">
        <v>71</v>
      </c>
      <c r="AF107" s="65"/>
      <c r="AG107" s="35">
        <v>0</v>
      </c>
      <c r="AH107" s="36">
        <v>0</v>
      </c>
      <c r="AI107" s="37"/>
      <c r="AJ107" s="35">
        <v>138</v>
      </c>
      <c r="AK107" s="36">
        <v>171</v>
      </c>
      <c r="AL107" s="35">
        <v>208</v>
      </c>
      <c r="AM107" s="36">
        <v>201</v>
      </c>
      <c r="AN107" s="35">
        <v>223</v>
      </c>
      <c r="AO107" s="36">
        <v>186</v>
      </c>
      <c r="AP107" s="37"/>
      <c r="AQ107" s="35">
        <v>134</v>
      </c>
      <c r="AR107" s="36">
        <v>294</v>
      </c>
      <c r="AS107" s="35">
        <v>302</v>
      </c>
      <c r="AT107" s="36">
        <v>126</v>
      </c>
      <c r="AU107" s="35">
        <v>302</v>
      </c>
      <c r="AV107" s="36">
        <v>126</v>
      </c>
      <c r="AW107" s="35">
        <v>332</v>
      </c>
      <c r="AX107" s="36">
        <v>96</v>
      </c>
      <c r="AY107" s="35">
        <v>332</v>
      </c>
      <c r="AZ107" s="36">
        <v>96</v>
      </c>
      <c r="BB107" s="40">
        <v>0</v>
      </c>
      <c r="BC107" s="65"/>
      <c r="BD107" s="35">
        <v>0</v>
      </c>
      <c r="BE107" s="36">
        <v>0</v>
      </c>
      <c r="BF107" s="37"/>
      <c r="BG107" s="415">
        <v>100</v>
      </c>
      <c r="BH107" s="353">
        <v>-1.7999999999999998</v>
      </c>
      <c r="BI107" s="415">
        <v>0</v>
      </c>
      <c r="BJ107" s="353">
        <v>0</v>
      </c>
      <c r="BK107" s="415">
        <v>0</v>
      </c>
      <c r="BL107" s="353">
        <v>0</v>
      </c>
      <c r="BM107" s="416"/>
      <c r="BN107" s="415">
        <v>0</v>
      </c>
      <c r="BO107" s="353">
        <v>0</v>
      </c>
      <c r="BP107" s="415">
        <v>0</v>
      </c>
      <c r="BQ107" s="353">
        <v>0</v>
      </c>
      <c r="BR107" s="415">
        <v>0</v>
      </c>
      <c r="BS107" s="353">
        <v>0</v>
      </c>
      <c r="BT107" s="415">
        <v>0</v>
      </c>
      <c r="BU107" s="353">
        <v>-0.79999999999999982</v>
      </c>
      <c r="BV107" s="415">
        <v>0</v>
      </c>
      <c r="BW107" s="353">
        <v>-0.79999999999999982</v>
      </c>
      <c r="BY107" s="80"/>
      <c r="BZ107" s="65"/>
      <c r="CA107" s="40" t="s">
        <v>3</v>
      </c>
      <c r="CB107" s="65"/>
      <c r="CC107" s="40">
        <v>-67.024793388429771</v>
      </c>
      <c r="CD107" s="40">
        <v>-137.02479338842977</v>
      </c>
      <c r="CE107" s="40">
        <v>-152.02479338842977</v>
      </c>
      <c r="CF107" s="65"/>
      <c r="CG107" s="40">
        <v>-63.024793388429771</v>
      </c>
      <c r="CH107" s="40">
        <v>-231.02479338842977</v>
      </c>
      <c r="CI107" s="40">
        <v>-231.02479338842977</v>
      </c>
      <c r="CJ107" s="40">
        <v>-261.02479338842977</v>
      </c>
      <c r="CK107" s="40">
        <v>-261.02479338842977</v>
      </c>
    </row>
    <row r="108" spans="1:89" s="2" customFormat="1">
      <c r="A108" s="196" t="s">
        <v>865</v>
      </c>
      <c r="B108" s="211" t="s">
        <v>667</v>
      </c>
      <c r="C108" s="211" t="s">
        <v>725</v>
      </c>
      <c r="D108" s="41">
        <v>364</v>
      </c>
      <c r="E108" s="41">
        <v>3.25</v>
      </c>
      <c r="F108" s="22" t="s">
        <v>387</v>
      </c>
      <c r="G108" s="40">
        <v>24</v>
      </c>
      <c r="H108" s="388">
        <v>308.26446280991735</v>
      </c>
      <c r="I108" s="321"/>
      <c r="J108" s="40" t="s">
        <v>3</v>
      </c>
      <c r="K108" s="36" t="s">
        <v>3</v>
      </c>
      <c r="L108" s="37"/>
      <c r="M108" s="35">
        <v>99</v>
      </c>
      <c r="N108" s="136">
        <v>5.8000000000000007</v>
      </c>
      <c r="O108" s="35">
        <v>19</v>
      </c>
      <c r="P108" s="136">
        <v>6.2</v>
      </c>
      <c r="Q108" s="37">
        <v>19</v>
      </c>
      <c r="R108" s="136">
        <v>6.2</v>
      </c>
      <c r="S108" s="37"/>
      <c r="T108" s="35">
        <v>0</v>
      </c>
      <c r="U108" s="136">
        <v>10.200000000000001</v>
      </c>
      <c r="V108" s="35">
        <v>0</v>
      </c>
      <c r="W108" s="136">
        <v>5.2</v>
      </c>
      <c r="X108" s="35">
        <v>0</v>
      </c>
      <c r="Y108" s="149">
        <v>5.2</v>
      </c>
      <c r="Z108" s="35">
        <v>0</v>
      </c>
      <c r="AA108" s="136">
        <v>3</v>
      </c>
      <c r="AB108" s="37">
        <v>0</v>
      </c>
      <c r="AC108" s="136">
        <v>3</v>
      </c>
      <c r="AD108" s="37"/>
      <c r="AE108" s="40">
        <v>56</v>
      </c>
      <c r="AF108" s="65"/>
      <c r="AG108" s="35">
        <v>0</v>
      </c>
      <c r="AH108" s="36">
        <v>0</v>
      </c>
      <c r="AI108" s="37"/>
      <c r="AJ108" s="35">
        <v>126</v>
      </c>
      <c r="AK108" s="36">
        <v>139.20000000000002</v>
      </c>
      <c r="AL108" s="35">
        <v>196</v>
      </c>
      <c r="AM108" s="36">
        <v>148.80000000000001</v>
      </c>
      <c r="AN108" s="37">
        <v>196</v>
      </c>
      <c r="AO108" s="36">
        <v>148.80000000000001</v>
      </c>
      <c r="AP108" s="37"/>
      <c r="AQ108" s="35">
        <v>119</v>
      </c>
      <c r="AR108" s="36">
        <v>244.8</v>
      </c>
      <c r="AS108" s="35">
        <v>239</v>
      </c>
      <c r="AT108" s="36">
        <v>124.80000000000001</v>
      </c>
      <c r="AU108" s="37">
        <v>239</v>
      </c>
      <c r="AV108" s="36">
        <v>124.80000000000001</v>
      </c>
      <c r="AW108" s="37">
        <v>292</v>
      </c>
      <c r="AX108" s="36">
        <v>72</v>
      </c>
      <c r="AY108" s="37">
        <v>292</v>
      </c>
      <c r="AZ108" s="36">
        <v>72</v>
      </c>
      <c r="BB108" s="40">
        <v>0</v>
      </c>
      <c r="BC108" s="65"/>
      <c r="BD108" s="35">
        <v>0</v>
      </c>
      <c r="BE108" s="36">
        <v>0</v>
      </c>
      <c r="BF108" s="37"/>
      <c r="BG108" s="415">
        <v>80</v>
      </c>
      <c r="BH108" s="353">
        <v>-1.5</v>
      </c>
      <c r="BI108" s="415">
        <v>0</v>
      </c>
      <c r="BJ108" s="353">
        <v>0.20000000000000018</v>
      </c>
      <c r="BK108" s="415">
        <v>0</v>
      </c>
      <c r="BL108" s="353">
        <v>0.20000000000000018</v>
      </c>
      <c r="BM108" s="416"/>
      <c r="BN108" s="415">
        <v>0</v>
      </c>
      <c r="BO108" s="353">
        <v>0.20000000000000107</v>
      </c>
      <c r="BP108" s="415">
        <v>0</v>
      </c>
      <c r="BQ108" s="353">
        <v>1</v>
      </c>
      <c r="BR108" s="415">
        <v>0</v>
      </c>
      <c r="BS108" s="353">
        <v>1</v>
      </c>
      <c r="BT108" s="415">
        <v>0</v>
      </c>
      <c r="BU108" s="353">
        <v>0</v>
      </c>
      <c r="BV108" s="415">
        <v>0</v>
      </c>
      <c r="BW108" s="353">
        <v>0</v>
      </c>
      <c r="BY108" s="80"/>
      <c r="BZ108" s="65"/>
      <c r="CA108" s="40" t="s">
        <v>3</v>
      </c>
      <c r="CB108" s="65"/>
      <c r="CC108" s="40">
        <v>-70.06446280991733</v>
      </c>
      <c r="CD108" s="40">
        <v>-140.46446280991734</v>
      </c>
      <c r="CE108" s="40">
        <v>-140.46446280991734</v>
      </c>
      <c r="CF108" s="65"/>
      <c r="CG108" s="40">
        <v>-63.464462809917336</v>
      </c>
      <c r="CH108" s="40">
        <v>-183.46446280991734</v>
      </c>
      <c r="CI108" s="40">
        <v>-183.46446280991734</v>
      </c>
      <c r="CJ108" s="40">
        <v>-236.26446280991735</v>
      </c>
      <c r="CK108" s="40">
        <v>-236.26446280991735</v>
      </c>
    </row>
    <row r="109" spans="1:89" s="2" customFormat="1">
      <c r="A109" s="196" t="s">
        <v>866</v>
      </c>
      <c r="B109" s="211" t="s">
        <v>667</v>
      </c>
      <c r="C109" s="211" t="s">
        <v>725</v>
      </c>
      <c r="D109" s="41">
        <v>364</v>
      </c>
      <c r="E109" s="41">
        <v>3.25</v>
      </c>
      <c r="F109" s="41" t="s">
        <v>387</v>
      </c>
      <c r="G109" s="413">
        <v>30</v>
      </c>
      <c r="H109" s="414">
        <v>308.26446280991735</v>
      </c>
      <c r="I109" s="321"/>
      <c r="J109" s="40" t="s">
        <v>3</v>
      </c>
      <c r="K109" s="36" t="s">
        <v>3</v>
      </c>
      <c r="L109" s="37"/>
      <c r="M109" s="35">
        <v>99</v>
      </c>
      <c r="N109" s="136">
        <v>4.7</v>
      </c>
      <c r="O109" s="35">
        <v>19</v>
      </c>
      <c r="P109" s="136">
        <v>5</v>
      </c>
      <c r="Q109" s="37">
        <v>19</v>
      </c>
      <c r="R109" s="136">
        <v>5</v>
      </c>
      <c r="S109" s="37"/>
      <c r="T109" s="35">
        <v>0</v>
      </c>
      <c r="U109" s="136">
        <v>8.2000000000000011</v>
      </c>
      <c r="V109" s="35">
        <v>0</v>
      </c>
      <c r="W109" s="136">
        <v>4.2</v>
      </c>
      <c r="X109" s="35">
        <v>0</v>
      </c>
      <c r="Y109" s="149">
        <v>4.2</v>
      </c>
      <c r="Z109" s="35">
        <v>0</v>
      </c>
      <c r="AA109" s="136">
        <v>2.4000000000000004</v>
      </c>
      <c r="AB109" s="37">
        <v>0</v>
      </c>
      <c r="AC109" s="136">
        <v>2.4000000000000004</v>
      </c>
      <c r="AD109" s="37"/>
      <c r="AE109" s="40">
        <v>56</v>
      </c>
      <c r="AF109" s="65"/>
      <c r="AG109" s="35">
        <v>0</v>
      </c>
      <c r="AH109" s="36">
        <v>0</v>
      </c>
      <c r="AI109" s="37"/>
      <c r="AJ109" s="35">
        <v>124</v>
      </c>
      <c r="AK109" s="36">
        <v>141</v>
      </c>
      <c r="AL109" s="35">
        <v>195</v>
      </c>
      <c r="AM109" s="36">
        <v>150</v>
      </c>
      <c r="AN109" s="35">
        <v>195</v>
      </c>
      <c r="AO109" s="36">
        <v>150</v>
      </c>
      <c r="AP109" s="37"/>
      <c r="AQ109" s="35">
        <v>118</v>
      </c>
      <c r="AR109" s="36">
        <v>246.00000000000003</v>
      </c>
      <c r="AS109" s="35">
        <v>238</v>
      </c>
      <c r="AT109" s="36">
        <v>126</v>
      </c>
      <c r="AU109" s="35">
        <v>238</v>
      </c>
      <c r="AV109" s="36">
        <v>126</v>
      </c>
      <c r="AW109" s="35">
        <v>292</v>
      </c>
      <c r="AX109" s="36">
        <v>72.000000000000014</v>
      </c>
      <c r="AY109" s="35">
        <v>292</v>
      </c>
      <c r="AZ109" s="36">
        <v>72.000000000000014</v>
      </c>
      <c r="BB109" s="40">
        <v>0</v>
      </c>
      <c r="BC109" s="65"/>
      <c r="BD109" s="35">
        <v>0</v>
      </c>
      <c r="BE109" s="36">
        <v>0</v>
      </c>
      <c r="BF109" s="37"/>
      <c r="BG109" s="415">
        <v>80</v>
      </c>
      <c r="BH109" s="353">
        <v>-1.2000000000000002</v>
      </c>
      <c r="BI109" s="415">
        <v>0</v>
      </c>
      <c r="BJ109" s="353">
        <v>0.19999999999999929</v>
      </c>
      <c r="BK109" s="415">
        <v>0</v>
      </c>
      <c r="BL109" s="353">
        <v>0.19999999999999929</v>
      </c>
      <c r="BM109" s="416"/>
      <c r="BN109" s="415">
        <v>0</v>
      </c>
      <c r="BO109" s="353">
        <v>0.20000000000000107</v>
      </c>
      <c r="BP109" s="415">
        <v>0</v>
      </c>
      <c r="BQ109" s="353">
        <v>0.79999999999999982</v>
      </c>
      <c r="BR109" s="415">
        <v>0</v>
      </c>
      <c r="BS109" s="353">
        <v>0.79999999999999982</v>
      </c>
      <c r="BT109" s="415">
        <v>0</v>
      </c>
      <c r="BU109" s="353">
        <v>4.4408920985006262E-16</v>
      </c>
      <c r="BV109" s="415">
        <v>0</v>
      </c>
      <c r="BW109" s="353">
        <v>4.4408920985006262E-16</v>
      </c>
      <c r="BY109" s="80"/>
      <c r="BZ109" s="65"/>
      <c r="CA109" s="40" t="s">
        <v>3</v>
      </c>
      <c r="CB109" s="65"/>
      <c r="CC109" s="40">
        <v>-68.264462809917347</v>
      </c>
      <c r="CD109" s="40">
        <v>-139.26446280991735</v>
      </c>
      <c r="CE109" s="40">
        <v>-139.26446280991735</v>
      </c>
      <c r="CF109" s="65"/>
      <c r="CG109" s="40">
        <v>-62.264462809917319</v>
      </c>
      <c r="CH109" s="40">
        <v>-182.26446280991735</v>
      </c>
      <c r="CI109" s="40">
        <v>-182.26446280991735</v>
      </c>
      <c r="CJ109" s="40">
        <v>-236.26446280991735</v>
      </c>
      <c r="CK109" s="40">
        <v>-236.26446280991735</v>
      </c>
    </row>
    <row r="110" spans="1:89" s="2" customFormat="1">
      <c r="A110" s="196" t="s">
        <v>867</v>
      </c>
      <c r="B110" s="211" t="s">
        <v>667</v>
      </c>
      <c r="C110" s="211" t="s">
        <v>633</v>
      </c>
      <c r="D110" s="41">
        <v>524</v>
      </c>
      <c r="E110" s="41">
        <v>3.25</v>
      </c>
      <c r="F110" s="22" t="s">
        <v>387</v>
      </c>
      <c r="G110" s="40">
        <v>24</v>
      </c>
      <c r="H110" s="388">
        <v>428.09917355371903</v>
      </c>
      <c r="I110" s="321"/>
      <c r="J110" s="40" t="s">
        <v>3</v>
      </c>
      <c r="K110" s="36" t="s">
        <v>3</v>
      </c>
      <c r="L110" s="37"/>
      <c r="M110" s="35">
        <v>139</v>
      </c>
      <c r="N110" s="136">
        <v>8.7000000000000011</v>
      </c>
      <c r="O110" s="35">
        <v>19</v>
      </c>
      <c r="P110" s="136">
        <v>11</v>
      </c>
      <c r="Q110" s="37">
        <v>19</v>
      </c>
      <c r="R110" s="136">
        <v>10.200000000000001</v>
      </c>
      <c r="S110" s="37"/>
      <c r="T110" s="35">
        <v>0</v>
      </c>
      <c r="U110" s="136">
        <v>14.9</v>
      </c>
      <c r="V110" s="35">
        <v>0</v>
      </c>
      <c r="W110" s="136">
        <v>7.3000000000000007</v>
      </c>
      <c r="X110" s="35">
        <v>0</v>
      </c>
      <c r="Y110" s="149">
        <v>7.3000000000000007</v>
      </c>
      <c r="Z110" s="35">
        <v>0</v>
      </c>
      <c r="AA110" s="136">
        <v>7.2</v>
      </c>
      <c r="AB110" s="37">
        <v>0</v>
      </c>
      <c r="AC110" s="136">
        <v>7.2</v>
      </c>
      <c r="AD110" s="37"/>
      <c r="AE110" s="40">
        <v>96</v>
      </c>
      <c r="AF110" s="65"/>
      <c r="AG110" s="35">
        <v>0</v>
      </c>
      <c r="AH110" s="36">
        <v>0</v>
      </c>
      <c r="AI110" s="37"/>
      <c r="AJ110" s="35">
        <v>176</v>
      </c>
      <c r="AK110" s="36">
        <v>208.8</v>
      </c>
      <c r="AL110" s="35">
        <v>241</v>
      </c>
      <c r="AM110" s="36">
        <v>264</v>
      </c>
      <c r="AN110" s="37">
        <v>260</v>
      </c>
      <c r="AO110" s="36">
        <v>244.8</v>
      </c>
      <c r="AP110" s="37"/>
      <c r="AQ110" s="35">
        <v>166</v>
      </c>
      <c r="AR110" s="36">
        <v>357.6</v>
      </c>
      <c r="AS110" s="35">
        <v>349</v>
      </c>
      <c r="AT110" s="36">
        <v>175.20000000000002</v>
      </c>
      <c r="AU110" s="37">
        <v>349</v>
      </c>
      <c r="AV110" s="36">
        <v>175.20000000000002</v>
      </c>
      <c r="AW110" s="37">
        <v>351</v>
      </c>
      <c r="AX110" s="36">
        <v>172.8</v>
      </c>
      <c r="AY110" s="37">
        <v>351</v>
      </c>
      <c r="AZ110" s="36">
        <v>172.8</v>
      </c>
      <c r="BB110" s="40">
        <v>0</v>
      </c>
      <c r="BC110" s="65"/>
      <c r="BD110" s="35">
        <v>0</v>
      </c>
      <c r="BE110" s="36">
        <v>0</v>
      </c>
      <c r="BF110" s="37"/>
      <c r="BG110" s="415">
        <v>120</v>
      </c>
      <c r="BH110" s="353">
        <v>-3.2999999999999989</v>
      </c>
      <c r="BI110" s="415">
        <v>0</v>
      </c>
      <c r="BJ110" s="353">
        <v>0</v>
      </c>
      <c r="BK110" s="415">
        <v>0</v>
      </c>
      <c r="BL110" s="353">
        <v>0</v>
      </c>
      <c r="BM110" s="416"/>
      <c r="BN110" s="415">
        <v>0</v>
      </c>
      <c r="BO110" s="353">
        <v>0</v>
      </c>
      <c r="BP110" s="415">
        <v>0</v>
      </c>
      <c r="BQ110" s="353">
        <v>0</v>
      </c>
      <c r="BR110" s="415">
        <v>0</v>
      </c>
      <c r="BS110" s="353">
        <v>0</v>
      </c>
      <c r="BT110" s="415">
        <v>0</v>
      </c>
      <c r="BU110" s="353">
        <v>-0.10000000000000053</v>
      </c>
      <c r="BV110" s="415">
        <v>0</v>
      </c>
      <c r="BW110" s="353">
        <v>-0.10000000000000053</v>
      </c>
      <c r="BY110" s="80"/>
      <c r="BZ110" s="65"/>
      <c r="CA110" s="40" t="s">
        <v>3</v>
      </c>
      <c r="CB110" s="65"/>
      <c r="CC110" s="40">
        <v>-80.299173553719015</v>
      </c>
      <c r="CD110" s="40">
        <v>-145.09917355371903</v>
      </c>
      <c r="CE110" s="40">
        <v>-164.29917355371902</v>
      </c>
      <c r="CF110" s="65"/>
      <c r="CG110" s="40">
        <v>-70.499173553719004</v>
      </c>
      <c r="CH110" s="40">
        <v>-252.89917355371901</v>
      </c>
      <c r="CI110" s="40">
        <v>-252.89917355371901</v>
      </c>
      <c r="CJ110" s="40">
        <v>-255.29917355371902</v>
      </c>
      <c r="CK110" s="40">
        <v>-255.29917355371902</v>
      </c>
    </row>
    <row r="111" spans="1:89" s="2" customFormat="1">
      <c r="A111" s="196" t="s">
        <v>868</v>
      </c>
      <c r="B111" s="211" t="s">
        <v>667</v>
      </c>
      <c r="C111" s="211" t="s">
        <v>633</v>
      </c>
      <c r="D111" s="41">
        <v>524</v>
      </c>
      <c r="E111" s="41">
        <v>3.25</v>
      </c>
      <c r="F111" s="41" t="s">
        <v>387</v>
      </c>
      <c r="G111" s="413">
        <v>30</v>
      </c>
      <c r="H111" s="414">
        <v>428.09917355371903</v>
      </c>
      <c r="I111" s="321"/>
      <c r="J111" s="40" t="s">
        <v>3</v>
      </c>
      <c r="K111" s="36" t="s">
        <v>3</v>
      </c>
      <c r="L111" s="37"/>
      <c r="M111" s="35">
        <v>139</v>
      </c>
      <c r="N111" s="136">
        <v>7</v>
      </c>
      <c r="O111" s="35">
        <v>19</v>
      </c>
      <c r="P111" s="136">
        <v>8.8000000000000007</v>
      </c>
      <c r="Q111" s="37">
        <v>19</v>
      </c>
      <c r="R111" s="136">
        <v>8.2000000000000011</v>
      </c>
      <c r="S111" s="37"/>
      <c r="T111" s="35">
        <v>0</v>
      </c>
      <c r="U111" s="136">
        <v>12</v>
      </c>
      <c r="V111" s="35">
        <v>0</v>
      </c>
      <c r="W111" s="136">
        <v>5.9</v>
      </c>
      <c r="X111" s="35">
        <v>0</v>
      </c>
      <c r="Y111" s="149">
        <v>5.9</v>
      </c>
      <c r="Z111" s="35">
        <v>0</v>
      </c>
      <c r="AA111" s="136">
        <v>5.8000000000000007</v>
      </c>
      <c r="AB111" s="37">
        <v>0</v>
      </c>
      <c r="AC111" s="136">
        <v>5.8000000000000007</v>
      </c>
      <c r="AD111" s="37"/>
      <c r="AE111" s="40">
        <v>96</v>
      </c>
      <c r="AF111" s="65"/>
      <c r="AG111" s="35">
        <v>0</v>
      </c>
      <c r="AH111" s="36">
        <v>0</v>
      </c>
      <c r="AI111" s="37"/>
      <c r="AJ111" s="35">
        <v>175</v>
      </c>
      <c r="AK111" s="36">
        <v>210</v>
      </c>
      <c r="AL111" s="35">
        <v>241</v>
      </c>
      <c r="AM111" s="36">
        <v>264</v>
      </c>
      <c r="AN111" s="35">
        <v>259</v>
      </c>
      <c r="AO111" s="36">
        <v>246.00000000000003</v>
      </c>
      <c r="AP111" s="37"/>
      <c r="AQ111" s="35">
        <v>164</v>
      </c>
      <c r="AR111" s="36">
        <v>360</v>
      </c>
      <c r="AS111" s="35">
        <v>347</v>
      </c>
      <c r="AT111" s="36">
        <v>177</v>
      </c>
      <c r="AU111" s="35">
        <v>347</v>
      </c>
      <c r="AV111" s="36">
        <v>177</v>
      </c>
      <c r="AW111" s="35">
        <v>350</v>
      </c>
      <c r="AX111" s="36">
        <v>174.00000000000003</v>
      </c>
      <c r="AY111" s="35">
        <v>350</v>
      </c>
      <c r="AZ111" s="36">
        <v>174.00000000000003</v>
      </c>
      <c r="BB111" s="40">
        <v>0</v>
      </c>
      <c r="BC111" s="65"/>
      <c r="BD111" s="35">
        <v>0</v>
      </c>
      <c r="BE111" s="36">
        <v>0</v>
      </c>
      <c r="BF111" s="37"/>
      <c r="BG111" s="415">
        <v>120</v>
      </c>
      <c r="BH111" s="353">
        <v>-2.6000000000000014</v>
      </c>
      <c r="BI111" s="415">
        <v>0</v>
      </c>
      <c r="BJ111" s="353">
        <v>0</v>
      </c>
      <c r="BK111" s="415">
        <v>0</v>
      </c>
      <c r="BL111" s="353">
        <v>0</v>
      </c>
      <c r="BM111" s="416"/>
      <c r="BN111" s="415">
        <v>0</v>
      </c>
      <c r="BO111" s="353">
        <v>0</v>
      </c>
      <c r="BP111" s="415">
        <v>0</v>
      </c>
      <c r="BQ111" s="353">
        <v>0</v>
      </c>
      <c r="BR111" s="415">
        <v>0</v>
      </c>
      <c r="BS111" s="353">
        <v>0</v>
      </c>
      <c r="BT111" s="415">
        <v>0</v>
      </c>
      <c r="BU111" s="353">
        <v>0</v>
      </c>
      <c r="BV111" s="415">
        <v>0</v>
      </c>
      <c r="BW111" s="353">
        <v>0</v>
      </c>
      <c r="BY111" s="80"/>
      <c r="BZ111" s="65"/>
      <c r="CA111" s="40" t="s">
        <v>3</v>
      </c>
      <c r="CB111" s="65"/>
      <c r="CC111" s="40">
        <v>-79.099173553719027</v>
      </c>
      <c r="CD111" s="40">
        <v>-145.09917355371903</v>
      </c>
      <c r="CE111" s="40">
        <v>-163.09917355371903</v>
      </c>
      <c r="CF111" s="65"/>
      <c r="CG111" s="40">
        <v>-68.099173553719027</v>
      </c>
      <c r="CH111" s="40">
        <v>-251.09917355371903</v>
      </c>
      <c r="CI111" s="40">
        <v>-251.09917355371903</v>
      </c>
      <c r="CJ111" s="40">
        <v>-254.099173553719</v>
      </c>
      <c r="CK111" s="40">
        <v>-254.099173553719</v>
      </c>
    </row>
    <row r="112" spans="1:89" s="2" customFormat="1">
      <c r="A112" s="196" t="s">
        <v>869</v>
      </c>
      <c r="B112" s="211" t="s">
        <v>60</v>
      </c>
      <c r="C112" s="211" t="s">
        <v>696</v>
      </c>
      <c r="D112" s="41">
        <v>186</v>
      </c>
      <c r="E112" s="41">
        <v>3.25</v>
      </c>
      <c r="F112" s="22" t="s">
        <v>387</v>
      </c>
      <c r="G112" s="40">
        <v>24</v>
      </c>
      <c r="H112" s="388">
        <v>166.11570247933884</v>
      </c>
      <c r="I112" s="321"/>
      <c r="J112" s="40" t="s">
        <v>3</v>
      </c>
      <c r="K112" s="36" t="s">
        <v>3</v>
      </c>
      <c r="L112" s="37"/>
      <c r="M112" s="35">
        <v>29</v>
      </c>
      <c r="N112" s="136">
        <v>4.4000000000000004</v>
      </c>
      <c r="O112" s="35">
        <v>0</v>
      </c>
      <c r="P112" s="136">
        <v>2.5</v>
      </c>
      <c r="Q112" s="37">
        <v>0</v>
      </c>
      <c r="R112" s="136">
        <v>1.7000000000000002</v>
      </c>
      <c r="S112" s="37"/>
      <c r="T112" s="35">
        <v>0</v>
      </c>
      <c r="U112" s="136">
        <v>5.6000000000000005</v>
      </c>
      <c r="V112" s="35">
        <v>0</v>
      </c>
      <c r="W112" s="136">
        <v>1.7000000000000002</v>
      </c>
      <c r="X112" s="35">
        <v>0</v>
      </c>
      <c r="Y112" s="149">
        <v>1.7000000000000002</v>
      </c>
      <c r="Z112" s="35">
        <v>0</v>
      </c>
      <c r="AA112" s="136">
        <v>0.5</v>
      </c>
      <c r="AB112" s="37">
        <v>0</v>
      </c>
      <c r="AC112" s="136">
        <v>0.5</v>
      </c>
      <c r="AD112" s="37"/>
      <c r="AE112" s="40">
        <v>20</v>
      </c>
      <c r="AF112" s="65"/>
      <c r="AG112" s="35">
        <v>0</v>
      </c>
      <c r="AH112" s="36">
        <v>0</v>
      </c>
      <c r="AI112" s="37"/>
      <c r="AJ112" s="35">
        <v>51</v>
      </c>
      <c r="AK112" s="36">
        <v>105.60000000000001</v>
      </c>
      <c r="AL112" s="35">
        <v>126</v>
      </c>
      <c r="AM112" s="36">
        <v>60</v>
      </c>
      <c r="AN112" s="37">
        <v>145</v>
      </c>
      <c r="AO112" s="36">
        <v>40.800000000000004</v>
      </c>
      <c r="AP112" s="37"/>
      <c r="AQ112" s="35">
        <v>52</v>
      </c>
      <c r="AR112" s="36">
        <v>134.4</v>
      </c>
      <c r="AS112" s="35">
        <v>145</v>
      </c>
      <c r="AT112" s="36">
        <v>40.800000000000004</v>
      </c>
      <c r="AU112" s="37">
        <v>145</v>
      </c>
      <c r="AV112" s="36">
        <v>40.800000000000004</v>
      </c>
      <c r="AW112" s="37">
        <v>174</v>
      </c>
      <c r="AX112" s="36">
        <v>12</v>
      </c>
      <c r="AY112" s="37">
        <v>174</v>
      </c>
      <c r="AZ112" s="36">
        <v>12</v>
      </c>
      <c r="BB112" s="40">
        <v>0</v>
      </c>
      <c r="BC112" s="65"/>
      <c r="BD112" s="35">
        <v>0</v>
      </c>
      <c r="BE112" s="36">
        <v>0</v>
      </c>
      <c r="BF112" s="37"/>
      <c r="BG112" s="415">
        <v>0</v>
      </c>
      <c r="BH112" s="353">
        <v>0</v>
      </c>
      <c r="BI112" s="415">
        <v>0</v>
      </c>
      <c r="BJ112" s="353">
        <v>0</v>
      </c>
      <c r="BK112" s="415">
        <v>0</v>
      </c>
      <c r="BL112" s="353">
        <v>0</v>
      </c>
      <c r="BM112" s="416"/>
      <c r="BN112" s="415">
        <v>0</v>
      </c>
      <c r="BO112" s="353">
        <v>0</v>
      </c>
      <c r="BP112" s="415">
        <v>0</v>
      </c>
      <c r="BQ112" s="353">
        <v>0</v>
      </c>
      <c r="BR112" s="415">
        <v>0</v>
      </c>
      <c r="BS112" s="353">
        <v>0</v>
      </c>
      <c r="BT112" s="415">
        <v>0</v>
      </c>
      <c r="BU112" s="353">
        <v>0.5</v>
      </c>
      <c r="BV112" s="415">
        <v>0</v>
      </c>
      <c r="BW112" s="353">
        <v>0</v>
      </c>
      <c r="BY112" s="80"/>
      <c r="BZ112" s="65"/>
      <c r="CA112" s="40" t="s">
        <v>3</v>
      </c>
      <c r="CB112" s="65"/>
      <c r="CC112" s="40">
        <v>-31.515702479338813</v>
      </c>
      <c r="CD112" s="40">
        <v>-106.11570247933884</v>
      </c>
      <c r="CE112" s="40">
        <v>-125.31570247933882</v>
      </c>
      <c r="CF112" s="65"/>
      <c r="CG112" s="40">
        <v>-31.71570247933883</v>
      </c>
      <c r="CH112" s="40">
        <v>-125.31570247933882</v>
      </c>
      <c r="CI112" s="40">
        <v>-125.31570247933882</v>
      </c>
      <c r="CJ112" s="40">
        <v>-154.11570247933884</v>
      </c>
      <c r="CK112" s="40">
        <v>-154.11570247933884</v>
      </c>
    </row>
    <row r="113" spans="1:89" s="2" customFormat="1">
      <c r="A113" s="196" t="s">
        <v>870</v>
      </c>
      <c r="B113" s="211" t="s">
        <v>60</v>
      </c>
      <c r="C113" s="211" t="s">
        <v>697</v>
      </c>
      <c r="D113" s="41">
        <v>248</v>
      </c>
      <c r="E113" s="41">
        <v>3.25</v>
      </c>
      <c r="F113" s="41" t="s">
        <v>387</v>
      </c>
      <c r="G113" s="413">
        <v>24</v>
      </c>
      <c r="H113" s="414">
        <v>190.90909090909091</v>
      </c>
      <c r="I113" s="321"/>
      <c r="J113" s="40" t="s">
        <v>3</v>
      </c>
      <c r="K113" s="36" t="s">
        <v>3</v>
      </c>
      <c r="L113" s="37"/>
      <c r="M113" s="35">
        <v>19</v>
      </c>
      <c r="N113" s="136">
        <v>4.2</v>
      </c>
      <c r="O113" s="35">
        <v>0</v>
      </c>
      <c r="P113" s="136">
        <v>1.9000000000000001</v>
      </c>
      <c r="Q113" s="37">
        <v>0</v>
      </c>
      <c r="R113" s="136">
        <v>1.1000000000000001</v>
      </c>
      <c r="S113" s="37"/>
      <c r="T113" s="35">
        <v>0</v>
      </c>
      <c r="U113" s="136">
        <v>6.9</v>
      </c>
      <c r="V113" s="35">
        <v>0</v>
      </c>
      <c r="W113" s="136">
        <v>2.1</v>
      </c>
      <c r="X113" s="35">
        <v>0</v>
      </c>
      <c r="Y113" s="149">
        <v>0.7</v>
      </c>
      <c r="Z113" s="35">
        <v>0</v>
      </c>
      <c r="AA113" s="136">
        <v>0.7</v>
      </c>
      <c r="AB113" s="37">
        <v>0</v>
      </c>
      <c r="AC113" s="136">
        <v>0.7</v>
      </c>
      <c r="AD113" s="37"/>
      <c r="AE113" s="40">
        <v>57</v>
      </c>
      <c r="AF113" s="65"/>
      <c r="AG113" s="35">
        <v>0</v>
      </c>
      <c r="AH113" s="36">
        <v>0</v>
      </c>
      <c r="AI113" s="37"/>
      <c r="AJ113" s="35">
        <v>128</v>
      </c>
      <c r="AK113" s="36">
        <v>100.80000000000001</v>
      </c>
      <c r="AL113" s="35">
        <v>202</v>
      </c>
      <c r="AM113" s="36">
        <v>45.6</v>
      </c>
      <c r="AN113" s="35">
        <v>222</v>
      </c>
      <c r="AO113" s="36">
        <v>26.400000000000002</v>
      </c>
      <c r="AP113" s="37"/>
      <c r="AQ113" s="35">
        <v>82</v>
      </c>
      <c r="AR113" s="36">
        <v>165.60000000000002</v>
      </c>
      <c r="AS113" s="35">
        <v>198</v>
      </c>
      <c r="AT113" s="36">
        <v>50.400000000000006</v>
      </c>
      <c r="AU113" s="35">
        <v>231</v>
      </c>
      <c r="AV113" s="36">
        <v>16.799999999999997</v>
      </c>
      <c r="AW113" s="35">
        <v>231</v>
      </c>
      <c r="AX113" s="36">
        <v>16.799999999999997</v>
      </c>
      <c r="AY113" s="35">
        <v>231</v>
      </c>
      <c r="AZ113" s="36">
        <v>16.799999999999997</v>
      </c>
      <c r="BB113" s="40">
        <v>0</v>
      </c>
      <c r="BC113" s="65"/>
      <c r="BD113" s="35">
        <v>0</v>
      </c>
      <c r="BE113" s="36">
        <v>0</v>
      </c>
      <c r="BF113" s="37"/>
      <c r="BG113" s="415">
        <v>0</v>
      </c>
      <c r="BH113" s="353">
        <v>0</v>
      </c>
      <c r="BI113" s="415">
        <v>0</v>
      </c>
      <c r="BJ113" s="353">
        <v>0</v>
      </c>
      <c r="BK113" s="415">
        <v>0</v>
      </c>
      <c r="BL113" s="353">
        <v>0</v>
      </c>
      <c r="BM113" s="416"/>
      <c r="BN113" s="415">
        <v>0</v>
      </c>
      <c r="BO113" s="353">
        <v>0</v>
      </c>
      <c r="BP113" s="415">
        <v>0</v>
      </c>
      <c r="BQ113" s="353">
        <v>0</v>
      </c>
      <c r="BR113" s="415">
        <v>0</v>
      </c>
      <c r="BS113" s="353">
        <v>0</v>
      </c>
      <c r="BT113" s="415">
        <v>0</v>
      </c>
      <c r="BU113" s="353">
        <v>0</v>
      </c>
      <c r="BV113" s="415">
        <v>0</v>
      </c>
      <c r="BW113" s="353">
        <v>0</v>
      </c>
      <c r="BY113" s="80"/>
      <c r="BZ113" s="65"/>
      <c r="CA113" s="40" t="s">
        <v>3</v>
      </c>
      <c r="CB113" s="65"/>
      <c r="CC113" s="40">
        <v>-71.109090909090895</v>
      </c>
      <c r="CD113" s="40">
        <v>-145.30909090909091</v>
      </c>
      <c r="CE113" s="40">
        <v>-164.5090909090909</v>
      </c>
      <c r="CF113" s="65"/>
      <c r="CG113" s="40">
        <v>-25.309090909090884</v>
      </c>
      <c r="CH113" s="40">
        <v>-140.5090909090909</v>
      </c>
      <c r="CI113" s="40">
        <v>-174.10909090909092</v>
      </c>
      <c r="CJ113" s="40">
        <v>-174.10909090909092</v>
      </c>
      <c r="CK113" s="40">
        <v>-174.10909090909092</v>
      </c>
    </row>
    <row r="114" spans="1:89" s="2" customFormat="1">
      <c r="A114" s="196" t="s">
        <v>871</v>
      </c>
      <c r="B114" s="211" t="s">
        <v>60</v>
      </c>
      <c r="C114" s="211" t="s">
        <v>697</v>
      </c>
      <c r="D114" s="41">
        <v>248</v>
      </c>
      <c r="E114" s="41">
        <v>3.25</v>
      </c>
      <c r="F114" s="22" t="s">
        <v>387</v>
      </c>
      <c r="G114" s="40">
        <v>30</v>
      </c>
      <c r="H114" s="388">
        <v>190.90909090909091</v>
      </c>
      <c r="I114" s="321"/>
      <c r="J114" s="40" t="s">
        <v>3</v>
      </c>
      <c r="K114" s="36" t="s">
        <v>3</v>
      </c>
      <c r="L114" s="37"/>
      <c r="M114" s="35">
        <v>19</v>
      </c>
      <c r="N114" s="136">
        <v>3.4000000000000004</v>
      </c>
      <c r="O114" s="35">
        <v>0</v>
      </c>
      <c r="P114" s="136">
        <v>1.6</v>
      </c>
      <c r="Q114" s="37">
        <v>0</v>
      </c>
      <c r="R114" s="136">
        <v>0.9</v>
      </c>
      <c r="S114" s="37"/>
      <c r="T114" s="35">
        <v>0</v>
      </c>
      <c r="U114" s="136">
        <v>5.6000000000000005</v>
      </c>
      <c r="V114" s="35">
        <v>0</v>
      </c>
      <c r="W114" s="136">
        <v>1.7000000000000002</v>
      </c>
      <c r="X114" s="35">
        <v>0</v>
      </c>
      <c r="Y114" s="149">
        <v>0.60000000000000009</v>
      </c>
      <c r="Z114" s="35">
        <v>0</v>
      </c>
      <c r="AA114" s="136">
        <v>0.60000000000000009</v>
      </c>
      <c r="AB114" s="37">
        <v>0</v>
      </c>
      <c r="AC114" s="136">
        <v>0.60000000000000009</v>
      </c>
      <c r="AD114" s="37"/>
      <c r="AE114" s="40">
        <v>57</v>
      </c>
      <c r="AF114" s="65"/>
      <c r="AG114" s="35">
        <v>0</v>
      </c>
      <c r="AH114" s="36">
        <v>0</v>
      </c>
      <c r="AI114" s="37"/>
      <c r="AJ114" s="35">
        <v>127</v>
      </c>
      <c r="AK114" s="36">
        <v>102.00000000000001</v>
      </c>
      <c r="AL114" s="35">
        <v>200</v>
      </c>
      <c r="AM114" s="36">
        <v>48</v>
      </c>
      <c r="AN114" s="37">
        <v>221</v>
      </c>
      <c r="AO114" s="36">
        <v>27</v>
      </c>
      <c r="AP114" s="37"/>
      <c r="AQ114" s="35">
        <v>80</v>
      </c>
      <c r="AR114" s="36">
        <v>168.00000000000003</v>
      </c>
      <c r="AS114" s="35">
        <v>197</v>
      </c>
      <c r="AT114" s="36">
        <v>51.000000000000007</v>
      </c>
      <c r="AU114" s="37">
        <v>230</v>
      </c>
      <c r="AV114" s="36">
        <v>18.000000000000004</v>
      </c>
      <c r="AW114" s="37">
        <v>230</v>
      </c>
      <c r="AX114" s="36">
        <v>18.000000000000004</v>
      </c>
      <c r="AY114" s="37">
        <v>230</v>
      </c>
      <c r="AZ114" s="36">
        <v>18.000000000000004</v>
      </c>
      <c r="BB114" s="40">
        <v>0</v>
      </c>
      <c r="BC114" s="65"/>
      <c r="BD114" s="35">
        <v>0</v>
      </c>
      <c r="BE114" s="36">
        <v>0</v>
      </c>
      <c r="BF114" s="37"/>
      <c r="BG114" s="415">
        <v>0</v>
      </c>
      <c r="BH114" s="353">
        <v>0</v>
      </c>
      <c r="BI114" s="415">
        <v>0</v>
      </c>
      <c r="BJ114" s="353">
        <v>0</v>
      </c>
      <c r="BK114" s="415">
        <v>0</v>
      </c>
      <c r="BL114" s="353">
        <v>0</v>
      </c>
      <c r="BM114" s="416"/>
      <c r="BN114" s="415">
        <v>0</v>
      </c>
      <c r="BO114" s="353">
        <v>0</v>
      </c>
      <c r="BP114" s="415">
        <v>0</v>
      </c>
      <c r="BQ114" s="353">
        <v>0</v>
      </c>
      <c r="BR114" s="415">
        <v>0</v>
      </c>
      <c r="BS114" s="353">
        <v>0</v>
      </c>
      <c r="BT114" s="415">
        <v>0</v>
      </c>
      <c r="BU114" s="353">
        <v>0.10000000000000009</v>
      </c>
      <c r="BV114" s="415">
        <v>0</v>
      </c>
      <c r="BW114" s="353">
        <v>0.10000000000000009</v>
      </c>
      <c r="BY114" s="80"/>
      <c r="BZ114" s="65"/>
      <c r="CA114" s="40" t="s">
        <v>3</v>
      </c>
      <c r="CB114" s="65"/>
      <c r="CC114" s="40">
        <v>-69.909090909090892</v>
      </c>
      <c r="CD114" s="40">
        <v>-142.90909090909091</v>
      </c>
      <c r="CE114" s="40">
        <v>-163.90909090909091</v>
      </c>
      <c r="CF114" s="65"/>
      <c r="CG114" s="40">
        <v>-22.909090909090878</v>
      </c>
      <c r="CH114" s="40">
        <v>-139.90909090909091</v>
      </c>
      <c r="CI114" s="40">
        <v>-172.90909090909091</v>
      </c>
      <c r="CJ114" s="40">
        <v>-172.90909090909091</v>
      </c>
      <c r="CK114" s="40">
        <v>-172.90909090909091</v>
      </c>
    </row>
    <row r="115" spans="1:89" s="2" customFormat="1">
      <c r="A115" s="196" t="s">
        <v>872</v>
      </c>
      <c r="B115" s="211" t="s">
        <v>60</v>
      </c>
      <c r="C115" s="211" t="s">
        <v>567</v>
      </c>
      <c r="D115" s="41">
        <v>299</v>
      </c>
      <c r="E115" s="41">
        <v>3.25</v>
      </c>
      <c r="F115" s="41" t="s">
        <v>387</v>
      </c>
      <c r="G115" s="413">
        <v>24</v>
      </c>
      <c r="H115" s="414">
        <v>278.51239669421489</v>
      </c>
      <c r="I115" s="321"/>
      <c r="J115" s="40" t="s">
        <v>3</v>
      </c>
      <c r="K115" s="36" t="s">
        <v>3</v>
      </c>
      <c r="L115" s="37"/>
      <c r="M115" s="35">
        <v>39</v>
      </c>
      <c r="N115" s="136">
        <v>7.3000000000000007</v>
      </c>
      <c r="O115" s="35">
        <v>0</v>
      </c>
      <c r="P115" s="136">
        <v>5.8000000000000007</v>
      </c>
      <c r="Q115" s="37">
        <v>0</v>
      </c>
      <c r="R115" s="136">
        <v>5</v>
      </c>
      <c r="S115" s="37"/>
      <c r="T115" s="35">
        <v>0</v>
      </c>
      <c r="U115" s="136">
        <v>8.9</v>
      </c>
      <c r="V115" s="35">
        <v>0</v>
      </c>
      <c r="W115" s="136">
        <v>4.2</v>
      </c>
      <c r="X115" s="35">
        <v>0</v>
      </c>
      <c r="Y115" s="149">
        <v>4.2</v>
      </c>
      <c r="Z115" s="35">
        <v>0</v>
      </c>
      <c r="AA115" s="136">
        <v>3</v>
      </c>
      <c r="AB115" s="37">
        <v>0</v>
      </c>
      <c r="AC115" s="136">
        <v>3</v>
      </c>
      <c r="AD115" s="37"/>
      <c r="AE115" s="40">
        <v>20</v>
      </c>
      <c r="AF115" s="65"/>
      <c r="AG115" s="35">
        <v>0</v>
      </c>
      <c r="AH115" s="36">
        <v>0</v>
      </c>
      <c r="AI115" s="37"/>
      <c r="AJ115" s="35">
        <v>85</v>
      </c>
      <c r="AK115" s="36">
        <v>175.20000000000002</v>
      </c>
      <c r="AL115" s="35">
        <v>160</v>
      </c>
      <c r="AM115" s="36">
        <v>139.20000000000002</v>
      </c>
      <c r="AN115" s="35">
        <v>179</v>
      </c>
      <c r="AO115" s="36">
        <v>120</v>
      </c>
      <c r="AP115" s="37"/>
      <c r="AQ115" s="35">
        <v>85</v>
      </c>
      <c r="AR115" s="36">
        <v>213.60000000000002</v>
      </c>
      <c r="AS115" s="35">
        <v>198</v>
      </c>
      <c r="AT115" s="36">
        <v>100.80000000000001</v>
      </c>
      <c r="AU115" s="35">
        <v>198</v>
      </c>
      <c r="AV115" s="36">
        <v>100.80000000000001</v>
      </c>
      <c r="AW115" s="35">
        <v>227</v>
      </c>
      <c r="AX115" s="36">
        <v>72</v>
      </c>
      <c r="AY115" s="35">
        <v>227</v>
      </c>
      <c r="AZ115" s="36">
        <v>72</v>
      </c>
      <c r="BB115" s="40">
        <v>0</v>
      </c>
      <c r="BC115" s="65"/>
      <c r="BD115" s="35">
        <v>0</v>
      </c>
      <c r="BE115" s="36">
        <v>0</v>
      </c>
      <c r="BF115" s="37"/>
      <c r="BG115" s="415">
        <v>39</v>
      </c>
      <c r="BH115" s="353">
        <v>0.40000000000000036</v>
      </c>
      <c r="BI115" s="415">
        <v>0</v>
      </c>
      <c r="BJ115" s="353">
        <v>0</v>
      </c>
      <c r="BK115" s="415">
        <v>0</v>
      </c>
      <c r="BL115" s="353">
        <v>0</v>
      </c>
      <c r="BM115" s="416"/>
      <c r="BN115" s="415">
        <v>0</v>
      </c>
      <c r="BO115" s="353">
        <v>0</v>
      </c>
      <c r="BP115" s="415">
        <v>0</v>
      </c>
      <c r="BQ115" s="353">
        <v>0</v>
      </c>
      <c r="BR115" s="415">
        <v>0</v>
      </c>
      <c r="BS115" s="353">
        <v>0</v>
      </c>
      <c r="BT115" s="415">
        <v>0</v>
      </c>
      <c r="BU115" s="353">
        <v>-2</v>
      </c>
      <c r="BV115" s="415">
        <v>0</v>
      </c>
      <c r="BW115" s="353">
        <v>-2</v>
      </c>
      <c r="BY115" s="80"/>
      <c r="BZ115" s="65"/>
      <c r="CA115" s="40" t="s">
        <v>3</v>
      </c>
      <c r="CB115" s="65"/>
      <c r="CC115" s="40">
        <v>-64.312396694214868</v>
      </c>
      <c r="CD115" s="40">
        <v>-139.31239669421487</v>
      </c>
      <c r="CE115" s="40">
        <v>-158.51239669421489</v>
      </c>
      <c r="CF115" s="65"/>
      <c r="CG115" s="40">
        <v>-64.912396694214863</v>
      </c>
      <c r="CH115" s="40">
        <v>-177.71239669421487</v>
      </c>
      <c r="CI115" s="40">
        <v>-177.71239669421487</v>
      </c>
      <c r="CJ115" s="40">
        <v>-206.51239669421489</v>
      </c>
      <c r="CK115" s="40">
        <v>-206.51239669421489</v>
      </c>
    </row>
    <row r="116" spans="1:89" s="2" customFormat="1">
      <c r="A116" s="196" t="s">
        <v>873</v>
      </c>
      <c r="B116" s="211" t="s">
        <v>60</v>
      </c>
      <c r="C116" s="211" t="s">
        <v>567</v>
      </c>
      <c r="D116" s="41">
        <v>299</v>
      </c>
      <c r="E116" s="41">
        <v>3.25</v>
      </c>
      <c r="F116" s="22" t="s">
        <v>387</v>
      </c>
      <c r="G116" s="40">
        <v>30</v>
      </c>
      <c r="H116" s="388">
        <v>278.51239669421489</v>
      </c>
      <c r="I116" s="321"/>
      <c r="J116" s="40" t="s">
        <v>3</v>
      </c>
      <c r="K116" s="36" t="s">
        <v>3</v>
      </c>
      <c r="L116" s="37"/>
      <c r="M116" s="35">
        <v>39</v>
      </c>
      <c r="N116" s="136">
        <v>5.9</v>
      </c>
      <c r="O116" s="35">
        <v>0</v>
      </c>
      <c r="P116" s="136">
        <v>4.7</v>
      </c>
      <c r="Q116" s="37">
        <v>0</v>
      </c>
      <c r="R116" s="136">
        <v>4</v>
      </c>
      <c r="S116" s="37"/>
      <c r="T116" s="35">
        <v>0</v>
      </c>
      <c r="U116" s="136">
        <v>7.2</v>
      </c>
      <c r="V116" s="35">
        <v>0</v>
      </c>
      <c r="W116" s="136">
        <v>3.4000000000000004</v>
      </c>
      <c r="X116" s="35">
        <v>0</v>
      </c>
      <c r="Y116" s="149">
        <v>3.4000000000000004</v>
      </c>
      <c r="Z116" s="35">
        <v>0</v>
      </c>
      <c r="AA116" s="136">
        <v>2.4000000000000004</v>
      </c>
      <c r="AB116" s="37">
        <v>0</v>
      </c>
      <c r="AC116" s="136">
        <v>2.4000000000000004</v>
      </c>
      <c r="AD116" s="37"/>
      <c r="AE116" s="40">
        <v>20</v>
      </c>
      <c r="AF116" s="65"/>
      <c r="AG116" s="35">
        <v>0</v>
      </c>
      <c r="AH116" s="36">
        <v>0</v>
      </c>
      <c r="AI116" s="37"/>
      <c r="AJ116" s="35">
        <v>83</v>
      </c>
      <c r="AK116" s="36">
        <v>177</v>
      </c>
      <c r="AL116" s="35">
        <v>158</v>
      </c>
      <c r="AM116" s="36">
        <v>141</v>
      </c>
      <c r="AN116" s="37">
        <v>179</v>
      </c>
      <c r="AO116" s="36">
        <v>120</v>
      </c>
      <c r="AP116" s="37"/>
      <c r="AQ116" s="35">
        <v>83</v>
      </c>
      <c r="AR116" s="36">
        <v>216</v>
      </c>
      <c r="AS116" s="35">
        <v>197</v>
      </c>
      <c r="AT116" s="36">
        <v>102.00000000000001</v>
      </c>
      <c r="AU116" s="37">
        <v>197</v>
      </c>
      <c r="AV116" s="36">
        <v>102.00000000000001</v>
      </c>
      <c r="AW116" s="37">
        <v>227</v>
      </c>
      <c r="AX116" s="36">
        <v>72.000000000000014</v>
      </c>
      <c r="AY116" s="37">
        <v>227</v>
      </c>
      <c r="AZ116" s="36">
        <v>72.000000000000014</v>
      </c>
      <c r="BB116" s="40">
        <v>0</v>
      </c>
      <c r="BC116" s="65"/>
      <c r="BD116" s="35">
        <v>0</v>
      </c>
      <c r="BE116" s="36">
        <v>0</v>
      </c>
      <c r="BF116" s="37"/>
      <c r="BG116" s="415">
        <v>39</v>
      </c>
      <c r="BH116" s="353">
        <v>0.29999999999999982</v>
      </c>
      <c r="BI116" s="415">
        <v>0</v>
      </c>
      <c r="BJ116" s="353">
        <v>0</v>
      </c>
      <c r="BK116" s="415">
        <v>0</v>
      </c>
      <c r="BL116" s="353">
        <v>0</v>
      </c>
      <c r="BM116" s="416"/>
      <c r="BN116" s="415">
        <v>0</v>
      </c>
      <c r="BO116" s="353">
        <v>0</v>
      </c>
      <c r="BP116" s="415">
        <v>0</v>
      </c>
      <c r="BQ116" s="353">
        <v>0</v>
      </c>
      <c r="BR116" s="415">
        <v>0</v>
      </c>
      <c r="BS116" s="353">
        <v>0</v>
      </c>
      <c r="BT116" s="415">
        <v>0</v>
      </c>
      <c r="BU116" s="353">
        <v>-1.5999999999999996</v>
      </c>
      <c r="BV116" s="415">
        <v>0</v>
      </c>
      <c r="BW116" s="353">
        <v>-1.5999999999999996</v>
      </c>
      <c r="BY116" s="80"/>
      <c r="BZ116" s="65"/>
      <c r="CA116" s="40" t="s">
        <v>3</v>
      </c>
      <c r="CB116" s="65"/>
      <c r="CC116" s="40">
        <v>-62.512396694214885</v>
      </c>
      <c r="CD116" s="40">
        <v>-137.51239669421489</v>
      </c>
      <c r="CE116" s="40">
        <v>-158.51239669421489</v>
      </c>
      <c r="CF116" s="65"/>
      <c r="CG116" s="40">
        <v>-62.512396694214885</v>
      </c>
      <c r="CH116" s="40">
        <v>-176.51239669421489</v>
      </c>
      <c r="CI116" s="40">
        <v>-176.51239669421489</v>
      </c>
      <c r="CJ116" s="40">
        <v>-206.51239669421489</v>
      </c>
      <c r="CK116" s="40">
        <v>-206.51239669421489</v>
      </c>
    </row>
    <row r="117" spans="1:89" s="2" customFormat="1">
      <c r="A117" s="196" t="s">
        <v>874</v>
      </c>
      <c r="B117" s="211" t="s">
        <v>60</v>
      </c>
      <c r="C117" s="211" t="s">
        <v>594</v>
      </c>
      <c r="D117" s="41">
        <v>358</v>
      </c>
      <c r="E117" s="41">
        <v>3.25</v>
      </c>
      <c r="F117" s="41" t="s">
        <v>387</v>
      </c>
      <c r="G117" s="413">
        <v>24</v>
      </c>
      <c r="H117" s="414">
        <v>321.48760330578511</v>
      </c>
      <c r="I117" s="321"/>
      <c r="J117" s="40" t="s">
        <v>3</v>
      </c>
      <c r="K117" s="36" t="s">
        <v>3</v>
      </c>
      <c r="L117" s="37"/>
      <c r="M117" s="35">
        <v>99</v>
      </c>
      <c r="N117" s="136">
        <v>6.2</v>
      </c>
      <c r="O117" s="35">
        <v>19</v>
      </c>
      <c r="P117" s="136">
        <v>6.9</v>
      </c>
      <c r="Q117" s="37">
        <v>19</v>
      </c>
      <c r="R117" s="136">
        <v>6</v>
      </c>
      <c r="S117" s="37"/>
      <c r="T117" s="35">
        <v>0</v>
      </c>
      <c r="U117" s="136">
        <v>10.8</v>
      </c>
      <c r="V117" s="35">
        <v>0</v>
      </c>
      <c r="W117" s="136">
        <v>5.2</v>
      </c>
      <c r="X117" s="35">
        <v>0</v>
      </c>
      <c r="Y117" s="149">
        <v>5.2</v>
      </c>
      <c r="Z117" s="35">
        <v>0</v>
      </c>
      <c r="AA117" s="136">
        <v>4</v>
      </c>
      <c r="AB117" s="37">
        <v>0</v>
      </c>
      <c r="AC117" s="136">
        <v>4</v>
      </c>
      <c r="AD117" s="37"/>
      <c r="AE117" s="40">
        <v>37</v>
      </c>
      <c r="AF117" s="65"/>
      <c r="AG117" s="35">
        <v>0</v>
      </c>
      <c r="AH117" s="36">
        <v>0</v>
      </c>
      <c r="AI117" s="37"/>
      <c r="AJ117" s="35">
        <v>110</v>
      </c>
      <c r="AK117" s="36">
        <v>148.80000000000001</v>
      </c>
      <c r="AL117" s="35">
        <v>173</v>
      </c>
      <c r="AM117" s="36">
        <v>165.60000000000002</v>
      </c>
      <c r="AN117" s="35">
        <v>195</v>
      </c>
      <c r="AO117" s="36">
        <v>144</v>
      </c>
      <c r="AP117" s="37"/>
      <c r="AQ117" s="35">
        <v>99</v>
      </c>
      <c r="AR117" s="36">
        <v>259.20000000000005</v>
      </c>
      <c r="AS117" s="35">
        <v>233</v>
      </c>
      <c r="AT117" s="36">
        <v>124.80000000000001</v>
      </c>
      <c r="AU117" s="35">
        <v>233</v>
      </c>
      <c r="AV117" s="36">
        <v>124.80000000000001</v>
      </c>
      <c r="AW117" s="35">
        <v>262</v>
      </c>
      <c r="AX117" s="36">
        <v>96</v>
      </c>
      <c r="AY117" s="35">
        <v>262</v>
      </c>
      <c r="AZ117" s="36">
        <v>96</v>
      </c>
      <c r="BB117" s="40">
        <v>0</v>
      </c>
      <c r="BC117" s="65"/>
      <c r="BD117" s="35">
        <v>0</v>
      </c>
      <c r="BE117" s="36">
        <v>0</v>
      </c>
      <c r="BF117" s="37"/>
      <c r="BG117" s="415">
        <v>80</v>
      </c>
      <c r="BH117" s="353">
        <v>-1.7000000000000002</v>
      </c>
      <c r="BI117" s="415">
        <v>0</v>
      </c>
      <c r="BJ117" s="353">
        <v>-0.79999999999999982</v>
      </c>
      <c r="BK117" s="415">
        <v>0</v>
      </c>
      <c r="BL117" s="353">
        <v>-0.90000000000000036</v>
      </c>
      <c r="BM117" s="416"/>
      <c r="BN117" s="415">
        <v>0</v>
      </c>
      <c r="BO117" s="353">
        <v>0</v>
      </c>
      <c r="BP117" s="415">
        <v>0</v>
      </c>
      <c r="BQ117" s="353">
        <v>0.39999999999999947</v>
      </c>
      <c r="BR117" s="415">
        <v>0</v>
      </c>
      <c r="BS117" s="353">
        <v>0.39999999999999947</v>
      </c>
      <c r="BT117" s="415">
        <v>0</v>
      </c>
      <c r="BU117" s="353">
        <v>-0.80000000000000071</v>
      </c>
      <c r="BV117" s="415">
        <v>0</v>
      </c>
      <c r="BW117" s="353">
        <v>-0.80000000000000071</v>
      </c>
      <c r="BY117" s="80"/>
      <c r="BZ117" s="65"/>
      <c r="CA117" s="40" t="s">
        <v>3</v>
      </c>
      <c r="CB117" s="65"/>
      <c r="CC117" s="40">
        <v>-73.687603305785103</v>
      </c>
      <c r="CD117" s="40">
        <v>-136.88760330578509</v>
      </c>
      <c r="CE117" s="40">
        <v>-158.48760330578511</v>
      </c>
      <c r="CF117" s="65"/>
      <c r="CG117" s="40">
        <v>-62.287603305785069</v>
      </c>
      <c r="CH117" s="40">
        <v>-196.6876033057851</v>
      </c>
      <c r="CI117" s="40">
        <v>-196.6876033057851</v>
      </c>
      <c r="CJ117" s="40">
        <v>-225.48760330578511</v>
      </c>
      <c r="CK117" s="40">
        <v>-225.48760330578511</v>
      </c>
    </row>
    <row r="118" spans="1:89" s="2" customFormat="1">
      <c r="A118" s="196" t="s">
        <v>875</v>
      </c>
      <c r="B118" s="211" t="s">
        <v>60</v>
      </c>
      <c r="C118" s="211" t="s">
        <v>594</v>
      </c>
      <c r="D118" s="41">
        <v>358</v>
      </c>
      <c r="E118" s="41">
        <v>3.25</v>
      </c>
      <c r="F118" s="22" t="s">
        <v>387</v>
      </c>
      <c r="G118" s="40">
        <v>30</v>
      </c>
      <c r="H118" s="388">
        <v>321.48760330578511</v>
      </c>
      <c r="I118" s="321"/>
      <c r="J118" s="40" t="s">
        <v>3</v>
      </c>
      <c r="K118" s="36" t="s">
        <v>3</v>
      </c>
      <c r="L118" s="37"/>
      <c r="M118" s="35">
        <v>99</v>
      </c>
      <c r="N118" s="136">
        <v>5</v>
      </c>
      <c r="O118" s="35">
        <v>19</v>
      </c>
      <c r="P118" s="136">
        <v>5.6000000000000005</v>
      </c>
      <c r="Q118" s="37">
        <v>19</v>
      </c>
      <c r="R118" s="136">
        <v>4.8000000000000007</v>
      </c>
      <c r="S118" s="37"/>
      <c r="T118" s="35">
        <v>0</v>
      </c>
      <c r="U118" s="136">
        <v>8.7000000000000011</v>
      </c>
      <c r="V118" s="35">
        <v>0</v>
      </c>
      <c r="W118" s="136">
        <v>4.2</v>
      </c>
      <c r="X118" s="35">
        <v>0</v>
      </c>
      <c r="Y118" s="149">
        <v>4.2</v>
      </c>
      <c r="Z118" s="35">
        <v>0</v>
      </c>
      <c r="AA118" s="136">
        <v>3.2</v>
      </c>
      <c r="AB118" s="37">
        <v>0</v>
      </c>
      <c r="AC118" s="136">
        <v>3.2</v>
      </c>
      <c r="AD118" s="37"/>
      <c r="AE118" s="40">
        <v>37</v>
      </c>
      <c r="AF118" s="65"/>
      <c r="AG118" s="35">
        <v>0</v>
      </c>
      <c r="AH118" s="36">
        <v>0</v>
      </c>
      <c r="AI118" s="37"/>
      <c r="AJ118" s="35">
        <v>109</v>
      </c>
      <c r="AK118" s="36">
        <v>150</v>
      </c>
      <c r="AL118" s="35">
        <v>171</v>
      </c>
      <c r="AM118" s="36">
        <v>168.00000000000003</v>
      </c>
      <c r="AN118" s="37">
        <v>195</v>
      </c>
      <c r="AO118" s="36">
        <v>144.00000000000003</v>
      </c>
      <c r="AP118" s="37"/>
      <c r="AQ118" s="35">
        <v>97</v>
      </c>
      <c r="AR118" s="36">
        <v>261.00000000000006</v>
      </c>
      <c r="AS118" s="35">
        <v>232</v>
      </c>
      <c r="AT118" s="36">
        <v>126</v>
      </c>
      <c r="AU118" s="37">
        <v>232</v>
      </c>
      <c r="AV118" s="36">
        <v>126</v>
      </c>
      <c r="AW118" s="37">
        <v>262</v>
      </c>
      <c r="AX118" s="36">
        <v>96</v>
      </c>
      <c r="AY118" s="37">
        <v>262</v>
      </c>
      <c r="AZ118" s="36">
        <v>96</v>
      </c>
      <c r="BB118" s="40">
        <v>0</v>
      </c>
      <c r="BC118" s="65"/>
      <c r="BD118" s="35">
        <v>0</v>
      </c>
      <c r="BE118" s="36">
        <v>0</v>
      </c>
      <c r="BF118" s="37"/>
      <c r="BG118" s="415">
        <v>80</v>
      </c>
      <c r="BH118" s="353">
        <v>-1.4000000000000004</v>
      </c>
      <c r="BI118" s="415">
        <v>0</v>
      </c>
      <c r="BJ118" s="353">
        <v>-0.59999999999999964</v>
      </c>
      <c r="BK118" s="415">
        <v>0</v>
      </c>
      <c r="BL118" s="353">
        <v>-0.79999999999999982</v>
      </c>
      <c r="BM118" s="416"/>
      <c r="BN118" s="415">
        <v>0</v>
      </c>
      <c r="BO118" s="353">
        <v>0</v>
      </c>
      <c r="BP118" s="415">
        <v>0</v>
      </c>
      <c r="BQ118" s="353">
        <v>0.29999999999999982</v>
      </c>
      <c r="BR118" s="415">
        <v>0</v>
      </c>
      <c r="BS118" s="353">
        <v>0.29999999999999982</v>
      </c>
      <c r="BT118" s="415">
        <v>0</v>
      </c>
      <c r="BU118" s="353">
        <v>-0.60000000000000009</v>
      </c>
      <c r="BV118" s="415">
        <v>0</v>
      </c>
      <c r="BW118" s="353">
        <v>-0.60000000000000009</v>
      </c>
      <c r="BY118" s="80"/>
      <c r="BZ118" s="65"/>
      <c r="CA118" s="40" t="s">
        <v>3</v>
      </c>
      <c r="CB118" s="65"/>
      <c r="CC118" s="40">
        <v>-72.487603305785115</v>
      </c>
      <c r="CD118" s="40">
        <v>-134.48760330578509</v>
      </c>
      <c r="CE118" s="40">
        <v>-158.48760330578509</v>
      </c>
      <c r="CF118" s="65"/>
      <c r="CG118" s="40">
        <v>-60.487603305785058</v>
      </c>
      <c r="CH118" s="40">
        <v>-195.48760330578511</v>
      </c>
      <c r="CI118" s="40">
        <v>-195.48760330578511</v>
      </c>
      <c r="CJ118" s="40">
        <v>-225.48760330578511</v>
      </c>
      <c r="CK118" s="40">
        <v>-225.48760330578511</v>
      </c>
    </row>
    <row r="119" spans="1:89" s="2" customFormat="1">
      <c r="A119" s="196" t="s">
        <v>876</v>
      </c>
      <c r="B119" s="211" t="s">
        <v>60</v>
      </c>
      <c r="C119" s="211" t="s">
        <v>595</v>
      </c>
      <c r="D119" s="41">
        <v>442</v>
      </c>
      <c r="E119" s="41">
        <v>3.25</v>
      </c>
      <c r="F119" s="41" t="s">
        <v>387</v>
      </c>
      <c r="G119" s="413">
        <v>24</v>
      </c>
      <c r="H119" s="414">
        <v>380.9917355371901</v>
      </c>
      <c r="I119" s="321"/>
      <c r="J119" s="40" t="s">
        <v>3</v>
      </c>
      <c r="K119" s="36" t="s">
        <v>3</v>
      </c>
      <c r="L119" s="37"/>
      <c r="M119" s="35">
        <v>129</v>
      </c>
      <c r="N119" s="136">
        <v>7.9</v>
      </c>
      <c r="O119" s="35">
        <v>19</v>
      </c>
      <c r="P119" s="136">
        <v>9.3000000000000007</v>
      </c>
      <c r="Q119" s="37">
        <v>19</v>
      </c>
      <c r="R119" s="136">
        <v>8.7000000000000011</v>
      </c>
      <c r="S119" s="37"/>
      <c r="T119" s="35">
        <v>0</v>
      </c>
      <c r="U119" s="136">
        <v>13.3</v>
      </c>
      <c r="V119" s="35">
        <v>0</v>
      </c>
      <c r="W119" s="136">
        <v>7.3000000000000007</v>
      </c>
      <c r="X119" s="35">
        <v>0</v>
      </c>
      <c r="Y119" s="149">
        <v>7.3000000000000007</v>
      </c>
      <c r="Z119" s="35">
        <v>0</v>
      </c>
      <c r="AA119" s="136">
        <v>7.2</v>
      </c>
      <c r="AB119" s="37">
        <v>0</v>
      </c>
      <c r="AC119" s="136">
        <v>7.2</v>
      </c>
      <c r="AD119" s="37"/>
      <c r="AE119" s="40">
        <v>61</v>
      </c>
      <c r="AF119" s="65"/>
      <c r="AG119" s="35">
        <v>0</v>
      </c>
      <c r="AH119" s="36">
        <v>0</v>
      </c>
      <c r="AI119" s="37"/>
      <c r="AJ119" s="35">
        <v>123</v>
      </c>
      <c r="AK119" s="36">
        <v>189.60000000000002</v>
      </c>
      <c r="AL119" s="35">
        <v>200</v>
      </c>
      <c r="AM119" s="36">
        <v>223.20000000000002</v>
      </c>
      <c r="AN119" s="35">
        <v>214</v>
      </c>
      <c r="AO119" s="36">
        <v>208.8</v>
      </c>
      <c r="AP119" s="37"/>
      <c r="AQ119" s="35">
        <v>123</v>
      </c>
      <c r="AR119" s="36">
        <v>319.20000000000005</v>
      </c>
      <c r="AS119" s="35">
        <v>267</v>
      </c>
      <c r="AT119" s="36">
        <v>175.20000000000002</v>
      </c>
      <c r="AU119" s="35">
        <v>267</v>
      </c>
      <c r="AV119" s="36">
        <v>175.20000000000002</v>
      </c>
      <c r="AW119" s="35">
        <v>269</v>
      </c>
      <c r="AX119" s="36">
        <v>172.8</v>
      </c>
      <c r="AY119" s="35">
        <v>269</v>
      </c>
      <c r="AZ119" s="36">
        <v>172.8</v>
      </c>
      <c r="BB119" s="40">
        <v>0</v>
      </c>
      <c r="BC119" s="65"/>
      <c r="BD119" s="35">
        <v>0</v>
      </c>
      <c r="BE119" s="36">
        <v>0</v>
      </c>
      <c r="BF119" s="37"/>
      <c r="BG119" s="415">
        <v>110</v>
      </c>
      <c r="BH119" s="353">
        <v>-3.9000000000000004</v>
      </c>
      <c r="BI119" s="415">
        <v>0</v>
      </c>
      <c r="BJ119" s="353">
        <v>-1.5</v>
      </c>
      <c r="BK119" s="415">
        <v>0</v>
      </c>
      <c r="BL119" s="353">
        <v>-1.2999999999999989</v>
      </c>
      <c r="BM119" s="416"/>
      <c r="BN119" s="415">
        <v>0</v>
      </c>
      <c r="BO119" s="353">
        <v>-1.1999999999999993</v>
      </c>
      <c r="BP119" s="415">
        <v>0</v>
      </c>
      <c r="BQ119" s="353">
        <v>0</v>
      </c>
      <c r="BR119" s="415">
        <v>0</v>
      </c>
      <c r="BS119" s="353">
        <v>0</v>
      </c>
      <c r="BT119" s="415">
        <v>0</v>
      </c>
      <c r="BU119" s="353">
        <v>-0.10000000000000053</v>
      </c>
      <c r="BV119" s="415">
        <v>0</v>
      </c>
      <c r="BW119" s="353">
        <v>-0.10000000000000053</v>
      </c>
      <c r="BY119" s="80"/>
      <c r="BZ119" s="65"/>
      <c r="CA119" s="40" t="s">
        <v>3</v>
      </c>
      <c r="CB119" s="65"/>
      <c r="CC119" s="40">
        <v>-62.391735537190073</v>
      </c>
      <c r="CD119" s="40">
        <v>-138.79173553719008</v>
      </c>
      <c r="CE119" s="40">
        <v>-153.19173553719008</v>
      </c>
      <c r="CF119" s="65"/>
      <c r="CG119" s="40">
        <v>-61.79173553719005</v>
      </c>
      <c r="CH119" s="40">
        <v>-205.79173553719008</v>
      </c>
      <c r="CI119" s="40">
        <v>-205.79173553719008</v>
      </c>
      <c r="CJ119" s="40">
        <v>-208.19173553719008</v>
      </c>
      <c r="CK119" s="40">
        <v>-208.19173553719008</v>
      </c>
    </row>
    <row r="120" spans="1:89" s="2" customFormat="1">
      <c r="A120" s="196" t="s">
        <v>877</v>
      </c>
      <c r="B120" s="211" t="s">
        <v>60</v>
      </c>
      <c r="C120" s="211" t="s">
        <v>595</v>
      </c>
      <c r="D120" s="41">
        <v>442</v>
      </c>
      <c r="E120" s="41">
        <v>3.25</v>
      </c>
      <c r="F120" s="22" t="s">
        <v>387</v>
      </c>
      <c r="G120" s="40">
        <v>30</v>
      </c>
      <c r="H120" s="388">
        <v>380.9917355371901</v>
      </c>
      <c r="I120" s="321"/>
      <c r="J120" s="40" t="s">
        <v>3</v>
      </c>
      <c r="K120" s="36" t="s">
        <v>3</v>
      </c>
      <c r="L120" s="37"/>
      <c r="M120" s="35">
        <v>129</v>
      </c>
      <c r="N120" s="136">
        <v>6.4</v>
      </c>
      <c r="O120" s="35">
        <v>19</v>
      </c>
      <c r="P120" s="136">
        <v>7.5</v>
      </c>
      <c r="Q120" s="37">
        <v>19</v>
      </c>
      <c r="R120" s="136">
        <v>7</v>
      </c>
      <c r="S120" s="37"/>
      <c r="T120" s="35">
        <v>0</v>
      </c>
      <c r="U120" s="136">
        <v>10.700000000000001</v>
      </c>
      <c r="V120" s="35">
        <v>0</v>
      </c>
      <c r="W120" s="136">
        <v>5.9</v>
      </c>
      <c r="X120" s="35">
        <v>0</v>
      </c>
      <c r="Y120" s="149">
        <v>5.9</v>
      </c>
      <c r="Z120" s="35">
        <v>0</v>
      </c>
      <c r="AA120" s="136">
        <v>5.8000000000000007</v>
      </c>
      <c r="AB120" s="37">
        <v>0</v>
      </c>
      <c r="AC120" s="136">
        <v>5.8000000000000007</v>
      </c>
      <c r="AD120" s="37"/>
      <c r="AE120" s="40">
        <v>61</v>
      </c>
      <c r="AF120" s="65"/>
      <c r="AG120" s="35">
        <v>0</v>
      </c>
      <c r="AH120" s="36">
        <v>0</v>
      </c>
      <c r="AI120" s="37"/>
      <c r="AJ120" s="35">
        <v>121</v>
      </c>
      <c r="AK120" s="36">
        <v>192</v>
      </c>
      <c r="AL120" s="35">
        <v>198</v>
      </c>
      <c r="AM120" s="36">
        <v>225</v>
      </c>
      <c r="AN120" s="37">
        <v>213</v>
      </c>
      <c r="AO120" s="36">
        <v>210</v>
      </c>
      <c r="AP120" s="37"/>
      <c r="AQ120" s="35">
        <v>121</v>
      </c>
      <c r="AR120" s="36">
        <v>321.00000000000006</v>
      </c>
      <c r="AS120" s="35">
        <v>265</v>
      </c>
      <c r="AT120" s="36">
        <v>177</v>
      </c>
      <c r="AU120" s="37">
        <v>265</v>
      </c>
      <c r="AV120" s="36">
        <v>177</v>
      </c>
      <c r="AW120" s="37">
        <v>268</v>
      </c>
      <c r="AX120" s="36">
        <v>174.00000000000003</v>
      </c>
      <c r="AY120" s="37">
        <v>268</v>
      </c>
      <c r="AZ120" s="36">
        <v>174.00000000000003</v>
      </c>
      <c r="BB120" s="40">
        <v>0</v>
      </c>
      <c r="BC120" s="65"/>
      <c r="BD120" s="35">
        <v>0</v>
      </c>
      <c r="BE120" s="36">
        <v>0</v>
      </c>
      <c r="BF120" s="37"/>
      <c r="BG120" s="415">
        <v>110</v>
      </c>
      <c r="BH120" s="353">
        <v>-3.0999999999999996</v>
      </c>
      <c r="BI120" s="415">
        <v>0</v>
      </c>
      <c r="BJ120" s="353">
        <v>-1.2000000000000011</v>
      </c>
      <c r="BK120" s="415">
        <v>0</v>
      </c>
      <c r="BL120" s="353">
        <v>-1</v>
      </c>
      <c r="BM120" s="416"/>
      <c r="BN120" s="415">
        <v>0</v>
      </c>
      <c r="BO120" s="353">
        <v>-0.90000000000000036</v>
      </c>
      <c r="BP120" s="415">
        <v>0</v>
      </c>
      <c r="BQ120" s="353">
        <v>0</v>
      </c>
      <c r="BR120" s="415">
        <v>0</v>
      </c>
      <c r="BS120" s="353">
        <v>0</v>
      </c>
      <c r="BT120" s="415">
        <v>0</v>
      </c>
      <c r="BU120" s="353">
        <v>0</v>
      </c>
      <c r="BV120" s="415">
        <v>0</v>
      </c>
      <c r="BW120" s="353">
        <v>0</v>
      </c>
      <c r="BY120" s="80"/>
      <c r="BZ120" s="65"/>
      <c r="CA120" s="40" t="s">
        <v>3</v>
      </c>
      <c r="CB120" s="65"/>
      <c r="CC120" s="40">
        <v>-59.991735537190095</v>
      </c>
      <c r="CD120" s="40">
        <v>-136.9917355371901</v>
      </c>
      <c r="CE120" s="40">
        <v>-151.9917355371901</v>
      </c>
      <c r="CF120" s="65"/>
      <c r="CG120" s="40">
        <v>-59.991735537190038</v>
      </c>
      <c r="CH120" s="40">
        <v>-203.9917355371901</v>
      </c>
      <c r="CI120" s="40">
        <v>-203.9917355371901</v>
      </c>
      <c r="CJ120" s="40">
        <v>-206.99173553719007</v>
      </c>
      <c r="CK120" s="40">
        <v>-206.99173553719007</v>
      </c>
    </row>
    <row r="121" spans="1:89" s="2" customFormat="1">
      <c r="A121" s="196" t="s">
        <v>878</v>
      </c>
      <c r="B121" s="211" t="s">
        <v>60</v>
      </c>
      <c r="C121" s="211" t="s">
        <v>510</v>
      </c>
      <c r="D121" s="41">
        <v>938</v>
      </c>
      <c r="E121" s="41">
        <v>3.25</v>
      </c>
      <c r="F121" s="41" t="s">
        <v>387</v>
      </c>
      <c r="G121" s="413">
        <v>24</v>
      </c>
      <c r="H121" s="414">
        <v>570.24793388429748</v>
      </c>
      <c r="I121" s="321"/>
      <c r="J121" s="40" t="s">
        <v>3</v>
      </c>
      <c r="K121" s="36" t="s">
        <v>3</v>
      </c>
      <c r="L121" s="37"/>
      <c r="M121" s="35">
        <v>239</v>
      </c>
      <c r="N121" s="136">
        <v>9.8000000000000007</v>
      </c>
      <c r="O121" s="35">
        <v>139</v>
      </c>
      <c r="P121" s="136">
        <v>11</v>
      </c>
      <c r="Q121" s="37">
        <v>139</v>
      </c>
      <c r="R121" s="136">
        <v>10</v>
      </c>
      <c r="S121" s="37"/>
      <c r="T121" s="35">
        <v>0</v>
      </c>
      <c r="U121" s="136">
        <v>19.700000000000003</v>
      </c>
      <c r="V121" s="35">
        <v>0</v>
      </c>
      <c r="W121" s="136">
        <v>15.5</v>
      </c>
      <c r="X121" s="35">
        <v>0</v>
      </c>
      <c r="Y121" s="149">
        <v>12</v>
      </c>
      <c r="Z121" s="35">
        <v>0</v>
      </c>
      <c r="AA121" s="136">
        <v>14</v>
      </c>
      <c r="AB121" s="37">
        <v>0</v>
      </c>
      <c r="AC121" s="136">
        <v>14</v>
      </c>
      <c r="AD121" s="37"/>
      <c r="AE121" s="40">
        <v>368</v>
      </c>
      <c r="AF121" s="65"/>
      <c r="AG121" s="35">
        <v>0</v>
      </c>
      <c r="AH121" s="36">
        <v>0</v>
      </c>
      <c r="AI121" s="37"/>
      <c r="AJ121" s="35">
        <v>464</v>
      </c>
      <c r="AK121" s="36">
        <v>235.20000000000002</v>
      </c>
      <c r="AL121" s="35">
        <v>535</v>
      </c>
      <c r="AM121" s="36">
        <v>264</v>
      </c>
      <c r="AN121" s="35">
        <v>559</v>
      </c>
      <c r="AO121" s="36">
        <v>240</v>
      </c>
      <c r="AP121" s="37"/>
      <c r="AQ121" s="35">
        <v>465</v>
      </c>
      <c r="AR121" s="36">
        <v>472.80000000000007</v>
      </c>
      <c r="AS121" s="35">
        <v>566</v>
      </c>
      <c r="AT121" s="36">
        <v>372</v>
      </c>
      <c r="AU121" s="35">
        <v>650</v>
      </c>
      <c r="AV121" s="36">
        <v>288</v>
      </c>
      <c r="AW121" s="35">
        <v>602</v>
      </c>
      <c r="AX121" s="36">
        <v>336</v>
      </c>
      <c r="AY121" s="35">
        <v>602</v>
      </c>
      <c r="AZ121" s="36">
        <v>336</v>
      </c>
      <c r="BB121" s="40">
        <v>0</v>
      </c>
      <c r="BC121" s="65"/>
      <c r="BD121" s="35">
        <v>0</v>
      </c>
      <c r="BE121" s="36">
        <v>0</v>
      </c>
      <c r="BF121" s="37"/>
      <c r="BG121" s="415">
        <v>80</v>
      </c>
      <c r="BH121" s="353">
        <v>-3.5</v>
      </c>
      <c r="BI121" s="415">
        <v>-20</v>
      </c>
      <c r="BJ121" s="353">
        <v>-1.2000000000000011</v>
      </c>
      <c r="BK121" s="415">
        <v>-20</v>
      </c>
      <c r="BL121" s="353">
        <v>-1.4000000000000004</v>
      </c>
      <c r="BM121" s="416"/>
      <c r="BN121" s="415">
        <v>0</v>
      </c>
      <c r="BO121" s="353">
        <v>-2</v>
      </c>
      <c r="BP121" s="415">
        <v>0</v>
      </c>
      <c r="BQ121" s="353">
        <v>0</v>
      </c>
      <c r="BR121" s="415">
        <v>0</v>
      </c>
      <c r="BS121" s="353">
        <v>-3.5</v>
      </c>
      <c r="BT121" s="415">
        <v>0</v>
      </c>
      <c r="BU121" s="353">
        <v>-2.3000000000000007</v>
      </c>
      <c r="BV121" s="415">
        <v>0</v>
      </c>
      <c r="BW121" s="353">
        <v>-2.3000000000000007</v>
      </c>
      <c r="BY121" s="80"/>
      <c r="BZ121" s="65"/>
      <c r="CA121" s="40" t="s">
        <v>3</v>
      </c>
      <c r="CB121" s="65"/>
      <c r="CC121" s="40">
        <v>-96.047933884297436</v>
      </c>
      <c r="CD121" s="40">
        <v>-167.24793388429748</v>
      </c>
      <c r="CE121" s="40">
        <v>-191.24793388429748</v>
      </c>
      <c r="CF121" s="65"/>
      <c r="CG121" s="40">
        <v>-97.447933884297413</v>
      </c>
      <c r="CH121" s="40">
        <v>-198.24793388429748</v>
      </c>
      <c r="CI121" s="40">
        <v>-282.24793388429748</v>
      </c>
      <c r="CJ121" s="40">
        <v>-234.24793388429748</v>
      </c>
      <c r="CK121" s="40">
        <v>-234.24793388429748</v>
      </c>
    </row>
    <row r="122" spans="1:89" s="2" customFormat="1">
      <c r="A122" s="196" t="s">
        <v>879</v>
      </c>
      <c r="B122" s="211" t="s">
        <v>60</v>
      </c>
      <c r="C122" s="211" t="s">
        <v>510</v>
      </c>
      <c r="D122" s="41">
        <v>938</v>
      </c>
      <c r="E122" s="41">
        <v>3.25</v>
      </c>
      <c r="F122" s="22" t="s">
        <v>387</v>
      </c>
      <c r="G122" s="40">
        <v>30</v>
      </c>
      <c r="H122" s="388">
        <v>570.24793388429748</v>
      </c>
      <c r="I122" s="321"/>
      <c r="J122" s="40" t="s">
        <v>3</v>
      </c>
      <c r="K122" s="36" t="s">
        <v>3</v>
      </c>
      <c r="L122" s="37"/>
      <c r="M122" s="35">
        <v>239</v>
      </c>
      <c r="N122" s="136">
        <v>7.9</v>
      </c>
      <c r="O122" s="35">
        <v>139</v>
      </c>
      <c r="P122" s="136">
        <v>8.8000000000000007</v>
      </c>
      <c r="Q122" s="37">
        <v>139</v>
      </c>
      <c r="R122" s="136">
        <v>8</v>
      </c>
      <c r="S122" s="37"/>
      <c r="T122" s="35">
        <v>0</v>
      </c>
      <c r="U122" s="136">
        <v>15.8</v>
      </c>
      <c r="V122" s="35">
        <v>0</v>
      </c>
      <c r="W122" s="136">
        <v>12.4</v>
      </c>
      <c r="X122" s="35">
        <v>0</v>
      </c>
      <c r="Y122" s="149">
        <v>9.6000000000000014</v>
      </c>
      <c r="Z122" s="35">
        <v>0</v>
      </c>
      <c r="AA122" s="136">
        <v>11.200000000000001</v>
      </c>
      <c r="AB122" s="37">
        <v>0</v>
      </c>
      <c r="AC122" s="136">
        <v>11.200000000000001</v>
      </c>
      <c r="AD122" s="37"/>
      <c r="AE122" s="40">
        <v>368</v>
      </c>
      <c r="AF122" s="65"/>
      <c r="AG122" s="35">
        <v>0</v>
      </c>
      <c r="AH122" s="36">
        <v>0</v>
      </c>
      <c r="AI122" s="37"/>
      <c r="AJ122" s="35">
        <v>462</v>
      </c>
      <c r="AK122" s="36">
        <v>237</v>
      </c>
      <c r="AL122" s="35">
        <v>535</v>
      </c>
      <c r="AM122" s="36">
        <v>264</v>
      </c>
      <c r="AN122" s="37">
        <v>559</v>
      </c>
      <c r="AO122" s="36">
        <v>240</v>
      </c>
      <c r="AP122" s="37"/>
      <c r="AQ122" s="35">
        <v>464</v>
      </c>
      <c r="AR122" s="36">
        <v>474</v>
      </c>
      <c r="AS122" s="35">
        <v>566</v>
      </c>
      <c r="AT122" s="36">
        <v>372</v>
      </c>
      <c r="AU122" s="37">
        <v>650</v>
      </c>
      <c r="AV122" s="36">
        <v>288.00000000000006</v>
      </c>
      <c r="AW122" s="37">
        <v>602</v>
      </c>
      <c r="AX122" s="36">
        <v>336.00000000000006</v>
      </c>
      <c r="AY122" s="37">
        <v>602</v>
      </c>
      <c r="AZ122" s="36">
        <v>336.00000000000006</v>
      </c>
      <c r="BB122" s="40">
        <v>0</v>
      </c>
      <c r="BC122" s="65"/>
      <c r="BD122" s="35">
        <v>0</v>
      </c>
      <c r="BE122" s="36">
        <v>0</v>
      </c>
      <c r="BF122" s="37"/>
      <c r="BG122" s="415">
        <v>80</v>
      </c>
      <c r="BH122" s="353">
        <v>-2.8000000000000007</v>
      </c>
      <c r="BI122" s="415">
        <v>-20</v>
      </c>
      <c r="BJ122" s="353">
        <v>-1</v>
      </c>
      <c r="BK122" s="415">
        <v>-20</v>
      </c>
      <c r="BL122" s="353">
        <v>-1.2000000000000011</v>
      </c>
      <c r="BM122" s="416"/>
      <c r="BN122" s="415">
        <v>0</v>
      </c>
      <c r="BO122" s="353">
        <v>-1.6000000000000014</v>
      </c>
      <c r="BP122" s="415">
        <v>0</v>
      </c>
      <c r="BQ122" s="353">
        <v>0</v>
      </c>
      <c r="BR122" s="415">
        <v>0</v>
      </c>
      <c r="BS122" s="353">
        <v>-2.7999999999999989</v>
      </c>
      <c r="BT122" s="415">
        <v>0</v>
      </c>
      <c r="BU122" s="353">
        <v>-1.7999999999999989</v>
      </c>
      <c r="BV122" s="415">
        <v>0</v>
      </c>
      <c r="BW122" s="353">
        <v>-1.7999999999999989</v>
      </c>
      <c r="BY122" s="80"/>
      <c r="BZ122" s="65"/>
      <c r="CA122" s="40" t="s">
        <v>3</v>
      </c>
      <c r="CB122" s="65"/>
      <c r="CC122" s="40">
        <v>-94.247933884297481</v>
      </c>
      <c r="CD122" s="40">
        <v>-167.24793388429748</v>
      </c>
      <c r="CE122" s="40">
        <v>-191.24793388429748</v>
      </c>
      <c r="CF122" s="65"/>
      <c r="CG122" s="40">
        <v>-96.247933884297481</v>
      </c>
      <c r="CH122" s="40">
        <v>-198.24793388429748</v>
      </c>
      <c r="CI122" s="40">
        <v>-282.24793388429742</v>
      </c>
      <c r="CJ122" s="40">
        <v>-234.24793388429742</v>
      </c>
      <c r="CK122" s="40">
        <v>-234.24793388429742</v>
      </c>
    </row>
    <row r="123" spans="1:89" s="417" customFormat="1">
      <c r="A123" s="196" t="s">
        <v>880</v>
      </c>
      <c r="B123" s="211" t="s">
        <v>60</v>
      </c>
      <c r="C123" s="211" t="s">
        <v>578</v>
      </c>
      <c r="D123" s="41">
        <v>842</v>
      </c>
      <c r="E123" s="41">
        <v>3.25</v>
      </c>
      <c r="F123" s="41" t="s">
        <v>387</v>
      </c>
      <c r="G123" s="413">
        <v>24</v>
      </c>
      <c r="H123" s="414">
        <v>651.23966942148763</v>
      </c>
      <c r="I123" s="321"/>
      <c r="J123" s="40" t="s">
        <v>3</v>
      </c>
      <c r="K123" s="36" t="s">
        <v>3</v>
      </c>
      <c r="L123" s="37"/>
      <c r="M123" s="35">
        <v>279</v>
      </c>
      <c r="N123" s="136">
        <v>11.8</v>
      </c>
      <c r="O123" s="35">
        <v>169</v>
      </c>
      <c r="P123" s="136">
        <v>13.3</v>
      </c>
      <c r="Q123" s="37">
        <v>169</v>
      </c>
      <c r="R123" s="136">
        <v>12.200000000000001</v>
      </c>
      <c r="S123" s="37"/>
      <c r="T123" s="35">
        <v>0</v>
      </c>
      <c r="U123" s="136">
        <v>23.200000000000003</v>
      </c>
      <c r="V123" s="35">
        <v>0</v>
      </c>
      <c r="W123" s="136">
        <v>18.600000000000001</v>
      </c>
      <c r="X123" s="35">
        <v>0</v>
      </c>
      <c r="Y123" s="149">
        <v>16</v>
      </c>
      <c r="Z123" s="35">
        <v>0</v>
      </c>
      <c r="AA123" s="136">
        <v>16</v>
      </c>
      <c r="AB123" s="37">
        <v>0</v>
      </c>
      <c r="AC123" s="136">
        <v>16</v>
      </c>
      <c r="AD123" s="37"/>
      <c r="AE123" s="40">
        <v>191</v>
      </c>
      <c r="AF123" s="65"/>
      <c r="AG123" s="35">
        <v>0</v>
      </c>
      <c r="AH123" s="36">
        <v>0</v>
      </c>
      <c r="AI123" s="37"/>
      <c r="AJ123" s="35">
        <v>280</v>
      </c>
      <c r="AK123" s="36">
        <v>283.20000000000005</v>
      </c>
      <c r="AL123" s="35">
        <v>354</v>
      </c>
      <c r="AM123" s="36">
        <v>319.20000000000005</v>
      </c>
      <c r="AN123" s="35">
        <v>380</v>
      </c>
      <c r="AO123" s="36">
        <v>292.8</v>
      </c>
      <c r="AP123" s="37"/>
      <c r="AQ123" s="35">
        <v>285</v>
      </c>
      <c r="AR123" s="36">
        <v>556.80000000000007</v>
      </c>
      <c r="AS123" s="35">
        <v>396</v>
      </c>
      <c r="AT123" s="36">
        <v>446.40000000000003</v>
      </c>
      <c r="AU123" s="35">
        <v>458</v>
      </c>
      <c r="AV123" s="36">
        <v>384</v>
      </c>
      <c r="AW123" s="35">
        <v>458</v>
      </c>
      <c r="AX123" s="36">
        <v>384</v>
      </c>
      <c r="AY123" s="35">
        <v>458</v>
      </c>
      <c r="AZ123" s="36">
        <v>384</v>
      </c>
      <c r="BA123" s="2"/>
      <c r="BB123" s="40">
        <v>0</v>
      </c>
      <c r="BC123" s="65"/>
      <c r="BD123" s="35">
        <v>0</v>
      </c>
      <c r="BE123" s="36">
        <v>0</v>
      </c>
      <c r="BF123" s="37"/>
      <c r="BG123" s="415">
        <v>90</v>
      </c>
      <c r="BH123" s="353">
        <v>-3.6999999999999993</v>
      </c>
      <c r="BI123" s="415">
        <v>-20</v>
      </c>
      <c r="BJ123" s="353">
        <v>-1.1999999999999993</v>
      </c>
      <c r="BK123" s="415">
        <v>-20</v>
      </c>
      <c r="BL123" s="353">
        <v>-1.6999999999999993</v>
      </c>
      <c r="BM123" s="416"/>
      <c r="BN123" s="415">
        <v>0</v>
      </c>
      <c r="BO123" s="353">
        <v>-2.2999999999999972</v>
      </c>
      <c r="BP123" s="415">
        <v>0</v>
      </c>
      <c r="BQ123" s="353">
        <v>-2.1000000000000014</v>
      </c>
      <c r="BR123" s="415">
        <v>0</v>
      </c>
      <c r="BS123" s="353">
        <v>-4.7000000000000028</v>
      </c>
      <c r="BT123" s="415">
        <v>0</v>
      </c>
      <c r="BU123" s="353">
        <v>-0.5</v>
      </c>
      <c r="BV123" s="415">
        <v>0</v>
      </c>
      <c r="BW123" s="353">
        <v>-0.5</v>
      </c>
      <c r="BX123" s="2"/>
      <c r="BY123" s="80"/>
      <c r="BZ123" s="65"/>
      <c r="CA123" s="40" t="s">
        <v>3</v>
      </c>
      <c r="CB123" s="65"/>
      <c r="CC123" s="40">
        <v>-89.039669421487588</v>
      </c>
      <c r="CD123" s="40">
        <v>-163.03966942148759</v>
      </c>
      <c r="CE123" s="40">
        <v>-189.43966942148762</v>
      </c>
      <c r="CF123" s="65"/>
      <c r="CG123" s="40">
        <v>-94.439669421487565</v>
      </c>
      <c r="CH123" s="40">
        <v>-204.8396694214876</v>
      </c>
      <c r="CI123" s="40">
        <v>-267.23966942148763</v>
      </c>
      <c r="CJ123" s="40">
        <v>-267.23966942148763</v>
      </c>
      <c r="CK123" s="40">
        <v>-267.23966942148763</v>
      </c>
    </row>
    <row r="124" spans="1:89" s="417" customFormat="1">
      <c r="A124" s="196" t="s">
        <v>881</v>
      </c>
      <c r="B124" s="211" t="s">
        <v>60</v>
      </c>
      <c r="C124" s="211" t="s">
        <v>578</v>
      </c>
      <c r="D124" s="41">
        <v>842</v>
      </c>
      <c r="E124" s="41">
        <v>3.25</v>
      </c>
      <c r="F124" s="22" t="s">
        <v>387</v>
      </c>
      <c r="G124" s="40">
        <v>30</v>
      </c>
      <c r="H124" s="388">
        <v>651.23966942148763</v>
      </c>
      <c r="I124" s="321"/>
      <c r="J124" s="40" t="s">
        <v>3</v>
      </c>
      <c r="K124" s="36" t="s">
        <v>3</v>
      </c>
      <c r="L124" s="37"/>
      <c r="M124" s="35">
        <v>279</v>
      </c>
      <c r="N124" s="136">
        <v>9.5</v>
      </c>
      <c r="O124" s="35">
        <v>169</v>
      </c>
      <c r="P124" s="136">
        <v>10.700000000000001</v>
      </c>
      <c r="Q124" s="37">
        <v>169</v>
      </c>
      <c r="R124" s="136">
        <v>9.8000000000000007</v>
      </c>
      <c r="S124" s="37"/>
      <c r="T124" s="35">
        <v>0</v>
      </c>
      <c r="U124" s="136">
        <v>18.600000000000001</v>
      </c>
      <c r="V124" s="35">
        <v>0</v>
      </c>
      <c r="W124" s="136">
        <v>14.9</v>
      </c>
      <c r="X124" s="35">
        <v>0</v>
      </c>
      <c r="Y124" s="149">
        <v>12.8</v>
      </c>
      <c r="Z124" s="35">
        <v>0</v>
      </c>
      <c r="AA124" s="136">
        <v>12.8</v>
      </c>
      <c r="AB124" s="37">
        <v>0</v>
      </c>
      <c r="AC124" s="136">
        <v>12.8</v>
      </c>
      <c r="AD124" s="37"/>
      <c r="AE124" s="40">
        <v>191</v>
      </c>
      <c r="AF124" s="65"/>
      <c r="AG124" s="35">
        <v>0</v>
      </c>
      <c r="AH124" s="36">
        <v>0</v>
      </c>
      <c r="AI124" s="37"/>
      <c r="AJ124" s="35">
        <v>278</v>
      </c>
      <c r="AK124" s="36">
        <v>285</v>
      </c>
      <c r="AL124" s="35">
        <v>352</v>
      </c>
      <c r="AM124" s="36">
        <v>321.00000000000006</v>
      </c>
      <c r="AN124" s="37">
        <v>379</v>
      </c>
      <c r="AO124" s="36">
        <v>294</v>
      </c>
      <c r="AP124" s="37"/>
      <c r="AQ124" s="35">
        <v>284</v>
      </c>
      <c r="AR124" s="36">
        <v>558</v>
      </c>
      <c r="AS124" s="35">
        <v>395</v>
      </c>
      <c r="AT124" s="36">
        <v>447</v>
      </c>
      <c r="AU124" s="37">
        <v>458</v>
      </c>
      <c r="AV124" s="36">
        <v>384</v>
      </c>
      <c r="AW124" s="37">
        <v>458</v>
      </c>
      <c r="AX124" s="36">
        <v>384</v>
      </c>
      <c r="AY124" s="37">
        <v>458</v>
      </c>
      <c r="AZ124" s="36">
        <v>384</v>
      </c>
      <c r="BA124" s="2"/>
      <c r="BB124" s="40">
        <v>0</v>
      </c>
      <c r="BC124" s="65"/>
      <c r="BD124" s="35">
        <v>0</v>
      </c>
      <c r="BE124" s="36">
        <v>0</v>
      </c>
      <c r="BF124" s="37"/>
      <c r="BG124" s="415">
        <v>90</v>
      </c>
      <c r="BH124" s="353">
        <v>-2.9000000000000004</v>
      </c>
      <c r="BI124" s="415">
        <v>-20</v>
      </c>
      <c r="BJ124" s="353">
        <v>-0.90000000000000036</v>
      </c>
      <c r="BK124" s="415">
        <v>-20</v>
      </c>
      <c r="BL124" s="353">
        <v>-1.4000000000000004</v>
      </c>
      <c r="BM124" s="416"/>
      <c r="BN124" s="415">
        <v>0</v>
      </c>
      <c r="BO124" s="353">
        <v>-1.8000000000000007</v>
      </c>
      <c r="BP124" s="415">
        <v>0</v>
      </c>
      <c r="BQ124" s="353">
        <v>-1.7000000000000011</v>
      </c>
      <c r="BR124" s="415">
        <v>0</v>
      </c>
      <c r="BS124" s="353">
        <v>-3.8000000000000007</v>
      </c>
      <c r="BT124" s="415">
        <v>0</v>
      </c>
      <c r="BU124" s="353">
        <v>-0.40000000000000036</v>
      </c>
      <c r="BV124" s="415">
        <v>0</v>
      </c>
      <c r="BW124" s="353">
        <v>-0.40000000000000036</v>
      </c>
      <c r="BX124" s="2"/>
      <c r="BY124" s="80"/>
      <c r="BZ124" s="65"/>
      <c r="CA124" s="40" t="s">
        <v>3</v>
      </c>
      <c r="CB124" s="65"/>
      <c r="CC124" s="40">
        <v>-87.239669421487633</v>
      </c>
      <c r="CD124" s="40">
        <v>-161.23966942148758</v>
      </c>
      <c r="CE124" s="40">
        <v>-188.23966942148763</v>
      </c>
      <c r="CF124" s="65"/>
      <c r="CG124" s="40">
        <v>-93.239669421487633</v>
      </c>
      <c r="CH124" s="40">
        <v>-204.23966942148763</v>
      </c>
      <c r="CI124" s="40">
        <v>-267.23966942148763</v>
      </c>
      <c r="CJ124" s="40">
        <v>-267.23966942148763</v>
      </c>
      <c r="CK124" s="40">
        <v>-267.23966942148763</v>
      </c>
    </row>
    <row r="125" spans="1:89" s="417" customFormat="1">
      <c r="A125" s="196" t="s">
        <v>882</v>
      </c>
      <c r="B125" s="211" t="s">
        <v>60</v>
      </c>
      <c r="C125" s="211" t="s">
        <v>579</v>
      </c>
      <c r="D125" s="41">
        <v>902</v>
      </c>
      <c r="E125" s="41">
        <v>3.25</v>
      </c>
      <c r="F125" s="41" t="s">
        <v>387</v>
      </c>
      <c r="G125" s="413">
        <v>24</v>
      </c>
      <c r="H125" s="414">
        <v>670.24793388429759</v>
      </c>
      <c r="I125" s="321"/>
      <c r="J125" s="40" t="s">
        <v>3</v>
      </c>
      <c r="K125" s="36" t="s">
        <v>3</v>
      </c>
      <c r="L125" s="37"/>
      <c r="M125" s="35">
        <v>289</v>
      </c>
      <c r="N125" s="136">
        <v>11.8</v>
      </c>
      <c r="O125" s="35">
        <v>179</v>
      </c>
      <c r="P125" s="136">
        <v>13.5</v>
      </c>
      <c r="Q125" s="37">
        <v>179</v>
      </c>
      <c r="R125" s="136">
        <v>12.9</v>
      </c>
      <c r="S125" s="37"/>
      <c r="T125" s="35">
        <v>0</v>
      </c>
      <c r="U125" s="136">
        <v>24.200000000000003</v>
      </c>
      <c r="V125" s="35">
        <v>0</v>
      </c>
      <c r="W125" s="136">
        <v>19.700000000000003</v>
      </c>
      <c r="X125" s="35">
        <v>0</v>
      </c>
      <c r="Y125" s="149">
        <v>18.7</v>
      </c>
      <c r="Z125" s="35">
        <v>0</v>
      </c>
      <c r="AA125" s="136">
        <v>18.8</v>
      </c>
      <c r="AB125" s="37">
        <v>0</v>
      </c>
      <c r="AC125" s="136">
        <v>18.8</v>
      </c>
      <c r="AD125" s="37"/>
      <c r="AE125" s="40">
        <v>232</v>
      </c>
      <c r="AF125" s="65"/>
      <c r="AG125" s="35">
        <v>0</v>
      </c>
      <c r="AH125" s="36">
        <v>0</v>
      </c>
      <c r="AI125" s="37"/>
      <c r="AJ125" s="35">
        <v>330</v>
      </c>
      <c r="AK125" s="36">
        <v>283.20000000000005</v>
      </c>
      <c r="AL125" s="35">
        <v>399</v>
      </c>
      <c r="AM125" s="36">
        <v>324</v>
      </c>
      <c r="AN125" s="35">
        <v>413</v>
      </c>
      <c r="AO125" s="36">
        <v>309.60000000000002</v>
      </c>
      <c r="AP125" s="37"/>
      <c r="AQ125" s="35">
        <v>321</v>
      </c>
      <c r="AR125" s="36">
        <v>580.80000000000007</v>
      </c>
      <c r="AS125" s="35">
        <v>429</v>
      </c>
      <c r="AT125" s="36">
        <v>472.80000000000007</v>
      </c>
      <c r="AU125" s="35">
        <v>453</v>
      </c>
      <c r="AV125" s="36">
        <v>448.79999999999995</v>
      </c>
      <c r="AW125" s="35">
        <v>451</v>
      </c>
      <c r="AX125" s="36">
        <v>451.20000000000005</v>
      </c>
      <c r="AY125" s="35">
        <v>451</v>
      </c>
      <c r="AZ125" s="36">
        <v>451.20000000000005</v>
      </c>
      <c r="BA125" s="2"/>
      <c r="BB125" s="40">
        <v>0</v>
      </c>
      <c r="BC125" s="65"/>
      <c r="BD125" s="35">
        <v>0</v>
      </c>
      <c r="BE125" s="36">
        <v>0</v>
      </c>
      <c r="BF125" s="37"/>
      <c r="BG125" s="415">
        <v>90</v>
      </c>
      <c r="BH125" s="353">
        <v>-5.1999999999999993</v>
      </c>
      <c r="BI125" s="415">
        <v>-20</v>
      </c>
      <c r="BJ125" s="353">
        <v>-2.5</v>
      </c>
      <c r="BK125" s="415">
        <v>-20</v>
      </c>
      <c r="BL125" s="353">
        <v>-2.2000000000000011</v>
      </c>
      <c r="BM125" s="416"/>
      <c r="BN125" s="415">
        <v>0</v>
      </c>
      <c r="BO125" s="353">
        <v>-3.0999999999999979</v>
      </c>
      <c r="BP125" s="415">
        <v>0</v>
      </c>
      <c r="BQ125" s="353">
        <v>0</v>
      </c>
      <c r="BR125" s="415">
        <v>0</v>
      </c>
      <c r="BS125" s="353">
        <v>-1.0000000000000036</v>
      </c>
      <c r="BT125" s="415">
        <v>0</v>
      </c>
      <c r="BU125" s="353">
        <v>-0.80000000000000071</v>
      </c>
      <c r="BV125" s="415">
        <v>0</v>
      </c>
      <c r="BW125" s="353">
        <v>-0.80000000000000071</v>
      </c>
      <c r="BX125" s="2"/>
      <c r="BY125" s="80"/>
      <c r="BZ125" s="65"/>
      <c r="CA125" s="40" t="s">
        <v>3</v>
      </c>
      <c r="CB125" s="65"/>
      <c r="CC125" s="40">
        <v>-98.047933884297549</v>
      </c>
      <c r="CD125" s="40">
        <v>-167.24793388429759</v>
      </c>
      <c r="CE125" s="40">
        <v>-181.64793388429757</v>
      </c>
      <c r="CF125" s="65"/>
      <c r="CG125" s="40">
        <v>-89.447933884297527</v>
      </c>
      <c r="CH125" s="40">
        <v>-197.44793388429753</v>
      </c>
      <c r="CI125" s="40">
        <v>-221.44793388429764</v>
      </c>
      <c r="CJ125" s="40">
        <v>-219.04793388429755</v>
      </c>
      <c r="CK125" s="40">
        <v>-219.04793388429755</v>
      </c>
    </row>
    <row r="126" spans="1:89" s="417" customFormat="1">
      <c r="A126" s="196" t="s">
        <v>883</v>
      </c>
      <c r="B126" s="211" t="s">
        <v>60</v>
      </c>
      <c r="C126" s="211" t="s">
        <v>579</v>
      </c>
      <c r="D126" s="41">
        <v>902</v>
      </c>
      <c r="E126" s="41">
        <v>3.25</v>
      </c>
      <c r="F126" s="22" t="s">
        <v>387</v>
      </c>
      <c r="G126" s="40">
        <v>30</v>
      </c>
      <c r="H126" s="388">
        <v>670.24793388429759</v>
      </c>
      <c r="I126" s="321"/>
      <c r="J126" s="40" t="s">
        <v>3</v>
      </c>
      <c r="K126" s="36" t="s">
        <v>3</v>
      </c>
      <c r="L126" s="37"/>
      <c r="M126" s="35">
        <v>289</v>
      </c>
      <c r="N126" s="136">
        <v>9.5</v>
      </c>
      <c r="O126" s="35">
        <v>179</v>
      </c>
      <c r="P126" s="136">
        <v>10.8</v>
      </c>
      <c r="Q126" s="37">
        <v>179</v>
      </c>
      <c r="R126" s="136">
        <v>10.4</v>
      </c>
      <c r="S126" s="37"/>
      <c r="T126" s="35">
        <v>0</v>
      </c>
      <c r="U126" s="136">
        <v>19.400000000000002</v>
      </c>
      <c r="V126" s="35">
        <v>0</v>
      </c>
      <c r="W126" s="136">
        <v>15.8</v>
      </c>
      <c r="X126" s="35">
        <v>0</v>
      </c>
      <c r="Y126" s="149">
        <v>15</v>
      </c>
      <c r="Z126" s="35">
        <v>0</v>
      </c>
      <c r="AA126" s="136">
        <v>15</v>
      </c>
      <c r="AB126" s="37">
        <v>0</v>
      </c>
      <c r="AC126" s="136">
        <v>15</v>
      </c>
      <c r="AD126" s="37"/>
      <c r="AE126" s="40">
        <v>232</v>
      </c>
      <c r="AF126" s="65"/>
      <c r="AG126" s="35">
        <v>0</v>
      </c>
      <c r="AH126" s="36">
        <v>0</v>
      </c>
      <c r="AI126" s="37"/>
      <c r="AJ126" s="35">
        <v>328</v>
      </c>
      <c r="AK126" s="36">
        <v>285</v>
      </c>
      <c r="AL126" s="35">
        <v>399</v>
      </c>
      <c r="AM126" s="36">
        <v>324</v>
      </c>
      <c r="AN126" s="37">
        <v>411</v>
      </c>
      <c r="AO126" s="36">
        <v>312</v>
      </c>
      <c r="AP126" s="37"/>
      <c r="AQ126" s="35">
        <v>320</v>
      </c>
      <c r="AR126" s="36">
        <v>582.00000000000011</v>
      </c>
      <c r="AS126" s="35">
        <v>428</v>
      </c>
      <c r="AT126" s="36">
        <v>474</v>
      </c>
      <c r="AU126" s="37">
        <v>452</v>
      </c>
      <c r="AV126" s="36">
        <v>450</v>
      </c>
      <c r="AW126" s="37">
        <v>452</v>
      </c>
      <c r="AX126" s="36">
        <v>450</v>
      </c>
      <c r="AY126" s="37">
        <v>452</v>
      </c>
      <c r="AZ126" s="36">
        <v>450</v>
      </c>
      <c r="BA126" s="2"/>
      <c r="BB126" s="40">
        <v>0</v>
      </c>
      <c r="BC126" s="65"/>
      <c r="BD126" s="35">
        <v>0</v>
      </c>
      <c r="BE126" s="36">
        <v>0</v>
      </c>
      <c r="BF126" s="37"/>
      <c r="BG126" s="415">
        <v>90</v>
      </c>
      <c r="BH126" s="353">
        <v>-4.1000000000000014</v>
      </c>
      <c r="BI126" s="415">
        <v>-20</v>
      </c>
      <c r="BJ126" s="353">
        <v>-2</v>
      </c>
      <c r="BK126" s="415">
        <v>-20</v>
      </c>
      <c r="BL126" s="353">
        <v>-1.7000000000000011</v>
      </c>
      <c r="BM126" s="416"/>
      <c r="BN126" s="415">
        <v>0</v>
      </c>
      <c r="BO126" s="353">
        <v>-2.5</v>
      </c>
      <c r="BP126" s="415">
        <v>0</v>
      </c>
      <c r="BQ126" s="353">
        <v>0</v>
      </c>
      <c r="BR126" s="415">
        <v>0</v>
      </c>
      <c r="BS126" s="353">
        <v>-0.80000000000000071</v>
      </c>
      <c r="BT126" s="415">
        <v>0</v>
      </c>
      <c r="BU126" s="353">
        <v>-0.70000000000000107</v>
      </c>
      <c r="BV126" s="415">
        <v>0</v>
      </c>
      <c r="BW126" s="353">
        <v>-0.70000000000000107</v>
      </c>
      <c r="BX126" s="2"/>
      <c r="BY126" s="80"/>
      <c r="BZ126" s="65"/>
      <c r="CA126" s="40" t="s">
        <v>3</v>
      </c>
      <c r="CB126" s="65"/>
      <c r="CC126" s="40">
        <v>-96.247933884297595</v>
      </c>
      <c r="CD126" s="40">
        <v>-167.24793388429759</v>
      </c>
      <c r="CE126" s="40">
        <v>-179.24793388429759</v>
      </c>
      <c r="CF126" s="65"/>
      <c r="CG126" s="40">
        <v>-88.247933884297481</v>
      </c>
      <c r="CH126" s="40">
        <v>-196.24793388429759</v>
      </c>
      <c r="CI126" s="40">
        <v>-220.24793388429759</v>
      </c>
      <c r="CJ126" s="40">
        <v>-220.24793388429759</v>
      </c>
      <c r="CK126" s="40">
        <v>-220.24793388429759</v>
      </c>
    </row>
    <row r="127" spans="1:89" s="417" customFormat="1">
      <c r="A127" s="196" t="s">
        <v>884</v>
      </c>
      <c r="B127" s="211" t="s">
        <v>60</v>
      </c>
      <c r="C127" s="211" t="s">
        <v>731</v>
      </c>
      <c r="D127" s="41">
        <v>686</v>
      </c>
      <c r="E127" s="41">
        <v>3.25</v>
      </c>
      <c r="F127" s="41" t="s">
        <v>387</v>
      </c>
      <c r="G127" s="413">
        <v>24</v>
      </c>
      <c r="H127" s="414">
        <v>626.44628099173553</v>
      </c>
      <c r="I127" s="321"/>
      <c r="J127" s="40" t="s">
        <v>3</v>
      </c>
      <c r="K127" s="36" t="s">
        <v>3</v>
      </c>
      <c r="L127" s="37"/>
      <c r="M127" s="35">
        <v>269</v>
      </c>
      <c r="N127" s="136">
        <v>11</v>
      </c>
      <c r="O127" s="35">
        <v>159</v>
      </c>
      <c r="P127" s="136">
        <v>12.4</v>
      </c>
      <c r="Q127" s="37">
        <v>159</v>
      </c>
      <c r="R127" s="136">
        <v>11.8</v>
      </c>
      <c r="S127" s="37"/>
      <c r="T127" s="35">
        <v>0</v>
      </c>
      <c r="U127" s="136">
        <v>22.200000000000003</v>
      </c>
      <c r="V127" s="35">
        <v>0</v>
      </c>
      <c r="W127" s="136">
        <v>18.600000000000001</v>
      </c>
      <c r="X127" s="35">
        <v>0</v>
      </c>
      <c r="Y127" s="149">
        <v>11</v>
      </c>
      <c r="Z127" s="35">
        <v>0</v>
      </c>
      <c r="AA127" s="136">
        <v>11</v>
      </c>
      <c r="AB127" s="37">
        <v>0</v>
      </c>
      <c r="AC127" s="136">
        <v>11</v>
      </c>
      <c r="AD127" s="37"/>
      <c r="AE127" s="40">
        <v>60</v>
      </c>
      <c r="AF127" s="65"/>
      <c r="AG127" s="35">
        <v>0</v>
      </c>
      <c r="AH127" s="36">
        <v>0</v>
      </c>
      <c r="AI127" s="37"/>
      <c r="AJ127" s="35">
        <v>153</v>
      </c>
      <c r="AK127" s="36">
        <v>264</v>
      </c>
      <c r="AL127" s="35">
        <v>229</v>
      </c>
      <c r="AM127" s="36">
        <v>297.60000000000002</v>
      </c>
      <c r="AN127" s="35">
        <v>244</v>
      </c>
      <c r="AO127" s="36">
        <v>283.20000000000005</v>
      </c>
      <c r="AP127" s="37"/>
      <c r="AQ127" s="35">
        <v>153</v>
      </c>
      <c r="AR127" s="36">
        <v>532.80000000000007</v>
      </c>
      <c r="AS127" s="35">
        <v>240</v>
      </c>
      <c r="AT127" s="36">
        <v>446.40000000000003</v>
      </c>
      <c r="AU127" s="35">
        <v>422</v>
      </c>
      <c r="AV127" s="36">
        <v>264</v>
      </c>
      <c r="AW127" s="35">
        <v>422</v>
      </c>
      <c r="AX127" s="36">
        <v>264</v>
      </c>
      <c r="AY127" s="35">
        <v>422</v>
      </c>
      <c r="AZ127" s="36">
        <v>264</v>
      </c>
      <c r="BA127" s="2"/>
      <c r="BB127" s="40">
        <v>0</v>
      </c>
      <c r="BC127" s="65"/>
      <c r="BD127" s="35">
        <v>0</v>
      </c>
      <c r="BE127" s="36">
        <v>0</v>
      </c>
      <c r="BF127" s="37"/>
      <c r="BG127" s="415">
        <v>90</v>
      </c>
      <c r="BH127" s="353">
        <v>-3.5</v>
      </c>
      <c r="BI127" s="415">
        <v>-20</v>
      </c>
      <c r="BJ127" s="353">
        <v>-1.0999999999999996</v>
      </c>
      <c r="BK127" s="415">
        <v>-20</v>
      </c>
      <c r="BL127" s="353">
        <v>-7.9000000000000021</v>
      </c>
      <c r="BM127" s="416"/>
      <c r="BN127" s="415">
        <v>0</v>
      </c>
      <c r="BO127" s="353">
        <v>-1.5999999999999979</v>
      </c>
      <c r="BP127" s="415">
        <v>0</v>
      </c>
      <c r="BQ127" s="353">
        <v>-1.1000000000000014</v>
      </c>
      <c r="BR127" s="415">
        <v>0</v>
      </c>
      <c r="BS127" s="353">
        <v>-8.7000000000000028</v>
      </c>
      <c r="BT127" s="415">
        <v>0</v>
      </c>
      <c r="BU127" s="353">
        <v>-0.5</v>
      </c>
      <c r="BV127" s="415">
        <v>0</v>
      </c>
      <c r="BW127" s="353">
        <v>-0.5</v>
      </c>
      <c r="BX127" s="2"/>
      <c r="BY127" s="80"/>
      <c r="BZ127" s="65"/>
      <c r="CA127" s="40" t="s">
        <v>3</v>
      </c>
      <c r="CB127" s="65"/>
      <c r="CC127" s="40">
        <v>-93.446280991735534</v>
      </c>
      <c r="CD127" s="40">
        <v>-169.84628099173551</v>
      </c>
      <c r="CE127" s="40">
        <v>-184.24628099173549</v>
      </c>
      <c r="CF127" s="65"/>
      <c r="CG127" s="40">
        <v>-93.646280991735466</v>
      </c>
      <c r="CH127" s="40">
        <v>-180.0462809917355</v>
      </c>
      <c r="CI127" s="40">
        <v>-362.44628099173553</v>
      </c>
      <c r="CJ127" s="40">
        <v>-362.44628099173553</v>
      </c>
      <c r="CK127" s="40">
        <v>-362.44628099173553</v>
      </c>
    </row>
    <row r="128" spans="1:89" s="417" customFormat="1">
      <c r="A128" s="196" t="s">
        <v>885</v>
      </c>
      <c r="B128" s="211" t="s">
        <v>60</v>
      </c>
      <c r="C128" s="211" t="s">
        <v>731</v>
      </c>
      <c r="D128" s="41">
        <v>686</v>
      </c>
      <c r="E128" s="41">
        <v>3.25</v>
      </c>
      <c r="F128" s="22" t="s">
        <v>387</v>
      </c>
      <c r="G128" s="40">
        <v>30</v>
      </c>
      <c r="H128" s="388">
        <v>626.44628099173553</v>
      </c>
      <c r="I128" s="321"/>
      <c r="J128" s="40" t="s">
        <v>3</v>
      </c>
      <c r="K128" s="36" t="s">
        <v>3</v>
      </c>
      <c r="L128" s="37"/>
      <c r="M128" s="35">
        <v>269</v>
      </c>
      <c r="N128" s="136">
        <v>8.8000000000000007</v>
      </c>
      <c r="O128" s="35">
        <v>159</v>
      </c>
      <c r="P128" s="136">
        <v>10</v>
      </c>
      <c r="Q128" s="37">
        <v>159</v>
      </c>
      <c r="R128" s="136">
        <v>9.5</v>
      </c>
      <c r="S128" s="37"/>
      <c r="T128" s="35">
        <v>0</v>
      </c>
      <c r="U128" s="136">
        <v>17.8</v>
      </c>
      <c r="V128" s="35">
        <v>0</v>
      </c>
      <c r="W128" s="136">
        <v>14.9</v>
      </c>
      <c r="X128" s="35">
        <v>0</v>
      </c>
      <c r="Y128" s="149">
        <v>8.8000000000000007</v>
      </c>
      <c r="Z128" s="35">
        <v>0</v>
      </c>
      <c r="AA128" s="136">
        <v>8.8000000000000007</v>
      </c>
      <c r="AB128" s="37">
        <v>0</v>
      </c>
      <c r="AC128" s="136">
        <v>8.8000000000000007</v>
      </c>
      <c r="AD128" s="37"/>
      <c r="AE128" s="40">
        <v>60</v>
      </c>
      <c r="AF128" s="65"/>
      <c r="AG128" s="35">
        <v>0</v>
      </c>
      <c r="AH128" s="36">
        <v>0</v>
      </c>
      <c r="AI128" s="37"/>
      <c r="AJ128" s="35">
        <v>153</v>
      </c>
      <c r="AK128" s="36">
        <v>264</v>
      </c>
      <c r="AL128" s="35">
        <v>227</v>
      </c>
      <c r="AM128" s="36">
        <v>300</v>
      </c>
      <c r="AN128" s="37">
        <v>242</v>
      </c>
      <c r="AO128" s="36">
        <v>285</v>
      </c>
      <c r="AP128" s="37"/>
      <c r="AQ128" s="35">
        <v>152</v>
      </c>
      <c r="AR128" s="36">
        <v>534</v>
      </c>
      <c r="AS128" s="35">
        <v>239</v>
      </c>
      <c r="AT128" s="36">
        <v>447</v>
      </c>
      <c r="AU128" s="37">
        <v>422</v>
      </c>
      <c r="AV128" s="36">
        <v>264</v>
      </c>
      <c r="AW128" s="37">
        <v>422</v>
      </c>
      <c r="AX128" s="36">
        <v>264</v>
      </c>
      <c r="AY128" s="37">
        <v>422</v>
      </c>
      <c r="AZ128" s="36">
        <v>264</v>
      </c>
      <c r="BA128" s="2"/>
      <c r="BB128" s="40">
        <v>0</v>
      </c>
      <c r="BC128" s="65"/>
      <c r="BD128" s="35">
        <v>0</v>
      </c>
      <c r="BE128" s="36">
        <v>0</v>
      </c>
      <c r="BF128" s="37"/>
      <c r="BG128" s="415">
        <v>90</v>
      </c>
      <c r="BH128" s="353">
        <v>-2.8000000000000007</v>
      </c>
      <c r="BI128" s="415">
        <v>-20</v>
      </c>
      <c r="BJ128" s="353">
        <v>-0.80000000000000071</v>
      </c>
      <c r="BK128" s="415">
        <v>-20</v>
      </c>
      <c r="BL128" s="353">
        <v>-6.3000000000000007</v>
      </c>
      <c r="BM128" s="416"/>
      <c r="BN128" s="415">
        <v>0</v>
      </c>
      <c r="BO128" s="353">
        <v>-1.3000000000000007</v>
      </c>
      <c r="BP128" s="415">
        <v>0</v>
      </c>
      <c r="BQ128" s="353">
        <v>-0.90000000000000036</v>
      </c>
      <c r="BR128" s="415">
        <v>0</v>
      </c>
      <c r="BS128" s="353">
        <v>-7</v>
      </c>
      <c r="BT128" s="415">
        <v>0</v>
      </c>
      <c r="BU128" s="353">
        <v>-0.39999999999999858</v>
      </c>
      <c r="BV128" s="415">
        <v>0</v>
      </c>
      <c r="BW128" s="353">
        <v>-0.39999999999999858</v>
      </c>
      <c r="BX128" s="2"/>
      <c r="BY128" s="80"/>
      <c r="BZ128" s="65"/>
      <c r="CA128" s="40" t="s">
        <v>3</v>
      </c>
      <c r="CB128" s="65"/>
      <c r="CC128" s="40">
        <v>-93.446280991735534</v>
      </c>
      <c r="CD128" s="40">
        <v>-167.44628099173553</v>
      </c>
      <c r="CE128" s="40">
        <v>-182.44628099173553</v>
      </c>
      <c r="CF128" s="65"/>
      <c r="CG128" s="40">
        <v>-92.446280991735534</v>
      </c>
      <c r="CH128" s="40">
        <v>-179.44628099173553</v>
      </c>
      <c r="CI128" s="40">
        <v>-362.44628099173553</v>
      </c>
      <c r="CJ128" s="40">
        <v>-362.44628099173553</v>
      </c>
      <c r="CK128" s="40">
        <v>-362.44628099173553</v>
      </c>
    </row>
    <row r="129" spans="1:89" s="417" customFormat="1">
      <c r="A129" s="196" t="s">
        <v>886</v>
      </c>
      <c r="B129" s="211" t="s">
        <v>60</v>
      </c>
      <c r="C129" s="211" t="s">
        <v>580</v>
      </c>
      <c r="D129" s="41">
        <v>1279</v>
      </c>
      <c r="E129" s="41">
        <v>3.25</v>
      </c>
      <c r="F129" s="41" t="s">
        <v>387</v>
      </c>
      <c r="G129" s="413">
        <v>24</v>
      </c>
      <c r="H129" s="414">
        <v>1128.9256198347107</v>
      </c>
      <c r="I129" s="321"/>
      <c r="J129" s="40" t="s">
        <v>3</v>
      </c>
      <c r="K129" s="36" t="s">
        <v>3</v>
      </c>
      <c r="L129" s="37"/>
      <c r="M129" s="35">
        <v>489</v>
      </c>
      <c r="N129" s="136">
        <v>20.3</v>
      </c>
      <c r="O129" s="35">
        <v>299</v>
      </c>
      <c r="P129" s="136">
        <v>25.5</v>
      </c>
      <c r="Q129" s="37">
        <v>299</v>
      </c>
      <c r="R129" s="136">
        <v>24.400000000000002</v>
      </c>
      <c r="S129" s="37"/>
      <c r="T129" s="35">
        <v>0</v>
      </c>
      <c r="U129" s="136">
        <v>41</v>
      </c>
      <c r="V129" s="35">
        <v>0</v>
      </c>
      <c r="W129" s="136">
        <v>33.1</v>
      </c>
      <c r="X129" s="35">
        <v>0</v>
      </c>
      <c r="Y129" s="149">
        <v>33.1</v>
      </c>
      <c r="Z129" s="35">
        <v>0</v>
      </c>
      <c r="AA129" s="136">
        <v>33.5</v>
      </c>
      <c r="AB129" s="37">
        <v>0</v>
      </c>
      <c r="AC129" s="136">
        <v>33.5</v>
      </c>
      <c r="AD129" s="37"/>
      <c r="AE129" s="40">
        <v>150</v>
      </c>
      <c r="AF129" s="65"/>
      <c r="AG129" s="35">
        <v>0</v>
      </c>
      <c r="AH129" s="36">
        <v>0</v>
      </c>
      <c r="AI129" s="37"/>
      <c r="AJ129" s="35">
        <v>303</v>
      </c>
      <c r="AK129" s="36">
        <v>487.20000000000005</v>
      </c>
      <c r="AL129" s="35">
        <v>368</v>
      </c>
      <c r="AM129" s="36">
        <v>612</v>
      </c>
      <c r="AN129" s="35">
        <v>394</v>
      </c>
      <c r="AO129" s="36">
        <v>585.6</v>
      </c>
      <c r="AP129" s="37"/>
      <c r="AQ129" s="35">
        <v>295</v>
      </c>
      <c r="AR129" s="36">
        <v>984</v>
      </c>
      <c r="AS129" s="35">
        <v>485</v>
      </c>
      <c r="AT129" s="36">
        <v>794.40000000000009</v>
      </c>
      <c r="AU129" s="35">
        <v>485</v>
      </c>
      <c r="AV129" s="36">
        <v>794.40000000000009</v>
      </c>
      <c r="AW129" s="35">
        <v>475</v>
      </c>
      <c r="AX129" s="36">
        <v>804</v>
      </c>
      <c r="AY129" s="35">
        <v>475</v>
      </c>
      <c r="AZ129" s="36">
        <v>804</v>
      </c>
      <c r="BA129" s="2"/>
      <c r="BB129" s="40">
        <v>0</v>
      </c>
      <c r="BC129" s="65"/>
      <c r="BD129" s="35">
        <v>0</v>
      </c>
      <c r="BE129" s="36">
        <v>0</v>
      </c>
      <c r="BF129" s="37"/>
      <c r="BG129" s="415">
        <v>260</v>
      </c>
      <c r="BH129" s="353">
        <v>0.59999999999999787</v>
      </c>
      <c r="BI129" s="415">
        <v>70</v>
      </c>
      <c r="BJ129" s="353">
        <v>6.8999999999999986</v>
      </c>
      <c r="BK129" s="415">
        <v>70</v>
      </c>
      <c r="BL129" s="353">
        <v>6.4000000000000021</v>
      </c>
      <c r="BM129" s="416"/>
      <c r="BN129" s="415">
        <v>0</v>
      </c>
      <c r="BO129" s="353">
        <v>10</v>
      </c>
      <c r="BP129" s="415">
        <v>0</v>
      </c>
      <c r="BQ129" s="353">
        <v>10.3</v>
      </c>
      <c r="BR129" s="415">
        <v>0</v>
      </c>
      <c r="BS129" s="353">
        <v>10.3</v>
      </c>
      <c r="BT129" s="415">
        <v>0</v>
      </c>
      <c r="BU129" s="353">
        <v>0</v>
      </c>
      <c r="BV129" s="415">
        <v>0</v>
      </c>
      <c r="BW129" s="353">
        <v>0</v>
      </c>
      <c r="BX129" s="2"/>
      <c r="BY129" s="80"/>
      <c r="BZ129" s="65"/>
      <c r="CA129" s="40" t="s">
        <v>3</v>
      </c>
      <c r="CB129" s="65"/>
      <c r="CC129" s="40">
        <v>-152.72561983471064</v>
      </c>
      <c r="CD129" s="40">
        <v>-217.92561983471069</v>
      </c>
      <c r="CE129" s="40">
        <v>-244.32561983471066</v>
      </c>
      <c r="CF129" s="65"/>
      <c r="CG129" s="40">
        <v>-144.92561983471069</v>
      </c>
      <c r="CH129" s="40">
        <v>-334.5256198347106</v>
      </c>
      <c r="CI129" s="40">
        <v>-334.5256198347106</v>
      </c>
      <c r="CJ129" s="40">
        <v>-324.92561983471069</v>
      </c>
      <c r="CK129" s="40">
        <v>-324.92561983471069</v>
      </c>
    </row>
    <row r="130" spans="1:89" s="417" customFormat="1">
      <c r="A130" s="196" t="s">
        <v>887</v>
      </c>
      <c r="B130" s="211" t="s">
        <v>60</v>
      </c>
      <c r="C130" s="211" t="s">
        <v>580</v>
      </c>
      <c r="D130" s="41">
        <v>1279</v>
      </c>
      <c r="E130" s="41">
        <v>3.25</v>
      </c>
      <c r="F130" s="22" t="s">
        <v>387</v>
      </c>
      <c r="G130" s="40">
        <v>30</v>
      </c>
      <c r="H130" s="388">
        <v>1128.9256198347107</v>
      </c>
      <c r="I130" s="321"/>
      <c r="J130" s="40" t="s">
        <v>3</v>
      </c>
      <c r="K130" s="36" t="s">
        <v>3</v>
      </c>
      <c r="L130" s="37"/>
      <c r="M130" s="35">
        <v>489</v>
      </c>
      <c r="N130" s="136">
        <v>16.3</v>
      </c>
      <c r="O130" s="35">
        <v>299</v>
      </c>
      <c r="P130" s="136">
        <v>20.400000000000002</v>
      </c>
      <c r="Q130" s="37">
        <v>299</v>
      </c>
      <c r="R130" s="136">
        <v>19.600000000000001</v>
      </c>
      <c r="S130" s="37"/>
      <c r="T130" s="35">
        <v>0</v>
      </c>
      <c r="U130" s="136">
        <v>32.800000000000004</v>
      </c>
      <c r="V130" s="35">
        <v>0</v>
      </c>
      <c r="W130" s="136">
        <v>26.5</v>
      </c>
      <c r="X130" s="35">
        <v>0</v>
      </c>
      <c r="Y130" s="149">
        <v>26.5</v>
      </c>
      <c r="Z130" s="35">
        <v>0</v>
      </c>
      <c r="AA130" s="136">
        <v>26.8</v>
      </c>
      <c r="AB130" s="37">
        <v>0</v>
      </c>
      <c r="AC130" s="136">
        <v>26.8</v>
      </c>
      <c r="AD130" s="37"/>
      <c r="AE130" s="40">
        <v>150</v>
      </c>
      <c r="AF130" s="65"/>
      <c r="AG130" s="35">
        <v>0</v>
      </c>
      <c r="AH130" s="36">
        <v>0</v>
      </c>
      <c r="AI130" s="37"/>
      <c r="AJ130" s="35">
        <v>301</v>
      </c>
      <c r="AK130" s="36">
        <v>489</v>
      </c>
      <c r="AL130" s="35">
        <v>368</v>
      </c>
      <c r="AM130" s="36">
        <v>612.00000000000011</v>
      </c>
      <c r="AN130" s="37">
        <v>392</v>
      </c>
      <c r="AO130" s="36">
        <v>588</v>
      </c>
      <c r="AP130" s="37"/>
      <c r="AQ130" s="35">
        <v>295</v>
      </c>
      <c r="AR130" s="36">
        <v>984.00000000000011</v>
      </c>
      <c r="AS130" s="35">
        <v>484</v>
      </c>
      <c r="AT130" s="36">
        <v>795</v>
      </c>
      <c r="AU130" s="37">
        <v>484</v>
      </c>
      <c r="AV130" s="36">
        <v>795</v>
      </c>
      <c r="AW130" s="37">
        <v>475</v>
      </c>
      <c r="AX130" s="36">
        <v>804</v>
      </c>
      <c r="AY130" s="37">
        <v>475</v>
      </c>
      <c r="AZ130" s="36">
        <v>804</v>
      </c>
      <c r="BA130" s="2"/>
      <c r="BB130" s="40">
        <v>0</v>
      </c>
      <c r="BC130" s="65"/>
      <c r="BD130" s="35">
        <v>0</v>
      </c>
      <c r="BE130" s="36">
        <v>0</v>
      </c>
      <c r="BF130" s="37"/>
      <c r="BG130" s="415">
        <v>260</v>
      </c>
      <c r="BH130" s="353">
        <v>0.5</v>
      </c>
      <c r="BI130" s="415">
        <v>70</v>
      </c>
      <c r="BJ130" s="353">
        <v>5.5000000000000018</v>
      </c>
      <c r="BK130" s="415">
        <v>70</v>
      </c>
      <c r="BL130" s="353">
        <v>5.2000000000000011</v>
      </c>
      <c r="BM130" s="416"/>
      <c r="BN130" s="415">
        <v>0</v>
      </c>
      <c r="BO130" s="353">
        <v>8.0000000000000036</v>
      </c>
      <c r="BP130" s="415">
        <v>0</v>
      </c>
      <c r="BQ130" s="353">
        <v>8.1999999999999993</v>
      </c>
      <c r="BR130" s="415">
        <v>0</v>
      </c>
      <c r="BS130" s="353">
        <v>8.1999999999999993</v>
      </c>
      <c r="BT130" s="415">
        <v>0</v>
      </c>
      <c r="BU130" s="353">
        <v>0</v>
      </c>
      <c r="BV130" s="415">
        <v>0</v>
      </c>
      <c r="BW130" s="353">
        <v>0</v>
      </c>
      <c r="BX130" s="2"/>
      <c r="BY130" s="80"/>
      <c r="BZ130" s="65"/>
      <c r="CA130" s="40" t="s">
        <v>3</v>
      </c>
      <c r="CB130" s="65"/>
      <c r="CC130" s="40">
        <v>-150.92561983471069</v>
      </c>
      <c r="CD130" s="40">
        <v>-217.92561983471057</v>
      </c>
      <c r="CE130" s="40">
        <v>-241.92561983471069</v>
      </c>
      <c r="CF130" s="65"/>
      <c r="CG130" s="40">
        <v>-144.92561983471057</v>
      </c>
      <c r="CH130" s="40">
        <v>-333.92561983471069</v>
      </c>
      <c r="CI130" s="40">
        <v>-333.92561983471069</v>
      </c>
      <c r="CJ130" s="40">
        <v>-324.92561983471069</v>
      </c>
      <c r="CK130" s="40">
        <v>-324.92561983471069</v>
      </c>
    </row>
    <row r="131" spans="1:89" s="417" customFormat="1">
      <c r="A131" s="196" t="s">
        <v>888</v>
      </c>
      <c r="B131" s="211" t="s">
        <v>60</v>
      </c>
      <c r="C131" s="211" t="s">
        <v>581</v>
      </c>
      <c r="D131" s="41">
        <v>1372</v>
      </c>
      <c r="E131" s="41">
        <v>3.25</v>
      </c>
      <c r="F131" s="41" t="s">
        <v>387</v>
      </c>
      <c r="G131" s="413">
        <v>24</v>
      </c>
      <c r="H131" s="414">
        <v>1220.6611570247935</v>
      </c>
      <c r="I131" s="321"/>
      <c r="J131" s="40" t="s">
        <v>3</v>
      </c>
      <c r="K131" s="36" t="s">
        <v>3</v>
      </c>
      <c r="L131" s="37"/>
      <c r="M131" s="35">
        <v>539</v>
      </c>
      <c r="N131" s="136">
        <v>22.200000000000003</v>
      </c>
      <c r="O131" s="35">
        <v>329</v>
      </c>
      <c r="P131" s="136">
        <v>28.400000000000002</v>
      </c>
      <c r="Q131" s="37">
        <v>329</v>
      </c>
      <c r="R131" s="136">
        <v>27.3</v>
      </c>
      <c r="S131" s="37"/>
      <c r="T131" s="35">
        <v>0</v>
      </c>
      <c r="U131" s="136">
        <v>44.900000000000006</v>
      </c>
      <c r="V131" s="35">
        <v>0</v>
      </c>
      <c r="W131" s="136">
        <v>38.300000000000004</v>
      </c>
      <c r="X131" s="35">
        <v>0</v>
      </c>
      <c r="Y131" s="149">
        <v>38.300000000000004</v>
      </c>
      <c r="Z131" s="35">
        <v>0</v>
      </c>
      <c r="AA131" s="136">
        <v>38.200000000000003</v>
      </c>
      <c r="AB131" s="37">
        <v>0</v>
      </c>
      <c r="AC131" s="136">
        <v>38.200000000000003</v>
      </c>
      <c r="AD131" s="37"/>
      <c r="AE131" s="40">
        <v>151</v>
      </c>
      <c r="AF131" s="65"/>
      <c r="AG131" s="35">
        <v>0</v>
      </c>
      <c r="AH131" s="36">
        <v>0</v>
      </c>
      <c r="AI131" s="37"/>
      <c r="AJ131" s="35">
        <v>300</v>
      </c>
      <c r="AK131" s="36">
        <v>532.80000000000007</v>
      </c>
      <c r="AL131" s="35">
        <v>361</v>
      </c>
      <c r="AM131" s="36">
        <v>681.6</v>
      </c>
      <c r="AN131" s="35">
        <v>388</v>
      </c>
      <c r="AO131" s="36">
        <v>655.20000000000005</v>
      </c>
      <c r="AP131" s="37"/>
      <c r="AQ131" s="35">
        <v>294</v>
      </c>
      <c r="AR131" s="36">
        <v>1077.6000000000001</v>
      </c>
      <c r="AS131" s="35">
        <v>453</v>
      </c>
      <c r="AT131" s="36">
        <v>919.2</v>
      </c>
      <c r="AU131" s="35">
        <v>453</v>
      </c>
      <c r="AV131" s="36">
        <v>919.2</v>
      </c>
      <c r="AW131" s="35">
        <v>455</v>
      </c>
      <c r="AX131" s="36">
        <v>916.80000000000007</v>
      </c>
      <c r="AY131" s="35">
        <v>455</v>
      </c>
      <c r="AZ131" s="36">
        <v>916.80000000000007</v>
      </c>
      <c r="BA131" s="2"/>
      <c r="BB131" s="40">
        <v>0</v>
      </c>
      <c r="BC131" s="65"/>
      <c r="BD131" s="35">
        <v>0</v>
      </c>
      <c r="BE131" s="36">
        <v>0</v>
      </c>
      <c r="BF131" s="37"/>
      <c r="BG131" s="415">
        <v>210</v>
      </c>
      <c r="BH131" s="353">
        <v>-7.1999999999999993</v>
      </c>
      <c r="BI131" s="415">
        <v>0</v>
      </c>
      <c r="BJ131" s="353">
        <v>0</v>
      </c>
      <c r="BK131" s="415">
        <v>0</v>
      </c>
      <c r="BL131" s="353">
        <v>0</v>
      </c>
      <c r="BM131" s="416"/>
      <c r="BN131" s="415">
        <v>0</v>
      </c>
      <c r="BO131" s="353">
        <v>0</v>
      </c>
      <c r="BP131" s="415">
        <v>0</v>
      </c>
      <c r="BQ131" s="353">
        <v>0</v>
      </c>
      <c r="BR131" s="415">
        <v>0</v>
      </c>
      <c r="BS131" s="353">
        <v>0</v>
      </c>
      <c r="BT131" s="415">
        <v>0</v>
      </c>
      <c r="BU131" s="353">
        <v>-0.10000000000000142</v>
      </c>
      <c r="BV131" s="415">
        <v>0</v>
      </c>
      <c r="BW131" s="353">
        <v>-0.10000000000000142</v>
      </c>
      <c r="BX131" s="2"/>
      <c r="BY131" s="80"/>
      <c r="BZ131" s="65"/>
      <c r="CA131" s="40" t="s">
        <v>3</v>
      </c>
      <c r="CB131" s="65"/>
      <c r="CC131" s="40">
        <v>-148.86115702479333</v>
      </c>
      <c r="CD131" s="40">
        <v>-210.06115702479349</v>
      </c>
      <c r="CE131" s="40">
        <v>-236.46115702479347</v>
      </c>
      <c r="CF131" s="65"/>
      <c r="CG131" s="40">
        <v>-143.06115702479337</v>
      </c>
      <c r="CH131" s="40">
        <v>-301.46115702479347</v>
      </c>
      <c r="CI131" s="40">
        <v>-301.46115702479347</v>
      </c>
      <c r="CJ131" s="40">
        <v>-303.86115702479344</v>
      </c>
      <c r="CK131" s="40">
        <v>-303.86115702479344</v>
      </c>
    </row>
    <row r="132" spans="1:89" s="417" customFormat="1">
      <c r="A132" s="196" t="s">
        <v>889</v>
      </c>
      <c r="B132" s="211" t="s">
        <v>60</v>
      </c>
      <c r="C132" s="211" t="s">
        <v>581</v>
      </c>
      <c r="D132" s="41">
        <v>1372</v>
      </c>
      <c r="E132" s="41">
        <v>3.25</v>
      </c>
      <c r="F132" s="22" t="s">
        <v>387</v>
      </c>
      <c r="G132" s="40">
        <v>30</v>
      </c>
      <c r="H132" s="388">
        <v>1220.6611570247935</v>
      </c>
      <c r="I132" s="321"/>
      <c r="J132" s="40" t="s">
        <v>3</v>
      </c>
      <c r="K132" s="36" t="s">
        <v>3</v>
      </c>
      <c r="L132" s="37"/>
      <c r="M132" s="35">
        <v>539</v>
      </c>
      <c r="N132" s="136">
        <v>17.8</v>
      </c>
      <c r="O132" s="35">
        <v>329</v>
      </c>
      <c r="P132" s="136">
        <v>22.8</v>
      </c>
      <c r="Q132" s="37">
        <v>329</v>
      </c>
      <c r="R132" s="136">
        <v>21.900000000000002</v>
      </c>
      <c r="S132" s="37"/>
      <c r="T132" s="35">
        <v>0</v>
      </c>
      <c r="U132" s="136">
        <v>36</v>
      </c>
      <c r="V132" s="35">
        <v>0</v>
      </c>
      <c r="W132" s="136">
        <v>30.700000000000003</v>
      </c>
      <c r="X132" s="35">
        <v>0</v>
      </c>
      <c r="Y132" s="149">
        <v>30.700000000000003</v>
      </c>
      <c r="Z132" s="35">
        <v>0</v>
      </c>
      <c r="AA132" s="136">
        <v>30.6</v>
      </c>
      <c r="AB132" s="37">
        <v>0</v>
      </c>
      <c r="AC132" s="136">
        <v>30.6</v>
      </c>
      <c r="AD132" s="37"/>
      <c r="AE132" s="40">
        <v>151</v>
      </c>
      <c r="AF132" s="65"/>
      <c r="AG132" s="35">
        <v>0</v>
      </c>
      <c r="AH132" s="36">
        <v>0</v>
      </c>
      <c r="AI132" s="37"/>
      <c r="AJ132" s="35">
        <v>299</v>
      </c>
      <c r="AK132" s="36">
        <v>534</v>
      </c>
      <c r="AL132" s="35">
        <v>359</v>
      </c>
      <c r="AM132" s="36">
        <v>684</v>
      </c>
      <c r="AN132" s="37">
        <v>386</v>
      </c>
      <c r="AO132" s="36">
        <v>657.00000000000011</v>
      </c>
      <c r="AP132" s="37"/>
      <c r="AQ132" s="35">
        <v>292</v>
      </c>
      <c r="AR132" s="36">
        <v>1080</v>
      </c>
      <c r="AS132" s="35">
        <v>451</v>
      </c>
      <c r="AT132" s="36">
        <v>921.00000000000011</v>
      </c>
      <c r="AU132" s="37">
        <v>451</v>
      </c>
      <c r="AV132" s="36">
        <v>921.00000000000011</v>
      </c>
      <c r="AW132" s="37">
        <v>454</v>
      </c>
      <c r="AX132" s="36">
        <v>918</v>
      </c>
      <c r="AY132" s="37">
        <v>454</v>
      </c>
      <c r="AZ132" s="36">
        <v>918</v>
      </c>
      <c r="BA132" s="2"/>
      <c r="BB132" s="40">
        <v>0</v>
      </c>
      <c r="BC132" s="65"/>
      <c r="BD132" s="35">
        <v>0</v>
      </c>
      <c r="BE132" s="36">
        <v>0</v>
      </c>
      <c r="BF132" s="37"/>
      <c r="BG132" s="415">
        <v>210</v>
      </c>
      <c r="BH132" s="353">
        <v>-5.8000000000000007</v>
      </c>
      <c r="BI132" s="415">
        <v>0</v>
      </c>
      <c r="BJ132" s="353">
        <v>0</v>
      </c>
      <c r="BK132" s="415">
        <v>0</v>
      </c>
      <c r="BL132" s="353">
        <v>0</v>
      </c>
      <c r="BM132" s="416"/>
      <c r="BN132" s="415">
        <v>0</v>
      </c>
      <c r="BO132" s="353">
        <v>0</v>
      </c>
      <c r="BP132" s="415">
        <v>0</v>
      </c>
      <c r="BQ132" s="353">
        <v>0</v>
      </c>
      <c r="BR132" s="415">
        <v>0</v>
      </c>
      <c r="BS132" s="353">
        <v>0</v>
      </c>
      <c r="BT132" s="415">
        <v>0</v>
      </c>
      <c r="BU132" s="353">
        <v>0</v>
      </c>
      <c r="BV132" s="415">
        <v>0</v>
      </c>
      <c r="BW132" s="353">
        <v>0</v>
      </c>
      <c r="BX132" s="2"/>
      <c r="BY132" s="80"/>
      <c r="BZ132" s="65"/>
      <c r="CA132" s="40" t="s">
        <v>3</v>
      </c>
      <c r="CB132" s="65"/>
      <c r="CC132" s="40">
        <v>-147.66115702479351</v>
      </c>
      <c r="CD132" s="40">
        <v>-207.66115702479351</v>
      </c>
      <c r="CE132" s="40">
        <v>-234.6611570247934</v>
      </c>
      <c r="CF132" s="65"/>
      <c r="CG132" s="40">
        <v>-140.66115702479351</v>
      </c>
      <c r="CH132" s="40">
        <v>-299.6611570247934</v>
      </c>
      <c r="CI132" s="40">
        <v>-299.6611570247934</v>
      </c>
      <c r="CJ132" s="40">
        <v>-302.66115702479351</v>
      </c>
      <c r="CK132" s="40">
        <v>-302.66115702479351</v>
      </c>
    </row>
    <row r="133" spans="1:89" s="2" customFormat="1">
      <c r="A133" s="196" t="s">
        <v>1197</v>
      </c>
      <c r="B133" s="211" t="s">
        <v>60</v>
      </c>
      <c r="C133" s="211" t="s">
        <v>587</v>
      </c>
      <c r="D133" s="41">
        <v>343</v>
      </c>
      <c r="E133" s="41">
        <v>3.25</v>
      </c>
      <c r="F133" s="22" t="s">
        <v>387</v>
      </c>
      <c r="G133" s="40">
        <v>24</v>
      </c>
      <c r="H133" s="388">
        <v>282.64462809917359</v>
      </c>
      <c r="I133" s="321"/>
      <c r="J133" s="40" t="s">
        <v>3</v>
      </c>
      <c r="K133" s="36" t="s">
        <v>3</v>
      </c>
      <c r="L133" s="37"/>
      <c r="M133" s="35">
        <v>109</v>
      </c>
      <c r="N133" s="136">
        <v>9</v>
      </c>
      <c r="O133" s="35">
        <v>0</v>
      </c>
      <c r="P133" s="136">
        <v>9</v>
      </c>
      <c r="Q133" s="37">
        <v>19</v>
      </c>
      <c r="R133" s="136">
        <v>9</v>
      </c>
      <c r="S133" s="37"/>
      <c r="T133" s="35">
        <v>0</v>
      </c>
      <c r="U133" s="136">
        <v>11.600000000000001</v>
      </c>
      <c r="V133" s="35">
        <v>0</v>
      </c>
      <c r="W133" s="136">
        <v>10.600000000000001</v>
      </c>
      <c r="X133" s="35">
        <v>0</v>
      </c>
      <c r="Y133" s="149">
        <v>2.5</v>
      </c>
      <c r="Z133" s="35">
        <v>0</v>
      </c>
      <c r="AA133" s="136">
        <v>2.5</v>
      </c>
      <c r="AB133" s="37">
        <v>0</v>
      </c>
      <c r="AC133" s="136">
        <v>2.5</v>
      </c>
      <c r="AD133" s="37"/>
      <c r="AE133" s="40">
        <v>60</v>
      </c>
      <c r="AF133" s="65"/>
      <c r="AG133" s="35">
        <v>0</v>
      </c>
      <c r="AH133" s="36">
        <v>0</v>
      </c>
      <c r="AI133" s="37"/>
      <c r="AJ133" s="35">
        <v>18</v>
      </c>
      <c r="AK133" s="36">
        <v>216</v>
      </c>
      <c r="AL133" s="35">
        <v>127</v>
      </c>
      <c r="AM133" s="36">
        <v>216</v>
      </c>
      <c r="AN133" s="35">
        <v>108</v>
      </c>
      <c r="AO133" s="36">
        <v>216</v>
      </c>
      <c r="AP133" s="37"/>
      <c r="AQ133" s="35">
        <v>65</v>
      </c>
      <c r="AR133" s="36">
        <v>278.40000000000003</v>
      </c>
      <c r="AS133" s="35">
        <v>89</v>
      </c>
      <c r="AT133" s="36">
        <v>254.40000000000003</v>
      </c>
      <c r="AU133" s="35">
        <v>283</v>
      </c>
      <c r="AV133" s="36">
        <v>60</v>
      </c>
      <c r="AW133" s="35">
        <v>283</v>
      </c>
      <c r="AX133" s="36">
        <v>60</v>
      </c>
      <c r="AY133" s="35">
        <v>283</v>
      </c>
      <c r="AZ133" s="36">
        <v>60</v>
      </c>
      <c r="BB133" s="40">
        <v>0</v>
      </c>
      <c r="BC133" s="65"/>
      <c r="BD133" s="35">
        <v>0</v>
      </c>
      <c r="BE133" s="36">
        <v>0</v>
      </c>
      <c r="BF133" s="37"/>
      <c r="BG133" s="415">
        <v>109</v>
      </c>
      <c r="BH133" s="353">
        <v>9</v>
      </c>
      <c r="BI133" s="415">
        <v>0</v>
      </c>
      <c r="BJ133" s="353">
        <v>9</v>
      </c>
      <c r="BK133" s="415">
        <v>0</v>
      </c>
      <c r="BL133" s="353">
        <v>2.0999999999999996</v>
      </c>
      <c r="BM133" s="416"/>
      <c r="BN133" s="415">
        <v>0</v>
      </c>
      <c r="BO133" s="353">
        <v>0</v>
      </c>
      <c r="BP133" s="415">
        <v>0</v>
      </c>
      <c r="BQ133" s="353">
        <v>0</v>
      </c>
      <c r="BR133" s="415">
        <v>0</v>
      </c>
      <c r="BS133" s="353">
        <v>-6.8000000000000007</v>
      </c>
      <c r="BT133" s="415">
        <v>0</v>
      </c>
      <c r="BU133" s="353">
        <v>0</v>
      </c>
      <c r="BV133" s="415">
        <v>0</v>
      </c>
      <c r="BW133" s="353">
        <v>0</v>
      </c>
      <c r="BY133" s="80"/>
      <c r="BZ133" s="65"/>
      <c r="CA133" s="40" t="s">
        <v>3</v>
      </c>
      <c r="CB133" s="65"/>
      <c r="CC133" s="40">
        <v>42.355371900826412</v>
      </c>
      <c r="CD133" s="40">
        <v>-66.644628099173588</v>
      </c>
      <c r="CE133" s="40">
        <v>-47.644628099173588</v>
      </c>
      <c r="CF133" s="65"/>
      <c r="CG133" s="40">
        <v>-4.2446280991735534</v>
      </c>
      <c r="CH133" s="40">
        <v>-28.244628099173553</v>
      </c>
      <c r="CI133" s="40">
        <v>-222.64462809917359</v>
      </c>
      <c r="CJ133" s="40">
        <v>-222.64462809917359</v>
      </c>
      <c r="CK133" s="40">
        <v>-222.64462809917359</v>
      </c>
    </row>
    <row r="134" spans="1:89" s="2" customFormat="1">
      <c r="A134" s="196" t="s">
        <v>1211</v>
      </c>
      <c r="B134" s="211" t="s">
        <v>60</v>
      </c>
      <c r="C134" s="211" t="s">
        <v>653</v>
      </c>
      <c r="D134" s="41">
        <v>1086</v>
      </c>
      <c r="E134" s="41">
        <v>3.25</v>
      </c>
      <c r="F134" s="41" t="s">
        <v>387</v>
      </c>
      <c r="G134" s="413">
        <v>24</v>
      </c>
      <c r="H134" s="414">
        <v>985.95041322314057</v>
      </c>
      <c r="I134" s="321"/>
      <c r="J134" s="40" t="s">
        <v>3</v>
      </c>
      <c r="K134" s="36" t="s">
        <v>3</v>
      </c>
      <c r="L134" s="37"/>
      <c r="M134" s="35">
        <v>419</v>
      </c>
      <c r="N134" s="136">
        <v>17.400000000000002</v>
      </c>
      <c r="O134" s="35">
        <v>249</v>
      </c>
      <c r="P134" s="136">
        <v>21.5</v>
      </c>
      <c r="Q134" s="37">
        <v>249</v>
      </c>
      <c r="R134" s="136">
        <v>20.5</v>
      </c>
      <c r="S134" s="37"/>
      <c r="T134" s="35">
        <v>0</v>
      </c>
      <c r="U134" s="136">
        <v>35</v>
      </c>
      <c r="V134" s="35">
        <v>0</v>
      </c>
      <c r="W134" s="136">
        <v>26.900000000000002</v>
      </c>
      <c r="X134" s="35">
        <v>0</v>
      </c>
      <c r="Y134" s="149">
        <v>26.900000000000002</v>
      </c>
      <c r="Z134" s="35">
        <v>0</v>
      </c>
      <c r="AA134" s="136">
        <v>26.900000000000002</v>
      </c>
      <c r="AB134" s="37">
        <v>0</v>
      </c>
      <c r="AC134" s="136">
        <v>26.900000000000002</v>
      </c>
      <c r="AD134" s="37"/>
      <c r="AE134" s="40">
        <v>100</v>
      </c>
      <c r="AF134" s="65"/>
      <c r="AG134" s="35">
        <v>0</v>
      </c>
      <c r="AH134" s="36">
        <v>0</v>
      </c>
      <c r="AI134" s="37"/>
      <c r="AJ134" s="35">
        <v>249</v>
      </c>
      <c r="AK134" s="36">
        <v>417.6</v>
      </c>
      <c r="AL134" s="35">
        <v>321</v>
      </c>
      <c r="AM134" s="36">
        <v>516</v>
      </c>
      <c r="AN134" s="37">
        <v>345</v>
      </c>
      <c r="AO134" s="36">
        <v>492</v>
      </c>
      <c r="AP134" s="37"/>
      <c r="AQ134" s="35">
        <v>246</v>
      </c>
      <c r="AR134" s="36">
        <v>840</v>
      </c>
      <c r="AS134" s="35">
        <v>440</v>
      </c>
      <c r="AT134" s="36">
        <v>645.6</v>
      </c>
      <c r="AU134" s="37">
        <v>440</v>
      </c>
      <c r="AV134" s="36">
        <v>645.6</v>
      </c>
      <c r="AW134" s="37">
        <v>440</v>
      </c>
      <c r="AX134" s="36">
        <v>645.6</v>
      </c>
      <c r="AY134" s="37">
        <v>440</v>
      </c>
      <c r="AZ134" s="36">
        <v>645.6</v>
      </c>
      <c r="BB134" s="40">
        <v>0</v>
      </c>
      <c r="BC134" s="65"/>
      <c r="BD134" s="35">
        <v>0</v>
      </c>
      <c r="BE134" s="36">
        <v>0</v>
      </c>
      <c r="BF134" s="37"/>
      <c r="BG134" s="415">
        <v>170</v>
      </c>
      <c r="BH134" s="353">
        <v>-5.1999999999999993</v>
      </c>
      <c r="BI134" s="415">
        <v>0</v>
      </c>
      <c r="BJ134" s="353">
        <v>0</v>
      </c>
      <c r="BK134" s="415">
        <v>0</v>
      </c>
      <c r="BL134" s="353">
        <v>0</v>
      </c>
      <c r="BM134" s="416"/>
      <c r="BN134" s="415">
        <v>0</v>
      </c>
      <c r="BO134" s="353">
        <v>0</v>
      </c>
      <c r="BP134" s="415">
        <v>0</v>
      </c>
      <c r="BQ134" s="353">
        <v>0</v>
      </c>
      <c r="BR134" s="415">
        <v>0</v>
      </c>
      <c r="BS134" s="353">
        <v>0</v>
      </c>
      <c r="BT134" s="415">
        <v>0</v>
      </c>
      <c r="BU134" s="353">
        <v>0</v>
      </c>
      <c r="BV134" s="415">
        <v>0</v>
      </c>
      <c r="BW134" s="353">
        <v>0</v>
      </c>
      <c r="BY134" s="80"/>
      <c r="BZ134" s="65"/>
      <c r="CA134" s="40" t="s">
        <v>3</v>
      </c>
      <c r="CB134" s="65"/>
      <c r="CC134" s="40">
        <v>-149.35041322314055</v>
      </c>
      <c r="CD134" s="40">
        <v>-220.95041322314057</v>
      </c>
      <c r="CE134" s="40">
        <v>-244.95041322314057</v>
      </c>
      <c r="CF134" s="65"/>
      <c r="CG134" s="40">
        <v>-145.95041322314057</v>
      </c>
      <c r="CH134" s="40">
        <v>-340.35041322314055</v>
      </c>
      <c r="CI134" s="40">
        <v>-340.35041322314055</v>
      </c>
      <c r="CJ134" s="40">
        <v>-340.35041322314055</v>
      </c>
      <c r="CK134" s="40">
        <v>-340.35041322314055</v>
      </c>
    </row>
    <row r="135" spans="1:89" s="2" customFormat="1" ht="13.15" customHeight="1">
      <c r="A135" s="196" t="s">
        <v>1212</v>
      </c>
      <c r="B135" s="211" t="s">
        <v>60</v>
      </c>
      <c r="C135" s="211" t="s">
        <v>653</v>
      </c>
      <c r="D135" s="41">
        <v>1086</v>
      </c>
      <c r="E135" s="41">
        <v>3.25</v>
      </c>
      <c r="F135" s="22" t="s">
        <v>387</v>
      </c>
      <c r="G135" s="40">
        <v>30</v>
      </c>
      <c r="H135" s="388">
        <v>985.95041322314057</v>
      </c>
      <c r="I135" s="321"/>
      <c r="J135" s="40" t="s">
        <v>3</v>
      </c>
      <c r="K135" s="36" t="s">
        <v>3</v>
      </c>
      <c r="L135" s="37"/>
      <c r="M135" s="35">
        <v>419</v>
      </c>
      <c r="N135" s="136">
        <v>14</v>
      </c>
      <c r="O135" s="35">
        <v>249</v>
      </c>
      <c r="P135" s="136">
        <v>17.2</v>
      </c>
      <c r="Q135" s="37">
        <v>249</v>
      </c>
      <c r="R135" s="136">
        <v>16.400000000000002</v>
      </c>
      <c r="S135" s="37"/>
      <c r="T135" s="35">
        <v>0</v>
      </c>
      <c r="U135" s="136">
        <v>28</v>
      </c>
      <c r="V135" s="35">
        <v>0</v>
      </c>
      <c r="W135" s="136">
        <v>21.6</v>
      </c>
      <c r="X135" s="35">
        <v>0</v>
      </c>
      <c r="Y135" s="149">
        <v>21.6</v>
      </c>
      <c r="Z135" s="35">
        <v>0</v>
      </c>
      <c r="AA135" s="136">
        <v>21.5</v>
      </c>
      <c r="AB135" s="37">
        <v>0</v>
      </c>
      <c r="AC135" s="136">
        <v>21.5</v>
      </c>
      <c r="AD135" s="37"/>
      <c r="AE135" s="40">
        <v>100</v>
      </c>
      <c r="AF135" s="65"/>
      <c r="AG135" s="35">
        <v>0</v>
      </c>
      <c r="AH135" s="36">
        <v>0</v>
      </c>
      <c r="AI135" s="37"/>
      <c r="AJ135" s="35">
        <v>247</v>
      </c>
      <c r="AK135" s="36">
        <v>420</v>
      </c>
      <c r="AL135" s="35">
        <v>321</v>
      </c>
      <c r="AM135" s="36">
        <v>516</v>
      </c>
      <c r="AN135" s="35">
        <v>345</v>
      </c>
      <c r="AO135" s="36">
        <v>492.00000000000006</v>
      </c>
      <c r="AP135" s="37"/>
      <c r="AQ135" s="35">
        <v>246</v>
      </c>
      <c r="AR135" s="36">
        <v>840</v>
      </c>
      <c r="AS135" s="35">
        <v>438</v>
      </c>
      <c r="AT135" s="36">
        <v>648</v>
      </c>
      <c r="AU135" s="35">
        <v>438</v>
      </c>
      <c r="AV135" s="36">
        <v>648</v>
      </c>
      <c r="AW135" s="35">
        <v>441</v>
      </c>
      <c r="AX135" s="36">
        <v>645</v>
      </c>
      <c r="AY135" s="35">
        <v>441</v>
      </c>
      <c r="AZ135" s="36">
        <v>645</v>
      </c>
      <c r="BB135" s="40">
        <v>0</v>
      </c>
      <c r="BC135" s="65"/>
      <c r="BD135" s="35">
        <v>0</v>
      </c>
      <c r="BE135" s="36">
        <v>0</v>
      </c>
      <c r="BF135" s="37"/>
      <c r="BG135" s="415">
        <v>170</v>
      </c>
      <c r="BH135" s="353">
        <v>-4.1000000000000014</v>
      </c>
      <c r="BI135" s="415">
        <v>0</v>
      </c>
      <c r="BJ135" s="353">
        <v>0</v>
      </c>
      <c r="BK135" s="415">
        <v>0</v>
      </c>
      <c r="BL135" s="353">
        <v>0</v>
      </c>
      <c r="BM135" s="416"/>
      <c r="BN135" s="415">
        <v>0</v>
      </c>
      <c r="BO135" s="353">
        <v>0</v>
      </c>
      <c r="BP135" s="415">
        <v>0</v>
      </c>
      <c r="BQ135" s="353">
        <v>0</v>
      </c>
      <c r="BR135" s="415">
        <v>0</v>
      </c>
      <c r="BS135" s="353">
        <v>0</v>
      </c>
      <c r="BT135" s="415">
        <v>0</v>
      </c>
      <c r="BU135" s="353">
        <v>0</v>
      </c>
      <c r="BV135" s="415">
        <v>0</v>
      </c>
      <c r="BW135" s="353">
        <v>0</v>
      </c>
      <c r="BY135" s="80"/>
      <c r="BZ135" s="65"/>
      <c r="CA135" s="40" t="s">
        <v>3</v>
      </c>
      <c r="CB135" s="65"/>
      <c r="CC135" s="40">
        <v>-146.95041322314057</v>
      </c>
      <c r="CD135" s="40">
        <v>-220.95041322314057</v>
      </c>
      <c r="CE135" s="40">
        <v>-244.95041322314057</v>
      </c>
      <c r="CF135" s="65"/>
      <c r="CG135" s="40">
        <v>-145.95041322314057</v>
      </c>
      <c r="CH135" s="40">
        <v>-337.95041322314057</v>
      </c>
      <c r="CI135" s="40">
        <v>-337.95041322314057</v>
      </c>
      <c r="CJ135" s="40">
        <v>-340.95041322314057</v>
      </c>
      <c r="CK135" s="40">
        <v>-340.95041322314057</v>
      </c>
    </row>
    <row r="136" spans="1:89" s="2" customFormat="1">
      <c r="A136" s="196" t="s">
        <v>1213</v>
      </c>
      <c r="B136" s="211" t="s">
        <v>60</v>
      </c>
      <c r="C136" s="211" t="s">
        <v>654</v>
      </c>
      <c r="D136" s="41">
        <v>1179</v>
      </c>
      <c r="E136" s="41">
        <v>3.25</v>
      </c>
      <c r="F136" s="41" t="s">
        <v>387</v>
      </c>
      <c r="G136" s="413">
        <v>24</v>
      </c>
      <c r="H136" s="414">
        <v>1078.5123966942149</v>
      </c>
      <c r="I136" s="321"/>
      <c r="J136" s="40" t="s">
        <v>3</v>
      </c>
      <c r="K136" s="36" t="s">
        <v>3</v>
      </c>
      <c r="L136" s="37"/>
      <c r="M136" s="35">
        <v>469</v>
      </c>
      <c r="N136" s="136">
        <v>19.3</v>
      </c>
      <c r="O136" s="35">
        <v>289</v>
      </c>
      <c r="P136" s="136">
        <v>23.8</v>
      </c>
      <c r="Q136" s="37">
        <v>289</v>
      </c>
      <c r="R136" s="136">
        <v>23.200000000000003</v>
      </c>
      <c r="S136" s="37"/>
      <c r="T136" s="35">
        <v>0</v>
      </c>
      <c r="U136" s="136">
        <v>38.900000000000006</v>
      </c>
      <c r="V136" s="35">
        <v>0</v>
      </c>
      <c r="W136" s="136">
        <v>31</v>
      </c>
      <c r="X136" s="35">
        <v>0</v>
      </c>
      <c r="Y136" s="149">
        <v>31</v>
      </c>
      <c r="Z136" s="35">
        <v>0</v>
      </c>
      <c r="AA136" s="136">
        <v>31</v>
      </c>
      <c r="AB136" s="37">
        <v>0</v>
      </c>
      <c r="AC136" s="136">
        <v>31</v>
      </c>
      <c r="AD136" s="37"/>
      <c r="AE136" s="40">
        <v>100</v>
      </c>
      <c r="AF136" s="65"/>
      <c r="AG136" s="35">
        <v>0</v>
      </c>
      <c r="AH136" s="36">
        <v>0</v>
      </c>
      <c r="AI136" s="37"/>
      <c r="AJ136" s="35">
        <v>247</v>
      </c>
      <c r="AK136" s="36">
        <v>463.20000000000005</v>
      </c>
      <c r="AL136" s="35">
        <v>319</v>
      </c>
      <c r="AM136" s="36">
        <v>571.20000000000005</v>
      </c>
      <c r="AN136" s="37">
        <v>333</v>
      </c>
      <c r="AO136" s="36">
        <v>556.80000000000007</v>
      </c>
      <c r="AP136" s="37"/>
      <c r="AQ136" s="35">
        <v>245</v>
      </c>
      <c r="AR136" s="36">
        <v>933.60000000000014</v>
      </c>
      <c r="AS136" s="35">
        <v>435</v>
      </c>
      <c r="AT136" s="36">
        <v>744</v>
      </c>
      <c r="AU136" s="37">
        <v>435</v>
      </c>
      <c r="AV136" s="36">
        <v>744</v>
      </c>
      <c r="AW136" s="37">
        <v>435</v>
      </c>
      <c r="AX136" s="36">
        <v>744</v>
      </c>
      <c r="AY136" s="37">
        <v>435</v>
      </c>
      <c r="AZ136" s="36">
        <v>744</v>
      </c>
      <c r="BB136" s="40">
        <v>0</v>
      </c>
      <c r="BC136" s="65"/>
      <c r="BD136" s="35">
        <v>0</v>
      </c>
      <c r="BE136" s="36">
        <v>0</v>
      </c>
      <c r="BF136" s="37"/>
      <c r="BG136" s="415">
        <v>180</v>
      </c>
      <c r="BH136" s="353">
        <v>-5.5</v>
      </c>
      <c r="BI136" s="415">
        <v>0</v>
      </c>
      <c r="BJ136" s="353">
        <v>0</v>
      </c>
      <c r="BK136" s="415">
        <v>0</v>
      </c>
      <c r="BL136" s="353">
        <v>0</v>
      </c>
      <c r="BM136" s="416"/>
      <c r="BN136" s="415">
        <v>0</v>
      </c>
      <c r="BO136" s="353">
        <v>0</v>
      </c>
      <c r="BP136" s="415">
        <v>0</v>
      </c>
      <c r="BQ136" s="353">
        <v>0</v>
      </c>
      <c r="BR136" s="415">
        <v>0</v>
      </c>
      <c r="BS136" s="353">
        <v>0</v>
      </c>
      <c r="BT136" s="415">
        <v>0</v>
      </c>
      <c r="BU136" s="353">
        <v>1</v>
      </c>
      <c r="BV136" s="415">
        <v>0</v>
      </c>
      <c r="BW136" s="353">
        <v>1</v>
      </c>
      <c r="BY136" s="80"/>
      <c r="BZ136" s="65"/>
      <c r="CA136" s="40" t="s">
        <v>3</v>
      </c>
      <c r="CB136" s="65"/>
      <c r="CC136" s="40">
        <v>-146.31239669421484</v>
      </c>
      <c r="CD136" s="40">
        <v>-218.31239669421484</v>
      </c>
      <c r="CE136" s="40">
        <v>-232.71239669421482</v>
      </c>
      <c r="CF136" s="65"/>
      <c r="CG136" s="40">
        <v>-144.91239669421475</v>
      </c>
      <c r="CH136" s="40">
        <v>-334.51239669421489</v>
      </c>
      <c r="CI136" s="40">
        <v>-334.51239669421489</v>
      </c>
      <c r="CJ136" s="40">
        <v>-334.51239669421489</v>
      </c>
      <c r="CK136" s="40">
        <v>-334.51239669421489</v>
      </c>
    </row>
    <row r="137" spans="1:89" s="2" customFormat="1">
      <c r="A137" s="196" t="s">
        <v>890</v>
      </c>
      <c r="B137" s="211" t="s">
        <v>60</v>
      </c>
      <c r="C137" s="211" t="s">
        <v>654</v>
      </c>
      <c r="D137" s="41">
        <v>1179</v>
      </c>
      <c r="E137" s="41">
        <v>3.25</v>
      </c>
      <c r="F137" s="22" t="s">
        <v>387</v>
      </c>
      <c r="G137" s="40">
        <v>30</v>
      </c>
      <c r="H137" s="388">
        <v>1078.5123966942149</v>
      </c>
      <c r="I137" s="321"/>
      <c r="J137" s="40" t="s">
        <v>3</v>
      </c>
      <c r="K137" s="36" t="s">
        <v>3</v>
      </c>
      <c r="L137" s="37"/>
      <c r="M137" s="35">
        <v>469</v>
      </c>
      <c r="N137" s="136">
        <v>15.5</v>
      </c>
      <c r="O137" s="35">
        <v>289</v>
      </c>
      <c r="P137" s="136">
        <v>19.100000000000001</v>
      </c>
      <c r="Q137" s="37">
        <v>289</v>
      </c>
      <c r="R137" s="136">
        <v>18.600000000000001</v>
      </c>
      <c r="S137" s="37"/>
      <c r="T137" s="35">
        <v>0</v>
      </c>
      <c r="U137" s="136">
        <v>31.200000000000003</v>
      </c>
      <c r="V137" s="35">
        <v>0</v>
      </c>
      <c r="W137" s="136">
        <v>24.8</v>
      </c>
      <c r="X137" s="35">
        <v>0</v>
      </c>
      <c r="Y137" s="149">
        <v>24.8</v>
      </c>
      <c r="Z137" s="35">
        <v>0</v>
      </c>
      <c r="AA137" s="136">
        <v>24.8</v>
      </c>
      <c r="AB137" s="37">
        <v>0</v>
      </c>
      <c r="AC137" s="136">
        <v>24.8</v>
      </c>
      <c r="AD137" s="37"/>
      <c r="AE137" s="40">
        <v>100</v>
      </c>
      <c r="AF137" s="65"/>
      <c r="AG137" s="35">
        <v>0</v>
      </c>
      <c r="AH137" s="36">
        <v>0</v>
      </c>
      <c r="AI137" s="37"/>
      <c r="AJ137" s="35">
        <v>245</v>
      </c>
      <c r="AK137" s="36">
        <v>465</v>
      </c>
      <c r="AL137" s="35">
        <v>317</v>
      </c>
      <c r="AM137" s="36">
        <v>573</v>
      </c>
      <c r="AN137" s="35">
        <v>332</v>
      </c>
      <c r="AO137" s="36">
        <v>558</v>
      </c>
      <c r="AP137" s="37"/>
      <c r="AQ137" s="35">
        <v>243</v>
      </c>
      <c r="AR137" s="36">
        <v>936.00000000000011</v>
      </c>
      <c r="AS137" s="35">
        <v>435</v>
      </c>
      <c r="AT137" s="36">
        <v>744</v>
      </c>
      <c r="AU137" s="35">
        <v>435</v>
      </c>
      <c r="AV137" s="36">
        <v>744</v>
      </c>
      <c r="AW137" s="35">
        <v>435</v>
      </c>
      <c r="AX137" s="36">
        <v>744</v>
      </c>
      <c r="AY137" s="35">
        <v>435</v>
      </c>
      <c r="AZ137" s="36">
        <v>744</v>
      </c>
      <c r="BB137" s="40">
        <v>0</v>
      </c>
      <c r="BC137" s="65"/>
      <c r="BD137" s="35">
        <v>0</v>
      </c>
      <c r="BE137" s="36">
        <v>0</v>
      </c>
      <c r="BF137" s="37"/>
      <c r="BG137" s="415">
        <v>180</v>
      </c>
      <c r="BH137" s="353">
        <v>-4.4000000000000021</v>
      </c>
      <c r="BI137" s="415">
        <v>0</v>
      </c>
      <c r="BJ137" s="353">
        <v>0</v>
      </c>
      <c r="BK137" s="415">
        <v>0</v>
      </c>
      <c r="BL137" s="353">
        <v>0</v>
      </c>
      <c r="BM137" s="416"/>
      <c r="BN137" s="415">
        <v>0</v>
      </c>
      <c r="BO137" s="353">
        <v>0</v>
      </c>
      <c r="BP137" s="415">
        <v>0</v>
      </c>
      <c r="BQ137" s="353">
        <v>0</v>
      </c>
      <c r="BR137" s="415">
        <v>0</v>
      </c>
      <c r="BS137" s="353">
        <v>0</v>
      </c>
      <c r="BT137" s="415">
        <v>0</v>
      </c>
      <c r="BU137" s="353">
        <v>0.80000000000000071</v>
      </c>
      <c r="BV137" s="415">
        <v>0</v>
      </c>
      <c r="BW137" s="353">
        <v>0.80000000000000071</v>
      </c>
      <c r="BY137" s="80"/>
      <c r="BZ137" s="65"/>
      <c r="CA137" s="40" t="s">
        <v>3</v>
      </c>
      <c r="CB137" s="65"/>
      <c r="CC137" s="40">
        <v>-144.51239669421489</v>
      </c>
      <c r="CD137" s="40">
        <v>-216.51239669421489</v>
      </c>
      <c r="CE137" s="40">
        <v>-231.51239669421489</v>
      </c>
      <c r="CF137" s="65"/>
      <c r="CG137" s="40">
        <v>-142.51239669421477</v>
      </c>
      <c r="CH137" s="40">
        <v>-334.51239669421489</v>
      </c>
      <c r="CI137" s="40">
        <v>-334.51239669421489</v>
      </c>
      <c r="CJ137" s="40">
        <v>-334.51239669421489</v>
      </c>
      <c r="CK137" s="40">
        <v>-334.51239669421489</v>
      </c>
    </row>
    <row r="138" spans="1:89" s="2" customFormat="1">
      <c r="A138" s="196" t="s">
        <v>891</v>
      </c>
      <c r="B138" s="211" t="s">
        <v>60</v>
      </c>
      <c r="C138" s="211" t="s">
        <v>655</v>
      </c>
      <c r="D138" s="41">
        <v>1980</v>
      </c>
      <c r="E138" s="41">
        <v>3.25</v>
      </c>
      <c r="F138" s="41" t="s">
        <v>387</v>
      </c>
      <c r="G138" s="413">
        <v>24</v>
      </c>
      <c r="H138" s="414">
        <v>1680.1652892561983</v>
      </c>
      <c r="I138" s="321"/>
      <c r="J138" s="40" t="s">
        <v>3</v>
      </c>
      <c r="K138" s="36" t="s">
        <v>3</v>
      </c>
      <c r="L138" s="37"/>
      <c r="M138" s="35">
        <v>759</v>
      </c>
      <c r="N138" s="136">
        <v>31.900000000000002</v>
      </c>
      <c r="O138" s="35">
        <v>469</v>
      </c>
      <c r="P138" s="136">
        <v>41.400000000000006</v>
      </c>
      <c r="Q138" s="37">
        <v>469</v>
      </c>
      <c r="R138" s="136">
        <v>40.800000000000004</v>
      </c>
      <c r="S138" s="37"/>
      <c r="T138" s="35">
        <v>0</v>
      </c>
      <c r="U138" s="136">
        <v>63.900000000000006</v>
      </c>
      <c r="V138" s="35">
        <v>0</v>
      </c>
      <c r="W138" s="136">
        <v>56.900000000000006</v>
      </c>
      <c r="X138" s="35">
        <v>0</v>
      </c>
      <c r="Y138" s="149">
        <v>56.900000000000006</v>
      </c>
      <c r="Z138" s="35">
        <v>0</v>
      </c>
      <c r="AA138" s="136">
        <v>56.800000000000004</v>
      </c>
      <c r="AB138" s="37">
        <v>0</v>
      </c>
      <c r="AC138" s="136">
        <v>56.800000000000004</v>
      </c>
      <c r="AD138" s="37"/>
      <c r="AE138" s="40">
        <v>300</v>
      </c>
      <c r="AF138" s="65"/>
      <c r="AG138" s="35">
        <v>0</v>
      </c>
      <c r="AH138" s="36">
        <v>0</v>
      </c>
      <c r="AI138" s="37"/>
      <c r="AJ138" s="35">
        <v>455</v>
      </c>
      <c r="AK138" s="36">
        <v>765.6</v>
      </c>
      <c r="AL138" s="35">
        <v>517</v>
      </c>
      <c r="AM138" s="36">
        <v>993.60000000000014</v>
      </c>
      <c r="AN138" s="37">
        <v>532</v>
      </c>
      <c r="AO138" s="36">
        <v>979.2</v>
      </c>
      <c r="AP138" s="37"/>
      <c r="AQ138" s="35">
        <v>446</v>
      </c>
      <c r="AR138" s="36">
        <v>1533.6000000000001</v>
      </c>
      <c r="AS138" s="35">
        <v>614</v>
      </c>
      <c r="AT138" s="36">
        <v>1365.6000000000001</v>
      </c>
      <c r="AU138" s="37">
        <v>614</v>
      </c>
      <c r="AV138" s="36">
        <v>1365.6000000000001</v>
      </c>
      <c r="AW138" s="37">
        <v>617</v>
      </c>
      <c r="AX138" s="36">
        <v>1363.2</v>
      </c>
      <c r="AY138" s="37">
        <v>617</v>
      </c>
      <c r="AZ138" s="36">
        <v>1363.2</v>
      </c>
      <c r="BB138" s="40">
        <v>0</v>
      </c>
      <c r="BC138" s="65"/>
      <c r="BD138" s="35">
        <v>0</v>
      </c>
      <c r="BE138" s="36">
        <v>0</v>
      </c>
      <c r="BF138" s="37"/>
      <c r="BG138" s="415">
        <v>290</v>
      </c>
      <c r="BH138" s="353">
        <v>-10.500000000000004</v>
      </c>
      <c r="BI138" s="415">
        <v>0</v>
      </c>
      <c r="BJ138" s="353">
        <v>0</v>
      </c>
      <c r="BK138" s="415">
        <v>0</v>
      </c>
      <c r="BL138" s="353">
        <v>0</v>
      </c>
      <c r="BM138" s="416"/>
      <c r="BN138" s="415">
        <v>0</v>
      </c>
      <c r="BO138" s="353">
        <v>0</v>
      </c>
      <c r="BP138" s="415">
        <v>0</v>
      </c>
      <c r="BQ138" s="353">
        <v>-1</v>
      </c>
      <c r="BR138" s="415">
        <v>0</v>
      </c>
      <c r="BS138" s="353">
        <v>-1</v>
      </c>
      <c r="BT138" s="415">
        <v>0</v>
      </c>
      <c r="BU138" s="353">
        <v>-1.1000000000000014</v>
      </c>
      <c r="BV138" s="415">
        <v>0</v>
      </c>
      <c r="BW138" s="353">
        <v>-1.1000000000000014</v>
      </c>
      <c r="BY138" s="80"/>
      <c r="BZ138" s="65"/>
      <c r="CA138" s="40" t="s">
        <v>3</v>
      </c>
      <c r="CB138" s="65"/>
      <c r="CC138" s="40">
        <v>-155.56528925619841</v>
      </c>
      <c r="CD138" s="40">
        <v>-217.56528925619818</v>
      </c>
      <c r="CE138" s="40">
        <v>-231.96528925619828</v>
      </c>
      <c r="CF138" s="65"/>
      <c r="CG138" s="40">
        <v>-146.56528925619818</v>
      </c>
      <c r="CH138" s="40">
        <v>-314.56528925619818</v>
      </c>
      <c r="CI138" s="40">
        <v>-314.56528925619818</v>
      </c>
      <c r="CJ138" s="40">
        <v>-316.96528925619828</v>
      </c>
      <c r="CK138" s="40">
        <v>-316.96528925619828</v>
      </c>
    </row>
    <row r="139" spans="1:89" s="2" customFormat="1">
      <c r="A139" s="196" t="s">
        <v>892</v>
      </c>
      <c r="B139" s="211" t="s">
        <v>60</v>
      </c>
      <c r="C139" s="211" t="s">
        <v>655</v>
      </c>
      <c r="D139" s="41">
        <v>1980</v>
      </c>
      <c r="E139" s="41">
        <v>3.25</v>
      </c>
      <c r="F139" s="22" t="s">
        <v>387</v>
      </c>
      <c r="G139" s="40">
        <v>30</v>
      </c>
      <c r="H139" s="388">
        <v>1680.1652892561983</v>
      </c>
      <c r="I139" s="321"/>
      <c r="J139" s="40" t="s">
        <v>3</v>
      </c>
      <c r="K139" s="36" t="s">
        <v>3</v>
      </c>
      <c r="L139" s="37"/>
      <c r="M139" s="35">
        <v>759</v>
      </c>
      <c r="N139" s="136">
        <v>25.6</v>
      </c>
      <c r="O139" s="35">
        <v>469</v>
      </c>
      <c r="P139" s="136">
        <v>33.200000000000003</v>
      </c>
      <c r="Q139" s="37">
        <v>469</v>
      </c>
      <c r="R139" s="136">
        <v>32.700000000000003</v>
      </c>
      <c r="S139" s="37"/>
      <c r="T139" s="35">
        <v>0</v>
      </c>
      <c r="U139" s="136">
        <v>51.2</v>
      </c>
      <c r="V139" s="35">
        <v>0</v>
      </c>
      <c r="W139" s="136">
        <v>45.6</v>
      </c>
      <c r="X139" s="35">
        <v>0</v>
      </c>
      <c r="Y139" s="149">
        <v>45.6</v>
      </c>
      <c r="Z139" s="35">
        <v>0</v>
      </c>
      <c r="AA139" s="136">
        <v>45.400000000000006</v>
      </c>
      <c r="AB139" s="37">
        <v>0</v>
      </c>
      <c r="AC139" s="136">
        <v>45.400000000000006</v>
      </c>
      <c r="AD139" s="37"/>
      <c r="AE139" s="40">
        <v>300</v>
      </c>
      <c r="AF139" s="65"/>
      <c r="AG139" s="35">
        <v>0</v>
      </c>
      <c r="AH139" s="36">
        <v>0</v>
      </c>
      <c r="AI139" s="37"/>
      <c r="AJ139" s="35">
        <v>453</v>
      </c>
      <c r="AK139" s="36">
        <v>768</v>
      </c>
      <c r="AL139" s="35">
        <v>515</v>
      </c>
      <c r="AM139" s="36">
        <v>996.00000000000011</v>
      </c>
      <c r="AN139" s="35">
        <v>530</v>
      </c>
      <c r="AO139" s="36">
        <v>981.00000000000011</v>
      </c>
      <c r="AP139" s="37"/>
      <c r="AQ139" s="35">
        <v>444</v>
      </c>
      <c r="AR139" s="36">
        <v>1536</v>
      </c>
      <c r="AS139" s="35">
        <v>612</v>
      </c>
      <c r="AT139" s="36">
        <v>1368</v>
      </c>
      <c r="AU139" s="35">
        <v>612</v>
      </c>
      <c r="AV139" s="36">
        <v>1368</v>
      </c>
      <c r="AW139" s="35">
        <v>618</v>
      </c>
      <c r="AX139" s="36">
        <v>1362.0000000000002</v>
      </c>
      <c r="AY139" s="35">
        <v>618</v>
      </c>
      <c r="AZ139" s="36">
        <v>1362.0000000000002</v>
      </c>
      <c r="BB139" s="40">
        <v>0</v>
      </c>
      <c r="BC139" s="65"/>
      <c r="BD139" s="35">
        <v>0</v>
      </c>
      <c r="BE139" s="36">
        <v>0</v>
      </c>
      <c r="BF139" s="37"/>
      <c r="BG139" s="415">
        <v>290</v>
      </c>
      <c r="BH139" s="353">
        <v>-8.3999999999999986</v>
      </c>
      <c r="BI139" s="415">
        <v>0</v>
      </c>
      <c r="BJ139" s="353">
        <v>0</v>
      </c>
      <c r="BK139" s="415">
        <v>0</v>
      </c>
      <c r="BL139" s="353">
        <v>0</v>
      </c>
      <c r="BM139" s="416"/>
      <c r="BN139" s="415">
        <v>0</v>
      </c>
      <c r="BO139" s="353">
        <v>0</v>
      </c>
      <c r="BP139" s="415">
        <v>0</v>
      </c>
      <c r="BQ139" s="353">
        <v>-0.80000000000000426</v>
      </c>
      <c r="BR139" s="415">
        <v>0</v>
      </c>
      <c r="BS139" s="353">
        <v>-0.80000000000000426</v>
      </c>
      <c r="BT139" s="415">
        <v>0</v>
      </c>
      <c r="BU139" s="353">
        <v>-0.89999999999999858</v>
      </c>
      <c r="BV139" s="415">
        <v>0</v>
      </c>
      <c r="BW139" s="353">
        <v>-0.89999999999999858</v>
      </c>
      <c r="BY139" s="80"/>
      <c r="BZ139" s="65"/>
      <c r="CA139" s="40" t="s">
        <v>3</v>
      </c>
      <c r="CB139" s="65"/>
      <c r="CC139" s="40">
        <v>-153.16528925619832</v>
      </c>
      <c r="CD139" s="40">
        <v>-215.16528925619832</v>
      </c>
      <c r="CE139" s="40">
        <v>-230.16528925619832</v>
      </c>
      <c r="CF139" s="65"/>
      <c r="CG139" s="40">
        <v>-144.16528925619832</v>
      </c>
      <c r="CH139" s="40">
        <v>-312.16528925619832</v>
      </c>
      <c r="CI139" s="40">
        <v>-312.16528925619832</v>
      </c>
      <c r="CJ139" s="40">
        <v>-318.16528925619809</v>
      </c>
      <c r="CK139" s="40">
        <v>-318.16528925619809</v>
      </c>
    </row>
    <row r="140" spans="1:89" s="2" customFormat="1">
      <c r="A140" s="196" t="s">
        <v>893</v>
      </c>
      <c r="B140" s="211" t="s">
        <v>60</v>
      </c>
      <c r="C140" s="211" t="s">
        <v>656</v>
      </c>
      <c r="D140" s="41">
        <v>1703</v>
      </c>
      <c r="E140" s="41">
        <v>3.25</v>
      </c>
      <c r="F140" s="41" t="s">
        <v>387</v>
      </c>
      <c r="G140" s="413">
        <v>24</v>
      </c>
      <c r="H140" s="414">
        <v>1552.8925619834711</v>
      </c>
      <c r="I140" s="321"/>
      <c r="J140" s="40" t="s">
        <v>3</v>
      </c>
      <c r="K140" s="36" t="s">
        <v>3</v>
      </c>
      <c r="L140" s="37"/>
      <c r="M140" s="35">
        <v>709</v>
      </c>
      <c r="N140" s="136">
        <v>29</v>
      </c>
      <c r="O140" s="35">
        <v>429</v>
      </c>
      <c r="P140" s="136">
        <v>37.9</v>
      </c>
      <c r="Q140" s="37">
        <v>429</v>
      </c>
      <c r="R140" s="136">
        <v>37</v>
      </c>
      <c r="S140" s="37"/>
      <c r="T140" s="35">
        <v>0</v>
      </c>
      <c r="U140" s="136">
        <v>58.5</v>
      </c>
      <c r="V140" s="35">
        <v>0</v>
      </c>
      <c r="W140" s="136">
        <v>51.7</v>
      </c>
      <c r="X140" s="35">
        <v>0</v>
      </c>
      <c r="Y140" s="149">
        <v>51.7</v>
      </c>
      <c r="Z140" s="35">
        <v>0</v>
      </c>
      <c r="AA140" s="136">
        <v>51.7</v>
      </c>
      <c r="AB140" s="37">
        <v>0</v>
      </c>
      <c r="AC140" s="136">
        <v>51.7</v>
      </c>
      <c r="AD140" s="37"/>
      <c r="AE140" s="40">
        <v>150</v>
      </c>
      <c r="AF140" s="65"/>
      <c r="AG140" s="35">
        <v>0</v>
      </c>
      <c r="AH140" s="36">
        <v>0</v>
      </c>
      <c r="AI140" s="37"/>
      <c r="AJ140" s="35">
        <v>298</v>
      </c>
      <c r="AK140" s="36">
        <v>696</v>
      </c>
      <c r="AL140" s="35">
        <v>364</v>
      </c>
      <c r="AM140" s="36">
        <v>909.59999999999991</v>
      </c>
      <c r="AN140" s="37">
        <v>386</v>
      </c>
      <c r="AO140" s="36">
        <v>888</v>
      </c>
      <c r="AP140" s="37"/>
      <c r="AQ140" s="35">
        <v>299</v>
      </c>
      <c r="AR140" s="36">
        <v>1404</v>
      </c>
      <c r="AS140" s="35">
        <v>462</v>
      </c>
      <c r="AT140" s="36">
        <v>1240.8000000000002</v>
      </c>
      <c r="AU140" s="37">
        <v>462</v>
      </c>
      <c r="AV140" s="36">
        <v>1240.8000000000002</v>
      </c>
      <c r="AW140" s="37">
        <v>462</v>
      </c>
      <c r="AX140" s="36">
        <v>1240.8000000000002</v>
      </c>
      <c r="AY140" s="37">
        <v>462</v>
      </c>
      <c r="AZ140" s="36">
        <v>1240.8000000000002</v>
      </c>
      <c r="BB140" s="40">
        <v>0</v>
      </c>
      <c r="BC140" s="65"/>
      <c r="BD140" s="35">
        <v>0</v>
      </c>
      <c r="BE140" s="36">
        <v>0</v>
      </c>
      <c r="BF140" s="37"/>
      <c r="BG140" s="415">
        <v>280</v>
      </c>
      <c r="BH140" s="353">
        <v>-9.9000000000000057</v>
      </c>
      <c r="BI140" s="415">
        <v>0</v>
      </c>
      <c r="BJ140" s="353">
        <v>0</v>
      </c>
      <c r="BK140" s="415">
        <v>0</v>
      </c>
      <c r="BL140" s="353">
        <v>0</v>
      </c>
      <c r="BM140" s="416"/>
      <c r="BN140" s="415">
        <v>0</v>
      </c>
      <c r="BO140" s="353">
        <v>0</v>
      </c>
      <c r="BP140" s="415">
        <v>0</v>
      </c>
      <c r="BQ140" s="353">
        <v>0</v>
      </c>
      <c r="BR140" s="415">
        <v>0</v>
      </c>
      <c r="BS140" s="353">
        <v>0</v>
      </c>
      <c r="BT140" s="415">
        <v>0</v>
      </c>
      <c r="BU140" s="353">
        <v>0.10000000000000142</v>
      </c>
      <c r="BV140" s="415">
        <v>0</v>
      </c>
      <c r="BW140" s="353">
        <v>0.10000000000000142</v>
      </c>
      <c r="BY140" s="80"/>
      <c r="BZ140" s="65"/>
      <c r="CA140" s="40" t="s">
        <v>3</v>
      </c>
      <c r="CB140" s="65"/>
      <c r="CC140" s="40">
        <v>-147.89256198347107</v>
      </c>
      <c r="CD140" s="40">
        <v>-214.29256198347116</v>
      </c>
      <c r="CE140" s="40">
        <v>-235.89256198347107</v>
      </c>
      <c r="CF140" s="65"/>
      <c r="CG140" s="40">
        <v>-148.89256198347107</v>
      </c>
      <c r="CH140" s="40">
        <v>-312.09256198347089</v>
      </c>
      <c r="CI140" s="40">
        <v>-312.09256198347089</v>
      </c>
      <c r="CJ140" s="40">
        <v>-312.09256198347089</v>
      </c>
      <c r="CK140" s="40">
        <v>-312.09256198347089</v>
      </c>
    </row>
    <row r="141" spans="1:89" s="2" customFormat="1">
      <c r="A141" s="196" t="s">
        <v>894</v>
      </c>
      <c r="B141" s="211" t="s">
        <v>60</v>
      </c>
      <c r="C141" s="211" t="s">
        <v>656</v>
      </c>
      <c r="D141" s="41">
        <v>1703</v>
      </c>
      <c r="E141" s="41">
        <v>3.25</v>
      </c>
      <c r="F141" s="22" t="s">
        <v>387</v>
      </c>
      <c r="G141" s="40">
        <v>30</v>
      </c>
      <c r="H141" s="388">
        <v>1552.8925619834711</v>
      </c>
      <c r="I141" s="321"/>
      <c r="J141" s="40" t="s">
        <v>3</v>
      </c>
      <c r="K141" s="36" t="s">
        <v>3</v>
      </c>
      <c r="L141" s="37"/>
      <c r="M141" s="35">
        <v>709</v>
      </c>
      <c r="N141" s="136">
        <v>23.200000000000003</v>
      </c>
      <c r="O141" s="35">
        <v>429</v>
      </c>
      <c r="P141" s="136">
        <v>30.400000000000002</v>
      </c>
      <c r="Q141" s="37">
        <v>429</v>
      </c>
      <c r="R141" s="136">
        <v>29.6</v>
      </c>
      <c r="S141" s="37"/>
      <c r="T141" s="35">
        <v>0</v>
      </c>
      <c r="U141" s="136">
        <v>46.800000000000004</v>
      </c>
      <c r="V141" s="35">
        <v>0</v>
      </c>
      <c r="W141" s="136">
        <v>41.400000000000006</v>
      </c>
      <c r="X141" s="35">
        <v>0</v>
      </c>
      <c r="Y141" s="149">
        <v>41.400000000000006</v>
      </c>
      <c r="Z141" s="35">
        <v>0</v>
      </c>
      <c r="AA141" s="136">
        <v>41.400000000000006</v>
      </c>
      <c r="AB141" s="37">
        <v>0</v>
      </c>
      <c r="AC141" s="136">
        <v>41.400000000000006</v>
      </c>
      <c r="AD141" s="37"/>
      <c r="AE141" s="40">
        <v>150</v>
      </c>
      <c r="AF141" s="65"/>
      <c r="AG141" s="35">
        <v>0</v>
      </c>
      <c r="AH141" s="36">
        <v>0</v>
      </c>
      <c r="AI141" s="37"/>
      <c r="AJ141" s="35">
        <v>298</v>
      </c>
      <c r="AK141" s="36">
        <v>696.00000000000011</v>
      </c>
      <c r="AL141" s="35">
        <v>362</v>
      </c>
      <c r="AM141" s="36">
        <v>912.00000000000011</v>
      </c>
      <c r="AN141" s="35">
        <v>386</v>
      </c>
      <c r="AO141" s="36">
        <v>888</v>
      </c>
      <c r="AP141" s="37"/>
      <c r="AQ141" s="35">
        <v>299</v>
      </c>
      <c r="AR141" s="36">
        <v>1404.0000000000002</v>
      </c>
      <c r="AS141" s="35">
        <v>461</v>
      </c>
      <c r="AT141" s="36">
        <v>1242.0000000000002</v>
      </c>
      <c r="AU141" s="35">
        <v>461</v>
      </c>
      <c r="AV141" s="36">
        <v>1242.0000000000002</v>
      </c>
      <c r="AW141" s="35">
        <v>461</v>
      </c>
      <c r="AX141" s="36">
        <v>1242.0000000000002</v>
      </c>
      <c r="AY141" s="35">
        <v>461</v>
      </c>
      <c r="AZ141" s="36">
        <v>1242.0000000000002</v>
      </c>
      <c r="BB141" s="40">
        <v>0</v>
      </c>
      <c r="BC141" s="65"/>
      <c r="BD141" s="35">
        <v>0</v>
      </c>
      <c r="BE141" s="36">
        <v>0</v>
      </c>
      <c r="BF141" s="37"/>
      <c r="BG141" s="415">
        <v>280</v>
      </c>
      <c r="BH141" s="353">
        <v>-8</v>
      </c>
      <c r="BI141" s="415">
        <v>0</v>
      </c>
      <c r="BJ141" s="353">
        <v>0</v>
      </c>
      <c r="BK141" s="415">
        <v>0</v>
      </c>
      <c r="BL141" s="353">
        <v>0</v>
      </c>
      <c r="BM141" s="416"/>
      <c r="BN141" s="415">
        <v>0</v>
      </c>
      <c r="BO141" s="353">
        <v>0</v>
      </c>
      <c r="BP141" s="415">
        <v>0</v>
      </c>
      <c r="BQ141" s="353">
        <v>0</v>
      </c>
      <c r="BR141" s="415">
        <v>0</v>
      </c>
      <c r="BS141" s="353">
        <v>0</v>
      </c>
      <c r="BT141" s="415">
        <v>0</v>
      </c>
      <c r="BU141" s="353">
        <v>0.10000000000000142</v>
      </c>
      <c r="BV141" s="415">
        <v>0</v>
      </c>
      <c r="BW141" s="353">
        <v>0.10000000000000142</v>
      </c>
      <c r="BY141" s="80"/>
      <c r="BZ141" s="65"/>
      <c r="CA141" s="40" t="s">
        <v>3</v>
      </c>
      <c r="CB141" s="65"/>
      <c r="CC141" s="40">
        <v>-147.89256198347107</v>
      </c>
      <c r="CD141" s="40">
        <v>-211.89256198347107</v>
      </c>
      <c r="CE141" s="40">
        <v>-235.89256198347107</v>
      </c>
      <c r="CF141" s="65"/>
      <c r="CG141" s="40">
        <v>-148.89256198347084</v>
      </c>
      <c r="CH141" s="40">
        <v>-310.89256198347084</v>
      </c>
      <c r="CI141" s="40">
        <v>-310.89256198347084</v>
      </c>
      <c r="CJ141" s="40">
        <v>-310.89256198347084</v>
      </c>
      <c r="CK141" s="40">
        <v>-310.89256198347084</v>
      </c>
    </row>
    <row r="142" spans="1:89" s="2" customFormat="1">
      <c r="A142" s="196" t="s">
        <v>895</v>
      </c>
      <c r="B142" s="211" t="s">
        <v>60</v>
      </c>
      <c r="C142" s="211" t="s">
        <v>657</v>
      </c>
      <c r="D142" s="41">
        <v>1796</v>
      </c>
      <c r="E142" s="41">
        <v>3.25</v>
      </c>
      <c r="F142" s="41" t="s">
        <v>387</v>
      </c>
      <c r="G142" s="413">
        <v>24</v>
      </c>
      <c r="H142" s="414">
        <v>1644.6280991735537</v>
      </c>
      <c r="I142" s="321"/>
      <c r="J142" s="40" t="s">
        <v>3</v>
      </c>
      <c r="K142" s="36" t="s">
        <v>3</v>
      </c>
      <c r="L142" s="37"/>
      <c r="M142" s="35">
        <v>749</v>
      </c>
      <c r="N142" s="136">
        <v>31</v>
      </c>
      <c r="O142" s="35">
        <v>449</v>
      </c>
      <c r="P142" s="136">
        <v>40.800000000000004</v>
      </c>
      <c r="Q142" s="37">
        <v>449</v>
      </c>
      <c r="R142" s="136">
        <v>39.900000000000006</v>
      </c>
      <c r="S142" s="37"/>
      <c r="T142" s="35">
        <v>0</v>
      </c>
      <c r="U142" s="136">
        <v>62.400000000000006</v>
      </c>
      <c r="V142" s="35">
        <v>0</v>
      </c>
      <c r="W142" s="136">
        <v>54.800000000000004</v>
      </c>
      <c r="X142" s="35">
        <v>0</v>
      </c>
      <c r="Y142" s="149">
        <v>54.800000000000004</v>
      </c>
      <c r="Z142" s="35">
        <v>0</v>
      </c>
      <c r="AA142" s="136">
        <v>54.800000000000004</v>
      </c>
      <c r="AB142" s="37">
        <v>0</v>
      </c>
      <c r="AC142" s="136">
        <v>54.800000000000004</v>
      </c>
      <c r="AD142" s="37"/>
      <c r="AE142" s="40">
        <v>151</v>
      </c>
      <c r="AF142" s="65"/>
      <c r="AG142" s="35">
        <v>0</v>
      </c>
      <c r="AH142" s="36">
        <v>0</v>
      </c>
      <c r="AI142" s="37"/>
      <c r="AJ142" s="35">
        <v>303</v>
      </c>
      <c r="AK142" s="36">
        <v>744</v>
      </c>
      <c r="AL142" s="35">
        <v>368</v>
      </c>
      <c r="AM142" s="36">
        <v>979.2</v>
      </c>
      <c r="AN142" s="37">
        <v>389</v>
      </c>
      <c r="AO142" s="36">
        <v>957.60000000000014</v>
      </c>
      <c r="AP142" s="37"/>
      <c r="AQ142" s="35">
        <v>298</v>
      </c>
      <c r="AR142" s="36">
        <v>1497.6000000000001</v>
      </c>
      <c r="AS142" s="35">
        <v>481</v>
      </c>
      <c r="AT142" s="36">
        <v>1315.2</v>
      </c>
      <c r="AU142" s="37">
        <v>481</v>
      </c>
      <c r="AV142" s="36">
        <v>1315.2</v>
      </c>
      <c r="AW142" s="37">
        <v>481</v>
      </c>
      <c r="AX142" s="36">
        <v>1315.2</v>
      </c>
      <c r="AY142" s="37">
        <v>481</v>
      </c>
      <c r="AZ142" s="36">
        <v>1315.2</v>
      </c>
      <c r="BB142" s="40">
        <v>0</v>
      </c>
      <c r="BC142" s="65"/>
      <c r="BD142" s="35">
        <v>0</v>
      </c>
      <c r="BE142" s="36">
        <v>0</v>
      </c>
      <c r="BF142" s="37"/>
      <c r="BG142" s="415">
        <v>300</v>
      </c>
      <c r="BH142" s="353">
        <v>-10.800000000000004</v>
      </c>
      <c r="BI142" s="415">
        <v>0</v>
      </c>
      <c r="BJ142" s="353">
        <v>0</v>
      </c>
      <c r="BK142" s="415">
        <v>0</v>
      </c>
      <c r="BL142" s="353">
        <v>0</v>
      </c>
      <c r="BM142" s="416"/>
      <c r="BN142" s="415">
        <v>0</v>
      </c>
      <c r="BO142" s="353">
        <v>0</v>
      </c>
      <c r="BP142" s="415">
        <v>0</v>
      </c>
      <c r="BQ142" s="353">
        <v>-1</v>
      </c>
      <c r="BR142" s="415">
        <v>0</v>
      </c>
      <c r="BS142" s="353">
        <v>-1</v>
      </c>
      <c r="BT142" s="415">
        <v>0</v>
      </c>
      <c r="BU142" s="353">
        <v>-1</v>
      </c>
      <c r="BV142" s="415">
        <v>0</v>
      </c>
      <c r="BW142" s="353">
        <v>-1</v>
      </c>
      <c r="BY142" s="80"/>
      <c r="BZ142" s="65"/>
      <c r="CA142" s="40" t="s">
        <v>3</v>
      </c>
      <c r="CB142" s="65"/>
      <c r="CC142" s="40">
        <v>-151.62809917355366</v>
      </c>
      <c r="CD142" s="40">
        <v>-216.42809917355362</v>
      </c>
      <c r="CE142" s="40">
        <v>-238.02809917355353</v>
      </c>
      <c r="CF142" s="65"/>
      <c r="CG142" s="40">
        <v>-147.02809917355353</v>
      </c>
      <c r="CH142" s="40">
        <v>-329.42809917355362</v>
      </c>
      <c r="CI142" s="40">
        <v>-329.42809917355362</v>
      </c>
      <c r="CJ142" s="40">
        <v>-329.42809917355362</v>
      </c>
      <c r="CK142" s="40">
        <v>-329.42809917355362</v>
      </c>
    </row>
    <row r="143" spans="1:89" s="2" customFormat="1">
      <c r="A143" s="196" t="s">
        <v>896</v>
      </c>
      <c r="B143" s="211" t="s">
        <v>60</v>
      </c>
      <c r="C143" s="211" t="s">
        <v>657</v>
      </c>
      <c r="D143" s="41">
        <v>1796</v>
      </c>
      <c r="E143" s="41">
        <v>3.25</v>
      </c>
      <c r="F143" s="22" t="s">
        <v>387</v>
      </c>
      <c r="G143" s="40">
        <v>30</v>
      </c>
      <c r="H143" s="388">
        <v>1644.6280991735537</v>
      </c>
      <c r="I143" s="321"/>
      <c r="J143" s="40" t="s">
        <v>3</v>
      </c>
      <c r="K143" s="36" t="s">
        <v>3</v>
      </c>
      <c r="L143" s="37"/>
      <c r="M143" s="35">
        <v>749</v>
      </c>
      <c r="N143" s="136">
        <v>24.8</v>
      </c>
      <c r="O143" s="35">
        <v>449</v>
      </c>
      <c r="P143" s="136">
        <v>32.700000000000003</v>
      </c>
      <c r="Q143" s="37">
        <v>449</v>
      </c>
      <c r="R143" s="136">
        <v>32</v>
      </c>
      <c r="S143" s="37"/>
      <c r="T143" s="35">
        <v>0</v>
      </c>
      <c r="U143" s="136">
        <v>50</v>
      </c>
      <c r="V143" s="35">
        <v>0</v>
      </c>
      <c r="W143" s="136">
        <v>43.900000000000006</v>
      </c>
      <c r="X143" s="35">
        <v>0</v>
      </c>
      <c r="Y143" s="149">
        <v>43.900000000000006</v>
      </c>
      <c r="Z143" s="35">
        <v>0</v>
      </c>
      <c r="AA143" s="136">
        <v>43.800000000000004</v>
      </c>
      <c r="AB143" s="37">
        <v>0</v>
      </c>
      <c r="AC143" s="136">
        <v>43.800000000000004</v>
      </c>
      <c r="AD143" s="37"/>
      <c r="AE143" s="40">
        <v>151</v>
      </c>
      <c r="AF143" s="65"/>
      <c r="AG143" s="35">
        <v>0</v>
      </c>
      <c r="AH143" s="36">
        <v>0</v>
      </c>
      <c r="AI143" s="37"/>
      <c r="AJ143" s="35">
        <v>303</v>
      </c>
      <c r="AK143" s="36">
        <v>744</v>
      </c>
      <c r="AL143" s="35">
        <v>366</v>
      </c>
      <c r="AM143" s="36">
        <v>981.00000000000011</v>
      </c>
      <c r="AN143" s="35">
        <v>387</v>
      </c>
      <c r="AO143" s="36">
        <v>960</v>
      </c>
      <c r="AP143" s="37"/>
      <c r="AQ143" s="35">
        <v>296</v>
      </c>
      <c r="AR143" s="36">
        <v>1500</v>
      </c>
      <c r="AS143" s="35">
        <v>479</v>
      </c>
      <c r="AT143" s="36">
        <v>1317.0000000000002</v>
      </c>
      <c r="AU143" s="35">
        <v>479</v>
      </c>
      <c r="AV143" s="36">
        <v>1317.0000000000002</v>
      </c>
      <c r="AW143" s="35">
        <v>482</v>
      </c>
      <c r="AX143" s="36">
        <v>1314.0000000000002</v>
      </c>
      <c r="AY143" s="35">
        <v>482</v>
      </c>
      <c r="AZ143" s="36">
        <v>1314.0000000000002</v>
      </c>
      <c r="BB143" s="40">
        <v>0</v>
      </c>
      <c r="BC143" s="65"/>
      <c r="BD143" s="35">
        <v>0</v>
      </c>
      <c r="BE143" s="36">
        <v>0</v>
      </c>
      <c r="BF143" s="37"/>
      <c r="BG143" s="415">
        <v>300</v>
      </c>
      <c r="BH143" s="353">
        <v>-8.6999999999999993</v>
      </c>
      <c r="BI143" s="415">
        <v>0</v>
      </c>
      <c r="BJ143" s="353">
        <v>0</v>
      </c>
      <c r="BK143" s="415">
        <v>0</v>
      </c>
      <c r="BL143" s="353">
        <v>0</v>
      </c>
      <c r="BM143" s="416"/>
      <c r="BN143" s="415">
        <v>0</v>
      </c>
      <c r="BO143" s="353">
        <v>0</v>
      </c>
      <c r="BP143" s="415">
        <v>0</v>
      </c>
      <c r="BQ143" s="353">
        <v>-0.79999999999999716</v>
      </c>
      <c r="BR143" s="415">
        <v>0</v>
      </c>
      <c r="BS143" s="353">
        <v>-0.79999999999999716</v>
      </c>
      <c r="BT143" s="415">
        <v>0</v>
      </c>
      <c r="BU143" s="353">
        <v>-0.79999999999999716</v>
      </c>
      <c r="BV143" s="415">
        <v>0</v>
      </c>
      <c r="BW143" s="353">
        <v>-0.79999999999999716</v>
      </c>
      <c r="BY143" s="80"/>
      <c r="BZ143" s="65"/>
      <c r="CA143" s="40" t="s">
        <v>3</v>
      </c>
      <c r="CB143" s="65"/>
      <c r="CC143" s="40">
        <v>-151.62809917355366</v>
      </c>
      <c r="CD143" s="40">
        <v>-214.62809917355366</v>
      </c>
      <c r="CE143" s="40">
        <v>-235.62809917355366</v>
      </c>
      <c r="CF143" s="65"/>
      <c r="CG143" s="40">
        <v>-144.62809917355366</v>
      </c>
      <c r="CH143" s="40">
        <v>-327.62809917355344</v>
      </c>
      <c r="CI143" s="40">
        <v>-327.62809917355344</v>
      </c>
      <c r="CJ143" s="40">
        <v>-330.62809917355344</v>
      </c>
      <c r="CK143" s="40">
        <v>-330.62809917355344</v>
      </c>
    </row>
    <row r="144" spans="1:89" s="2" customFormat="1">
      <c r="A144" s="196" t="s">
        <v>897</v>
      </c>
      <c r="B144" s="211" t="s">
        <v>673</v>
      </c>
      <c r="C144" s="211" t="s">
        <v>517</v>
      </c>
      <c r="D144" s="41">
        <v>162</v>
      </c>
      <c r="E144" s="41">
        <v>3.25</v>
      </c>
      <c r="F144" s="41" t="s">
        <v>387</v>
      </c>
      <c r="G144" s="413">
        <v>24</v>
      </c>
      <c r="H144" s="414">
        <v>93.388429752066116</v>
      </c>
      <c r="I144" s="321"/>
      <c r="J144" s="40" t="s">
        <v>3</v>
      </c>
      <c r="K144" s="36" t="s">
        <v>3</v>
      </c>
      <c r="L144" s="37"/>
      <c r="M144" s="35">
        <v>0</v>
      </c>
      <c r="N144" s="136">
        <v>3.4000000000000004</v>
      </c>
      <c r="O144" s="35">
        <v>0</v>
      </c>
      <c r="P144" s="136">
        <v>0.5</v>
      </c>
      <c r="Q144" s="37">
        <v>0</v>
      </c>
      <c r="R144" s="136">
        <v>0.30000000000000004</v>
      </c>
      <c r="S144" s="37"/>
      <c r="T144" s="35">
        <v>0</v>
      </c>
      <c r="U144" s="136">
        <v>1.7000000000000002</v>
      </c>
      <c r="V144" s="35">
        <v>0</v>
      </c>
      <c r="W144" s="136">
        <v>0.9</v>
      </c>
      <c r="X144" s="35">
        <v>0</v>
      </c>
      <c r="Y144" s="149">
        <v>0.9</v>
      </c>
      <c r="Z144" s="35">
        <v>0</v>
      </c>
      <c r="AA144" s="136">
        <v>0</v>
      </c>
      <c r="AB144" s="37">
        <v>0</v>
      </c>
      <c r="AC144" s="136">
        <v>0</v>
      </c>
      <c r="AD144" s="37"/>
      <c r="AE144" s="40">
        <v>69</v>
      </c>
      <c r="AF144" s="65"/>
      <c r="AG144" s="35">
        <v>0</v>
      </c>
      <c r="AH144" s="36">
        <v>0</v>
      </c>
      <c r="AI144" s="37"/>
      <c r="AJ144" s="35">
        <v>80</v>
      </c>
      <c r="AK144" s="36">
        <v>81.600000000000009</v>
      </c>
      <c r="AL144" s="35">
        <v>150</v>
      </c>
      <c r="AM144" s="36">
        <v>12</v>
      </c>
      <c r="AN144" s="37">
        <v>155</v>
      </c>
      <c r="AO144" s="36">
        <v>7.2000000000000011</v>
      </c>
      <c r="AP144" s="37"/>
      <c r="AQ144" s="35">
        <v>121</v>
      </c>
      <c r="AR144" s="36">
        <v>40.800000000000004</v>
      </c>
      <c r="AS144" s="35">
        <v>140</v>
      </c>
      <c r="AT144" s="36">
        <v>21.6</v>
      </c>
      <c r="AU144" s="37">
        <v>140</v>
      </c>
      <c r="AV144" s="36">
        <v>21.6</v>
      </c>
      <c r="AW144" s="37">
        <v>162</v>
      </c>
      <c r="AX144" s="36">
        <v>0</v>
      </c>
      <c r="AY144" s="37">
        <v>162</v>
      </c>
      <c r="AZ144" s="36">
        <v>0</v>
      </c>
      <c r="BB144" s="40">
        <v>0</v>
      </c>
      <c r="BC144" s="65"/>
      <c r="BD144" s="35">
        <v>0</v>
      </c>
      <c r="BE144" s="36">
        <v>0</v>
      </c>
      <c r="BF144" s="37"/>
      <c r="BG144" s="415">
        <v>0</v>
      </c>
      <c r="BH144" s="353">
        <v>1.9000000000000004</v>
      </c>
      <c r="BI144" s="415">
        <v>0</v>
      </c>
      <c r="BJ144" s="353">
        <v>0</v>
      </c>
      <c r="BK144" s="415">
        <v>0</v>
      </c>
      <c r="BL144" s="353">
        <v>0</v>
      </c>
      <c r="BM144" s="416"/>
      <c r="BN144" s="415">
        <v>0</v>
      </c>
      <c r="BO144" s="353">
        <v>0</v>
      </c>
      <c r="BP144" s="415">
        <v>0</v>
      </c>
      <c r="BQ144" s="353">
        <v>0</v>
      </c>
      <c r="BR144" s="415">
        <v>0</v>
      </c>
      <c r="BS144" s="353">
        <v>0</v>
      </c>
      <c r="BT144" s="415">
        <v>0</v>
      </c>
      <c r="BU144" s="353">
        <v>0</v>
      </c>
      <c r="BV144" s="415">
        <v>0</v>
      </c>
      <c r="BW144" s="353">
        <v>0</v>
      </c>
      <c r="BY144" s="80"/>
      <c r="BZ144" s="65"/>
      <c r="CA144" s="40" t="s">
        <v>3</v>
      </c>
      <c r="CB144" s="65"/>
      <c r="CC144" s="40">
        <v>-11.788429752066108</v>
      </c>
      <c r="CD144" s="40">
        <v>-81.388429752066116</v>
      </c>
      <c r="CE144" s="40">
        <v>-86.188429752066114</v>
      </c>
      <c r="CF144" s="65"/>
      <c r="CG144" s="40">
        <v>-52.588429752066112</v>
      </c>
      <c r="CH144" s="40">
        <v>-71.788429752066122</v>
      </c>
      <c r="CI144" s="40">
        <v>-71.788429752066122</v>
      </c>
      <c r="CJ144" s="40">
        <v>-93.388429752066116</v>
      </c>
      <c r="CK144" s="40">
        <v>-93.388429752066116</v>
      </c>
    </row>
    <row r="145" spans="1:89" s="2" customFormat="1">
      <c r="A145" s="196" t="s">
        <v>898</v>
      </c>
      <c r="B145" s="211" t="s">
        <v>673</v>
      </c>
      <c r="C145" s="211" t="s">
        <v>600</v>
      </c>
      <c r="D145" s="41">
        <v>161</v>
      </c>
      <c r="E145" s="41">
        <v>3.25</v>
      </c>
      <c r="F145" s="22" t="s">
        <v>387</v>
      </c>
      <c r="G145" s="40">
        <v>24</v>
      </c>
      <c r="H145" s="388">
        <v>134.71074380165291</v>
      </c>
      <c r="I145" s="321"/>
      <c r="J145" s="40" t="s">
        <v>3</v>
      </c>
      <c r="K145" s="36" t="s">
        <v>3</v>
      </c>
      <c r="L145" s="37"/>
      <c r="M145" s="35">
        <v>19</v>
      </c>
      <c r="N145" s="136">
        <v>4</v>
      </c>
      <c r="O145" s="35">
        <v>0</v>
      </c>
      <c r="P145" s="136">
        <v>1.7000000000000002</v>
      </c>
      <c r="Q145" s="37">
        <v>0</v>
      </c>
      <c r="R145" s="136">
        <v>0.9</v>
      </c>
      <c r="S145" s="37"/>
      <c r="T145" s="35">
        <v>0</v>
      </c>
      <c r="U145" s="136">
        <v>5</v>
      </c>
      <c r="V145" s="35">
        <v>0</v>
      </c>
      <c r="W145" s="136">
        <v>1.1000000000000001</v>
      </c>
      <c r="X145" s="35">
        <v>0</v>
      </c>
      <c r="Y145" s="149">
        <v>1.1000000000000001</v>
      </c>
      <c r="Z145" s="35">
        <v>0</v>
      </c>
      <c r="AA145" s="136">
        <v>1</v>
      </c>
      <c r="AB145" s="37">
        <v>0</v>
      </c>
      <c r="AC145" s="136">
        <v>1</v>
      </c>
      <c r="AD145" s="37"/>
      <c r="AE145" s="40">
        <v>26</v>
      </c>
      <c r="AF145" s="65"/>
      <c r="AG145" s="35">
        <v>0</v>
      </c>
      <c r="AH145" s="36">
        <v>0</v>
      </c>
      <c r="AI145" s="37"/>
      <c r="AJ145" s="35">
        <v>46</v>
      </c>
      <c r="AK145" s="36">
        <v>96</v>
      </c>
      <c r="AL145" s="35">
        <v>120</v>
      </c>
      <c r="AM145" s="36">
        <v>40.800000000000004</v>
      </c>
      <c r="AN145" s="35">
        <v>139</v>
      </c>
      <c r="AO145" s="36">
        <v>21.6</v>
      </c>
      <c r="AP145" s="37"/>
      <c r="AQ145" s="35">
        <v>41</v>
      </c>
      <c r="AR145" s="36">
        <v>120</v>
      </c>
      <c r="AS145" s="35">
        <v>135</v>
      </c>
      <c r="AT145" s="36">
        <v>26.400000000000002</v>
      </c>
      <c r="AU145" s="35">
        <v>135</v>
      </c>
      <c r="AV145" s="36">
        <v>26.400000000000002</v>
      </c>
      <c r="AW145" s="35">
        <v>137</v>
      </c>
      <c r="AX145" s="36">
        <v>24</v>
      </c>
      <c r="AY145" s="35">
        <v>137</v>
      </c>
      <c r="AZ145" s="36">
        <v>24</v>
      </c>
      <c r="BB145" s="40">
        <v>0</v>
      </c>
      <c r="BC145" s="65"/>
      <c r="BD145" s="35">
        <v>0</v>
      </c>
      <c r="BE145" s="36">
        <v>0</v>
      </c>
      <c r="BF145" s="37"/>
      <c r="BG145" s="415">
        <v>19</v>
      </c>
      <c r="BH145" s="353">
        <v>1.2999999999999998</v>
      </c>
      <c r="BI145" s="415">
        <v>0</v>
      </c>
      <c r="BJ145" s="353">
        <v>0</v>
      </c>
      <c r="BK145" s="415">
        <v>0</v>
      </c>
      <c r="BL145" s="353">
        <v>0</v>
      </c>
      <c r="BM145" s="416"/>
      <c r="BN145" s="415">
        <v>0</v>
      </c>
      <c r="BO145" s="353">
        <v>0</v>
      </c>
      <c r="BP145" s="415">
        <v>0</v>
      </c>
      <c r="BQ145" s="353">
        <v>-1</v>
      </c>
      <c r="BR145" s="415">
        <v>0</v>
      </c>
      <c r="BS145" s="353">
        <v>-1</v>
      </c>
      <c r="BT145" s="415">
        <v>0</v>
      </c>
      <c r="BU145" s="353">
        <v>0</v>
      </c>
      <c r="BV145" s="415">
        <v>0</v>
      </c>
      <c r="BW145" s="353">
        <v>0</v>
      </c>
      <c r="BY145" s="80"/>
      <c r="BZ145" s="65"/>
      <c r="CA145" s="40" t="s">
        <v>3</v>
      </c>
      <c r="CB145" s="65"/>
      <c r="CC145" s="40">
        <v>-19.71074380165291</v>
      </c>
      <c r="CD145" s="40">
        <v>-93.910743801652899</v>
      </c>
      <c r="CE145" s="40">
        <v>-113.11074380165292</v>
      </c>
      <c r="CF145" s="65"/>
      <c r="CG145" s="40">
        <v>-14.71074380165291</v>
      </c>
      <c r="CH145" s="40">
        <v>-108.3107438016529</v>
      </c>
      <c r="CI145" s="40">
        <v>-108.3107438016529</v>
      </c>
      <c r="CJ145" s="40">
        <v>-110.71074380165291</v>
      </c>
      <c r="CK145" s="40">
        <v>-110.71074380165291</v>
      </c>
    </row>
    <row r="146" spans="1:89" s="2" customFormat="1">
      <c r="A146" s="196" t="s">
        <v>899</v>
      </c>
      <c r="B146" s="211" t="s">
        <v>673</v>
      </c>
      <c r="C146" s="211" t="s">
        <v>600</v>
      </c>
      <c r="D146" s="41">
        <v>161</v>
      </c>
      <c r="E146" s="41">
        <v>3.25</v>
      </c>
      <c r="F146" s="41" t="s">
        <v>387</v>
      </c>
      <c r="G146" s="413">
        <v>30</v>
      </c>
      <c r="H146" s="414">
        <v>134.71074380165291</v>
      </c>
      <c r="I146" s="321"/>
      <c r="J146" s="40" t="s">
        <v>3</v>
      </c>
      <c r="K146" s="36" t="s">
        <v>3</v>
      </c>
      <c r="L146" s="37"/>
      <c r="M146" s="35">
        <v>19</v>
      </c>
      <c r="N146" s="136">
        <v>3.2</v>
      </c>
      <c r="O146" s="35">
        <v>0</v>
      </c>
      <c r="P146" s="136">
        <v>1.4000000000000001</v>
      </c>
      <c r="Q146" s="37">
        <v>0</v>
      </c>
      <c r="R146" s="136">
        <v>0.8</v>
      </c>
      <c r="S146" s="37"/>
      <c r="T146" s="35">
        <v>0</v>
      </c>
      <c r="U146" s="136">
        <v>4</v>
      </c>
      <c r="V146" s="35">
        <v>0</v>
      </c>
      <c r="W146" s="136">
        <v>0.9</v>
      </c>
      <c r="X146" s="35">
        <v>0</v>
      </c>
      <c r="Y146" s="149">
        <v>0.9</v>
      </c>
      <c r="Z146" s="35">
        <v>0</v>
      </c>
      <c r="AA146" s="136">
        <v>0.8</v>
      </c>
      <c r="AB146" s="37">
        <v>0</v>
      </c>
      <c r="AC146" s="136">
        <v>0.8</v>
      </c>
      <c r="AD146" s="37"/>
      <c r="AE146" s="40">
        <v>26</v>
      </c>
      <c r="AF146" s="65"/>
      <c r="AG146" s="35">
        <v>0</v>
      </c>
      <c r="AH146" s="36">
        <v>0</v>
      </c>
      <c r="AI146" s="37"/>
      <c r="AJ146" s="35">
        <v>46</v>
      </c>
      <c r="AK146" s="36">
        <v>96</v>
      </c>
      <c r="AL146" s="35">
        <v>119</v>
      </c>
      <c r="AM146" s="36">
        <v>42.000000000000007</v>
      </c>
      <c r="AN146" s="37">
        <v>137</v>
      </c>
      <c r="AO146" s="36">
        <v>24</v>
      </c>
      <c r="AP146" s="37"/>
      <c r="AQ146" s="35">
        <v>41</v>
      </c>
      <c r="AR146" s="36">
        <v>120</v>
      </c>
      <c r="AS146" s="35">
        <v>134</v>
      </c>
      <c r="AT146" s="36">
        <v>27</v>
      </c>
      <c r="AU146" s="37">
        <v>134</v>
      </c>
      <c r="AV146" s="36">
        <v>27</v>
      </c>
      <c r="AW146" s="37">
        <v>137</v>
      </c>
      <c r="AX146" s="36">
        <v>24</v>
      </c>
      <c r="AY146" s="37">
        <v>137</v>
      </c>
      <c r="AZ146" s="36">
        <v>24</v>
      </c>
      <c r="BB146" s="40">
        <v>0</v>
      </c>
      <c r="BC146" s="65"/>
      <c r="BD146" s="35">
        <v>0</v>
      </c>
      <c r="BE146" s="36">
        <v>0</v>
      </c>
      <c r="BF146" s="37"/>
      <c r="BG146" s="415">
        <v>19</v>
      </c>
      <c r="BH146" s="353">
        <v>1</v>
      </c>
      <c r="BI146" s="415">
        <v>0</v>
      </c>
      <c r="BJ146" s="353">
        <v>0</v>
      </c>
      <c r="BK146" s="415">
        <v>0</v>
      </c>
      <c r="BL146" s="353">
        <v>0</v>
      </c>
      <c r="BM146" s="416"/>
      <c r="BN146" s="415">
        <v>0</v>
      </c>
      <c r="BO146" s="353">
        <v>0</v>
      </c>
      <c r="BP146" s="415">
        <v>0</v>
      </c>
      <c r="BQ146" s="353">
        <v>-0.80000000000000016</v>
      </c>
      <c r="BR146" s="415">
        <v>0</v>
      </c>
      <c r="BS146" s="353">
        <v>-0.80000000000000016</v>
      </c>
      <c r="BT146" s="415">
        <v>0</v>
      </c>
      <c r="BU146" s="353">
        <v>0</v>
      </c>
      <c r="BV146" s="415">
        <v>0</v>
      </c>
      <c r="BW146" s="353">
        <v>0</v>
      </c>
      <c r="BY146" s="80"/>
      <c r="BZ146" s="65"/>
      <c r="CA146" s="40" t="s">
        <v>3</v>
      </c>
      <c r="CB146" s="65"/>
      <c r="CC146" s="40">
        <v>-19.71074380165291</v>
      </c>
      <c r="CD146" s="40">
        <v>-92.71074380165291</v>
      </c>
      <c r="CE146" s="40">
        <v>-110.71074380165291</v>
      </c>
      <c r="CF146" s="65"/>
      <c r="CG146" s="40">
        <v>-14.71074380165291</v>
      </c>
      <c r="CH146" s="40">
        <v>-107.71074380165291</v>
      </c>
      <c r="CI146" s="40">
        <v>-107.71074380165291</v>
      </c>
      <c r="CJ146" s="40">
        <v>-110.71074380165291</v>
      </c>
      <c r="CK146" s="40">
        <v>-110.71074380165291</v>
      </c>
    </row>
    <row r="147" spans="1:89" s="2" customFormat="1">
      <c r="A147" s="196" t="s">
        <v>900</v>
      </c>
      <c r="B147" s="211" t="s">
        <v>673</v>
      </c>
      <c r="C147" s="211" t="s">
        <v>642</v>
      </c>
      <c r="D147" s="41">
        <v>201</v>
      </c>
      <c r="E147" s="41">
        <v>3.25</v>
      </c>
      <c r="F147" s="22" t="s">
        <v>387</v>
      </c>
      <c r="G147" s="40">
        <v>24</v>
      </c>
      <c r="H147" s="388">
        <v>185.95041322314052</v>
      </c>
      <c r="I147" s="321"/>
      <c r="J147" s="40" t="s">
        <v>3</v>
      </c>
      <c r="K147" s="36" t="s">
        <v>3</v>
      </c>
      <c r="L147" s="37"/>
      <c r="M147" s="35">
        <v>29</v>
      </c>
      <c r="N147" s="136">
        <v>5.2</v>
      </c>
      <c r="O147" s="35">
        <v>0</v>
      </c>
      <c r="P147" s="136">
        <v>3.6</v>
      </c>
      <c r="Q147" s="37">
        <v>0</v>
      </c>
      <c r="R147" s="136">
        <v>2.7</v>
      </c>
      <c r="S147" s="37"/>
      <c r="T147" s="35">
        <v>0</v>
      </c>
      <c r="U147" s="136">
        <v>6.7</v>
      </c>
      <c r="V147" s="35">
        <v>0</v>
      </c>
      <c r="W147" s="136">
        <v>2.1</v>
      </c>
      <c r="X147" s="35">
        <v>0</v>
      </c>
      <c r="Y147" s="149">
        <v>2.1</v>
      </c>
      <c r="Z147" s="35">
        <v>0</v>
      </c>
      <c r="AA147" s="136">
        <v>2.1</v>
      </c>
      <c r="AB147" s="37">
        <v>0</v>
      </c>
      <c r="AC147" s="136">
        <v>2.1</v>
      </c>
      <c r="AD147" s="37"/>
      <c r="AE147" s="40">
        <v>15</v>
      </c>
      <c r="AF147" s="65"/>
      <c r="AG147" s="35">
        <v>0</v>
      </c>
      <c r="AH147" s="36">
        <v>0</v>
      </c>
      <c r="AI147" s="37"/>
      <c r="AJ147" s="35">
        <v>47</v>
      </c>
      <c r="AK147" s="36">
        <v>124.80000000000001</v>
      </c>
      <c r="AL147" s="35">
        <v>115</v>
      </c>
      <c r="AM147" s="36">
        <v>86.4</v>
      </c>
      <c r="AN147" s="35">
        <v>136</v>
      </c>
      <c r="AO147" s="36">
        <v>64.800000000000011</v>
      </c>
      <c r="AP147" s="37"/>
      <c r="AQ147" s="35">
        <v>40</v>
      </c>
      <c r="AR147" s="36">
        <v>160.80000000000001</v>
      </c>
      <c r="AS147" s="35">
        <v>151</v>
      </c>
      <c r="AT147" s="36">
        <v>50.400000000000006</v>
      </c>
      <c r="AU147" s="35">
        <v>151</v>
      </c>
      <c r="AV147" s="36">
        <v>50.400000000000006</v>
      </c>
      <c r="AW147" s="35">
        <v>151</v>
      </c>
      <c r="AX147" s="36">
        <v>50.400000000000006</v>
      </c>
      <c r="AY147" s="35">
        <v>151</v>
      </c>
      <c r="AZ147" s="36">
        <v>50.400000000000006</v>
      </c>
      <c r="BB147" s="40">
        <v>0</v>
      </c>
      <c r="BC147" s="65"/>
      <c r="BD147" s="35">
        <v>0</v>
      </c>
      <c r="BE147" s="36">
        <v>0</v>
      </c>
      <c r="BF147" s="37"/>
      <c r="BG147" s="415">
        <v>29</v>
      </c>
      <c r="BH147" s="353">
        <v>0.59999999999999964</v>
      </c>
      <c r="BI147" s="415">
        <v>0</v>
      </c>
      <c r="BJ147" s="353">
        <v>0</v>
      </c>
      <c r="BK147" s="415">
        <v>0</v>
      </c>
      <c r="BL147" s="353">
        <v>0</v>
      </c>
      <c r="BM147" s="416"/>
      <c r="BN147" s="415">
        <v>0</v>
      </c>
      <c r="BO147" s="353">
        <v>0</v>
      </c>
      <c r="BP147" s="415">
        <v>0</v>
      </c>
      <c r="BQ147" s="353">
        <v>0</v>
      </c>
      <c r="BR147" s="415">
        <v>0</v>
      </c>
      <c r="BS147" s="353">
        <v>0</v>
      </c>
      <c r="BT147" s="415">
        <v>0</v>
      </c>
      <c r="BU147" s="353">
        <v>0.10000000000000009</v>
      </c>
      <c r="BV147" s="415">
        <v>0</v>
      </c>
      <c r="BW147" s="353">
        <v>0.10000000000000009</v>
      </c>
      <c r="BY147" s="80"/>
      <c r="BZ147" s="65"/>
      <c r="CA147" s="40" t="s">
        <v>3</v>
      </c>
      <c r="CB147" s="65"/>
      <c r="CC147" s="40">
        <v>-32.150413223140504</v>
      </c>
      <c r="CD147" s="40">
        <v>-99.550413223140509</v>
      </c>
      <c r="CE147" s="40">
        <v>-121.1504132231405</v>
      </c>
      <c r="CF147" s="65"/>
      <c r="CG147" s="40">
        <v>-25.150413223140504</v>
      </c>
      <c r="CH147" s="40">
        <v>-135.55041322314051</v>
      </c>
      <c r="CI147" s="40">
        <v>-135.55041322314051</v>
      </c>
      <c r="CJ147" s="40">
        <v>-135.55041322314051</v>
      </c>
      <c r="CK147" s="40">
        <v>-135.55041322314051</v>
      </c>
    </row>
    <row r="148" spans="1:89" s="2" customFormat="1">
      <c r="A148" s="196" t="s">
        <v>901</v>
      </c>
      <c r="B148" s="211" t="s">
        <v>673</v>
      </c>
      <c r="C148" s="211" t="s">
        <v>642</v>
      </c>
      <c r="D148" s="41">
        <v>201</v>
      </c>
      <c r="E148" s="41">
        <v>3.25</v>
      </c>
      <c r="F148" s="41" t="s">
        <v>387</v>
      </c>
      <c r="G148" s="413">
        <v>30</v>
      </c>
      <c r="H148" s="414">
        <v>185.95041322314052</v>
      </c>
      <c r="I148" s="321"/>
      <c r="J148" s="40" t="s">
        <v>3</v>
      </c>
      <c r="K148" s="36" t="s">
        <v>3</v>
      </c>
      <c r="L148" s="37"/>
      <c r="M148" s="35">
        <v>29</v>
      </c>
      <c r="N148" s="136">
        <v>4.2</v>
      </c>
      <c r="O148" s="35">
        <v>0</v>
      </c>
      <c r="P148" s="136">
        <v>2.9000000000000004</v>
      </c>
      <c r="Q148" s="37">
        <v>0</v>
      </c>
      <c r="R148" s="136">
        <v>2.2000000000000002</v>
      </c>
      <c r="S148" s="37"/>
      <c r="T148" s="35">
        <v>0</v>
      </c>
      <c r="U148" s="136">
        <v>5.4</v>
      </c>
      <c r="V148" s="35">
        <v>0</v>
      </c>
      <c r="W148" s="136">
        <v>1.7000000000000002</v>
      </c>
      <c r="X148" s="35">
        <v>0</v>
      </c>
      <c r="Y148" s="149">
        <v>1.7000000000000002</v>
      </c>
      <c r="Z148" s="35">
        <v>0</v>
      </c>
      <c r="AA148" s="136">
        <v>1.7000000000000002</v>
      </c>
      <c r="AB148" s="37">
        <v>0</v>
      </c>
      <c r="AC148" s="136">
        <v>1.7000000000000002</v>
      </c>
      <c r="AD148" s="37"/>
      <c r="AE148" s="40">
        <v>15</v>
      </c>
      <c r="AF148" s="65"/>
      <c r="AG148" s="35">
        <v>0</v>
      </c>
      <c r="AH148" s="36">
        <v>0</v>
      </c>
      <c r="AI148" s="37"/>
      <c r="AJ148" s="35">
        <v>46</v>
      </c>
      <c r="AK148" s="36">
        <v>126</v>
      </c>
      <c r="AL148" s="35">
        <v>114</v>
      </c>
      <c r="AM148" s="36">
        <v>87.000000000000014</v>
      </c>
      <c r="AN148" s="37">
        <v>135</v>
      </c>
      <c r="AO148" s="36">
        <v>66</v>
      </c>
      <c r="AP148" s="37"/>
      <c r="AQ148" s="35">
        <v>39</v>
      </c>
      <c r="AR148" s="36">
        <v>162</v>
      </c>
      <c r="AS148" s="35">
        <v>150</v>
      </c>
      <c r="AT148" s="36">
        <v>51.000000000000007</v>
      </c>
      <c r="AU148" s="37">
        <v>150</v>
      </c>
      <c r="AV148" s="36">
        <v>51.000000000000007</v>
      </c>
      <c r="AW148" s="37">
        <v>150</v>
      </c>
      <c r="AX148" s="36">
        <v>51.000000000000007</v>
      </c>
      <c r="AY148" s="37">
        <v>150</v>
      </c>
      <c r="AZ148" s="36">
        <v>51.000000000000007</v>
      </c>
      <c r="BB148" s="40">
        <v>0</v>
      </c>
      <c r="BC148" s="65"/>
      <c r="BD148" s="35">
        <v>0</v>
      </c>
      <c r="BE148" s="36">
        <v>0</v>
      </c>
      <c r="BF148" s="37"/>
      <c r="BG148" s="415">
        <v>29</v>
      </c>
      <c r="BH148" s="353">
        <v>0.5</v>
      </c>
      <c r="BI148" s="415">
        <v>0</v>
      </c>
      <c r="BJ148" s="353">
        <v>0</v>
      </c>
      <c r="BK148" s="415">
        <v>0</v>
      </c>
      <c r="BL148" s="353">
        <v>0</v>
      </c>
      <c r="BM148" s="416"/>
      <c r="BN148" s="415">
        <v>0</v>
      </c>
      <c r="BO148" s="353">
        <v>0</v>
      </c>
      <c r="BP148" s="415">
        <v>0</v>
      </c>
      <c r="BQ148" s="353">
        <v>0</v>
      </c>
      <c r="BR148" s="415">
        <v>0</v>
      </c>
      <c r="BS148" s="353">
        <v>0</v>
      </c>
      <c r="BT148" s="415">
        <v>0</v>
      </c>
      <c r="BU148" s="353">
        <v>0.10000000000000009</v>
      </c>
      <c r="BV148" s="415">
        <v>0</v>
      </c>
      <c r="BW148" s="353">
        <v>0.10000000000000009</v>
      </c>
      <c r="BY148" s="80"/>
      <c r="BZ148" s="65"/>
      <c r="CA148" s="40" t="s">
        <v>3</v>
      </c>
      <c r="CB148" s="65"/>
      <c r="CC148" s="40">
        <v>-30.950413223140515</v>
      </c>
      <c r="CD148" s="40">
        <v>-98.950413223140501</v>
      </c>
      <c r="CE148" s="40">
        <v>-119.95041322314052</v>
      </c>
      <c r="CF148" s="65"/>
      <c r="CG148" s="40">
        <v>-23.950413223140515</v>
      </c>
      <c r="CH148" s="40">
        <v>-134.95041322314052</v>
      </c>
      <c r="CI148" s="40">
        <v>-134.95041322314052</v>
      </c>
      <c r="CJ148" s="40">
        <v>-134.95041322314052</v>
      </c>
      <c r="CK148" s="40">
        <v>-134.95041322314052</v>
      </c>
    </row>
    <row r="149" spans="1:89" s="2" customFormat="1">
      <c r="A149" s="196" t="s">
        <v>902</v>
      </c>
      <c r="B149" s="211" t="s">
        <v>664</v>
      </c>
      <c r="C149" s="211" t="s">
        <v>585</v>
      </c>
      <c r="D149" s="41">
        <v>1072</v>
      </c>
      <c r="E149" s="41">
        <v>3.25</v>
      </c>
      <c r="F149" s="22" t="s">
        <v>387</v>
      </c>
      <c r="G149" s="40">
        <v>24</v>
      </c>
      <c r="H149" s="388">
        <v>687.60330578512401</v>
      </c>
      <c r="I149" s="321"/>
      <c r="J149" s="40" t="s">
        <v>3</v>
      </c>
      <c r="K149" s="36" t="s">
        <v>3</v>
      </c>
      <c r="L149" s="37"/>
      <c r="M149" s="35">
        <v>299</v>
      </c>
      <c r="N149" s="136">
        <v>12</v>
      </c>
      <c r="O149" s="35">
        <v>189</v>
      </c>
      <c r="P149" s="136">
        <v>14.100000000000001</v>
      </c>
      <c r="Q149" s="37">
        <v>189</v>
      </c>
      <c r="R149" s="136">
        <v>13.3</v>
      </c>
      <c r="S149" s="37"/>
      <c r="T149" s="35">
        <v>0</v>
      </c>
      <c r="U149" s="136">
        <v>24.6</v>
      </c>
      <c r="V149" s="35">
        <v>0</v>
      </c>
      <c r="W149" s="136">
        <v>16.600000000000001</v>
      </c>
      <c r="X149" s="35">
        <v>0</v>
      </c>
      <c r="Y149" s="149">
        <v>16.600000000000001</v>
      </c>
      <c r="Z149" s="35">
        <v>0</v>
      </c>
      <c r="AA149" s="136">
        <v>16.5</v>
      </c>
      <c r="AB149" s="37">
        <v>0</v>
      </c>
      <c r="AC149" s="136">
        <v>16.5</v>
      </c>
      <c r="AD149" s="37"/>
      <c r="AE149" s="40">
        <v>384</v>
      </c>
      <c r="AF149" s="65"/>
      <c r="AG149" s="35">
        <v>0</v>
      </c>
      <c r="AH149" s="36">
        <v>0</v>
      </c>
      <c r="AI149" s="37"/>
      <c r="AJ149" s="35">
        <v>485</v>
      </c>
      <c r="AK149" s="36">
        <v>288</v>
      </c>
      <c r="AL149" s="35">
        <v>545</v>
      </c>
      <c r="AM149" s="36">
        <v>338.40000000000003</v>
      </c>
      <c r="AN149" s="35">
        <v>564</v>
      </c>
      <c r="AO149" s="36">
        <v>319.20000000000005</v>
      </c>
      <c r="AP149" s="37"/>
      <c r="AQ149" s="35">
        <v>482</v>
      </c>
      <c r="AR149" s="36">
        <v>590.40000000000009</v>
      </c>
      <c r="AS149" s="35">
        <v>674</v>
      </c>
      <c r="AT149" s="36">
        <v>398.40000000000003</v>
      </c>
      <c r="AU149" s="35">
        <v>674</v>
      </c>
      <c r="AV149" s="36">
        <v>398.40000000000003</v>
      </c>
      <c r="AW149" s="35">
        <v>676</v>
      </c>
      <c r="AX149" s="36">
        <v>396</v>
      </c>
      <c r="AY149" s="35">
        <v>676</v>
      </c>
      <c r="AZ149" s="36">
        <v>396</v>
      </c>
      <c r="BB149" s="40">
        <v>0</v>
      </c>
      <c r="BC149" s="65"/>
      <c r="BD149" s="35">
        <v>0</v>
      </c>
      <c r="BE149" s="36">
        <v>0</v>
      </c>
      <c r="BF149" s="37"/>
      <c r="BG149" s="415">
        <v>110</v>
      </c>
      <c r="BH149" s="353">
        <v>-3.1000000000000014</v>
      </c>
      <c r="BI149" s="415">
        <v>0</v>
      </c>
      <c r="BJ149" s="353">
        <v>0</v>
      </c>
      <c r="BK149" s="415">
        <v>0</v>
      </c>
      <c r="BL149" s="353">
        <v>0</v>
      </c>
      <c r="BM149" s="416"/>
      <c r="BN149" s="415">
        <v>0</v>
      </c>
      <c r="BO149" s="353">
        <v>0</v>
      </c>
      <c r="BP149" s="415">
        <v>0</v>
      </c>
      <c r="BQ149" s="353">
        <v>-1</v>
      </c>
      <c r="BR149" s="415">
        <v>0</v>
      </c>
      <c r="BS149" s="353">
        <v>-1</v>
      </c>
      <c r="BT149" s="415">
        <v>0</v>
      </c>
      <c r="BU149" s="353">
        <v>-1</v>
      </c>
      <c r="BV149" s="415">
        <v>0</v>
      </c>
      <c r="BW149" s="353">
        <v>-1</v>
      </c>
      <c r="BY149" s="80"/>
      <c r="BZ149" s="65"/>
      <c r="CA149" s="40" t="s">
        <v>3</v>
      </c>
      <c r="CB149" s="65"/>
      <c r="CC149" s="40">
        <v>-100.60330578512401</v>
      </c>
      <c r="CD149" s="40">
        <v>-160.20330578512392</v>
      </c>
      <c r="CE149" s="40">
        <v>-179.40330578512396</v>
      </c>
      <c r="CF149" s="65"/>
      <c r="CG149" s="40">
        <v>-97.203305785123916</v>
      </c>
      <c r="CH149" s="40">
        <v>-289.20330578512397</v>
      </c>
      <c r="CI149" s="40">
        <v>-289.20330578512397</v>
      </c>
      <c r="CJ149" s="40">
        <v>-291.60330578512401</v>
      </c>
      <c r="CK149" s="40">
        <v>-291.60330578512401</v>
      </c>
    </row>
    <row r="150" spans="1:89" s="2" customFormat="1">
      <c r="A150" s="196" t="s">
        <v>903</v>
      </c>
      <c r="B150" s="211" t="s">
        <v>664</v>
      </c>
      <c r="C150" s="211" t="s">
        <v>585</v>
      </c>
      <c r="D150" s="41">
        <v>1072</v>
      </c>
      <c r="E150" s="41">
        <v>3.25</v>
      </c>
      <c r="F150" s="41" t="s">
        <v>387</v>
      </c>
      <c r="G150" s="413">
        <v>30</v>
      </c>
      <c r="H150" s="414">
        <v>687.60330578512401</v>
      </c>
      <c r="I150" s="321"/>
      <c r="J150" s="40" t="s">
        <v>3</v>
      </c>
      <c r="K150" s="36" t="s">
        <v>3</v>
      </c>
      <c r="L150" s="37"/>
      <c r="M150" s="35">
        <v>299</v>
      </c>
      <c r="N150" s="136">
        <v>9.6000000000000014</v>
      </c>
      <c r="O150" s="35">
        <v>189</v>
      </c>
      <c r="P150" s="136">
        <v>11.3</v>
      </c>
      <c r="Q150" s="37">
        <v>189</v>
      </c>
      <c r="R150" s="136">
        <v>10.700000000000001</v>
      </c>
      <c r="S150" s="37"/>
      <c r="T150" s="35">
        <v>0</v>
      </c>
      <c r="U150" s="136">
        <v>19.700000000000003</v>
      </c>
      <c r="V150" s="35">
        <v>0</v>
      </c>
      <c r="W150" s="136">
        <v>13.3</v>
      </c>
      <c r="X150" s="35">
        <v>0</v>
      </c>
      <c r="Y150" s="149">
        <v>13.3</v>
      </c>
      <c r="Z150" s="35">
        <v>0</v>
      </c>
      <c r="AA150" s="136">
        <v>13.200000000000001</v>
      </c>
      <c r="AB150" s="37">
        <v>0</v>
      </c>
      <c r="AC150" s="136">
        <v>13.200000000000001</v>
      </c>
      <c r="AD150" s="37"/>
      <c r="AE150" s="40">
        <v>384</v>
      </c>
      <c r="AF150" s="65"/>
      <c r="AG150" s="35">
        <v>0</v>
      </c>
      <c r="AH150" s="36">
        <v>0</v>
      </c>
      <c r="AI150" s="37"/>
      <c r="AJ150" s="35">
        <v>485</v>
      </c>
      <c r="AK150" s="36">
        <v>288.00000000000006</v>
      </c>
      <c r="AL150" s="35">
        <v>544</v>
      </c>
      <c r="AM150" s="36">
        <v>339</v>
      </c>
      <c r="AN150" s="37">
        <v>562</v>
      </c>
      <c r="AO150" s="36">
        <v>321.00000000000006</v>
      </c>
      <c r="AP150" s="37"/>
      <c r="AQ150" s="35">
        <v>481</v>
      </c>
      <c r="AR150" s="36">
        <v>591.00000000000011</v>
      </c>
      <c r="AS150" s="35">
        <v>673</v>
      </c>
      <c r="AT150" s="36">
        <v>399</v>
      </c>
      <c r="AU150" s="37">
        <v>673</v>
      </c>
      <c r="AV150" s="36">
        <v>399</v>
      </c>
      <c r="AW150" s="37">
        <v>676</v>
      </c>
      <c r="AX150" s="36">
        <v>396.00000000000006</v>
      </c>
      <c r="AY150" s="37">
        <v>676</v>
      </c>
      <c r="AZ150" s="36">
        <v>396.00000000000006</v>
      </c>
      <c r="BB150" s="40">
        <v>0</v>
      </c>
      <c r="BC150" s="65"/>
      <c r="BD150" s="35">
        <v>0</v>
      </c>
      <c r="BE150" s="36">
        <v>0</v>
      </c>
      <c r="BF150" s="37"/>
      <c r="BG150" s="415">
        <v>110</v>
      </c>
      <c r="BH150" s="353">
        <v>-2.5</v>
      </c>
      <c r="BI150" s="415">
        <v>0</v>
      </c>
      <c r="BJ150" s="353">
        <v>0</v>
      </c>
      <c r="BK150" s="415">
        <v>0</v>
      </c>
      <c r="BL150" s="353">
        <v>0</v>
      </c>
      <c r="BM150" s="416"/>
      <c r="BN150" s="415">
        <v>0</v>
      </c>
      <c r="BO150" s="353">
        <v>0</v>
      </c>
      <c r="BP150" s="415">
        <v>0</v>
      </c>
      <c r="BQ150" s="353">
        <v>-0.80000000000000071</v>
      </c>
      <c r="BR150" s="415">
        <v>0</v>
      </c>
      <c r="BS150" s="353">
        <v>-0.80000000000000071</v>
      </c>
      <c r="BT150" s="415">
        <v>0</v>
      </c>
      <c r="BU150" s="353">
        <v>-0.79999999999999893</v>
      </c>
      <c r="BV150" s="415">
        <v>0</v>
      </c>
      <c r="BW150" s="353">
        <v>-0.79999999999999893</v>
      </c>
      <c r="BY150" s="80"/>
      <c r="BZ150" s="65"/>
      <c r="CA150" s="40" t="s">
        <v>3</v>
      </c>
      <c r="CB150" s="65"/>
      <c r="CC150" s="40">
        <v>-100.60330578512401</v>
      </c>
      <c r="CD150" s="40">
        <v>-159.60330578512401</v>
      </c>
      <c r="CE150" s="40">
        <v>-177.60330578512395</v>
      </c>
      <c r="CF150" s="65"/>
      <c r="CG150" s="40">
        <v>-96.603305785123894</v>
      </c>
      <c r="CH150" s="40">
        <v>-288.60330578512401</v>
      </c>
      <c r="CI150" s="40">
        <v>-288.60330578512401</v>
      </c>
      <c r="CJ150" s="40">
        <v>-291.60330578512395</v>
      </c>
      <c r="CK150" s="40">
        <v>-291.60330578512395</v>
      </c>
    </row>
    <row r="151" spans="1:89" s="2" customFormat="1">
      <c r="A151" s="196" t="s">
        <v>904</v>
      </c>
      <c r="B151" s="211" t="s">
        <v>664</v>
      </c>
      <c r="C151" s="211" t="s">
        <v>686</v>
      </c>
      <c r="D151" s="41">
        <v>174</v>
      </c>
      <c r="E151" s="41">
        <v>3.25</v>
      </c>
      <c r="F151" s="22" t="s">
        <v>387</v>
      </c>
      <c r="G151" s="40">
        <v>24</v>
      </c>
      <c r="H151" s="388">
        <v>88.429752066115711</v>
      </c>
      <c r="I151" s="321"/>
      <c r="J151" s="40" t="s">
        <v>3</v>
      </c>
      <c r="K151" s="36" t="s">
        <v>3</v>
      </c>
      <c r="L151" s="37"/>
      <c r="M151" s="35">
        <v>0</v>
      </c>
      <c r="N151" s="136">
        <v>3.1</v>
      </c>
      <c r="O151" s="35">
        <v>0</v>
      </c>
      <c r="P151" s="136">
        <v>0.30000000000000004</v>
      </c>
      <c r="Q151" s="37">
        <v>0</v>
      </c>
      <c r="R151" s="136">
        <v>0.30000000000000004</v>
      </c>
      <c r="S151" s="37"/>
      <c r="T151" s="35">
        <v>0</v>
      </c>
      <c r="U151" s="136">
        <v>0.9</v>
      </c>
      <c r="V151" s="35">
        <v>0</v>
      </c>
      <c r="W151" s="136">
        <v>0</v>
      </c>
      <c r="X151" s="35">
        <v>0</v>
      </c>
      <c r="Y151" s="149">
        <v>0</v>
      </c>
      <c r="Z151" s="35">
        <v>0</v>
      </c>
      <c r="AA151" s="136">
        <v>0</v>
      </c>
      <c r="AB151" s="37">
        <v>0</v>
      </c>
      <c r="AC151" s="136">
        <v>0</v>
      </c>
      <c r="AD151" s="37"/>
      <c r="AE151" s="40">
        <v>86</v>
      </c>
      <c r="AF151" s="65"/>
      <c r="AG151" s="35">
        <v>0</v>
      </c>
      <c r="AH151" s="36">
        <v>0</v>
      </c>
      <c r="AI151" s="37"/>
      <c r="AJ151" s="35">
        <v>100</v>
      </c>
      <c r="AK151" s="36">
        <v>74.400000000000006</v>
      </c>
      <c r="AL151" s="35">
        <v>167</v>
      </c>
      <c r="AM151" s="36">
        <v>7.2000000000000011</v>
      </c>
      <c r="AN151" s="35">
        <v>167</v>
      </c>
      <c r="AO151" s="36">
        <v>7.2000000000000011</v>
      </c>
      <c r="AP151" s="37"/>
      <c r="AQ151" s="35">
        <v>152</v>
      </c>
      <c r="AR151" s="36">
        <v>21.6</v>
      </c>
      <c r="AS151" s="35">
        <v>174</v>
      </c>
      <c r="AT151" s="36">
        <v>0</v>
      </c>
      <c r="AU151" s="35">
        <v>174</v>
      </c>
      <c r="AV151" s="36">
        <v>0</v>
      </c>
      <c r="AW151" s="35">
        <v>174</v>
      </c>
      <c r="AX151" s="36">
        <v>0</v>
      </c>
      <c r="AY151" s="35">
        <v>174</v>
      </c>
      <c r="AZ151" s="36">
        <v>0</v>
      </c>
      <c r="BB151" s="40">
        <v>0</v>
      </c>
      <c r="BC151" s="65"/>
      <c r="BD151" s="35">
        <v>0</v>
      </c>
      <c r="BE151" s="36">
        <v>0</v>
      </c>
      <c r="BF151" s="37"/>
      <c r="BG151" s="415">
        <v>0</v>
      </c>
      <c r="BH151" s="353">
        <v>0</v>
      </c>
      <c r="BI151" s="415">
        <v>0</v>
      </c>
      <c r="BJ151" s="353">
        <v>0</v>
      </c>
      <c r="BK151" s="415">
        <v>0</v>
      </c>
      <c r="BL151" s="353">
        <v>0</v>
      </c>
      <c r="BM151" s="416"/>
      <c r="BN151" s="415">
        <v>0</v>
      </c>
      <c r="BO151" s="353">
        <v>0</v>
      </c>
      <c r="BP151" s="415">
        <v>0</v>
      </c>
      <c r="BQ151" s="353">
        <v>0</v>
      </c>
      <c r="BR151" s="415">
        <v>0</v>
      </c>
      <c r="BS151" s="353">
        <v>0</v>
      </c>
      <c r="BT151" s="415">
        <v>0</v>
      </c>
      <c r="BU151" s="353">
        <v>0</v>
      </c>
      <c r="BV151" s="415">
        <v>0</v>
      </c>
      <c r="BW151" s="353">
        <v>0</v>
      </c>
      <c r="BY151" s="80"/>
      <c r="BZ151" s="65"/>
      <c r="CA151" s="40" t="s">
        <v>3</v>
      </c>
      <c r="CB151" s="65"/>
      <c r="CC151" s="40">
        <v>-14.029752066115705</v>
      </c>
      <c r="CD151" s="40">
        <v>-81.229752066115708</v>
      </c>
      <c r="CE151" s="40">
        <v>-81.229752066115708</v>
      </c>
      <c r="CF151" s="65"/>
      <c r="CG151" s="40">
        <v>-66.829752066115702</v>
      </c>
      <c r="CH151" s="40">
        <v>-88.429752066115711</v>
      </c>
      <c r="CI151" s="40">
        <v>-88.429752066115711</v>
      </c>
      <c r="CJ151" s="40">
        <v>-88.429752066115711</v>
      </c>
      <c r="CK151" s="40">
        <v>-88.429752066115711</v>
      </c>
    </row>
    <row r="152" spans="1:89" s="2" customFormat="1">
      <c r="A152" s="196" t="s">
        <v>905</v>
      </c>
      <c r="B152" s="211" t="s">
        <v>664</v>
      </c>
      <c r="C152" s="211" t="s">
        <v>733</v>
      </c>
      <c r="D152" s="41">
        <v>638</v>
      </c>
      <c r="E152" s="41">
        <v>3.25</v>
      </c>
      <c r="F152" s="41" t="s">
        <v>387</v>
      </c>
      <c r="G152" s="413">
        <v>24</v>
      </c>
      <c r="H152" s="414">
        <v>507.43801652892563</v>
      </c>
      <c r="I152" s="321"/>
      <c r="J152" s="40" t="s">
        <v>3</v>
      </c>
      <c r="K152" s="36" t="s">
        <v>3</v>
      </c>
      <c r="L152" s="37"/>
      <c r="M152" s="35">
        <v>169</v>
      </c>
      <c r="N152" s="136">
        <v>10.200000000000001</v>
      </c>
      <c r="O152" s="35">
        <v>19</v>
      </c>
      <c r="P152" s="136">
        <v>13.3</v>
      </c>
      <c r="Q152" s="37">
        <v>19</v>
      </c>
      <c r="R152" s="136">
        <v>12.4</v>
      </c>
      <c r="S152" s="37"/>
      <c r="T152" s="35">
        <v>0</v>
      </c>
      <c r="U152" s="136">
        <v>17.2</v>
      </c>
      <c r="V152" s="35">
        <v>0</v>
      </c>
      <c r="W152" s="136">
        <v>9.3000000000000007</v>
      </c>
      <c r="X152" s="35">
        <v>0</v>
      </c>
      <c r="Y152" s="149">
        <v>6</v>
      </c>
      <c r="Z152" s="35">
        <v>0</v>
      </c>
      <c r="AA152" s="136">
        <v>6</v>
      </c>
      <c r="AB152" s="37">
        <v>0</v>
      </c>
      <c r="AC152" s="136">
        <v>6</v>
      </c>
      <c r="AD152" s="37"/>
      <c r="AE152" s="40">
        <v>131</v>
      </c>
      <c r="AF152" s="65"/>
      <c r="AG152" s="35">
        <v>0</v>
      </c>
      <c r="AH152" s="36">
        <v>0</v>
      </c>
      <c r="AI152" s="37"/>
      <c r="AJ152" s="35">
        <v>224</v>
      </c>
      <c r="AK152" s="36">
        <v>244.8</v>
      </c>
      <c r="AL152" s="35">
        <v>300</v>
      </c>
      <c r="AM152" s="36">
        <v>319.20000000000005</v>
      </c>
      <c r="AN152" s="37">
        <v>321</v>
      </c>
      <c r="AO152" s="36">
        <v>297.60000000000002</v>
      </c>
      <c r="AP152" s="37"/>
      <c r="AQ152" s="35">
        <v>225</v>
      </c>
      <c r="AR152" s="36">
        <v>412.79999999999995</v>
      </c>
      <c r="AS152" s="35">
        <v>415</v>
      </c>
      <c r="AT152" s="36">
        <v>223.20000000000002</v>
      </c>
      <c r="AU152" s="37">
        <v>494</v>
      </c>
      <c r="AV152" s="36">
        <v>144</v>
      </c>
      <c r="AW152" s="37">
        <v>494</v>
      </c>
      <c r="AX152" s="36">
        <v>144</v>
      </c>
      <c r="AY152" s="37">
        <v>494</v>
      </c>
      <c r="AZ152" s="36">
        <v>144</v>
      </c>
      <c r="BB152" s="40">
        <v>0</v>
      </c>
      <c r="BC152" s="65"/>
      <c r="BD152" s="35">
        <v>0</v>
      </c>
      <c r="BE152" s="36">
        <v>0</v>
      </c>
      <c r="BF152" s="37"/>
      <c r="BG152" s="415">
        <v>150</v>
      </c>
      <c r="BH152" s="353">
        <v>-4.0999999999999996</v>
      </c>
      <c r="BI152" s="415">
        <v>0</v>
      </c>
      <c r="BJ152" s="353">
        <v>0</v>
      </c>
      <c r="BK152" s="415">
        <v>0</v>
      </c>
      <c r="BL152" s="353">
        <v>-0.90000000000000036</v>
      </c>
      <c r="BM152" s="416"/>
      <c r="BN152" s="415">
        <v>0</v>
      </c>
      <c r="BO152" s="353">
        <v>0</v>
      </c>
      <c r="BP152" s="415">
        <v>0</v>
      </c>
      <c r="BQ152" s="353">
        <v>0</v>
      </c>
      <c r="BR152" s="415">
        <v>0</v>
      </c>
      <c r="BS152" s="353">
        <v>-3.3000000000000007</v>
      </c>
      <c r="BT152" s="415">
        <v>0</v>
      </c>
      <c r="BU152" s="353">
        <v>0</v>
      </c>
      <c r="BV152" s="415">
        <v>0</v>
      </c>
      <c r="BW152" s="353">
        <v>0</v>
      </c>
      <c r="BY152" s="80"/>
      <c r="BZ152" s="65"/>
      <c r="CA152" s="40" t="s">
        <v>3</v>
      </c>
      <c r="CB152" s="65"/>
      <c r="CC152" s="40">
        <v>-93.638016528925618</v>
      </c>
      <c r="CD152" s="40">
        <v>-169.23801652892558</v>
      </c>
      <c r="CE152" s="40">
        <v>-190.83801652892561</v>
      </c>
      <c r="CF152" s="65"/>
      <c r="CG152" s="40">
        <v>-94.638016528925675</v>
      </c>
      <c r="CH152" s="40">
        <v>-284.23801652892564</v>
      </c>
      <c r="CI152" s="40">
        <v>-363.43801652892563</v>
      </c>
      <c r="CJ152" s="40">
        <v>-363.43801652892563</v>
      </c>
      <c r="CK152" s="40">
        <v>-363.43801652892563</v>
      </c>
    </row>
    <row r="153" spans="1:89" s="2" customFormat="1">
      <c r="A153" s="196" t="s">
        <v>906</v>
      </c>
      <c r="B153" s="211" t="s">
        <v>664</v>
      </c>
      <c r="C153" s="211" t="s">
        <v>733</v>
      </c>
      <c r="D153" s="41">
        <v>638</v>
      </c>
      <c r="E153" s="41">
        <v>3.25</v>
      </c>
      <c r="F153" s="22" t="s">
        <v>387</v>
      </c>
      <c r="G153" s="40">
        <v>30</v>
      </c>
      <c r="H153" s="388">
        <v>507.43801652892563</v>
      </c>
      <c r="I153" s="321"/>
      <c r="J153" s="40" t="s">
        <v>3</v>
      </c>
      <c r="K153" s="36" t="s">
        <v>3</v>
      </c>
      <c r="L153" s="37"/>
      <c r="M153" s="35">
        <v>169</v>
      </c>
      <c r="N153" s="136">
        <v>8.2000000000000011</v>
      </c>
      <c r="O153" s="35">
        <v>19</v>
      </c>
      <c r="P153" s="136">
        <v>10.700000000000001</v>
      </c>
      <c r="Q153" s="37">
        <v>19</v>
      </c>
      <c r="R153" s="136">
        <v>10</v>
      </c>
      <c r="S153" s="37"/>
      <c r="T153" s="35">
        <v>0</v>
      </c>
      <c r="U153" s="136">
        <v>13.8</v>
      </c>
      <c r="V153" s="35">
        <v>0</v>
      </c>
      <c r="W153" s="136">
        <v>7.5</v>
      </c>
      <c r="X153" s="35">
        <v>0</v>
      </c>
      <c r="Y153" s="149">
        <v>4.8000000000000007</v>
      </c>
      <c r="Z153" s="35">
        <v>0</v>
      </c>
      <c r="AA153" s="136">
        <v>4.8000000000000007</v>
      </c>
      <c r="AB153" s="37">
        <v>0</v>
      </c>
      <c r="AC153" s="136">
        <v>4.8000000000000007</v>
      </c>
      <c r="AD153" s="37"/>
      <c r="AE153" s="40">
        <v>131</v>
      </c>
      <c r="AF153" s="65"/>
      <c r="AG153" s="35">
        <v>0</v>
      </c>
      <c r="AH153" s="36">
        <v>0</v>
      </c>
      <c r="AI153" s="37"/>
      <c r="AJ153" s="35">
        <v>223</v>
      </c>
      <c r="AK153" s="36">
        <v>246.00000000000003</v>
      </c>
      <c r="AL153" s="35">
        <v>298</v>
      </c>
      <c r="AM153" s="36">
        <v>321.00000000000006</v>
      </c>
      <c r="AN153" s="35">
        <v>319</v>
      </c>
      <c r="AO153" s="36">
        <v>300</v>
      </c>
      <c r="AP153" s="37"/>
      <c r="AQ153" s="35">
        <v>224</v>
      </c>
      <c r="AR153" s="36">
        <v>414</v>
      </c>
      <c r="AS153" s="35">
        <v>413</v>
      </c>
      <c r="AT153" s="36">
        <v>225</v>
      </c>
      <c r="AU153" s="35">
        <v>494</v>
      </c>
      <c r="AV153" s="36">
        <v>144.00000000000003</v>
      </c>
      <c r="AW153" s="35">
        <v>494</v>
      </c>
      <c r="AX153" s="36">
        <v>144.00000000000003</v>
      </c>
      <c r="AY153" s="35">
        <v>494</v>
      </c>
      <c r="AZ153" s="36">
        <v>144.00000000000003</v>
      </c>
      <c r="BB153" s="40">
        <v>0</v>
      </c>
      <c r="BC153" s="65"/>
      <c r="BD153" s="35">
        <v>0</v>
      </c>
      <c r="BE153" s="36">
        <v>0</v>
      </c>
      <c r="BF153" s="37"/>
      <c r="BG153" s="415">
        <v>150</v>
      </c>
      <c r="BH153" s="353">
        <v>-3.2999999999999989</v>
      </c>
      <c r="BI153" s="415">
        <v>0</v>
      </c>
      <c r="BJ153" s="353">
        <v>0</v>
      </c>
      <c r="BK153" s="415">
        <v>0</v>
      </c>
      <c r="BL153" s="353">
        <v>-0.70000000000000107</v>
      </c>
      <c r="BM153" s="416"/>
      <c r="BN153" s="415">
        <v>0</v>
      </c>
      <c r="BO153" s="353">
        <v>0</v>
      </c>
      <c r="BP153" s="415">
        <v>0</v>
      </c>
      <c r="BQ153" s="353">
        <v>0</v>
      </c>
      <c r="BR153" s="415">
        <v>0</v>
      </c>
      <c r="BS153" s="353">
        <v>-2.6999999999999993</v>
      </c>
      <c r="BT153" s="415">
        <v>0</v>
      </c>
      <c r="BU153" s="353">
        <v>8.8817841970012523E-16</v>
      </c>
      <c r="BV153" s="415">
        <v>0</v>
      </c>
      <c r="BW153" s="353">
        <v>8.8817841970012523E-16</v>
      </c>
      <c r="BY153" s="80"/>
      <c r="BZ153" s="65"/>
      <c r="CA153" s="40" t="s">
        <v>3</v>
      </c>
      <c r="CB153" s="65"/>
      <c r="CC153" s="40">
        <v>-92.43801652892563</v>
      </c>
      <c r="CD153" s="40">
        <v>-167.43801652892557</v>
      </c>
      <c r="CE153" s="40">
        <v>-188.43801652892563</v>
      </c>
      <c r="CF153" s="65"/>
      <c r="CG153" s="40">
        <v>-93.43801652892563</v>
      </c>
      <c r="CH153" s="40">
        <v>-282.43801652892563</v>
      </c>
      <c r="CI153" s="40">
        <v>-363.43801652892557</v>
      </c>
      <c r="CJ153" s="40">
        <v>-363.43801652892557</v>
      </c>
      <c r="CK153" s="40">
        <v>-363.43801652892557</v>
      </c>
    </row>
    <row r="154" spans="1:89" s="2" customFormat="1">
      <c r="A154" s="196" t="s">
        <v>907</v>
      </c>
      <c r="B154" s="211" t="s">
        <v>664</v>
      </c>
      <c r="C154" s="211" t="s">
        <v>734</v>
      </c>
      <c r="D154" s="41">
        <v>801</v>
      </c>
      <c r="E154" s="41">
        <v>3.25</v>
      </c>
      <c r="F154" s="41" t="s">
        <v>387</v>
      </c>
      <c r="G154" s="413">
        <v>24</v>
      </c>
      <c r="H154" s="414">
        <v>614.87603305785126</v>
      </c>
      <c r="I154" s="321"/>
      <c r="J154" s="40" t="s">
        <v>3</v>
      </c>
      <c r="K154" s="36" t="s">
        <v>3</v>
      </c>
      <c r="L154" s="37"/>
      <c r="M154" s="35">
        <v>259</v>
      </c>
      <c r="N154" s="136">
        <v>10.8</v>
      </c>
      <c r="O154" s="35">
        <v>159</v>
      </c>
      <c r="P154" s="136">
        <v>12</v>
      </c>
      <c r="Q154" s="37">
        <v>159</v>
      </c>
      <c r="R154" s="136">
        <v>11.200000000000001</v>
      </c>
      <c r="S154" s="37"/>
      <c r="T154" s="35">
        <v>0</v>
      </c>
      <c r="U154" s="136">
        <v>21.700000000000003</v>
      </c>
      <c r="V154" s="35">
        <v>0</v>
      </c>
      <c r="W154" s="136">
        <v>14.5</v>
      </c>
      <c r="X154" s="35">
        <v>0</v>
      </c>
      <c r="Y154" s="149">
        <v>14.5</v>
      </c>
      <c r="Z154" s="35">
        <v>0</v>
      </c>
      <c r="AA154" s="136">
        <v>14.5</v>
      </c>
      <c r="AB154" s="37">
        <v>0</v>
      </c>
      <c r="AC154" s="136">
        <v>14.5</v>
      </c>
      <c r="AD154" s="37"/>
      <c r="AE154" s="40">
        <v>186</v>
      </c>
      <c r="AF154" s="65"/>
      <c r="AG154" s="35">
        <v>0</v>
      </c>
      <c r="AH154" s="36">
        <v>0</v>
      </c>
      <c r="AI154" s="37"/>
      <c r="AJ154" s="35">
        <v>283</v>
      </c>
      <c r="AK154" s="36">
        <v>259.20000000000005</v>
      </c>
      <c r="AL154" s="35">
        <v>354</v>
      </c>
      <c r="AM154" s="36">
        <v>288</v>
      </c>
      <c r="AN154" s="37">
        <v>373</v>
      </c>
      <c r="AO154" s="36">
        <v>268.8</v>
      </c>
      <c r="AP154" s="37"/>
      <c r="AQ154" s="35">
        <v>280</v>
      </c>
      <c r="AR154" s="36">
        <v>520.80000000000007</v>
      </c>
      <c r="AS154" s="35">
        <v>453</v>
      </c>
      <c r="AT154" s="36">
        <v>348</v>
      </c>
      <c r="AU154" s="37">
        <v>453</v>
      </c>
      <c r="AV154" s="36">
        <v>348</v>
      </c>
      <c r="AW154" s="37">
        <v>453</v>
      </c>
      <c r="AX154" s="36">
        <v>348</v>
      </c>
      <c r="AY154" s="37">
        <v>453</v>
      </c>
      <c r="AZ154" s="36">
        <v>348</v>
      </c>
      <c r="BB154" s="40">
        <v>0</v>
      </c>
      <c r="BC154" s="65"/>
      <c r="BD154" s="35">
        <v>0</v>
      </c>
      <c r="BE154" s="36">
        <v>0</v>
      </c>
      <c r="BF154" s="37"/>
      <c r="BG154" s="415">
        <v>100</v>
      </c>
      <c r="BH154" s="353">
        <v>-2.3000000000000007</v>
      </c>
      <c r="BI154" s="415">
        <v>0</v>
      </c>
      <c r="BJ154" s="353">
        <v>0</v>
      </c>
      <c r="BK154" s="415">
        <v>0</v>
      </c>
      <c r="BL154" s="353">
        <v>0</v>
      </c>
      <c r="BM154" s="416"/>
      <c r="BN154" s="415">
        <v>0</v>
      </c>
      <c r="BO154" s="353">
        <v>0</v>
      </c>
      <c r="BP154" s="415">
        <v>0</v>
      </c>
      <c r="BQ154" s="353">
        <v>0</v>
      </c>
      <c r="BR154" s="415">
        <v>0</v>
      </c>
      <c r="BS154" s="353">
        <v>0</v>
      </c>
      <c r="BT154" s="415">
        <v>0</v>
      </c>
      <c r="BU154" s="353">
        <v>0</v>
      </c>
      <c r="BV154" s="415">
        <v>0</v>
      </c>
      <c r="BW154" s="353">
        <v>0</v>
      </c>
      <c r="BY154" s="80"/>
      <c r="BZ154" s="65"/>
      <c r="CA154" s="40" t="s">
        <v>3</v>
      </c>
      <c r="CB154" s="65"/>
      <c r="CC154" s="40">
        <v>-96.676033057851214</v>
      </c>
      <c r="CD154" s="40">
        <v>-167.87603305785126</v>
      </c>
      <c r="CE154" s="40">
        <v>-187.07603305785125</v>
      </c>
      <c r="CF154" s="65"/>
      <c r="CG154" s="40">
        <v>-94.076033057851191</v>
      </c>
      <c r="CH154" s="40">
        <v>-266.87603305785126</v>
      </c>
      <c r="CI154" s="40">
        <v>-266.87603305785126</v>
      </c>
      <c r="CJ154" s="40">
        <v>-266.87603305785126</v>
      </c>
      <c r="CK154" s="40">
        <v>-266.87603305785126</v>
      </c>
    </row>
    <row r="155" spans="1:89" s="2" customFormat="1">
      <c r="A155" s="196" t="s">
        <v>908</v>
      </c>
      <c r="B155" s="211" t="s">
        <v>664</v>
      </c>
      <c r="C155" s="211" t="s">
        <v>734</v>
      </c>
      <c r="D155" s="41">
        <v>801</v>
      </c>
      <c r="E155" s="41">
        <v>3.25</v>
      </c>
      <c r="F155" s="22" t="s">
        <v>387</v>
      </c>
      <c r="G155" s="40">
        <v>30</v>
      </c>
      <c r="H155" s="388">
        <v>614.87603305785126</v>
      </c>
      <c r="I155" s="321"/>
      <c r="J155" s="40" t="s">
        <v>3</v>
      </c>
      <c r="K155" s="36" t="s">
        <v>3</v>
      </c>
      <c r="L155" s="37"/>
      <c r="M155" s="35">
        <v>259</v>
      </c>
      <c r="N155" s="136">
        <v>8.7000000000000011</v>
      </c>
      <c r="O155" s="35">
        <v>159</v>
      </c>
      <c r="P155" s="136">
        <v>9.6000000000000014</v>
      </c>
      <c r="Q155" s="37">
        <v>159</v>
      </c>
      <c r="R155" s="136">
        <v>9</v>
      </c>
      <c r="S155" s="37"/>
      <c r="T155" s="35">
        <v>0</v>
      </c>
      <c r="U155" s="136">
        <v>17.400000000000002</v>
      </c>
      <c r="V155" s="35">
        <v>0</v>
      </c>
      <c r="W155" s="136">
        <v>11.600000000000001</v>
      </c>
      <c r="X155" s="35">
        <v>0</v>
      </c>
      <c r="Y155" s="149">
        <v>11.600000000000001</v>
      </c>
      <c r="Z155" s="35">
        <v>0</v>
      </c>
      <c r="AA155" s="136">
        <v>11.600000000000001</v>
      </c>
      <c r="AB155" s="37">
        <v>0</v>
      </c>
      <c r="AC155" s="136">
        <v>11.600000000000001</v>
      </c>
      <c r="AD155" s="37"/>
      <c r="AE155" s="40">
        <v>186</v>
      </c>
      <c r="AF155" s="65"/>
      <c r="AG155" s="35">
        <v>0</v>
      </c>
      <c r="AH155" s="36">
        <v>0</v>
      </c>
      <c r="AI155" s="37"/>
      <c r="AJ155" s="35">
        <v>281</v>
      </c>
      <c r="AK155" s="36">
        <v>261.00000000000006</v>
      </c>
      <c r="AL155" s="35">
        <v>354</v>
      </c>
      <c r="AM155" s="36">
        <v>288.00000000000006</v>
      </c>
      <c r="AN155" s="35">
        <v>372</v>
      </c>
      <c r="AO155" s="36">
        <v>270</v>
      </c>
      <c r="AP155" s="37"/>
      <c r="AQ155" s="35">
        <v>279</v>
      </c>
      <c r="AR155" s="36">
        <v>522.00000000000011</v>
      </c>
      <c r="AS155" s="35">
        <v>453</v>
      </c>
      <c r="AT155" s="36">
        <v>348.00000000000006</v>
      </c>
      <c r="AU155" s="35">
        <v>453</v>
      </c>
      <c r="AV155" s="36">
        <v>348.00000000000006</v>
      </c>
      <c r="AW155" s="35">
        <v>453</v>
      </c>
      <c r="AX155" s="36">
        <v>348.00000000000006</v>
      </c>
      <c r="AY155" s="35">
        <v>453</v>
      </c>
      <c r="AZ155" s="36">
        <v>348.00000000000006</v>
      </c>
      <c r="BB155" s="40">
        <v>0</v>
      </c>
      <c r="BC155" s="65"/>
      <c r="BD155" s="35">
        <v>0</v>
      </c>
      <c r="BE155" s="36">
        <v>0</v>
      </c>
      <c r="BF155" s="37"/>
      <c r="BG155" s="415">
        <v>100</v>
      </c>
      <c r="BH155" s="353">
        <v>-1.7999999999999989</v>
      </c>
      <c r="BI155" s="415">
        <v>0</v>
      </c>
      <c r="BJ155" s="353">
        <v>0</v>
      </c>
      <c r="BK155" s="415">
        <v>0</v>
      </c>
      <c r="BL155" s="353">
        <v>0</v>
      </c>
      <c r="BM155" s="416"/>
      <c r="BN155" s="415">
        <v>0</v>
      </c>
      <c r="BO155" s="353">
        <v>0</v>
      </c>
      <c r="BP155" s="415">
        <v>0</v>
      </c>
      <c r="BQ155" s="353">
        <v>0</v>
      </c>
      <c r="BR155" s="415">
        <v>0</v>
      </c>
      <c r="BS155" s="353">
        <v>0</v>
      </c>
      <c r="BT155" s="415">
        <v>0</v>
      </c>
      <c r="BU155" s="353">
        <v>0</v>
      </c>
      <c r="BV155" s="415">
        <v>0</v>
      </c>
      <c r="BW155" s="353">
        <v>0</v>
      </c>
      <c r="BY155" s="80"/>
      <c r="BZ155" s="65"/>
      <c r="CA155" s="40" t="s">
        <v>3</v>
      </c>
      <c r="CB155" s="65"/>
      <c r="CC155" s="40">
        <v>-94.876033057851259</v>
      </c>
      <c r="CD155" s="40">
        <v>-167.8760330578512</v>
      </c>
      <c r="CE155" s="40">
        <v>-185.87603305785126</v>
      </c>
      <c r="CF155" s="65"/>
      <c r="CG155" s="40">
        <v>-92.876033057851146</v>
      </c>
      <c r="CH155" s="40">
        <v>-266.8760330578512</v>
      </c>
      <c r="CI155" s="40">
        <v>-266.8760330578512</v>
      </c>
      <c r="CJ155" s="40">
        <v>-266.8760330578512</v>
      </c>
      <c r="CK155" s="40">
        <v>-266.8760330578512</v>
      </c>
    </row>
    <row r="156" spans="1:89" s="2" customFormat="1">
      <c r="A156" s="196" t="s">
        <v>909</v>
      </c>
      <c r="B156" s="211" t="s">
        <v>664</v>
      </c>
      <c r="C156" s="211" t="s">
        <v>735</v>
      </c>
      <c r="D156" s="41">
        <v>895</v>
      </c>
      <c r="E156" s="41">
        <v>3.25</v>
      </c>
      <c r="F156" s="41" t="s">
        <v>387</v>
      </c>
      <c r="G156" s="413">
        <v>24</v>
      </c>
      <c r="H156" s="414">
        <v>761.15702479338847</v>
      </c>
      <c r="I156" s="321"/>
      <c r="J156" s="40" t="s">
        <v>3</v>
      </c>
      <c r="K156" s="36" t="s">
        <v>3</v>
      </c>
      <c r="L156" s="37"/>
      <c r="M156" s="35">
        <v>319</v>
      </c>
      <c r="N156" s="136">
        <v>12.9</v>
      </c>
      <c r="O156" s="35">
        <v>189</v>
      </c>
      <c r="P156" s="136">
        <v>15.100000000000001</v>
      </c>
      <c r="Q156" s="37">
        <v>189</v>
      </c>
      <c r="R156" s="136">
        <v>14.3</v>
      </c>
      <c r="S156" s="37"/>
      <c r="T156" s="35">
        <v>0</v>
      </c>
      <c r="U156" s="136">
        <v>26.3</v>
      </c>
      <c r="V156" s="35">
        <v>0</v>
      </c>
      <c r="W156" s="136">
        <v>21.700000000000003</v>
      </c>
      <c r="X156" s="35">
        <v>0</v>
      </c>
      <c r="Y156" s="149">
        <v>10</v>
      </c>
      <c r="Z156" s="35">
        <v>0</v>
      </c>
      <c r="AA156" s="136">
        <v>10</v>
      </c>
      <c r="AB156" s="37">
        <v>0</v>
      </c>
      <c r="AC156" s="136">
        <v>10</v>
      </c>
      <c r="AD156" s="37"/>
      <c r="AE156" s="40">
        <v>134</v>
      </c>
      <c r="AF156" s="65"/>
      <c r="AG156" s="35">
        <v>0</v>
      </c>
      <c r="AH156" s="36">
        <v>0</v>
      </c>
      <c r="AI156" s="37"/>
      <c r="AJ156" s="35">
        <v>266</v>
      </c>
      <c r="AK156" s="36">
        <v>309.60000000000002</v>
      </c>
      <c r="AL156" s="35">
        <v>344</v>
      </c>
      <c r="AM156" s="36">
        <v>362.40000000000003</v>
      </c>
      <c r="AN156" s="37">
        <v>363</v>
      </c>
      <c r="AO156" s="36">
        <v>343.20000000000005</v>
      </c>
      <c r="AP156" s="37"/>
      <c r="AQ156" s="35">
        <v>264</v>
      </c>
      <c r="AR156" s="36">
        <v>631.20000000000005</v>
      </c>
      <c r="AS156" s="35">
        <v>374</v>
      </c>
      <c r="AT156" s="36">
        <v>520.80000000000007</v>
      </c>
      <c r="AU156" s="37">
        <v>655</v>
      </c>
      <c r="AV156" s="36">
        <v>240</v>
      </c>
      <c r="AW156" s="37">
        <v>655</v>
      </c>
      <c r="AX156" s="36">
        <v>240</v>
      </c>
      <c r="AY156" s="37">
        <v>655</v>
      </c>
      <c r="AZ156" s="36">
        <v>240</v>
      </c>
      <c r="BB156" s="40">
        <v>0</v>
      </c>
      <c r="BC156" s="65"/>
      <c r="BD156" s="35">
        <v>0</v>
      </c>
      <c r="BE156" s="36">
        <v>0</v>
      </c>
      <c r="BF156" s="37"/>
      <c r="BG156" s="415">
        <v>130</v>
      </c>
      <c r="BH156" s="353">
        <v>-3.2999999999999989</v>
      </c>
      <c r="BI156" s="415">
        <v>0</v>
      </c>
      <c r="BJ156" s="353">
        <v>0</v>
      </c>
      <c r="BK156" s="415">
        <v>0</v>
      </c>
      <c r="BL156" s="353">
        <v>0</v>
      </c>
      <c r="BM156" s="416"/>
      <c r="BN156" s="415">
        <v>0</v>
      </c>
      <c r="BO156" s="353">
        <v>0</v>
      </c>
      <c r="BP156" s="415">
        <v>0</v>
      </c>
      <c r="BQ156" s="353">
        <v>0</v>
      </c>
      <c r="BR156" s="415">
        <v>0</v>
      </c>
      <c r="BS156" s="353">
        <v>-11.700000000000003</v>
      </c>
      <c r="BT156" s="415">
        <v>0</v>
      </c>
      <c r="BU156" s="353">
        <v>0</v>
      </c>
      <c r="BV156" s="415">
        <v>0</v>
      </c>
      <c r="BW156" s="353">
        <v>0</v>
      </c>
      <c r="BY156" s="80"/>
      <c r="BZ156" s="65"/>
      <c r="CA156" s="40" t="s">
        <v>3</v>
      </c>
      <c r="CB156" s="65"/>
      <c r="CC156" s="40">
        <v>-132.55702479338845</v>
      </c>
      <c r="CD156" s="40">
        <v>-209.75702479338838</v>
      </c>
      <c r="CE156" s="40">
        <v>-228.95702479338843</v>
      </c>
      <c r="CF156" s="65"/>
      <c r="CG156" s="40">
        <v>-129.95702479338843</v>
      </c>
      <c r="CH156" s="40">
        <v>-240.3570247933884</v>
      </c>
      <c r="CI156" s="40">
        <v>-521.15702479338847</v>
      </c>
      <c r="CJ156" s="40">
        <v>-521.15702479338847</v>
      </c>
      <c r="CK156" s="40">
        <v>-521.15702479338847</v>
      </c>
    </row>
    <row r="157" spans="1:89" s="2" customFormat="1">
      <c r="A157" s="196" t="s">
        <v>910</v>
      </c>
      <c r="B157" s="211" t="s">
        <v>664</v>
      </c>
      <c r="C157" s="211" t="s">
        <v>735</v>
      </c>
      <c r="D157" s="41">
        <v>895</v>
      </c>
      <c r="E157" s="41">
        <v>3.25</v>
      </c>
      <c r="F157" s="22" t="s">
        <v>387</v>
      </c>
      <c r="G157" s="40">
        <v>30</v>
      </c>
      <c r="H157" s="388">
        <v>761.15702479338847</v>
      </c>
      <c r="I157" s="321"/>
      <c r="J157" s="40" t="s">
        <v>3</v>
      </c>
      <c r="K157" s="36" t="s">
        <v>3</v>
      </c>
      <c r="L157" s="37"/>
      <c r="M157" s="35">
        <v>319</v>
      </c>
      <c r="N157" s="136">
        <v>10.4</v>
      </c>
      <c r="O157" s="35">
        <v>189</v>
      </c>
      <c r="P157" s="136">
        <v>12.100000000000001</v>
      </c>
      <c r="Q157" s="37">
        <v>189</v>
      </c>
      <c r="R157" s="136">
        <v>11.5</v>
      </c>
      <c r="S157" s="37"/>
      <c r="T157" s="35">
        <v>0</v>
      </c>
      <c r="U157" s="136">
        <v>21.1</v>
      </c>
      <c r="V157" s="35">
        <v>0</v>
      </c>
      <c r="W157" s="136">
        <v>17.400000000000002</v>
      </c>
      <c r="X157" s="35">
        <v>0</v>
      </c>
      <c r="Y157" s="149">
        <v>8</v>
      </c>
      <c r="Z157" s="35">
        <v>0</v>
      </c>
      <c r="AA157" s="136">
        <v>8</v>
      </c>
      <c r="AB157" s="37">
        <v>0</v>
      </c>
      <c r="AC157" s="136">
        <v>8</v>
      </c>
      <c r="AD157" s="37"/>
      <c r="AE157" s="40">
        <v>134</v>
      </c>
      <c r="AF157" s="65"/>
      <c r="AG157" s="35">
        <v>0</v>
      </c>
      <c r="AH157" s="36">
        <v>0</v>
      </c>
      <c r="AI157" s="37"/>
      <c r="AJ157" s="35">
        <v>264</v>
      </c>
      <c r="AK157" s="36">
        <v>312</v>
      </c>
      <c r="AL157" s="35">
        <v>343</v>
      </c>
      <c r="AM157" s="36">
        <v>363.00000000000006</v>
      </c>
      <c r="AN157" s="35">
        <v>361</v>
      </c>
      <c r="AO157" s="36">
        <v>345</v>
      </c>
      <c r="AP157" s="37"/>
      <c r="AQ157" s="35">
        <v>262</v>
      </c>
      <c r="AR157" s="36">
        <v>633</v>
      </c>
      <c r="AS157" s="35">
        <v>373</v>
      </c>
      <c r="AT157" s="36">
        <v>522.00000000000011</v>
      </c>
      <c r="AU157" s="35">
        <v>655</v>
      </c>
      <c r="AV157" s="36">
        <v>240</v>
      </c>
      <c r="AW157" s="35">
        <v>655</v>
      </c>
      <c r="AX157" s="36">
        <v>240</v>
      </c>
      <c r="AY157" s="35">
        <v>655</v>
      </c>
      <c r="AZ157" s="36">
        <v>240</v>
      </c>
      <c r="BB157" s="40">
        <v>0</v>
      </c>
      <c r="BC157" s="65"/>
      <c r="BD157" s="35">
        <v>0</v>
      </c>
      <c r="BE157" s="36">
        <v>0</v>
      </c>
      <c r="BF157" s="37"/>
      <c r="BG157" s="415">
        <v>130</v>
      </c>
      <c r="BH157" s="353">
        <v>-2.5999999999999996</v>
      </c>
      <c r="BI157" s="415">
        <v>0</v>
      </c>
      <c r="BJ157" s="353">
        <v>0</v>
      </c>
      <c r="BK157" s="415">
        <v>0</v>
      </c>
      <c r="BL157" s="353">
        <v>0</v>
      </c>
      <c r="BM157" s="416"/>
      <c r="BN157" s="415">
        <v>0</v>
      </c>
      <c r="BO157" s="353">
        <v>0</v>
      </c>
      <c r="BP157" s="415">
        <v>0</v>
      </c>
      <c r="BQ157" s="353">
        <v>0</v>
      </c>
      <c r="BR157" s="415">
        <v>0</v>
      </c>
      <c r="BS157" s="353">
        <v>-9.4000000000000021</v>
      </c>
      <c r="BT157" s="415">
        <v>0</v>
      </c>
      <c r="BU157" s="353">
        <v>0</v>
      </c>
      <c r="BV157" s="415">
        <v>0</v>
      </c>
      <c r="BW157" s="353">
        <v>0</v>
      </c>
      <c r="BY157" s="80"/>
      <c r="BZ157" s="65"/>
      <c r="CA157" s="40" t="s">
        <v>3</v>
      </c>
      <c r="CB157" s="65"/>
      <c r="CC157" s="40">
        <v>-130.15702479338847</v>
      </c>
      <c r="CD157" s="40">
        <v>-209.15702479338847</v>
      </c>
      <c r="CE157" s="40">
        <v>-227.15702479338847</v>
      </c>
      <c r="CF157" s="65"/>
      <c r="CG157" s="40">
        <v>-128.15702479338847</v>
      </c>
      <c r="CH157" s="40">
        <v>-239.15702479338836</v>
      </c>
      <c r="CI157" s="40">
        <v>-521.15702479338847</v>
      </c>
      <c r="CJ157" s="40">
        <v>-521.15702479338847</v>
      </c>
      <c r="CK157" s="40">
        <v>-521.15702479338847</v>
      </c>
    </row>
    <row r="158" spans="1:89" s="2" customFormat="1">
      <c r="A158" s="196" t="s">
        <v>911</v>
      </c>
      <c r="B158" s="211" t="s">
        <v>664</v>
      </c>
      <c r="C158" s="211" t="s">
        <v>613</v>
      </c>
      <c r="D158" s="41">
        <v>205</v>
      </c>
      <c r="E158" s="41">
        <v>3.25</v>
      </c>
      <c r="F158" s="41" t="s">
        <v>387</v>
      </c>
      <c r="G158" s="413">
        <v>24</v>
      </c>
      <c r="H158" s="414">
        <v>98.347107438016536</v>
      </c>
      <c r="I158" s="321"/>
      <c r="J158" s="40" t="s">
        <v>3</v>
      </c>
      <c r="K158" s="36" t="s">
        <v>3</v>
      </c>
      <c r="L158" s="37"/>
      <c r="M158" s="35">
        <v>0</v>
      </c>
      <c r="N158" s="136">
        <v>3.6</v>
      </c>
      <c r="O158" s="35">
        <v>0</v>
      </c>
      <c r="P158" s="136">
        <v>0.70000000000000007</v>
      </c>
      <c r="Q158" s="37">
        <v>0</v>
      </c>
      <c r="R158" s="136">
        <v>0.5</v>
      </c>
      <c r="S158" s="37"/>
      <c r="T158" s="35">
        <v>0</v>
      </c>
      <c r="U158" s="136">
        <v>3.8000000000000003</v>
      </c>
      <c r="V158" s="35">
        <v>0</v>
      </c>
      <c r="W158" s="136">
        <v>1.1000000000000001</v>
      </c>
      <c r="X158" s="35">
        <v>0</v>
      </c>
      <c r="Y158" s="149">
        <v>0.5</v>
      </c>
      <c r="Z158" s="35">
        <v>0</v>
      </c>
      <c r="AA158" s="136">
        <v>0.5</v>
      </c>
      <c r="AB158" s="37">
        <v>0</v>
      </c>
      <c r="AC158" s="136">
        <v>0.5</v>
      </c>
      <c r="AD158" s="37"/>
      <c r="AE158" s="40">
        <v>107</v>
      </c>
      <c r="AF158" s="65"/>
      <c r="AG158" s="35">
        <v>0</v>
      </c>
      <c r="AH158" s="36">
        <v>0</v>
      </c>
      <c r="AI158" s="37"/>
      <c r="AJ158" s="35">
        <v>119</v>
      </c>
      <c r="AK158" s="36">
        <v>86.4</v>
      </c>
      <c r="AL158" s="35">
        <v>188</v>
      </c>
      <c r="AM158" s="36">
        <v>16.8</v>
      </c>
      <c r="AN158" s="37">
        <v>193</v>
      </c>
      <c r="AO158" s="36">
        <v>12</v>
      </c>
      <c r="AP158" s="37"/>
      <c r="AQ158" s="35">
        <v>114</v>
      </c>
      <c r="AR158" s="36">
        <v>91.2</v>
      </c>
      <c r="AS158" s="35">
        <v>179</v>
      </c>
      <c r="AT158" s="36">
        <v>26.400000000000002</v>
      </c>
      <c r="AU158" s="37">
        <v>193</v>
      </c>
      <c r="AV158" s="36">
        <v>12</v>
      </c>
      <c r="AW158" s="37">
        <v>193</v>
      </c>
      <c r="AX158" s="36">
        <v>12</v>
      </c>
      <c r="AY158" s="37">
        <v>193</v>
      </c>
      <c r="AZ158" s="36">
        <v>12</v>
      </c>
      <c r="BB158" s="40">
        <v>0</v>
      </c>
      <c r="BC158" s="65"/>
      <c r="BD158" s="35">
        <v>0</v>
      </c>
      <c r="BE158" s="36">
        <v>0</v>
      </c>
      <c r="BF158" s="37"/>
      <c r="BG158" s="415">
        <v>0</v>
      </c>
      <c r="BH158" s="353">
        <v>1.9</v>
      </c>
      <c r="BI158" s="415">
        <v>0</v>
      </c>
      <c r="BJ158" s="353">
        <v>0</v>
      </c>
      <c r="BK158" s="415">
        <v>0</v>
      </c>
      <c r="BL158" s="353">
        <v>0</v>
      </c>
      <c r="BM158" s="416"/>
      <c r="BN158" s="415">
        <v>0</v>
      </c>
      <c r="BO158" s="353">
        <v>0</v>
      </c>
      <c r="BP158" s="415">
        <v>0</v>
      </c>
      <c r="BQ158" s="353">
        <v>0</v>
      </c>
      <c r="BR158" s="415">
        <v>0</v>
      </c>
      <c r="BS158" s="353">
        <v>-0.60000000000000009</v>
      </c>
      <c r="BT158" s="415">
        <v>0</v>
      </c>
      <c r="BU158" s="353">
        <v>0</v>
      </c>
      <c r="BV158" s="415">
        <v>0</v>
      </c>
      <c r="BW158" s="353">
        <v>0</v>
      </c>
      <c r="BY158" s="80"/>
      <c r="BZ158" s="65"/>
      <c r="CA158" s="40" t="s">
        <v>3</v>
      </c>
      <c r="CB158" s="65"/>
      <c r="CC158" s="40">
        <v>-11.947107438016531</v>
      </c>
      <c r="CD158" s="40">
        <v>-81.547107438016539</v>
      </c>
      <c r="CE158" s="40">
        <v>-86.347107438016536</v>
      </c>
      <c r="CF158" s="65"/>
      <c r="CG158" s="40">
        <v>-7.1471074380165334</v>
      </c>
      <c r="CH158" s="40">
        <v>-71.947107438016531</v>
      </c>
      <c r="CI158" s="40">
        <v>-86.347107438016536</v>
      </c>
      <c r="CJ158" s="40">
        <v>-86.347107438016536</v>
      </c>
      <c r="CK158" s="40">
        <v>-86.347107438016536</v>
      </c>
    </row>
    <row r="159" spans="1:89" s="2" customFormat="1">
      <c r="A159" s="196" t="s">
        <v>912</v>
      </c>
      <c r="B159" s="211" t="s">
        <v>664</v>
      </c>
      <c r="C159" s="211" t="s">
        <v>613</v>
      </c>
      <c r="D159" s="41">
        <v>205</v>
      </c>
      <c r="E159" s="41">
        <v>3.25</v>
      </c>
      <c r="F159" s="22" t="s">
        <v>387</v>
      </c>
      <c r="G159" s="40">
        <v>30</v>
      </c>
      <c r="H159" s="388">
        <v>98.347107438016536</v>
      </c>
      <c r="I159" s="321"/>
      <c r="J159" s="40" t="s">
        <v>3</v>
      </c>
      <c r="K159" s="36" t="s">
        <v>3</v>
      </c>
      <c r="L159" s="37"/>
      <c r="M159" s="35">
        <v>0</v>
      </c>
      <c r="N159" s="136">
        <v>2.9000000000000004</v>
      </c>
      <c r="O159" s="35">
        <v>0</v>
      </c>
      <c r="P159" s="136">
        <v>0.60000000000000009</v>
      </c>
      <c r="Q159" s="37">
        <v>0</v>
      </c>
      <c r="R159" s="136">
        <v>0.4</v>
      </c>
      <c r="S159" s="37"/>
      <c r="T159" s="35">
        <v>0</v>
      </c>
      <c r="U159" s="136">
        <v>3.1</v>
      </c>
      <c r="V159" s="35">
        <v>0</v>
      </c>
      <c r="W159" s="136">
        <v>0.9</v>
      </c>
      <c r="X159" s="35">
        <v>0</v>
      </c>
      <c r="Y159" s="149">
        <v>0.4</v>
      </c>
      <c r="Z159" s="35">
        <v>0</v>
      </c>
      <c r="AA159" s="136">
        <v>0.4</v>
      </c>
      <c r="AB159" s="37">
        <v>0</v>
      </c>
      <c r="AC159" s="136">
        <v>0.4</v>
      </c>
      <c r="AD159" s="37"/>
      <c r="AE159" s="40">
        <v>107</v>
      </c>
      <c r="AF159" s="65"/>
      <c r="AG159" s="35">
        <v>0</v>
      </c>
      <c r="AH159" s="36">
        <v>0</v>
      </c>
      <c r="AI159" s="37"/>
      <c r="AJ159" s="35">
        <v>118</v>
      </c>
      <c r="AK159" s="36">
        <v>87.000000000000014</v>
      </c>
      <c r="AL159" s="35">
        <v>187</v>
      </c>
      <c r="AM159" s="36">
        <v>18.000000000000004</v>
      </c>
      <c r="AN159" s="35">
        <v>193</v>
      </c>
      <c r="AO159" s="36">
        <v>12</v>
      </c>
      <c r="AP159" s="37"/>
      <c r="AQ159" s="35">
        <v>112</v>
      </c>
      <c r="AR159" s="36">
        <v>93</v>
      </c>
      <c r="AS159" s="35">
        <v>178</v>
      </c>
      <c r="AT159" s="36">
        <v>27</v>
      </c>
      <c r="AU159" s="35">
        <v>193</v>
      </c>
      <c r="AV159" s="36">
        <v>12</v>
      </c>
      <c r="AW159" s="35">
        <v>193</v>
      </c>
      <c r="AX159" s="36">
        <v>12</v>
      </c>
      <c r="AY159" s="35">
        <v>193</v>
      </c>
      <c r="AZ159" s="36">
        <v>12</v>
      </c>
      <c r="BB159" s="40">
        <v>0</v>
      </c>
      <c r="BC159" s="65"/>
      <c r="BD159" s="35">
        <v>0</v>
      </c>
      <c r="BE159" s="36">
        <v>0</v>
      </c>
      <c r="BF159" s="37"/>
      <c r="BG159" s="415">
        <v>0</v>
      </c>
      <c r="BH159" s="353">
        <v>1.5000000000000002</v>
      </c>
      <c r="BI159" s="415">
        <v>0</v>
      </c>
      <c r="BJ159" s="353">
        <v>0</v>
      </c>
      <c r="BK159" s="415">
        <v>0</v>
      </c>
      <c r="BL159" s="353">
        <v>0</v>
      </c>
      <c r="BM159" s="416"/>
      <c r="BN159" s="415">
        <v>0</v>
      </c>
      <c r="BO159" s="353">
        <v>0</v>
      </c>
      <c r="BP159" s="415">
        <v>0</v>
      </c>
      <c r="BQ159" s="353">
        <v>0</v>
      </c>
      <c r="BR159" s="415">
        <v>0</v>
      </c>
      <c r="BS159" s="353">
        <v>-0.5</v>
      </c>
      <c r="BT159" s="415">
        <v>0</v>
      </c>
      <c r="BU159" s="353">
        <v>0</v>
      </c>
      <c r="BV159" s="415">
        <v>0</v>
      </c>
      <c r="BW159" s="353">
        <v>0</v>
      </c>
      <c r="BY159" s="80"/>
      <c r="BZ159" s="65"/>
      <c r="CA159" s="40" t="s">
        <v>3</v>
      </c>
      <c r="CB159" s="65"/>
      <c r="CC159" s="40">
        <v>-11.347107438016522</v>
      </c>
      <c r="CD159" s="40">
        <v>-80.347107438016536</v>
      </c>
      <c r="CE159" s="40">
        <v>-86.347107438016536</v>
      </c>
      <c r="CF159" s="65"/>
      <c r="CG159" s="40">
        <v>-5.3471074380165362</v>
      </c>
      <c r="CH159" s="40">
        <v>-71.347107438016536</v>
      </c>
      <c r="CI159" s="40">
        <v>-86.347107438016536</v>
      </c>
      <c r="CJ159" s="40">
        <v>-86.347107438016536</v>
      </c>
      <c r="CK159" s="40">
        <v>-86.347107438016536</v>
      </c>
    </row>
    <row r="160" spans="1:89" s="2" customFormat="1">
      <c r="A160" s="196" t="s">
        <v>913</v>
      </c>
      <c r="B160" s="211" t="s">
        <v>664</v>
      </c>
      <c r="C160" s="211" t="s">
        <v>572</v>
      </c>
      <c r="D160" s="41">
        <v>326</v>
      </c>
      <c r="E160" s="41">
        <v>3.25</v>
      </c>
      <c r="F160" s="41" t="s">
        <v>387</v>
      </c>
      <c r="G160" s="413">
        <v>24</v>
      </c>
      <c r="H160" s="414">
        <v>179.3388429752066</v>
      </c>
      <c r="I160" s="321"/>
      <c r="J160" s="40" t="s">
        <v>3</v>
      </c>
      <c r="K160" s="36" t="s">
        <v>3</v>
      </c>
      <c r="L160" s="37"/>
      <c r="M160" s="35">
        <v>29</v>
      </c>
      <c r="N160" s="136">
        <v>5</v>
      </c>
      <c r="O160" s="35">
        <v>0</v>
      </c>
      <c r="P160" s="136">
        <v>3.1</v>
      </c>
      <c r="Q160" s="37">
        <v>0</v>
      </c>
      <c r="R160" s="136">
        <v>2.5</v>
      </c>
      <c r="S160" s="37"/>
      <c r="T160" s="35">
        <v>0</v>
      </c>
      <c r="U160" s="136">
        <v>6.2</v>
      </c>
      <c r="V160" s="35">
        <v>0</v>
      </c>
      <c r="W160" s="136">
        <v>2.1</v>
      </c>
      <c r="X160" s="35">
        <v>0</v>
      </c>
      <c r="Y160" s="149">
        <v>2.1</v>
      </c>
      <c r="Z160" s="35">
        <v>0</v>
      </c>
      <c r="AA160" s="136">
        <v>1</v>
      </c>
      <c r="AB160" s="37">
        <v>0</v>
      </c>
      <c r="AC160" s="136">
        <v>1</v>
      </c>
      <c r="AD160" s="37"/>
      <c r="AE160" s="40">
        <v>147</v>
      </c>
      <c r="AF160" s="65"/>
      <c r="AG160" s="35">
        <v>0</v>
      </c>
      <c r="AH160" s="36">
        <v>0</v>
      </c>
      <c r="AI160" s="37"/>
      <c r="AJ160" s="35">
        <v>177</v>
      </c>
      <c r="AK160" s="36">
        <v>120</v>
      </c>
      <c r="AL160" s="35">
        <v>252</v>
      </c>
      <c r="AM160" s="36">
        <v>74.400000000000006</v>
      </c>
      <c r="AN160" s="37">
        <v>266</v>
      </c>
      <c r="AO160" s="36">
        <v>60</v>
      </c>
      <c r="AP160" s="37"/>
      <c r="AQ160" s="35">
        <v>177</v>
      </c>
      <c r="AR160" s="36">
        <v>148.80000000000001</v>
      </c>
      <c r="AS160" s="35">
        <v>276</v>
      </c>
      <c r="AT160" s="36">
        <v>50.400000000000006</v>
      </c>
      <c r="AU160" s="37">
        <v>276</v>
      </c>
      <c r="AV160" s="36">
        <v>50.400000000000006</v>
      </c>
      <c r="AW160" s="37">
        <v>302</v>
      </c>
      <c r="AX160" s="36">
        <v>24</v>
      </c>
      <c r="AY160" s="37">
        <v>302</v>
      </c>
      <c r="AZ160" s="36">
        <v>24</v>
      </c>
      <c r="BB160" s="40">
        <v>0</v>
      </c>
      <c r="BC160" s="65"/>
      <c r="BD160" s="35">
        <v>0</v>
      </c>
      <c r="BE160" s="36">
        <v>0</v>
      </c>
      <c r="BF160" s="37"/>
      <c r="BG160" s="415">
        <v>29</v>
      </c>
      <c r="BH160" s="353">
        <v>0.39999999999999947</v>
      </c>
      <c r="BI160" s="415">
        <v>0</v>
      </c>
      <c r="BJ160" s="353">
        <v>-0.5</v>
      </c>
      <c r="BK160" s="415">
        <v>0</v>
      </c>
      <c r="BL160" s="353">
        <v>-0.20000000000000018</v>
      </c>
      <c r="BM160" s="416"/>
      <c r="BN160" s="415">
        <v>0</v>
      </c>
      <c r="BO160" s="353">
        <v>-2.8999999999999995</v>
      </c>
      <c r="BP160" s="415">
        <v>0</v>
      </c>
      <c r="BQ160" s="353">
        <v>-2.1</v>
      </c>
      <c r="BR160" s="415">
        <v>0</v>
      </c>
      <c r="BS160" s="353">
        <v>-2.1</v>
      </c>
      <c r="BT160" s="415">
        <v>0</v>
      </c>
      <c r="BU160" s="353">
        <v>0</v>
      </c>
      <c r="BV160" s="415">
        <v>0</v>
      </c>
      <c r="BW160" s="353">
        <v>0</v>
      </c>
      <c r="BY160" s="80"/>
      <c r="BZ160" s="65"/>
      <c r="CA160" s="40" t="s">
        <v>3</v>
      </c>
      <c r="CB160" s="65"/>
      <c r="CC160" s="40">
        <v>-30.338842975206603</v>
      </c>
      <c r="CD160" s="40">
        <v>-104.9388429752066</v>
      </c>
      <c r="CE160" s="40">
        <v>-119.3388429752066</v>
      </c>
      <c r="CF160" s="65"/>
      <c r="CG160" s="40">
        <v>-30.538842975206592</v>
      </c>
      <c r="CH160" s="40">
        <v>-128.9388429752066</v>
      </c>
      <c r="CI160" s="40">
        <v>-128.9388429752066</v>
      </c>
      <c r="CJ160" s="40">
        <v>-155.3388429752066</v>
      </c>
      <c r="CK160" s="40">
        <v>-155.3388429752066</v>
      </c>
    </row>
    <row r="161" spans="1:89" s="2" customFormat="1">
      <c r="A161" s="196" t="s">
        <v>914</v>
      </c>
      <c r="B161" s="211" t="s">
        <v>664</v>
      </c>
      <c r="C161" s="211" t="s">
        <v>572</v>
      </c>
      <c r="D161" s="41">
        <v>326</v>
      </c>
      <c r="E161" s="41">
        <v>3.25</v>
      </c>
      <c r="F161" s="22" t="s">
        <v>387</v>
      </c>
      <c r="G161" s="40">
        <v>30</v>
      </c>
      <c r="H161" s="388">
        <v>179.3388429752066</v>
      </c>
      <c r="I161" s="321"/>
      <c r="J161" s="40" t="s">
        <v>3</v>
      </c>
      <c r="K161" s="36" t="s">
        <v>3</v>
      </c>
      <c r="L161" s="37"/>
      <c r="M161" s="35">
        <v>29</v>
      </c>
      <c r="N161" s="136">
        <v>4</v>
      </c>
      <c r="O161" s="35">
        <v>0</v>
      </c>
      <c r="P161" s="136">
        <v>2.5</v>
      </c>
      <c r="Q161" s="37">
        <v>0</v>
      </c>
      <c r="R161" s="136">
        <v>2</v>
      </c>
      <c r="S161" s="37"/>
      <c r="T161" s="35">
        <v>0</v>
      </c>
      <c r="U161" s="136">
        <v>5</v>
      </c>
      <c r="V161" s="35">
        <v>0</v>
      </c>
      <c r="W161" s="136">
        <v>1.7000000000000002</v>
      </c>
      <c r="X161" s="35">
        <v>0</v>
      </c>
      <c r="Y161" s="149">
        <v>1.7000000000000002</v>
      </c>
      <c r="Z161" s="35">
        <v>0</v>
      </c>
      <c r="AA161" s="136">
        <v>0.8</v>
      </c>
      <c r="AB161" s="37">
        <v>0</v>
      </c>
      <c r="AC161" s="136">
        <v>0.8</v>
      </c>
      <c r="AD161" s="37"/>
      <c r="AE161" s="40">
        <v>147</v>
      </c>
      <c r="AF161" s="65"/>
      <c r="AG161" s="35">
        <v>0</v>
      </c>
      <c r="AH161" s="36">
        <v>0</v>
      </c>
      <c r="AI161" s="37"/>
      <c r="AJ161" s="35">
        <v>177</v>
      </c>
      <c r="AK161" s="36">
        <v>120</v>
      </c>
      <c r="AL161" s="35">
        <v>251</v>
      </c>
      <c r="AM161" s="36">
        <v>75</v>
      </c>
      <c r="AN161" s="35">
        <v>266</v>
      </c>
      <c r="AO161" s="36">
        <v>60</v>
      </c>
      <c r="AP161" s="37"/>
      <c r="AQ161" s="35">
        <v>176</v>
      </c>
      <c r="AR161" s="36">
        <v>150</v>
      </c>
      <c r="AS161" s="35">
        <v>275</v>
      </c>
      <c r="AT161" s="36">
        <v>51.000000000000007</v>
      </c>
      <c r="AU161" s="35">
        <v>275</v>
      </c>
      <c r="AV161" s="36">
        <v>51.000000000000007</v>
      </c>
      <c r="AW161" s="35">
        <v>302</v>
      </c>
      <c r="AX161" s="36">
        <v>24</v>
      </c>
      <c r="AY161" s="35">
        <v>302</v>
      </c>
      <c r="AZ161" s="36">
        <v>24</v>
      </c>
      <c r="BB161" s="40">
        <v>0</v>
      </c>
      <c r="BC161" s="65"/>
      <c r="BD161" s="35">
        <v>0</v>
      </c>
      <c r="BE161" s="36">
        <v>0</v>
      </c>
      <c r="BF161" s="37"/>
      <c r="BG161" s="415">
        <v>29</v>
      </c>
      <c r="BH161" s="353">
        <v>0.29999999999999982</v>
      </c>
      <c r="BI161" s="415">
        <v>0</v>
      </c>
      <c r="BJ161" s="353">
        <v>-0.40000000000000036</v>
      </c>
      <c r="BK161" s="415">
        <v>0</v>
      </c>
      <c r="BL161" s="353">
        <v>-0.20000000000000018</v>
      </c>
      <c r="BM161" s="416"/>
      <c r="BN161" s="415">
        <v>0</v>
      </c>
      <c r="BO161" s="353">
        <v>-2.3000000000000007</v>
      </c>
      <c r="BP161" s="415">
        <v>0</v>
      </c>
      <c r="BQ161" s="353">
        <v>-1.7000000000000002</v>
      </c>
      <c r="BR161" s="415">
        <v>0</v>
      </c>
      <c r="BS161" s="353">
        <v>-1.7000000000000002</v>
      </c>
      <c r="BT161" s="415">
        <v>0</v>
      </c>
      <c r="BU161" s="353">
        <v>0</v>
      </c>
      <c r="BV161" s="415">
        <v>0</v>
      </c>
      <c r="BW161" s="353">
        <v>0</v>
      </c>
      <c r="BY161" s="80"/>
      <c r="BZ161" s="65"/>
      <c r="CA161" s="40" t="s">
        <v>3</v>
      </c>
      <c r="CB161" s="65"/>
      <c r="CC161" s="40">
        <v>-30.338842975206603</v>
      </c>
      <c r="CD161" s="40">
        <v>-104.3388429752066</v>
      </c>
      <c r="CE161" s="40">
        <v>-119.3388429752066</v>
      </c>
      <c r="CF161" s="65"/>
      <c r="CG161" s="40">
        <v>-29.338842975206603</v>
      </c>
      <c r="CH161" s="40">
        <v>-128.3388429752066</v>
      </c>
      <c r="CI161" s="40">
        <v>-128.3388429752066</v>
      </c>
      <c r="CJ161" s="40">
        <v>-155.3388429752066</v>
      </c>
      <c r="CK161" s="40">
        <v>-155.3388429752066</v>
      </c>
    </row>
    <row r="162" spans="1:89" s="2" customFormat="1">
      <c r="A162" s="196" t="s">
        <v>915</v>
      </c>
      <c r="B162" s="211" t="s">
        <v>664</v>
      </c>
      <c r="C162" s="435" t="s">
        <v>736</v>
      </c>
      <c r="D162" s="41">
        <v>323</v>
      </c>
      <c r="E162" s="41">
        <v>3.25</v>
      </c>
      <c r="F162" s="41" t="s">
        <v>387</v>
      </c>
      <c r="G162" s="413">
        <v>24</v>
      </c>
      <c r="H162" s="414">
        <v>286.77685950413223</v>
      </c>
      <c r="I162" s="321"/>
      <c r="J162" s="40" t="s">
        <v>3</v>
      </c>
      <c r="K162" s="36" t="s">
        <v>3</v>
      </c>
      <c r="L162" s="37"/>
      <c r="M162" s="35">
        <v>39</v>
      </c>
      <c r="N162" s="136">
        <v>6</v>
      </c>
      <c r="O162" s="35">
        <v>0</v>
      </c>
      <c r="P162" s="136">
        <v>4.6000000000000005</v>
      </c>
      <c r="Q162" s="37">
        <v>0</v>
      </c>
      <c r="R162" s="136">
        <v>3.8000000000000003</v>
      </c>
      <c r="S162" s="37"/>
      <c r="T162" s="35">
        <v>0</v>
      </c>
      <c r="U162" s="136">
        <v>9.3000000000000007</v>
      </c>
      <c r="V162" s="35">
        <v>0</v>
      </c>
      <c r="W162" s="136">
        <v>3.8000000000000003</v>
      </c>
      <c r="X162" s="35">
        <v>0</v>
      </c>
      <c r="Y162" s="149">
        <v>3</v>
      </c>
      <c r="Z162" s="35">
        <v>0</v>
      </c>
      <c r="AA162" s="136">
        <v>3</v>
      </c>
      <c r="AB162" s="37">
        <v>0</v>
      </c>
      <c r="AC162" s="136">
        <v>3</v>
      </c>
      <c r="AD162" s="37"/>
      <c r="AE162" s="40">
        <v>36</v>
      </c>
      <c r="AF162" s="65"/>
      <c r="AG162" s="35">
        <v>0</v>
      </c>
      <c r="AH162" s="36">
        <v>0</v>
      </c>
      <c r="AI162" s="37"/>
      <c r="AJ162" s="35">
        <v>140</v>
      </c>
      <c r="AK162" s="36">
        <v>144</v>
      </c>
      <c r="AL162" s="35">
        <v>213</v>
      </c>
      <c r="AM162" s="36">
        <v>110.4</v>
      </c>
      <c r="AN162" s="37">
        <v>232</v>
      </c>
      <c r="AO162" s="36">
        <v>91.2</v>
      </c>
      <c r="AP162" s="37"/>
      <c r="AQ162" s="35">
        <v>100</v>
      </c>
      <c r="AR162" s="36">
        <v>223.20000000000002</v>
      </c>
      <c r="AS162" s="35">
        <v>232</v>
      </c>
      <c r="AT162" s="36">
        <v>91.2</v>
      </c>
      <c r="AU162" s="37">
        <v>251</v>
      </c>
      <c r="AV162" s="36">
        <v>72</v>
      </c>
      <c r="AW162" s="37">
        <v>251</v>
      </c>
      <c r="AX162" s="36">
        <v>72</v>
      </c>
      <c r="AY162" s="37">
        <v>251</v>
      </c>
      <c r="AZ162" s="36">
        <v>72</v>
      </c>
      <c r="BB162" s="40">
        <v>0</v>
      </c>
      <c r="BC162" s="65"/>
      <c r="BD162" s="35">
        <v>0</v>
      </c>
      <c r="BE162" s="36">
        <v>0</v>
      </c>
      <c r="BF162" s="37"/>
      <c r="BG162" s="415">
        <v>0</v>
      </c>
      <c r="BH162" s="353">
        <v>0</v>
      </c>
      <c r="BI162" s="415">
        <v>0</v>
      </c>
      <c r="BJ162" s="353">
        <v>0</v>
      </c>
      <c r="BK162" s="415">
        <v>0</v>
      </c>
      <c r="BL162" s="353">
        <v>0</v>
      </c>
      <c r="BM162" s="416"/>
      <c r="BN162" s="415">
        <v>0</v>
      </c>
      <c r="BO162" s="353">
        <v>0</v>
      </c>
      <c r="BP162" s="415">
        <v>0</v>
      </c>
      <c r="BQ162" s="353">
        <v>0</v>
      </c>
      <c r="BR162" s="415">
        <v>0</v>
      </c>
      <c r="BS162" s="353">
        <v>0</v>
      </c>
      <c r="BT162" s="415">
        <v>0</v>
      </c>
      <c r="BU162" s="353">
        <v>0</v>
      </c>
      <c r="BV162" s="415">
        <v>0</v>
      </c>
      <c r="BW162" s="353">
        <v>0</v>
      </c>
      <c r="BY162" s="80"/>
      <c r="BZ162" s="65"/>
      <c r="CA162" s="40" t="s">
        <v>3</v>
      </c>
      <c r="CB162" s="65"/>
      <c r="CC162" s="40">
        <v>-103.77685950413223</v>
      </c>
      <c r="CD162" s="40">
        <v>-176.37685950413223</v>
      </c>
      <c r="CE162" s="40">
        <v>-195.57685950413224</v>
      </c>
      <c r="CF162" s="65"/>
      <c r="CG162" s="40">
        <v>-63.576859504132216</v>
      </c>
      <c r="CH162" s="40">
        <v>-195.57685950413224</v>
      </c>
      <c r="CI162" s="40">
        <v>-214.77685950413223</v>
      </c>
      <c r="CJ162" s="40">
        <v>-214.77685950413223</v>
      </c>
      <c r="CK162" s="40">
        <v>-214.77685950413223</v>
      </c>
    </row>
    <row r="163" spans="1:89" s="2" customFormat="1">
      <c r="A163" s="196" t="s">
        <v>916</v>
      </c>
      <c r="B163" s="211" t="s">
        <v>664</v>
      </c>
      <c r="C163" s="435" t="s">
        <v>736</v>
      </c>
      <c r="D163" s="41">
        <v>323</v>
      </c>
      <c r="E163" s="41">
        <v>3.25</v>
      </c>
      <c r="F163" s="22" t="s">
        <v>387</v>
      </c>
      <c r="G163" s="40">
        <v>30</v>
      </c>
      <c r="H163" s="388">
        <v>286.77685950413223</v>
      </c>
      <c r="I163" s="321"/>
      <c r="J163" s="40" t="s">
        <v>3</v>
      </c>
      <c r="K163" s="36" t="s">
        <v>3</v>
      </c>
      <c r="L163" s="37"/>
      <c r="M163" s="35">
        <v>39</v>
      </c>
      <c r="N163" s="136">
        <v>4.8000000000000007</v>
      </c>
      <c r="O163" s="35">
        <v>0</v>
      </c>
      <c r="P163" s="136">
        <v>3.7</v>
      </c>
      <c r="Q163" s="37">
        <v>0</v>
      </c>
      <c r="R163" s="136">
        <v>3.1</v>
      </c>
      <c r="S163" s="37"/>
      <c r="T163" s="35">
        <v>0</v>
      </c>
      <c r="U163" s="136">
        <v>7.5</v>
      </c>
      <c r="V163" s="35">
        <v>0</v>
      </c>
      <c r="W163" s="136">
        <v>3.1</v>
      </c>
      <c r="X163" s="35">
        <v>0</v>
      </c>
      <c r="Y163" s="149">
        <v>2.4000000000000004</v>
      </c>
      <c r="Z163" s="35">
        <v>0</v>
      </c>
      <c r="AA163" s="136">
        <v>2.4000000000000004</v>
      </c>
      <c r="AB163" s="37">
        <v>0</v>
      </c>
      <c r="AC163" s="136">
        <v>2.4000000000000004</v>
      </c>
      <c r="AD163" s="37"/>
      <c r="AE163" s="40">
        <v>36</v>
      </c>
      <c r="AF163" s="65"/>
      <c r="AG163" s="35">
        <v>0</v>
      </c>
      <c r="AH163" s="36">
        <v>0</v>
      </c>
      <c r="AI163" s="37"/>
      <c r="AJ163" s="35">
        <v>140</v>
      </c>
      <c r="AK163" s="36">
        <v>144.00000000000003</v>
      </c>
      <c r="AL163" s="35">
        <v>212</v>
      </c>
      <c r="AM163" s="36">
        <v>111</v>
      </c>
      <c r="AN163" s="35">
        <v>230</v>
      </c>
      <c r="AO163" s="36">
        <v>93</v>
      </c>
      <c r="AP163" s="37"/>
      <c r="AQ163" s="35">
        <v>98</v>
      </c>
      <c r="AR163" s="36">
        <v>225</v>
      </c>
      <c r="AS163" s="35">
        <v>230</v>
      </c>
      <c r="AT163" s="36">
        <v>93</v>
      </c>
      <c r="AU163" s="35">
        <v>251</v>
      </c>
      <c r="AV163" s="36">
        <v>72.000000000000014</v>
      </c>
      <c r="AW163" s="35">
        <v>251</v>
      </c>
      <c r="AX163" s="36">
        <v>72.000000000000014</v>
      </c>
      <c r="AY163" s="35">
        <v>251</v>
      </c>
      <c r="AZ163" s="36">
        <v>72.000000000000014</v>
      </c>
      <c r="BB163" s="40">
        <v>0</v>
      </c>
      <c r="BC163" s="65"/>
      <c r="BD163" s="35">
        <v>0</v>
      </c>
      <c r="BE163" s="36">
        <v>0</v>
      </c>
      <c r="BF163" s="37"/>
      <c r="BG163" s="415">
        <v>0</v>
      </c>
      <c r="BH163" s="353">
        <v>0</v>
      </c>
      <c r="BI163" s="415">
        <v>0</v>
      </c>
      <c r="BJ163" s="353">
        <v>0</v>
      </c>
      <c r="BK163" s="415">
        <v>0</v>
      </c>
      <c r="BL163" s="353">
        <v>0</v>
      </c>
      <c r="BM163" s="416"/>
      <c r="BN163" s="415">
        <v>0</v>
      </c>
      <c r="BO163" s="353">
        <v>0</v>
      </c>
      <c r="BP163" s="415">
        <v>0</v>
      </c>
      <c r="BQ163" s="353">
        <v>0</v>
      </c>
      <c r="BR163" s="415">
        <v>0</v>
      </c>
      <c r="BS163" s="353">
        <v>0</v>
      </c>
      <c r="BT163" s="415">
        <v>0</v>
      </c>
      <c r="BU163" s="353">
        <v>0</v>
      </c>
      <c r="BV163" s="415">
        <v>0</v>
      </c>
      <c r="BW163" s="353">
        <v>0</v>
      </c>
      <c r="BY163" s="80"/>
      <c r="BZ163" s="65"/>
      <c r="CA163" s="40" t="s">
        <v>3</v>
      </c>
      <c r="CB163" s="65"/>
      <c r="CC163" s="40">
        <v>-103.7768595041322</v>
      </c>
      <c r="CD163" s="40">
        <v>-175.77685950413223</v>
      </c>
      <c r="CE163" s="40">
        <v>-193.77685950413223</v>
      </c>
      <c r="CF163" s="65"/>
      <c r="CG163" s="40">
        <v>-61.776859504132233</v>
      </c>
      <c r="CH163" s="40">
        <v>-193.77685950413223</v>
      </c>
      <c r="CI163" s="40">
        <v>-214.77685950413223</v>
      </c>
      <c r="CJ163" s="40">
        <v>-214.77685950413223</v>
      </c>
      <c r="CK163" s="40">
        <v>-214.77685950413223</v>
      </c>
    </row>
    <row r="164" spans="1:89" s="2" customFormat="1">
      <c r="A164" s="196" t="s">
        <v>917</v>
      </c>
      <c r="B164" s="211" t="s">
        <v>664</v>
      </c>
      <c r="C164" s="211" t="s">
        <v>737</v>
      </c>
      <c r="D164" s="41">
        <v>415</v>
      </c>
      <c r="E164" s="41">
        <v>3.25</v>
      </c>
      <c r="F164" s="41" t="s">
        <v>387</v>
      </c>
      <c r="G164" s="413">
        <v>24</v>
      </c>
      <c r="H164" s="414">
        <v>333.88429752066116</v>
      </c>
      <c r="I164" s="321"/>
      <c r="J164" s="40" t="s">
        <v>3</v>
      </c>
      <c r="K164" s="36" t="s">
        <v>3</v>
      </c>
      <c r="L164" s="37"/>
      <c r="M164" s="35">
        <v>109</v>
      </c>
      <c r="N164" s="136">
        <v>6.7</v>
      </c>
      <c r="O164" s="35">
        <v>19</v>
      </c>
      <c r="P164" s="136">
        <v>7.3000000000000007</v>
      </c>
      <c r="Q164" s="37">
        <v>19</v>
      </c>
      <c r="R164" s="136">
        <v>7.3000000000000007</v>
      </c>
      <c r="S164" s="37"/>
      <c r="T164" s="35">
        <v>0</v>
      </c>
      <c r="U164" s="136">
        <v>11.200000000000001</v>
      </c>
      <c r="V164" s="35">
        <v>0</v>
      </c>
      <c r="W164" s="136">
        <v>4.8000000000000007</v>
      </c>
      <c r="X164" s="35">
        <v>0</v>
      </c>
      <c r="Y164" s="149">
        <v>4.5</v>
      </c>
      <c r="Z164" s="35">
        <v>0</v>
      </c>
      <c r="AA164" s="136">
        <v>4.5</v>
      </c>
      <c r="AB164" s="37">
        <v>0</v>
      </c>
      <c r="AC164" s="136">
        <v>4.5</v>
      </c>
      <c r="AD164" s="37"/>
      <c r="AE164" s="40">
        <v>81</v>
      </c>
      <c r="AF164" s="65"/>
      <c r="AG164" s="35">
        <v>0</v>
      </c>
      <c r="AH164" s="36">
        <v>0</v>
      </c>
      <c r="AI164" s="37"/>
      <c r="AJ164" s="35">
        <v>145</v>
      </c>
      <c r="AK164" s="36">
        <v>160.80000000000001</v>
      </c>
      <c r="AL164" s="35">
        <v>221</v>
      </c>
      <c r="AM164" s="36">
        <v>175.20000000000002</v>
      </c>
      <c r="AN164" s="37">
        <v>221</v>
      </c>
      <c r="AO164" s="36">
        <v>175.20000000000002</v>
      </c>
      <c r="AP164" s="37"/>
      <c r="AQ164" s="35">
        <v>146</v>
      </c>
      <c r="AR164" s="36">
        <v>268.8</v>
      </c>
      <c r="AS164" s="35">
        <v>300</v>
      </c>
      <c r="AT164" s="36">
        <v>115.20000000000002</v>
      </c>
      <c r="AU164" s="37">
        <v>307</v>
      </c>
      <c r="AV164" s="36">
        <v>108</v>
      </c>
      <c r="AW164" s="37">
        <v>307</v>
      </c>
      <c r="AX164" s="36">
        <v>108</v>
      </c>
      <c r="AY164" s="37">
        <v>307</v>
      </c>
      <c r="AZ164" s="36">
        <v>108</v>
      </c>
      <c r="BB164" s="40">
        <v>0</v>
      </c>
      <c r="BC164" s="65"/>
      <c r="BD164" s="35">
        <v>0</v>
      </c>
      <c r="BE164" s="36">
        <v>0</v>
      </c>
      <c r="BF164" s="37"/>
      <c r="BG164" s="415">
        <v>0</v>
      </c>
      <c r="BH164" s="353">
        <v>0</v>
      </c>
      <c r="BI164" s="415">
        <v>0</v>
      </c>
      <c r="BJ164" s="353">
        <v>0</v>
      </c>
      <c r="BK164" s="415">
        <v>0</v>
      </c>
      <c r="BL164" s="353">
        <v>0</v>
      </c>
      <c r="BM164" s="416"/>
      <c r="BN164" s="415">
        <v>0</v>
      </c>
      <c r="BO164" s="353">
        <v>0</v>
      </c>
      <c r="BP164" s="415">
        <v>0</v>
      </c>
      <c r="BQ164" s="353">
        <v>0</v>
      </c>
      <c r="BR164" s="415">
        <v>0</v>
      </c>
      <c r="BS164" s="353">
        <v>0</v>
      </c>
      <c r="BT164" s="415">
        <v>0</v>
      </c>
      <c r="BU164" s="353">
        <v>-0.30000000000000071</v>
      </c>
      <c r="BV164" s="415">
        <v>0</v>
      </c>
      <c r="BW164" s="353">
        <v>-0.30000000000000071</v>
      </c>
      <c r="BY164" s="80"/>
      <c r="BZ164" s="65"/>
      <c r="CA164" s="40" t="s">
        <v>3</v>
      </c>
      <c r="CB164" s="65"/>
      <c r="CC164" s="40">
        <v>-64.084297520661153</v>
      </c>
      <c r="CD164" s="40">
        <v>-139.68429752066115</v>
      </c>
      <c r="CE164" s="40">
        <v>-139.68429752066115</v>
      </c>
      <c r="CF164" s="65"/>
      <c r="CG164" s="40">
        <v>-65.084297520661153</v>
      </c>
      <c r="CH164" s="40">
        <v>-218.68429752066115</v>
      </c>
      <c r="CI164" s="40">
        <v>-225.88429752066116</v>
      </c>
      <c r="CJ164" s="40">
        <v>-225.88429752066116</v>
      </c>
      <c r="CK164" s="40">
        <v>-225.88429752066116</v>
      </c>
    </row>
    <row r="165" spans="1:89" s="2" customFormat="1">
      <c r="A165" s="196" t="s">
        <v>918</v>
      </c>
      <c r="B165" s="211" t="s">
        <v>664</v>
      </c>
      <c r="C165" s="211" t="s">
        <v>737</v>
      </c>
      <c r="D165" s="41">
        <v>415</v>
      </c>
      <c r="E165" s="41">
        <v>3.25</v>
      </c>
      <c r="F165" s="22" t="s">
        <v>387</v>
      </c>
      <c r="G165" s="40">
        <v>30</v>
      </c>
      <c r="H165" s="388">
        <v>333.88429752066116</v>
      </c>
      <c r="I165" s="321"/>
      <c r="J165" s="40" t="s">
        <v>3</v>
      </c>
      <c r="K165" s="36" t="s">
        <v>3</v>
      </c>
      <c r="L165" s="37"/>
      <c r="M165" s="35">
        <v>109</v>
      </c>
      <c r="N165" s="136">
        <v>5.4</v>
      </c>
      <c r="O165" s="35">
        <v>19</v>
      </c>
      <c r="P165" s="136">
        <v>5.9</v>
      </c>
      <c r="Q165" s="37">
        <v>19</v>
      </c>
      <c r="R165" s="136">
        <v>5.9</v>
      </c>
      <c r="S165" s="37"/>
      <c r="T165" s="35">
        <v>0</v>
      </c>
      <c r="U165" s="136">
        <v>9</v>
      </c>
      <c r="V165" s="35">
        <v>0</v>
      </c>
      <c r="W165" s="136">
        <v>3.9000000000000004</v>
      </c>
      <c r="X165" s="35">
        <v>0</v>
      </c>
      <c r="Y165" s="149">
        <v>3.6</v>
      </c>
      <c r="Z165" s="35">
        <v>0</v>
      </c>
      <c r="AA165" s="136">
        <v>3.6</v>
      </c>
      <c r="AB165" s="37">
        <v>0</v>
      </c>
      <c r="AC165" s="136">
        <v>3.6</v>
      </c>
      <c r="AD165" s="37"/>
      <c r="AE165" s="40">
        <v>81</v>
      </c>
      <c r="AF165" s="65"/>
      <c r="AG165" s="35">
        <v>0</v>
      </c>
      <c r="AH165" s="36">
        <v>0</v>
      </c>
      <c r="AI165" s="37"/>
      <c r="AJ165" s="35">
        <v>144</v>
      </c>
      <c r="AK165" s="36">
        <v>162</v>
      </c>
      <c r="AL165" s="35">
        <v>219</v>
      </c>
      <c r="AM165" s="36">
        <v>177</v>
      </c>
      <c r="AN165" s="35">
        <v>219</v>
      </c>
      <c r="AO165" s="36">
        <v>177</v>
      </c>
      <c r="AP165" s="37"/>
      <c r="AQ165" s="35">
        <v>145</v>
      </c>
      <c r="AR165" s="36">
        <v>270</v>
      </c>
      <c r="AS165" s="35">
        <v>298</v>
      </c>
      <c r="AT165" s="36">
        <v>117.00000000000001</v>
      </c>
      <c r="AU165" s="35">
        <v>307</v>
      </c>
      <c r="AV165" s="36">
        <v>108</v>
      </c>
      <c r="AW165" s="35">
        <v>307</v>
      </c>
      <c r="AX165" s="36">
        <v>108</v>
      </c>
      <c r="AY165" s="35">
        <v>307</v>
      </c>
      <c r="AZ165" s="36">
        <v>108</v>
      </c>
      <c r="BB165" s="40">
        <v>0</v>
      </c>
      <c r="BC165" s="65"/>
      <c r="BD165" s="35">
        <v>0</v>
      </c>
      <c r="BE165" s="36">
        <v>0</v>
      </c>
      <c r="BF165" s="37"/>
      <c r="BG165" s="415">
        <v>0</v>
      </c>
      <c r="BH165" s="353">
        <v>0</v>
      </c>
      <c r="BI165" s="415">
        <v>0</v>
      </c>
      <c r="BJ165" s="353">
        <v>0</v>
      </c>
      <c r="BK165" s="415">
        <v>0</v>
      </c>
      <c r="BL165" s="353">
        <v>0</v>
      </c>
      <c r="BM165" s="416"/>
      <c r="BN165" s="415">
        <v>0</v>
      </c>
      <c r="BO165" s="353">
        <v>0</v>
      </c>
      <c r="BP165" s="415">
        <v>0</v>
      </c>
      <c r="BQ165" s="353">
        <v>0</v>
      </c>
      <c r="BR165" s="415">
        <v>0</v>
      </c>
      <c r="BS165" s="353">
        <v>0</v>
      </c>
      <c r="BT165" s="415">
        <v>0</v>
      </c>
      <c r="BU165" s="353">
        <v>-0.20000000000000018</v>
      </c>
      <c r="BV165" s="415">
        <v>0</v>
      </c>
      <c r="BW165" s="353">
        <v>-0.20000000000000018</v>
      </c>
      <c r="BY165" s="80"/>
      <c r="BZ165" s="65"/>
      <c r="CA165" s="40" t="s">
        <v>3</v>
      </c>
      <c r="CB165" s="65"/>
      <c r="CC165" s="40">
        <v>-62.884297520661164</v>
      </c>
      <c r="CD165" s="40">
        <v>-137.88429752066116</v>
      </c>
      <c r="CE165" s="40">
        <v>-137.88429752066116</v>
      </c>
      <c r="CF165" s="65"/>
      <c r="CG165" s="40">
        <v>-63.884297520661164</v>
      </c>
      <c r="CH165" s="40">
        <v>-216.88429752066116</v>
      </c>
      <c r="CI165" s="40">
        <v>-225.88429752066116</v>
      </c>
      <c r="CJ165" s="40">
        <v>-225.88429752066116</v>
      </c>
      <c r="CK165" s="40">
        <v>-225.88429752066116</v>
      </c>
    </row>
    <row r="166" spans="1:89" s="2" customFormat="1">
      <c r="A166" s="196" t="s">
        <v>919</v>
      </c>
      <c r="B166" s="211" t="s">
        <v>664</v>
      </c>
      <c r="C166" s="211" t="s">
        <v>738</v>
      </c>
      <c r="D166" s="41">
        <v>516</v>
      </c>
      <c r="E166" s="41">
        <v>3.25</v>
      </c>
      <c r="F166" s="41" t="s">
        <v>387</v>
      </c>
      <c r="G166" s="413">
        <v>24</v>
      </c>
      <c r="H166" s="414">
        <v>415.70247933884298</v>
      </c>
      <c r="I166" s="321"/>
      <c r="J166" s="40" t="s">
        <v>3</v>
      </c>
      <c r="K166" s="36" t="s">
        <v>3</v>
      </c>
      <c r="L166" s="37"/>
      <c r="M166" s="35">
        <v>139</v>
      </c>
      <c r="N166" s="136">
        <v>8.3000000000000007</v>
      </c>
      <c r="O166" s="35">
        <v>19</v>
      </c>
      <c r="P166" s="136">
        <v>10.4</v>
      </c>
      <c r="Q166" s="37">
        <v>19</v>
      </c>
      <c r="R166" s="136">
        <v>9.8000000000000007</v>
      </c>
      <c r="S166" s="37"/>
      <c r="T166" s="35">
        <v>0</v>
      </c>
      <c r="U166" s="136">
        <v>14.3</v>
      </c>
      <c r="V166" s="35">
        <v>0</v>
      </c>
      <c r="W166" s="136">
        <v>7.3000000000000007</v>
      </c>
      <c r="X166" s="35">
        <v>0</v>
      </c>
      <c r="Y166" s="149">
        <v>7</v>
      </c>
      <c r="Z166" s="35">
        <v>0</v>
      </c>
      <c r="AA166" s="136">
        <v>7</v>
      </c>
      <c r="AB166" s="37">
        <v>0</v>
      </c>
      <c r="AC166" s="136">
        <v>7</v>
      </c>
      <c r="AD166" s="37"/>
      <c r="AE166" s="40">
        <v>100</v>
      </c>
      <c r="AF166" s="65"/>
      <c r="AG166" s="35">
        <v>0</v>
      </c>
      <c r="AH166" s="36">
        <v>0</v>
      </c>
      <c r="AI166" s="37"/>
      <c r="AJ166" s="35">
        <v>178</v>
      </c>
      <c r="AK166" s="36">
        <v>199.20000000000002</v>
      </c>
      <c r="AL166" s="35">
        <v>247</v>
      </c>
      <c r="AM166" s="36">
        <v>249.60000000000002</v>
      </c>
      <c r="AN166" s="37">
        <v>262</v>
      </c>
      <c r="AO166" s="36">
        <v>235.20000000000002</v>
      </c>
      <c r="AP166" s="37"/>
      <c r="AQ166" s="35">
        <v>173</v>
      </c>
      <c r="AR166" s="36">
        <v>343.20000000000005</v>
      </c>
      <c r="AS166" s="35">
        <v>341</v>
      </c>
      <c r="AT166" s="36">
        <v>175.20000000000002</v>
      </c>
      <c r="AU166" s="37">
        <v>348</v>
      </c>
      <c r="AV166" s="36">
        <v>168</v>
      </c>
      <c r="AW166" s="37">
        <v>348</v>
      </c>
      <c r="AX166" s="36">
        <v>168</v>
      </c>
      <c r="AY166" s="37">
        <v>348</v>
      </c>
      <c r="AZ166" s="36">
        <v>168</v>
      </c>
      <c r="BB166" s="40">
        <v>0</v>
      </c>
      <c r="BC166" s="65"/>
      <c r="BD166" s="35">
        <v>0</v>
      </c>
      <c r="BE166" s="36">
        <v>0</v>
      </c>
      <c r="BF166" s="37"/>
      <c r="BG166" s="415">
        <v>0</v>
      </c>
      <c r="BH166" s="353">
        <v>0</v>
      </c>
      <c r="BI166" s="415">
        <v>0</v>
      </c>
      <c r="BJ166" s="353">
        <v>0</v>
      </c>
      <c r="BK166" s="415">
        <v>0</v>
      </c>
      <c r="BL166" s="353">
        <v>0</v>
      </c>
      <c r="BM166" s="416"/>
      <c r="BN166" s="415">
        <v>0</v>
      </c>
      <c r="BO166" s="353">
        <v>0</v>
      </c>
      <c r="BP166" s="415">
        <v>0</v>
      </c>
      <c r="BQ166" s="353">
        <v>0</v>
      </c>
      <c r="BR166" s="415">
        <v>0</v>
      </c>
      <c r="BS166" s="353">
        <v>0</v>
      </c>
      <c r="BT166" s="415">
        <v>0</v>
      </c>
      <c r="BU166" s="353">
        <v>-0.30000000000000071</v>
      </c>
      <c r="BV166" s="415">
        <v>0</v>
      </c>
      <c r="BW166" s="353">
        <v>-0.30000000000000071</v>
      </c>
      <c r="BY166" s="80"/>
      <c r="BZ166" s="65"/>
      <c r="CA166" s="40" t="s">
        <v>3</v>
      </c>
      <c r="CB166" s="65"/>
      <c r="CC166" s="40">
        <v>-77.502479338842932</v>
      </c>
      <c r="CD166" s="40">
        <v>-147.10247933884295</v>
      </c>
      <c r="CE166" s="40">
        <v>-161.50247933884296</v>
      </c>
      <c r="CF166" s="65"/>
      <c r="CG166" s="40">
        <v>-72.502479338842932</v>
      </c>
      <c r="CH166" s="40">
        <v>-240.50247933884296</v>
      </c>
      <c r="CI166" s="40">
        <v>-247.70247933884298</v>
      </c>
      <c r="CJ166" s="40">
        <v>-247.70247933884298</v>
      </c>
      <c r="CK166" s="40">
        <v>-247.70247933884298</v>
      </c>
    </row>
    <row r="167" spans="1:89" s="2" customFormat="1">
      <c r="A167" s="196" t="s">
        <v>920</v>
      </c>
      <c r="B167" s="211" t="s">
        <v>664</v>
      </c>
      <c r="C167" s="211" t="s">
        <v>738</v>
      </c>
      <c r="D167" s="41">
        <v>516</v>
      </c>
      <c r="E167" s="41">
        <v>3.25</v>
      </c>
      <c r="F167" s="22" t="s">
        <v>387</v>
      </c>
      <c r="G167" s="40">
        <v>30</v>
      </c>
      <c r="H167" s="388">
        <v>415.70247933884298</v>
      </c>
      <c r="I167" s="321"/>
      <c r="J167" s="40" t="s">
        <v>3</v>
      </c>
      <c r="K167" s="36" t="s">
        <v>3</v>
      </c>
      <c r="L167" s="37"/>
      <c r="M167" s="35">
        <v>139</v>
      </c>
      <c r="N167" s="136">
        <v>6.7</v>
      </c>
      <c r="O167" s="35">
        <v>19</v>
      </c>
      <c r="P167" s="136">
        <v>8.4</v>
      </c>
      <c r="Q167" s="37">
        <v>19</v>
      </c>
      <c r="R167" s="136">
        <v>7.9</v>
      </c>
      <c r="S167" s="37"/>
      <c r="T167" s="35">
        <v>0</v>
      </c>
      <c r="U167" s="136">
        <v>11.5</v>
      </c>
      <c r="V167" s="35">
        <v>0</v>
      </c>
      <c r="W167" s="136">
        <v>5.9</v>
      </c>
      <c r="X167" s="35">
        <v>0</v>
      </c>
      <c r="Y167" s="149">
        <v>5.6000000000000005</v>
      </c>
      <c r="Z167" s="35">
        <v>0</v>
      </c>
      <c r="AA167" s="136">
        <v>5.6000000000000005</v>
      </c>
      <c r="AB167" s="37">
        <v>0</v>
      </c>
      <c r="AC167" s="136">
        <v>5.6000000000000005</v>
      </c>
      <c r="AD167" s="37"/>
      <c r="AE167" s="40">
        <v>100</v>
      </c>
      <c r="AF167" s="65"/>
      <c r="AG167" s="35">
        <v>0</v>
      </c>
      <c r="AH167" s="36">
        <v>0</v>
      </c>
      <c r="AI167" s="37"/>
      <c r="AJ167" s="35">
        <v>176</v>
      </c>
      <c r="AK167" s="36">
        <v>201</v>
      </c>
      <c r="AL167" s="35">
        <v>245</v>
      </c>
      <c r="AM167" s="36">
        <v>252</v>
      </c>
      <c r="AN167" s="35">
        <v>260</v>
      </c>
      <c r="AO167" s="36">
        <v>237</v>
      </c>
      <c r="AP167" s="37"/>
      <c r="AQ167" s="35">
        <v>171</v>
      </c>
      <c r="AR167" s="36">
        <v>345</v>
      </c>
      <c r="AS167" s="35">
        <v>339</v>
      </c>
      <c r="AT167" s="36">
        <v>177</v>
      </c>
      <c r="AU167" s="35">
        <v>348</v>
      </c>
      <c r="AV167" s="36">
        <v>168.00000000000003</v>
      </c>
      <c r="AW167" s="35">
        <v>348</v>
      </c>
      <c r="AX167" s="36">
        <v>168.00000000000003</v>
      </c>
      <c r="AY167" s="35">
        <v>348</v>
      </c>
      <c r="AZ167" s="36">
        <v>168.00000000000003</v>
      </c>
      <c r="BB167" s="40">
        <v>0</v>
      </c>
      <c r="BC167" s="65"/>
      <c r="BD167" s="35">
        <v>0</v>
      </c>
      <c r="BE167" s="36">
        <v>0</v>
      </c>
      <c r="BF167" s="37"/>
      <c r="BG167" s="415">
        <v>0</v>
      </c>
      <c r="BH167" s="353">
        <v>0</v>
      </c>
      <c r="BI167" s="415">
        <v>0</v>
      </c>
      <c r="BJ167" s="353">
        <v>0</v>
      </c>
      <c r="BK167" s="415">
        <v>0</v>
      </c>
      <c r="BL167" s="353">
        <v>0</v>
      </c>
      <c r="BM167" s="416"/>
      <c r="BN167" s="415">
        <v>0</v>
      </c>
      <c r="BO167" s="353">
        <v>0</v>
      </c>
      <c r="BP167" s="415">
        <v>0</v>
      </c>
      <c r="BQ167" s="353">
        <v>0</v>
      </c>
      <c r="BR167" s="415">
        <v>0</v>
      </c>
      <c r="BS167" s="353">
        <v>0</v>
      </c>
      <c r="BT167" s="415">
        <v>0</v>
      </c>
      <c r="BU167" s="353">
        <v>-0.20000000000000018</v>
      </c>
      <c r="BV167" s="415">
        <v>0</v>
      </c>
      <c r="BW167" s="353">
        <v>-0.20000000000000018</v>
      </c>
      <c r="BY167" s="80"/>
      <c r="BZ167" s="65"/>
      <c r="CA167" s="40" t="s">
        <v>3</v>
      </c>
      <c r="CB167" s="65"/>
      <c r="CC167" s="40">
        <v>-75.702479338842977</v>
      </c>
      <c r="CD167" s="40">
        <v>-144.70247933884298</v>
      </c>
      <c r="CE167" s="40">
        <v>-159.70247933884298</v>
      </c>
      <c r="CF167" s="65"/>
      <c r="CG167" s="40">
        <v>-70.702479338842977</v>
      </c>
      <c r="CH167" s="40">
        <v>-238.70247933884298</v>
      </c>
      <c r="CI167" s="40">
        <v>-247.70247933884295</v>
      </c>
      <c r="CJ167" s="40">
        <v>-247.70247933884295</v>
      </c>
      <c r="CK167" s="40">
        <v>-247.70247933884295</v>
      </c>
    </row>
    <row r="168" spans="1:89" s="2" customFormat="1">
      <c r="A168" s="196" t="s">
        <v>921</v>
      </c>
      <c r="B168" s="211" t="s">
        <v>540</v>
      </c>
      <c r="C168" s="211" t="s">
        <v>687</v>
      </c>
      <c r="D168" s="41">
        <v>148</v>
      </c>
      <c r="E168" s="41">
        <v>3.25</v>
      </c>
      <c r="F168" s="41" t="s">
        <v>387</v>
      </c>
      <c r="G168" s="413">
        <v>24</v>
      </c>
      <c r="H168" s="414">
        <v>96.694214876033058</v>
      </c>
      <c r="I168" s="321"/>
      <c r="J168" s="40" t="s">
        <v>3</v>
      </c>
      <c r="K168" s="36" t="s">
        <v>3</v>
      </c>
      <c r="L168" s="37"/>
      <c r="M168" s="35">
        <v>0</v>
      </c>
      <c r="N168" s="136">
        <v>3.6</v>
      </c>
      <c r="O168" s="35">
        <v>0</v>
      </c>
      <c r="P168" s="136">
        <v>0.70000000000000007</v>
      </c>
      <c r="Q168" s="37">
        <v>0</v>
      </c>
      <c r="R168" s="136">
        <v>0.5</v>
      </c>
      <c r="S168" s="37"/>
      <c r="T168" s="35">
        <v>0</v>
      </c>
      <c r="U168" s="136">
        <v>3.8000000000000003</v>
      </c>
      <c r="V168" s="35">
        <v>0</v>
      </c>
      <c r="W168" s="136">
        <v>1.1000000000000001</v>
      </c>
      <c r="X168" s="35">
        <v>0</v>
      </c>
      <c r="Y168" s="149">
        <v>1</v>
      </c>
      <c r="Z168" s="35">
        <v>0</v>
      </c>
      <c r="AA168" s="136">
        <v>0.5</v>
      </c>
      <c r="AB168" s="37">
        <v>0</v>
      </c>
      <c r="AC168" s="136">
        <v>0.5</v>
      </c>
      <c r="AD168" s="37"/>
      <c r="AE168" s="40">
        <v>51</v>
      </c>
      <c r="AF168" s="65"/>
      <c r="AG168" s="35">
        <v>0</v>
      </c>
      <c r="AH168" s="36">
        <v>0</v>
      </c>
      <c r="AI168" s="37"/>
      <c r="AJ168" s="35">
        <v>62</v>
      </c>
      <c r="AK168" s="36">
        <v>86.4</v>
      </c>
      <c r="AL168" s="35">
        <v>131</v>
      </c>
      <c r="AM168" s="36">
        <v>16.8</v>
      </c>
      <c r="AN168" s="37">
        <v>136</v>
      </c>
      <c r="AO168" s="36">
        <v>12</v>
      </c>
      <c r="AP168" s="37"/>
      <c r="AQ168" s="35">
        <v>57</v>
      </c>
      <c r="AR168" s="36">
        <v>91.2</v>
      </c>
      <c r="AS168" s="35">
        <v>122</v>
      </c>
      <c r="AT168" s="36">
        <v>26.400000000000002</v>
      </c>
      <c r="AU168" s="37">
        <v>124</v>
      </c>
      <c r="AV168" s="36">
        <v>24</v>
      </c>
      <c r="AW168" s="37">
        <v>136</v>
      </c>
      <c r="AX168" s="36">
        <v>12</v>
      </c>
      <c r="AY168" s="37">
        <v>136</v>
      </c>
      <c r="AZ168" s="36">
        <v>12</v>
      </c>
      <c r="BB168" s="40">
        <v>0</v>
      </c>
      <c r="BC168" s="65"/>
      <c r="BD168" s="35">
        <v>0</v>
      </c>
      <c r="BE168" s="36">
        <v>0</v>
      </c>
      <c r="BF168" s="37"/>
      <c r="BG168" s="415">
        <v>0</v>
      </c>
      <c r="BH168" s="353">
        <v>1.9</v>
      </c>
      <c r="BI168" s="415">
        <v>0</v>
      </c>
      <c r="BJ168" s="353">
        <v>0</v>
      </c>
      <c r="BK168" s="415">
        <v>0</v>
      </c>
      <c r="BL168" s="353">
        <v>0</v>
      </c>
      <c r="BM168" s="416"/>
      <c r="BN168" s="415">
        <v>0</v>
      </c>
      <c r="BO168" s="353">
        <v>0</v>
      </c>
      <c r="BP168" s="415">
        <v>0</v>
      </c>
      <c r="BQ168" s="353">
        <v>0</v>
      </c>
      <c r="BR168" s="415">
        <v>0</v>
      </c>
      <c r="BS168" s="353">
        <v>-0.10000000000000009</v>
      </c>
      <c r="BT168" s="415">
        <v>0</v>
      </c>
      <c r="BU168" s="353">
        <v>0</v>
      </c>
      <c r="BV168" s="415">
        <v>0</v>
      </c>
      <c r="BW168" s="353">
        <v>0</v>
      </c>
      <c r="BY168" s="80"/>
      <c r="BZ168" s="65"/>
      <c r="CA168" s="40" t="s">
        <v>3</v>
      </c>
      <c r="CB168" s="65"/>
      <c r="CC168" s="40">
        <v>-10.294214876033053</v>
      </c>
      <c r="CD168" s="40">
        <v>-79.894214876033061</v>
      </c>
      <c r="CE168" s="40">
        <v>-84.694214876033058</v>
      </c>
      <c r="CF168" s="65"/>
      <c r="CG168" s="40">
        <v>-5.4942148760330554</v>
      </c>
      <c r="CH168" s="40">
        <v>-70.294214876033053</v>
      </c>
      <c r="CI168" s="40">
        <v>-72.694214876033058</v>
      </c>
      <c r="CJ168" s="40">
        <v>-84.694214876033058</v>
      </c>
      <c r="CK168" s="40">
        <v>-84.694214876033058</v>
      </c>
    </row>
    <row r="169" spans="1:89" s="2" customFormat="1">
      <c r="A169" s="196" t="s">
        <v>922</v>
      </c>
      <c r="B169" s="211" t="s">
        <v>540</v>
      </c>
      <c r="C169" s="211" t="s">
        <v>687</v>
      </c>
      <c r="D169" s="41">
        <v>148</v>
      </c>
      <c r="E169" s="41">
        <v>3.25</v>
      </c>
      <c r="F169" s="22" t="s">
        <v>387</v>
      </c>
      <c r="G169" s="40">
        <v>30</v>
      </c>
      <c r="H169" s="388">
        <v>96.694214876033058</v>
      </c>
      <c r="I169" s="321"/>
      <c r="J169" s="40" t="s">
        <v>3</v>
      </c>
      <c r="K169" s="36" t="s">
        <v>3</v>
      </c>
      <c r="L169" s="37"/>
      <c r="M169" s="35">
        <v>0</v>
      </c>
      <c r="N169" s="136">
        <v>2.9000000000000004</v>
      </c>
      <c r="O169" s="35">
        <v>0</v>
      </c>
      <c r="P169" s="136">
        <v>0.60000000000000009</v>
      </c>
      <c r="Q169" s="37">
        <v>0</v>
      </c>
      <c r="R169" s="136">
        <v>0.4</v>
      </c>
      <c r="S169" s="37"/>
      <c r="T169" s="35">
        <v>0</v>
      </c>
      <c r="U169" s="136">
        <v>3.1</v>
      </c>
      <c r="V169" s="35">
        <v>0</v>
      </c>
      <c r="W169" s="136">
        <v>0.9</v>
      </c>
      <c r="X169" s="35">
        <v>0</v>
      </c>
      <c r="Y169" s="149">
        <v>0.8</v>
      </c>
      <c r="Z169" s="35">
        <v>0</v>
      </c>
      <c r="AA169" s="136">
        <v>0.4</v>
      </c>
      <c r="AB169" s="37">
        <v>0</v>
      </c>
      <c r="AC169" s="136">
        <v>0.4</v>
      </c>
      <c r="AD169" s="37"/>
      <c r="AE169" s="40">
        <v>51</v>
      </c>
      <c r="AF169" s="65"/>
      <c r="AG169" s="35">
        <v>0</v>
      </c>
      <c r="AH169" s="36">
        <v>0</v>
      </c>
      <c r="AI169" s="37"/>
      <c r="AJ169" s="35">
        <v>61</v>
      </c>
      <c r="AK169" s="36">
        <v>87.000000000000014</v>
      </c>
      <c r="AL169" s="35">
        <v>130</v>
      </c>
      <c r="AM169" s="36">
        <v>18.000000000000004</v>
      </c>
      <c r="AN169" s="35">
        <v>136</v>
      </c>
      <c r="AO169" s="36">
        <v>12</v>
      </c>
      <c r="AP169" s="37"/>
      <c r="AQ169" s="35">
        <v>55</v>
      </c>
      <c r="AR169" s="36">
        <v>93</v>
      </c>
      <c r="AS169" s="35">
        <v>121</v>
      </c>
      <c r="AT169" s="36">
        <v>27</v>
      </c>
      <c r="AU169" s="35">
        <v>124</v>
      </c>
      <c r="AV169" s="36">
        <v>24</v>
      </c>
      <c r="AW169" s="35">
        <v>136</v>
      </c>
      <c r="AX169" s="36">
        <v>12</v>
      </c>
      <c r="AY169" s="35">
        <v>136</v>
      </c>
      <c r="AZ169" s="36">
        <v>12</v>
      </c>
      <c r="BB169" s="40">
        <v>0</v>
      </c>
      <c r="BC169" s="65"/>
      <c r="BD169" s="35">
        <v>0</v>
      </c>
      <c r="BE169" s="36">
        <v>0</v>
      </c>
      <c r="BF169" s="37"/>
      <c r="BG169" s="415">
        <v>0</v>
      </c>
      <c r="BH169" s="353">
        <v>1.5000000000000002</v>
      </c>
      <c r="BI169" s="415">
        <v>0</v>
      </c>
      <c r="BJ169" s="353">
        <v>0</v>
      </c>
      <c r="BK169" s="415">
        <v>0</v>
      </c>
      <c r="BL169" s="353">
        <v>0</v>
      </c>
      <c r="BM169" s="416"/>
      <c r="BN169" s="415">
        <v>0</v>
      </c>
      <c r="BO169" s="353">
        <v>0</v>
      </c>
      <c r="BP169" s="415">
        <v>0</v>
      </c>
      <c r="BQ169" s="353">
        <v>0</v>
      </c>
      <c r="BR169" s="415">
        <v>0</v>
      </c>
      <c r="BS169" s="353">
        <v>-9.9999999999999978E-2</v>
      </c>
      <c r="BT169" s="415">
        <v>0</v>
      </c>
      <c r="BU169" s="353">
        <v>0</v>
      </c>
      <c r="BV169" s="415">
        <v>0</v>
      </c>
      <c r="BW169" s="353">
        <v>0</v>
      </c>
      <c r="BY169" s="80"/>
      <c r="BZ169" s="65"/>
      <c r="CA169" s="40" t="s">
        <v>3</v>
      </c>
      <c r="CB169" s="65"/>
      <c r="CC169" s="40">
        <v>-9.694214876033044</v>
      </c>
      <c r="CD169" s="40">
        <v>-78.694214876033058</v>
      </c>
      <c r="CE169" s="40">
        <v>-84.694214876033058</v>
      </c>
      <c r="CF169" s="65"/>
      <c r="CG169" s="40">
        <v>-3.6942148760330582</v>
      </c>
      <c r="CH169" s="40">
        <v>-69.694214876033058</v>
      </c>
      <c r="CI169" s="40">
        <v>-72.694214876033058</v>
      </c>
      <c r="CJ169" s="40">
        <v>-84.694214876033058</v>
      </c>
      <c r="CK169" s="40">
        <v>-84.694214876033058</v>
      </c>
    </row>
    <row r="170" spans="1:89" s="2" customFormat="1">
      <c r="A170" s="196" t="s">
        <v>1008</v>
      </c>
      <c r="B170" s="211" t="s">
        <v>57</v>
      </c>
      <c r="C170" s="211" t="s">
        <v>583</v>
      </c>
      <c r="D170" s="41">
        <v>751</v>
      </c>
      <c r="E170" s="41">
        <v>5.33</v>
      </c>
      <c r="F170" s="41" t="s">
        <v>391</v>
      </c>
      <c r="G170" s="413">
        <v>24</v>
      </c>
      <c r="H170" s="414">
        <v>621.48760330578511</v>
      </c>
      <c r="I170" s="321"/>
      <c r="J170" s="40" t="s">
        <v>3</v>
      </c>
      <c r="K170" s="36" t="s">
        <v>3</v>
      </c>
      <c r="L170" s="37"/>
      <c r="M170" s="35">
        <v>269</v>
      </c>
      <c r="N170" s="136">
        <v>10.8</v>
      </c>
      <c r="O170" s="35">
        <v>159</v>
      </c>
      <c r="P170" s="136">
        <v>12.200000000000001</v>
      </c>
      <c r="Q170" s="37">
        <v>159</v>
      </c>
      <c r="R170" s="136">
        <v>11.4</v>
      </c>
      <c r="S170" s="37"/>
      <c r="T170" s="35">
        <v>0</v>
      </c>
      <c r="U170" s="136">
        <v>22.200000000000003</v>
      </c>
      <c r="V170" s="35">
        <v>0</v>
      </c>
      <c r="W170" s="136">
        <v>16.600000000000001</v>
      </c>
      <c r="X170" s="35">
        <v>0</v>
      </c>
      <c r="Y170" s="149">
        <v>16.600000000000001</v>
      </c>
      <c r="Z170" s="35">
        <v>0</v>
      </c>
      <c r="AA170" s="136">
        <v>16.5</v>
      </c>
      <c r="AB170" s="37">
        <v>0</v>
      </c>
      <c r="AC170" s="136">
        <v>16.5</v>
      </c>
      <c r="AD170" s="37"/>
      <c r="AE170" s="40">
        <v>130</v>
      </c>
      <c r="AF170" s="65"/>
      <c r="AG170" s="35">
        <v>0</v>
      </c>
      <c r="AH170" s="36">
        <v>0</v>
      </c>
      <c r="AI170" s="37"/>
      <c r="AJ170" s="35">
        <v>223</v>
      </c>
      <c r="AK170" s="36">
        <v>259.20000000000005</v>
      </c>
      <c r="AL170" s="35">
        <v>299</v>
      </c>
      <c r="AM170" s="36">
        <v>292.8</v>
      </c>
      <c r="AN170" s="37">
        <v>318</v>
      </c>
      <c r="AO170" s="36">
        <v>273.60000000000002</v>
      </c>
      <c r="AP170" s="37"/>
      <c r="AQ170" s="35">
        <v>218</v>
      </c>
      <c r="AR170" s="36">
        <v>532.80000000000007</v>
      </c>
      <c r="AS170" s="35">
        <v>353</v>
      </c>
      <c r="AT170" s="36">
        <v>398.40000000000003</v>
      </c>
      <c r="AU170" s="37">
        <v>353</v>
      </c>
      <c r="AV170" s="36">
        <v>398.40000000000003</v>
      </c>
      <c r="AW170" s="37">
        <v>355</v>
      </c>
      <c r="AX170" s="36">
        <v>396</v>
      </c>
      <c r="AY170" s="37">
        <v>355</v>
      </c>
      <c r="AZ170" s="36">
        <v>396</v>
      </c>
      <c r="BB170" s="40">
        <v>0</v>
      </c>
      <c r="BC170" s="65"/>
      <c r="BD170" s="35">
        <v>0</v>
      </c>
      <c r="BE170" s="36">
        <v>0</v>
      </c>
      <c r="BF170" s="37"/>
      <c r="BG170" s="415">
        <v>110</v>
      </c>
      <c r="BH170" s="353">
        <v>-2.5</v>
      </c>
      <c r="BI170" s="415">
        <v>0</v>
      </c>
      <c r="BJ170" s="353">
        <v>0</v>
      </c>
      <c r="BK170" s="415">
        <v>0</v>
      </c>
      <c r="BL170" s="353">
        <v>0</v>
      </c>
      <c r="BM170" s="416"/>
      <c r="BN170" s="415">
        <v>0</v>
      </c>
      <c r="BO170" s="353">
        <v>0</v>
      </c>
      <c r="BP170" s="415">
        <v>0</v>
      </c>
      <c r="BQ170" s="353">
        <v>0</v>
      </c>
      <c r="BR170" s="415">
        <v>0</v>
      </c>
      <c r="BS170" s="353">
        <v>0</v>
      </c>
      <c r="BT170" s="415">
        <v>0</v>
      </c>
      <c r="BU170" s="353">
        <v>0</v>
      </c>
      <c r="BV170" s="415">
        <v>0</v>
      </c>
      <c r="BW170" s="353">
        <v>0</v>
      </c>
      <c r="BY170" s="80"/>
      <c r="BZ170" s="65"/>
      <c r="CA170" s="40" t="s">
        <v>3</v>
      </c>
      <c r="CB170" s="65"/>
      <c r="CC170" s="40">
        <v>-93.287603305785069</v>
      </c>
      <c r="CD170" s="40">
        <v>-169.6876033057851</v>
      </c>
      <c r="CE170" s="40">
        <v>-188.88760330578509</v>
      </c>
      <c r="CF170" s="65"/>
      <c r="CG170" s="40">
        <v>-88.687603305785046</v>
      </c>
      <c r="CH170" s="40">
        <v>-223.08760330578508</v>
      </c>
      <c r="CI170" s="40">
        <v>-223.08760330578508</v>
      </c>
      <c r="CJ170" s="40">
        <v>-225.48760330578511</v>
      </c>
      <c r="CK170" s="40">
        <v>-225.48760330578511</v>
      </c>
    </row>
    <row r="171" spans="1:89" s="2" customFormat="1">
      <c r="A171" s="196" t="s">
        <v>1009</v>
      </c>
      <c r="B171" s="211" t="s">
        <v>57</v>
      </c>
      <c r="C171" s="211" t="s">
        <v>583</v>
      </c>
      <c r="D171" s="41">
        <v>751</v>
      </c>
      <c r="E171" s="41">
        <v>5.33</v>
      </c>
      <c r="F171" s="22" t="s">
        <v>391</v>
      </c>
      <c r="G171" s="40">
        <v>30</v>
      </c>
      <c r="H171" s="388">
        <v>621.48760330578511</v>
      </c>
      <c r="I171" s="321"/>
      <c r="J171" s="40" t="s">
        <v>3</v>
      </c>
      <c r="K171" s="36" t="s">
        <v>3</v>
      </c>
      <c r="L171" s="37"/>
      <c r="M171" s="35">
        <v>269</v>
      </c>
      <c r="N171" s="136">
        <v>8.7000000000000011</v>
      </c>
      <c r="O171" s="35">
        <v>159</v>
      </c>
      <c r="P171" s="136">
        <v>9.8000000000000007</v>
      </c>
      <c r="Q171" s="37">
        <v>159</v>
      </c>
      <c r="R171" s="136">
        <v>9.2000000000000011</v>
      </c>
      <c r="S171" s="37"/>
      <c r="T171" s="35">
        <v>0</v>
      </c>
      <c r="U171" s="136">
        <v>17.8</v>
      </c>
      <c r="V171" s="35">
        <v>0</v>
      </c>
      <c r="W171" s="136">
        <v>13.3</v>
      </c>
      <c r="X171" s="35">
        <v>0</v>
      </c>
      <c r="Y171" s="149">
        <v>13.3</v>
      </c>
      <c r="Z171" s="35">
        <v>0</v>
      </c>
      <c r="AA171" s="136">
        <v>13.200000000000001</v>
      </c>
      <c r="AB171" s="37">
        <v>0</v>
      </c>
      <c r="AC171" s="136">
        <v>13.200000000000001</v>
      </c>
      <c r="AD171" s="37"/>
      <c r="AE171" s="40">
        <v>130</v>
      </c>
      <c r="AF171" s="65"/>
      <c r="AG171" s="35">
        <v>0</v>
      </c>
      <c r="AH171" s="36">
        <v>0</v>
      </c>
      <c r="AI171" s="37"/>
      <c r="AJ171" s="35">
        <v>221</v>
      </c>
      <c r="AK171" s="36">
        <v>261.00000000000006</v>
      </c>
      <c r="AL171" s="35">
        <v>298</v>
      </c>
      <c r="AM171" s="36">
        <v>294</v>
      </c>
      <c r="AN171" s="35">
        <v>316</v>
      </c>
      <c r="AO171" s="36">
        <v>276.00000000000006</v>
      </c>
      <c r="AP171" s="37"/>
      <c r="AQ171" s="35">
        <v>217</v>
      </c>
      <c r="AR171" s="36">
        <v>534</v>
      </c>
      <c r="AS171" s="35">
        <v>352</v>
      </c>
      <c r="AT171" s="36">
        <v>399</v>
      </c>
      <c r="AU171" s="35">
        <v>352</v>
      </c>
      <c r="AV171" s="36">
        <v>399</v>
      </c>
      <c r="AW171" s="35">
        <v>355</v>
      </c>
      <c r="AX171" s="36">
        <v>396.00000000000006</v>
      </c>
      <c r="AY171" s="35">
        <v>355</v>
      </c>
      <c r="AZ171" s="36">
        <v>396.00000000000006</v>
      </c>
      <c r="BB171" s="40">
        <v>0</v>
      </c>
      <c r="BC171" s="65"/>
      <c r="BD171" s="35">
        <v>0</v>
      </c>
      <c r="BE171" s="36">
        <v>0</v>
      </c>
      <c r="BF171" s="37"/>
      <c r="BG171" s="415">
        <v>110</v>
      </c>
      <c r="BH171" s="353">
        <v>-2</v>
      </c>
      <c r="BI171" s="415">
        <v>0</v>
      </c>
      <c r="BJ171" s="353">
        <v>0</v>
      </c>
      <c r="BK171" s="415">
        <v>0</v>
      </c>
      <c r="BL171" s="353">
        <v>0</v>
      </c>
      <c r="BM171" s="416"/>
      <c r="BN171" s="415">
        <v>0</v>
      </c>
      <c r="BO171" s="353">
        <v>0</v>
      </c>
      <c r="BP171" s="415">
        <v>0</v>
      </c>
      <c r="BQ171" s="353">
        <v>0</v>
      </c>
      <c r="BR171" s="415">
        <v>0</v>
      </c>
      <c r="BS171" s="353">
        <v>0</v>
      </c>
      <c r="BT171" s="415">
        <v>0</v>
      </c>
      <c r="BU171" s="353">
        <v>0</v>
      </c>
      <c r="BV171" s="415">
        <v>0</v>
      </c>
      <c r="BW171" s="353">
        <v>0</v>
      </c>
      <c r="BY171" s="80"/>
      <c r="BZ171" s="65"/>
      <c r="CA171" s="40" t="s">
        <v>3</v>
      </c>
      <c r="CB171" s="65"/>
      <c r="CC171" s="40">
        <v>-91.487603305785115</v>
      </c>
      <c r="CD171" s="40">
        <v>-168.48760330578511</v>
      </c>
      <c r="CE171" s="40">
        <v>-186.48760330578506</v>
      </c>
      <c r="CF171" s="65"/>
      <c r="CG171" s="40">
        <v>-87.487603305785115</v>
      </c>
      <c r="CH171" s="40">
        <v>-222.48760330578511</v>
      </c>
      <c r="CI171" s="40">
        <v>-222.48760330578511</v>
      </c>
      <c r="CJ171" s="40">
        <v>-225.48760330578506</v>
      </c>
      <c r="CK171" s="40">
        <v>-225.48760330578506</v>
      </c>
    </row>
    <row r="172" spans="1:89" s="2" customFormat="1">
      <c r="A172" s="196" t="s">
        <v>1010</v>
      </c>
      <c r="B172" s="211" t="s">
        <v>57</v>
      </c>
      <c r="C172" s="211" t="s">
        <v>590</v>
      </c>
      <c r="D172" s="41">
        <v>915</v>
      </c>
      <c r="E172" s="41">
        <v>5.33</v>
      </c>
      <c r="F172" s="41" t="s">
        <v>391</v>
      </c>
      <c r="G172" s="413">
        <v>24</v>
      </c>
      <c r="H172" s="414">
        <v>680.99173553719015</v>
      </c>
      <c r="I172" s="321"/>
      <c r="J172" s="40" t="s">
        <v>3</v>
      </c>
      <c r="K172" s="36" t="s">
        <v>3</v>
      </c>
      <c r="L172" s="37"/>
      <c r="M172" s="35">
        <v>289</v>
      </c>
      <c r="N172" s="136">
        <v>12.200000000000001</v>
      </c>
      <c r="O172" s="35">
        <v>179</v>
      </c>
      <c r="P172" s="136">
        <v>14.100000000000001</v>
      </c>
      <c r="Q172" s="37">
        <v>179</v>
      </c>
      <c r="R172" s="136">
        <v>13.3</v>
      </c>
      <c r="S172" s="37"/>
      <c r="T172" s="35">
        <v>0</v>
      </c>
      <c r="U172" s="136">
        <v>24.400000000000002</v>
      </c>
      <c r="V172" s="35">
        <v>0</v>
      </c>
      <c r="W172" s="136">
        <v>19.700000000000003</v>
      </c>
      <c r="X172" s="35">
        <v>0</v>
      </c>
      <c r="Y172" s="149">
        <v>19.700000000000003</v>
      </c>
      <c r="Z172" s="35">
        <v>0</v>
      </c>
      <c r="AA172" s="136">
        <v>18.5</v>
      </c>
      <c r="AB172" s="37">
        <v>0</v>
      </c>
      <c r="AC172" s="136">
        <v>18.5</v>
      </c>
      <c r="AD172" s="37"/>
      <c r="AE172" s="40">
        <v>234</v>
      </c>
      <c r="AF172" s="65"/>
      <c r="AG172" s="35">
        <v>0</v>
      </c>
      <c r="AH172" s="36">
        <v>0</v>
      </c>
      <c r="AI172" s="37"/>
      <c r="AJ172" s="35">
        <v>333</v>
      </c>
      <c r="AK172" s="36">
        <v>292.8</v>
      </c>
      <c r="AL172" s="35">
        <v>398</v>
      </c>
      <c r="AM172" s="36">
        <v>338.40000000000003</v>
      </c>
      <c r="AN172" s="37">
        <v>417</v>
      </c>
      <c r="AO172" s="36">
        <v>319.20000000000005</v>
      </c>
      <c r="AP172" s="37"/>
      <c r="AQ172" s="35">
        <v>329</v>
      </c>
      <c r="AR172" s="36">
        <v>585.6</v>
      </c>
      <c r="AS172" s="35">
        <v>442</v>
      </c>
      <c r="AT172" s="36">
        <v>472.80000000000007</v>
      </c>
      <c r="AU172" s="37">
        <v>442</v>
      </c>
      <c r="AV172" s="36">
        <v>472.80000000000007</v>
      </c>
      <c r="AW172" s="37">
        <v>471</v>
      </c>
      <c r="AX172" s="36">
        <v>444</v>
      </c>
      <c r="AY172" s="37">
        <v>471</v>
      </c>
      <c r="AZ172" s="36">
        <v>444</v>
      </c>
      <c r="BB172" s="40">
        <v>0</v>
      </c>
      <c r="BC172" s="65"/>
      <c r="BD172" s="35">
        <v>0</v>
      </c>
      <c r="BE172" s="36">
        <v>0</v>
      </c>
      <c r="BF172" s="37"/>
      <c r="BG172" s="415">
        <v>110</v>
      </c>
      <c r="BH172" s="353">
        <v>-2.9000000000000004</v>
      </c>
      <c r="BI172" s="415">
        <v>0</v>
      </c>
      <c r="BJ172" s="353">
        <v>0</v>
      </c>
      <c r="BK172" s="415">
        <v>0</v>
      </c>
      <c r="BL172" s="353">
        <v>0</v>
      </c>
      <c r="BM172" s="416"/>
      <c r="BN172" s="415">
        <v>0</v>
      </c>
      <c r="BO172" s="353">
        <v>0</v>
      </c>
      <c r="BP172" s="415">
        <v>0</v>
      </c>
      <c r="BQ172" s="353">
        <v>0</v>
      </c>
      <c r="BR172" s="415">
        <v>0</v>
      </c>
      <c r="BS172" s="353">
        <v>0</v>
      </c>
      <c r="BT172" s="415">
        <v>0</v>
      </c>
      <c r="BU172" s="353">
        <v>-1.1000000000000014</v>
      </c>
      <c r="BV172" s="415">
        <v>0</v>
      </c>
      <c r="BW172" s="353">
        <v>-1.1000000000000014</v>
      </c>
      <c r="BY172" s="80"/>
      <c r="BZ172" s="65"/>
      <c r="CA172" s="40" t="s">
        <v>3</v>
      </c>
      <c r="CB172" s="65"/>
      <c r="CC172" s="40">
        <v>-99.191735537190198</v>
      </c>
      <c r="CD172" s="40">
        <v>-163.59173553719006</v>
      </c>
      <c r="CE172" s="40">
        <v>-182.79173553719011</v>
      </c>
      <c r="CF172" s="65"/>
      <c r="CG172" s="40">
        <v>-95.391735537190129</v>
      </c>
      <c r="CH172" s="40">
        <v>-208.19173553719008</v>
      </c>
      <c r="CI172" s="40">
        <v>-208.19173553719008</v>
      </c>
      <c r="CJ172" s="40">
        <v>-236.99173553719015</v>
      </c>
      <c r="CK172" s="40">
        <v>-236.99173553719015</v>
      </c>
    </row>
    <row r="173" spans="1:89" s="2" customFormat="1">
      <c r="A173" s="196" t="s">
        <v>1011</v>
      </c>
      <c r="B173" s="211" t="s">
        <v>57</v>
      </c>
      <c r="C173" s="211" t="s">
        <v>590</v>
      </c>
      <c r="D173" s="41">
        <v>915</v>
      </c>
      <c r="E173" s="41">
        <v>5.33</v>
      </c>
      <c r="F173" s="22" t="s">
        <v>391</v>
      </c>
      <c r="G173" s="40">
        <v>30</v>
      </c>
      <c r="H173" s="388">
        <v>680.99173553719015</v>
      </c>
      <c r="I173" s="321"/>
      <c r="J173" s="40" t="s">
        <v>3</v>
      </c>
      <c r="K173" s="36" t="s">
        <v>3</v>
      </c>
      <c r="L173" s="37"/>
      <c r="M173" s="35">
        <v>289</v>
      </c>
      <c r="N173" s="136">
        <v>9.8000000000000007</v>
      </c>
      <c r="O173" s="35">
        <v>179</v>
      </c>
      <c r="P173" s="136">
        <v>11.3</v>
      </c>
      <c r="Q173" s="37">
        <v>179</v>
      </c>
      <c r="R173" s="136">
        <v>10.700000000000001</v>
      </c>
      <c r="S173" s="37"/>
      <c r="T173" s="35">
        <v>0</v>
      </c>
      <c r="U173" s="136">
        <v>19.600000000000001</v>
      </c>
      <c r="V173" s="35">
        <v>0</v>
      </c>
      <c r="W173" s="136">
        <v>15.8</v>
      </c>
      <c r="X173" s="35">
        <v>0</v>
      </c>
      <c r="Y173" s="149">
        <v>15.8</v>
      </c>
      <c r="Z173" s="35">
        <v>0</v>
      </c>
      <c r="AA173" s="136">
        <v>14.8</v>
      </c>
      <c r="AB173" s="37">
        <v>0</v>
      </c>
      <c r="AC173" s="136">
        <v>14.8</v>
      </c>
      <c r="AD173" s="37"/>
      <c r="AE173" s="40">
        <v>234</v>
      </c>
      <c r="AF173" s="65"/>
      <c r="AG173" s="35">
        <v>0</v>
      </c>
      <c r="AH173" s="36">
        <v>0</v>
      </c>
      <c r="AI173" s="37"/>
      <c r="AJ173" s="35">
        <v>332</v>
      </c>
      <c r="AK173" s="36">
        <v>294</v>
      </c>
      <c r="AL173" s="35">
        <v>397</v>
      </c>
      <c r="AM173" s="36">
        <v>339</v>
      </c>
      <c r="AN173" s="35">
        <v>415</v>
      </c>
      <c r="AO173" s="36">
        <v>321.00000000000006</v>
      </c>
      <c r="AP173" s="37"/>
      <c r="AQ173" s="35">
        <v>327</v>
      </c>
      <c r="AR173" s="36">
        <v>588</v>
      </c>
      <c r="AS173" s="35">
        <v>441</v>
      </c>
      <c r="AT173" s="36">
        <v>474</v>
      </c>
      <c r="AU173" s="35">
        <v>441</v>
      </c>
      <c r="AV173" s="36">
        <v>474</v>
      </c>
      <c r="AW173" s="35">
        <v>471</v>
      </c>
      <c r="AX173" s="36">
        <v>444</v>
      </c>
      <c r="AY173" s="35">
        <v>471</v>
      </c>
      <c r="AZ173" s="36">
        <v>444</v>
      </c>
      <c r="BB173" s="40">
        <v>0</v>
      </c>
      <c r="BC173" s="65"/>
      <c r="BD173" s="35">
        <v>0</v>
      </c>
      <c r="BE173" s="36">
        <v>0</v>
      </c>
      <c r="BF173" s="37"/>
      <c r="BG173" s="415">
        <v>110</v>
      </c>
      <c r="BH173" s="353">
        <v>-2.3000000000000007</v>
      </c>
      <c r="BI173" s="415">
        <v>0</v>
      </c>
      <c r="BJ173" s="353">
        <v>0</v>
      </c>
      <c r="BK173" s="415">
        <v>0</v>
      </c>
      <c r="BL173" s="353">
        <v>0</v>
      </c>
      <c r="BM173" s="416"/>
      <c r="BN173" s="415">
        <v>0</v>
      </c>
      <c r="BO173" s="353">
        <v>0</v>
      </c>
      <c r="BP173" s="415">
        <v>0</v>
      </c>
      <c r="BQ173" s="353">
        <v>0</v>
      </c>
      <c r="BR173" s="415">
        <v>0</v>
      </c>
      <c r="BS173" s="353">
        <v>0</v>
      </c>
      <c r="BT173" s="415">
        <v>0</v>
      </c>
      <c r="BU173" s="353">
        <v>-0.90000000000000036</v>
      </c>
      <c r="BV173" s="415">
        <v>0</v>
      </c>
      <c r="BW173" s="353">
        <v>-0.90000000000000036</v>
      </c>
      <c r="BY173" s="80"/>
      <c r="BZ173" s="65"/>
      <c r="CA173" s="40" t="s">
        <v>3</v>
      </c>
      <c r="CB173" s="65"/>
      <c r="CC173" s="40">
        <v>-97.991735537190152</v>
      </c>
      <c r="CD173" s="40">
        <v>-162.99173553719015</v>
      </c>
      <c r="CE173" s="40">
        <v>-180.9917355371901</v>
      </c>
      <c r="CF173" s="65"/>
      <c r="CG173" s="40">
        <v>-92.991735537190152</v>
      </c>
      <c r="CH173" s="40">
        <v>-206.99173553719015</v>
      </c>
      <c r="CI173" s="40">
        <v>-206.99173553719015</v>
      </c>
      <c r="CJ173" s="40">
        <v>-236.99173553719015</v>
      </c>
      <c r="CK173" s="40">
        <v>-236.99173553719015</v>
      </c>
    </row>
    <row r="174" spans="1:89" s="2" customFormat="1">
      <c r="A174" s="196" t="s">
        <v>1205</v>
      </c>
      <c r="B174" s="211" t="s">
        <v>225</v>
      </c>
      <c r="C174" s="211" t="s">
        <v>715</v>
      </c>
      <c r="D174" s="41">
        <v>867</v>
      </c>
      <c r="E174" s="41">
        <v>5.33</v>
      </c>
      <c r="F174" s="41" t="s">
        <v>391</v>
      </c>
      <c r="G174" s="41">
        <v>24</v>
      </c>
      <c r="H174" s="414">
        <v>638.01652892561981</v>
      </c>
      <c r="I174" s="321"/>
      <c r="J174" s="40" t="s">
        <v>3</v>
      </c>
      <c r="K174" s="36" t="s">
        <v>3</v>
      </c>
      <c r="L174" s="37"/>
      <c r="M174" s="35">
        <v>0</v>
      </c>
      <c r="N174" s="136">
        <v>0</v>
      </c>
      <c r="O174" s="35">
        <v>0</v>
      </c>
      <c r="P174" s="136">
        <v>0</v>
      </c>
      <c r="Q174" s="37">
        <v>0</v>
      </c>
      <c r="R174" s="136">
        <v>0</v>
      </c>
      <c r="S174" s="37"/>
      <c r="T174" s="35">
        <v>0</v>
      </c>
      <c r="U174" s="136">
        <v>22.6</v>
      </c>
      <c r="V174" s="35">
        <v>0</v>
      </c>
      <c r="W174" s="136">
        <v>21.700000000000003</v>
      </c>
      <c r="X174" s="35">
        <v>0</v>
      </c>
      <c r="Y174" s="149">
        <v>13</v>
      </c>
      <c r="Z174" s="35">
        <v>0</v>
      </c>
      <c r="AA174" s="136">
        <v>13</v>
      </c>
      <c r="AB174" s="37">
        <v>0</v>
      </c>
      <c r="AC174" s="136">
        <v>13</v>
      </c>
      <c r="AD174" s="37"/>
      <c r="AE174" s="40">
        <v>229</v>
      </c>
      <c r="AF174" s="65"/>
      <c r="AG174" s="35">
        <v>0</v>
      </c>
      <c r="AH174" s="36">
        <v>0</v>
      </c>
      <c r="AI174" s="37"/>
      <c r="AJ174" s="35">
        <v>867</v>
      </c>
      <c r="AK174" s="36">
        <v>0</v>
      </c>
      <c r="AL174" s="35">
        <v>867</v>
      </c>
      <c r="AM174" s="36">
        <v>0</v>
      </c>
      <c r="AN174" s="37">
        <v>867</v>
      </c>
      <c r="AO174" s="36">
        <v>0</v>
      </c>
      <c r="AP174" s="37"/>
      <c r="AQ174" s="35">
        <v>325</v>
      </c>
      <c r="AR174" s="36">
        <v>542.40000000000009</v>
      </c>
      <c r="AS174" s="35">
        <v>346</v>
      </c>
      <c r="AT174" s="36">
        <v>520.80000000000007</v>
      </c>
      <c r="AU174" s="37">
        <v>555</v>
      </c>
      <c r="AV174" s="36">
        <v>312</v>
      </c>
      <c r="AW174" s="37">
        <v>555</v>
      </c>
      <c r="AX174" s="36">
        <v>312</v>
      </c>
      <c r="AY174" s="37">
        <v>555</v>
      </c>
      <c r="AZ174" s="36">
        <v>312</v>
      </c>
      <c r="BB174" s="40">
        <v>0</v>
      </c>
      <c r="BC174" s="65"/>
      <c r="BD174" s="35">
        <v>0</v>
      </c>
      <c r="BE174" s="36">
        <v>0</v>
      </c>
      <c r="BF174" s="37"/>
      <c r="BG174" s="415">
        <v>0</v>
      </c>
      <c r="BH174" s="353">
        <v>0</v>
      </c>
      <c r="BI174" s="415">
        <v>0</v>
      </c>
      <c r="BJ174" s="353">
        <v>0</v>
      </c>
      <c r="BK174" s="415">
        <v>0</v>
      </c>
      <c r="BL174" s="353">
        <v>0</v>
      </c>
      <c r="BM174" s="416"/>
      <c r="BN174" s="415">
        <v>0</v>
      </c>
      <c r="BO174" s="353">
        <v>0</v>
      </c>
      <c r="BP174" s="415">
        <v>0</v>
      </c>
      <c r="BQ174" s="353">
        <v>0</v>
      </c>
      <c r="BR174" s="415">
        <v>0</v>
      </c>
      <c r="BS174" s="353">
        <v>0</v>
      </c>
      <c r="BT174" s="415">
        <v>0</v>
      </c>
      <c r="BU174" s="353">
        <v>0</v>
      </c>
      <c r="BV174" s="415">
        <v>0</v>
      </c>
      <c r="BW174" s="353">
        <v>0</v>
      </c>
      <c r="BY174" s="80"/>
      <c r="BZ174" s="65"/>
      <c r="CA174" s="40" t="s">
        <v>3</v>
      </c>
      <c r="CB174" s="65"/>
      <c r="CC174" s="40">
        <v>-638.01652892561981</v>
      </c>
      <c r="CD174" s="40">
        <v>-638.01652892561981</v>
      </c>
      <c r="CE174" s="40">
        <v>-638.01652892561981</v>
      </c>
      <c r="CF174" s="65"/>
      <c r="CG174" s="40">
        <v>-95.616528925619718</v>
      </c>
      <c r="CH174" s="40">
        <v>-117.21652892561974</v>
      </c>
      <c r="CI174" s="40">
        <v>-326.01652892561981</v>
      </c>
      <c r="CJ174" s="40">
        <v>-326.01652892561981</v>
      </c>
      <c r="CK174" s="40">
        <v>-326.01652892561981</v>
      </c>
    </row>
    <row r="175" spans="1:89" s="2" customFormat="1">
      <c r="A175" s="196" t="s">
        <v>1206</v>
      </c>
      <c r="B175" s="211" t="s">
        <v>225</v>
      </c>
      <c r="C175" s="211" t="s">
        <v>715</v>
      </c>
      <c r="D175" s="41">
        <v>867</v>
      </c>
      <c r="E175" s="41">
        <v>5.33</v>
      </c>
      <c r="F175" s="22" t="s">
        <v>391</v>
      </c>
      <c r="G175" s="22">
        <v>30</v>
      </c>
      <c r="H175" s="388">
        <v>638.01652892561981</v>
      </c>
      <c r="I175" s="321"/>
      <c r="J175" s="40" t="s">
        <v>3</v>
      </c>
      <c r="K175" s="36" t="s">
        <v>3</v>
      </c>
      <c r="L175" s="37"/>
      <c r="M175" s="35">
        <v>0</v>
      </c>
      <c r="N175" s="136">
        <v>0</v>
      </c>
      <c r="O175" s="35">
        <v>0</v>
      </c>
      <c r="P175" s="136">
        <v>0</v>
      </c>
      <c r="Q175" s="37">
        <v>0</v>
      </c>
      <c r="R175" s="136">
        <v>0</v>
      </c>
      <c r="S175" s="37"/>
      <c r="T175" s="35">
        <v>0</v>
      </c>
      <c r="U175" s="136">
        <v>18.100000000000001</v>
      </c>
      <c r="V175" s="35">
        <v>0</v>
      </c>
      <c r="W175" s="136">
        <v>17.400000000000002</v>
      </c>
      <c r="X175" s="35">
        <v>0</v>
      </c>
      <c r="Y175" s="149">
        <v>10.4</v>
      </c>
      <c r="Z175" s="35">
        <v>0</v>
      </c>
      <c r="AA175" s="136">
        <v>10.4</v>
      </c>
      <c r="AB175" s="37">
        <v>0</v>
      </c>
      <c r="AC175" s="136">
        <v>10.4</v>
      </c>
      <c r="AD175" s="37"/>
      <c r="AE175" s="40">
        <v>229</v>
      </c>
      <c r="AF175" s="65"/>
      <c r="AG175" s="35">
        <v>0</v>
      </c>
      <c r="AH175" s="36">
        <v>0</v>
      </c>
      <c r="AI175" s="37"/>
      <c r="AJ175" s="35">
        <v>867</v>
      </c>
      <c r="AK175" s="36">
        <v>0</v>
      </c>
      <c r="AL175" s="35">
        <v>867</v>
      </c>
      <c r="AM175" s="36">
        <v>0</v>
      </c>
      <c r="AN175" s="35">
        <v>867</v>
      </c>
      <c r="AO175" s="36">
        <v>0</v>
      </c>
      <c r="AP175" s="37"/>
      <c r="AQ175" s="35">
        <v>324</v>
      </c>
      <c r="AR175" s="36">
        <v>543</v>
      </c>
      <c r="AS175" s="35">
        <v>345</v>
      </c>
      <c r="AT175" s="36">
        <v>522.00000000000011</v>
      </c>
      <c r="AU175" s="35">
        <v>555</v>
      </c>
      <c r="AV175" s="36">
        <v>312</v>
      </c>
      <c r="AW175" s="35">
        <v>555</v>
      </c>
      <c r="AX175" s="36">
        <v>312</v>
      </c>
      <c r="AY175" s="35">
        <v>555</v>
      </c>
      <c r="AZ175" s="36">
        <v>312</v>
      </c>
      <c r="BB175" s="40">
        <v>0</v>
      </c>
      <c r="BC175" s="65"/>
      <c r="BD175" s="35">
        <v>0</v>
      </c>
      <c r="BE175" s="36">
        <v>0</v>
      </c>
      <c r="BF175" s="37"/>
      <c r="BG175" s="415">
        <v>0</v>
      </c>
      <c r="BH175" s="353">
        <v>0</v>
      </c>
      <c r="BI175" s="415">
        <v>0</v>
      </c>
      <c r="BJ175" s="353">
        <v>0</v>
      </c>
      <c r="BK175" s="415">
        <v>0</v>
      </c>
      <c r="BL175" s="353">
        <v>0</v>
      </c>
      <c r="BM175" s="416"/>
      <c r="BN175" s="415">
        <v>0</v>
      </c>
      <c r="BO175" s="353">
        <v>0</v>
      </c>
      <c r="BP175" s="415">
        <v>0</v>
      </c>
      <c r="BQ175" s="353">
        <v>0</v>
      </c>
      <c r="BR175" s="415">
        <v>0</v>
      </c>
      <c r="BS175" s="353">
        <v>0</v>
      </c>
      <c r="BT175" s="415">
        <v>0</v>
      </c>
      <c r="BU175" s="353">
        <v>0</v>
      </c>
      <c r="BV175" s="415">
        <v>0</v>
      </c>
      <c r="BW175" s="353">
        <v>0</v>
      </c>
      <c r="BY175" s="80"/>
      <c r="BZ175" s="65"/>
      <c r="CA175" s="40" t="s">
        <v>3</v>
      </c>
      <c r="CB175" s="65"/>
      <c r="CC175" s="40">
        <v>-638.01652892561981</v>
      </c>
      <c r="CD175" s="40">
        <v>-638.01652892561981</v>
      </c>
      <c r="CE175" s="40">
        <v>-638.01652892561981</v>
      </c>
      <c r="CF175" s="65"/>
      <c r="CG175" s="40">
        <v>-95.016528925619809</v>
      </c>
      <c r="CH175" s="40">
        <v>-116.0165289256197</v>
      </c>
      <c r="CI175" s="40">
        <v>-326.01652892561981</v>
      </c>
      <c r="CJ175" s="40">
        <v>-326.01652892561981</v>
      </c>
      <c r="CK175" s="40">
        <v>-326.01652892561981</v>
      </c>
    </row>
    <row r="176" spans="1:89" s="2" customFormat="1">
      <c r="A176" s="196" t="s">
        <v>1012</v>
      </c>
      <c r="B176" s="211" t="s">
        <v>225</v>
      </c>
      <c r="C176" s="211" t="s">
        <v>557</v>
      </c>
      <c r="D176" s="41">
        <v>462</v>
      </c>
      <c r="E176" s="41">
        <v>5.33</v>
      </c>
      <c r="F176" s="41" t="s">
        <v>391</v>
      </c>
      <c r="G176" s="413">
        <v>24</v>
      </c>
      <c r="H176" s="414">
        <v>431.40495867768595</v>
      </c>
      <c r="I176" s="321"/>
      <c r="J176" s="40" t="s">
        <v>3</v>
      </c>
      <c r="K176" s="36" t="s">
        <v>3</v>
      </c>
      <c r="L176" s="37"/>
      <c r="M176" s="35">
        <v>139</v>
      </c>
      <c r="N176" s="136">
        <v>8.9</v>
      </c>
      <c r="O176" s="35">
        <v>19</v>
      </c>
      <c r="P176" s="136">
        <v>11</v>
      </c>
      <c r="Q176" s="37">
        <v>19</v>
      </c>
      <c r="R176" s="136">
        <v>10.200000000000001</v>
      </c>
      <c r="S176" s="37"/>
      <c r="T176" s="35">
        <v>0</v>
      </c>
      <c r="U176" s="136">
        <v>14.9</v>
      </c>
      <c r="V176" s="35">
        <v>0</v>
      </c>
      <c r="W176" s="136">
        <v>8.3000000000000007</v>
      </c>
      <c r="X176" s="35">
        <v>0</v>
      </c>
      <c r="Y176" s="149">
        <v>4</v>
      </c>
      <c r="Z176" s="35">
        <v>0</v>
      </c>
      <c r="AA176" s="136">
        <v>4</v>
      </c>
      <c r="AB176" s="37">
        <v>0</v>
      </c>
      <c r="AC176" s="136">
        <v>4</v>
      </c>
      <c r="AD176" s="37"/>
      <c r="AE176" s="40">
        <v>31</v>
      </c>
      <c r="AF176" s="65"/>
      <c r="AG176" s="35">
        <v>0</v>
      </c>
      <c r="AH176" s="36">
        <v>0</v>
      </c>
      <c r="AI176" s="37"/>
      <c r="AJ176" s="35">
        <v>109</v>
      </c>
      <c r="AK176" s="36">
        <v>213.60000000000002</v>
      </c>
      <c r="AL176" s="35">
        <v>179</v>
      </c>
      <c r="AM176" s="36">
        <v>264</v>
      </c>
      <c r="AN176" s="37">
        <v>198</v>
      </c>
      <c r="AO176" s="36">
        <v>244.8</v>
      </c>
      <c r="AP176" s="37"/>
      <c r="AQ176" s="35">
        <v>104</v>
      </c>
      <c r="AR176" s="36">
        <v>357.6</v>
      </c>
      <c r="AS176" s="35">
        <v>263</v>
      </c>
      <c r="AT176" s="36">
        <v>199.20000000000002</v>
      </c>
      <c r="AU176" s="37">
        <v>366</v>
      </c>
      <c r="AV176" s="36">
        <v>96</v>
      </c>
      <c r="AW176" s="37">
        <v>366</v>
      </c>
      <c r="AX176" s="36">
        <v>96</v>
      </c>
      <c r="AY176" s="37">
        <v>366</v>
      </c>
      <c r="AZ176" s="36">
        <v>96</v>
      </c>
      <c r="BB176" s="40">
        <v>0</v>
      </c>
      <c r="BC176" s="65"/>
      <c r="BD176" s="35">
        <v>0</v>
      </c>
      <c r="BE176" s="36">
        <v>0</v>
      </c>
      <c r="BF176" s="37"/>
      <c r="BG176" s="415">
        <v>120</v>
      </c>
      <c r="BH176" s="353">
        <v>-1.5</v>
      </c>
      <c r="BI176" s="415">
        <v>0</v>
      </c>
      <c r="BJ176" s="353">
        <v>1.6999999999999993</v>
      </c>
      <c r="BK176" s="415">
        <v>0</v>
      </c>
      <c r="BL176" s="353">
        <v>1.5</v>
      </c>
      <c r="BM176" s="416"/>
      <c r="BN176" s="415">
        <v>0</v>
      </c>
      <c r="BO176" s="353">
        <v>1.5999999999999996</v>
      </c>
      <c r="BP176" s="415">
        <v>0</v>
      </c>
      <c r="BQ176" s="353">
        <v>1</v>
      </c>
      <c r="BR176" s="415">
        <v>0</v>
      </c>
      <c r="BS176" s="353">
        <v>-3.3000000000000007</v>
      </c>
      <c r="BT176" s="415">
        <v>0</v>
      </c>
      <c r="BU176" s="353">
        <v>0</v>
      </c>
      <c r="BV176" s="415">
        <v>0</v>
      </c>
      <c r="BW176" s="353">
        <v>0</v>
      </c>
      <c r="BY176" s="80"/>
      <c r="BZ176" s="65"/>
      <c r="CA176" s="40" t="s">
        <v>3</v>
      </c>
      <c r="CB176" s="65"/>
      <c r="CC176" s="40">
        <v>-78.804958677685931</v>
      </c>
      <c r="CD176" s="40">
        <v>-148.40495867768595</v>
      </c>
      <c r="CE176" s="40">
        <v>-167.60495867768594</v>
      </c>
      <c r="CF176" s="65"/>
      <c r="CG176" s="40">
        <v>-73.804958677685931</v>
      </c>
      <c r="CH176" s="40">
        <v>-232.20495867768594</v>
      </c>
      <c r="CI176" s="40">
        <v>-335.40495867768595</v>
      </c>
      <c r="CJ176" s="40">
        <v>-335.40495867768595</v>
      </c>
      <c r="CK176" s="40">
        <v>-335.40495867768595</v>
      </c>
    </row>
    <row r="177" spans="1:89" s="2" customFormat="1">
      <c r="A177" s="196" t="s">
        <v>1013</v>
      </c>
      <c r="B177" s="211" t="s">
        <v>225</v>
      </c>
      <c r="C177" s="211" t="s">
        <v>557</v>
      </c>
      <c r="D177" s="41">
        <v>462</v>
      </c>
      <c r="E177" s="41">
        <v>5.33</v>
      </c>
      <c r="F177" s="22" t="s">
        <v>391</v>
      </c>
      <c r="G177" s="40">
        <v>30</v>
      </c>
      <c r="H177" s="388">
        <v>431.40495867768595</v>
      </c>
      <c r="I177" s="321"/>
      <c r="J177" s="40" t="s">
        <v>3</v>
      </c>
      <c r="K177" s="36" t="s">
        <v>3</v>
      </c>
      <c r="L177" s="37"/>
      <c r="M177" s="35">
        <v>139</v>
      </c>
      <c r="N177" s="136">
        <v>7.2</v>
      </c>
      <c r="O177" s="35">
        <v>19</v>
      </c>
      <c r="P177" s="136">
        <v>8.8000000000000007</v>
      </c>
      <c r="Q177" s="37">
        <v>19</v>
      </c>
      <c r="R177" s="136">
        <v>8.2000000000000011</v>
      </c>
      <c r="S177" s="37"/>
      <c r="T177" s="35">
        <v>0</v>
      </c>
      <c r="U177" s="136">
        <v>12</v>
      </c>
      <c r="V177" s="35">
        <v>0</v>
      </c>
      <c r="W177" s="136">
        <v>6.7</v>
      </c>
      <c r="X177" s="35">
        <v>0</v>
      </c>
      <c r="Y177" s="149">
        <v>3.2</v>
      </c>
      <c r="Z177" s="35">
        <v>0</v>
      </c>
      <c r="AA177" s="136">
        <v>3.2</v>
      </c>
      <c r="AB177" s="37">
        <v>0</v>
      </c>
      <c r="AC177" s="136">
        <v>3.2</v>
      </c>
      <c r="AD177" s="37"/>
      <c r="AE177" s="40">
        <v>31</v>
      </c>
      <c r="AF177" s="65"/>
      <c r="AG177" s="35">
        <v>0</v>
      </c>
      <c r="AH177" s="36">
        <v>0</v>
      </c>
      <c r="AI177" s="37"/>
      <c r="AJ177" s="35">
        <v>107</v>
      </c>
      <c r="AK177" s="36">
        <v>216</v>
      </c>
      <c r="AL177" s="35">
        <v>179</v>
      </c>
      <c r="AM177" s="36">
        <v>264</v>
      </c>
      <c r="AN177" s="35">
        <v>197</v>
      </c>
      <c r="AO177" s="36">
        <v>246.00000000000003</v>
      </c>
      <c r="AP177" s="37"/>
      <c r="AQ177" s="35">
        <v>102</v>
      </c>
      <c r="AR177" s="36">
        <v>360</v>
      </c>
      <c r="AS177" s="35">
        <v>261</v>
      </c>
      <c r="AT177" s="36">
        <v>201</v>
      </c>
      <c r="AU177" s="35">
        <v>366</v>
      </c>
      <c r="AV177" s="36">
        <v>96</v>
      </c>
      <c r="AW177" s="35">
        <v>366</v>
      </c>
      <c r="AX177" s="36">
        <v>96</v>
      </c>
      <c r="AY177" s="35">
        <v>366</v>
      </c>
      <c r="AZ177" s="36">
        <v>96</v>
      </c>
      <c r="BB177" s="40">
        <v>0</v>
      </c>
      <c r="BC177" s="65"/>
      <c r="BD177" s="35">
        <v>0</v>
      </c>
      <c r="BE177" s="36">
        <v>0</v>
      </c>
      <c r="BF177" s="37"/>
      <c r="BG177" s="415">
        <v>120</v>
      </c>
      <c r="BH177" s="353">
        <v>-1.2000000000000002</v>
      </c>
      <c r="BI177" s="415">
        <v>0</v>
      </c>
      <c r="BJ177" s="353">
        <v>1.3000000000000007</v>
      </c>
      <c r="BK177" s="415">
        <v>0</v>
      </c>
      <c r="BL177" s="353">
        <v>1.2000000000000011</v>
      </c>
      <c r="BM177" s="416"/>
      <c r="BN177" s="415">
        <v>0</v>
      </c>
      <c r="BO177" s="353">
        <v>1.2999999999999989</v>
      </c>
      <c r="BP177" s="415">
        <v>0</v>
      </c>
      <c r="BQ177" s="353">
        <v>0.79999999999999982</v>
      </c>
      <c r="BR177" s="415">
        <v>0</v>
      </c>
      <c r="BS177" s="353">
        <v>-2.7</v>
      </c>
      <c r="BT177" s="415">
        <v>0</v>
      </c>
      <c r="BU177" s="353">
        <v>0</v>
      </c>
      <c r="BV177" s="415">
        <v>0</v>
      </c>
      <c r="BW177" s="353">
        <v>0</v>
      </c>
      <c r="BY177" s="80"/>
      <c r="BZ177" s="65"/>
      <c r="CA177" s="40" t="s">
        <v>3</v>
      </c>
      <c r="CB177" s="65"/>
      <c r="CC177" s="40">
        <v>-76.404958677685954</v>
      </c>
      <c r="CD177" s="40">
        <v>-148.40495867768595</v>
      </c>
      <c r="CE177" s="40">
        <v>-166.40495867768595</v>
      </c>
      <c r="CF177" s="65"/>
      <c r="CG177" s="40">
        <v>-71.404958677685954</v>
      </c>
      <c r="CH177" s="40">
        <v>-230.40495867768595</v>
      </c>
      <c r="CI177" s="40">
        <v>-335.40495867768595</v>
      </c>
      <c r="CJ177" s="40">
        <v>-335.40495867768595</v>
      </c>
      <c r="CK177" s="40">
        <v>-335.40495867768595</v>
      </c>
    </row>
    <row r="178" spans="1:89" s="2" customFormat="1">
      <c r="A178" s="196"/>
      <c r="B178" s="211" t="s">
        <v>225</v>
      </c>
      <c r="C178" s="435" t="s">
        <v>716</v>
      </c>
      <c r="D178" s="41">
        <v>472</v>
      </c>
      <c r="E178" s="41">
        <v>5.33</v>
      </c>
      <c r="F178" s="41" t="s">
        <v>391</v>
      </c>
      <c r="G178" s="413">
        <v>24</v>
      </c>
      <c r="H178" s="414">
        <v>431.40495867768595</v>
      </c>
      <c r="I178" s="321"/>
      <c r="J178" s="40" t="s">
        <v>3</v>
      </c>
      <c r="K178" s="36" t="s">
        <v>3</v>
      </c>
      <c r="L178" s="37"/>
      <c r="M178" s="35">
        <v>139</v>
      </c>
      <c r="N178" s="136">
        <v>8.9</v>
      </c>
      <c r="O178" s="35">
        <v>19</v>
      </c>
      <c r="P178" s="136">
        <v>11</v>
      </c>
      <c r="Q178" s="37">
        <v>19</v>
      </c>
      <c r="R178" s="136">
        <v>10.200000000000001</v>
      </c>
      <c r="S178" s="37"/>
      <c r="T178" s="35">
        <v>0</v>
      </c>
      <c r="U178" s="136">
        <v>14.9</v>
      </c>
      <c r="V178" s="35">
        <v>0</v>
      </c>
      <c r="W178" s="136">
        <v>8.3000000000000007</v>
      </c>
      <c r="X178" s="35">
        <v>0</v>
      </c>
      <c r="Y178" s="149">
        <v>4</v>
      </c>
      <c r="Z178" s="35">
        <v>0</v>
      </c>
      <c r="AA178" s="136">
        <v>4</v>
      </c>
      <c r="AB178" s="37">
        <v>0</v>
      </c>
      <c r="AC178" s="136">
        <v>4</v>
      </c>
      <c r="AD178" s="37"/>
      <c r="AE178" s="40">
        <v>41</v>
      </c>
      <c r="AF178" s="65"/>
      <c r="AG178" s="35">
        <v>0</v>
      </c>
      <c r="AH178" s="36">
        <v>0</v>
      </c>
      <c r="AI178" s="37"/>
      <c r="AJ178" s="35">
        <v>119</v>
      </c>
      <c r="AK178" s="36">
        <v>213.60000000000002</v>
      </c>
      <c r="AL178" s="35">
        <v>189</v>
      </c>
      <c r="AM178" s="36">
        <v>264</v>
      </c>
      <c r="AN178" s="37">
        <v>208</v>
      </c>
      <c r="AO178" s="36">
        <v>244.8</v>
      </c>
      <c r="AP178" s="37"/>
      <c r="AQ178" s="35">
        <v>114</v>
      </c>
      <c r="AR178" s="36">
        <v>357.6</v>
      </c>
      <c r="AS178" s="35">
        <v>273</v>
      </c>
      <c r="AT178" s="36">
        <v>199.20000000000002</v>
      </c>
      <c r="AU178" s="37">
        <v>376</v>
      </c>
      <c r="AV178" s="36">
        <v>96</v>
      </c>
      <c r="AW178" s="37">
        <v>376</v>
      </c>
      <c r="AX178" s="36">
        <v>96</v>
      </c>
      <c r="AY178" s="37">
        <v>376</v>
      </c>
      <c r="AZ178" s="36">
        <v>96</v>
      </c>
      <c r="BB178" s="40">
        <v>0</v>
      </c>
      <c r="BC178" s="65"/>
      <c r="BD178" s="35">
        <v>0</v>
      </c>
      <c r="BE178" s="36">
        <v>0</v>
      </c>
      <c r="BF178" s="37"/>
      <c r="BG178" s="415">
        <v>0</v>
      </c>
      <c r="BH178" s="353">
        <v>0</v>
      </c>
      <c r="BI178" s="415">
        <v>0</v>
      </c>
      <c r="BJ178" s="353">
        <v>0</v>
      </c>
      <c r="BK178" s="415">
        <v>0</v>
      </c>
      <c r="BL178" s="353">
        <v>0</v>
      </c>
      <c r="BM178" s="416"/>
      <c r="BN178" s="415">
        <v>0</v>
      </c>
      <c r="BO178" s="353">
        <v>0</v>
      </c>
      <c r="BP178" s="415">
        <v>0</v>
      </c>
      <c r="BQ178" s="353">
        <v>0</v>
      </c>
      <c r="BR178" s="415">
        <v>0</v>
      </c>
      <c r="BS178" s="353">
        <v>0</v>
      </c>
      <c r="BT178" s="415">
        <v>0</v>
      </c>
      <c r="BU178" s="353">
        <v>0</v>
      </c>
      <c r="BV178" s="415">
        <v>0</v>
      </c>
      <c r="BW178" s="353">
        <v>0</v>
      </c>
      <c r="BY178" s="80"/>
      <c r="BZ178" s="65"/>
      <c r="CA178" s="40" t="s">
        <v>3</v>
      </c>
      <c r="CB178" s="65"/>
      <c r="CC178" s="40">
        <v>-78.804958677685931</v>
      </c>
      <c r="CD178" s="40">
        <v>-148.40495867768595</v>
      </c>
      <c r="CE178" s="40">
        <v>-167.60495867768594</v>
      </c>
      <c r="CF178" s="65"/>
      <c r="CG178" s="40">
        <v>-73.804958677685931</v>
      </c>
      <c r="CH178" s="40">
        <v>-232.20495867768594</v>
      </c>
      <c r="CI178" s="40">
        <v>-335.40495867768595</v>
      </c>
      <c r="CJ178" s="40">
        <v>-335.40495867768595</v>
      </c>
      <c r="CK178" s="40">
        <v>-335.40495867768595</v>
      </c>
    </row>
    <row r="179" spans="1:89" s="2" customFormat="1">
      <c r="A179" s="196"/>
      <c r="B179" s="211" t="s">
        <v>225</v>
      </c>
      <c r="C179" s="435" t="s">
        <v>716</v>
      </c>
      <c r="D179" s="41">
        <v>472</v>
      </c>
      <c r="E179" s="41">
        <v>5.33</v>
      </c>
      <c r="F179" s="22" t="s">
        <v>391</v>
      </c>
      <c r="G179" s="40">
        <v>30</v>
      </c>
      <c r="H179" s="388">
        <v>431.40495867768595</v>
      </c>
      <c r="I179" s="321"/>
      <c r="J179" s="40" t="s">
        <v>3</v>
      </c>
      <c r="K179" s="36" t="s">
        <v>3</v>
      </c>
      <c r="L179" s="37"/>
      <c r="M179" s="35">
        <v>139</v>
      </c>
      <c r="N179" s="136">
        <v>7.2</v>
      </c>
      <c r="O179" s="35">
        <v>19</v>
      </c>
      <c r="P179" s="136">
        <v>8.8000000000000007</v>
      </c>
      <c r="Q179" s="37">
        <v>19</v>
      </c>
      <c r="R179" s="136">
        <v>8.2000000000000011</v>
      </c>
      <c r="S179" s="37"/>
      <c r="T179" s="35">
        <v>0</v>
      </c>
      <c r="U179" s="136">
        <v>12</v>
      </c>
      <c r="V179" s="35">
        <v>0</v>
      </c>
      <c r="W179" s="136">
        <v>6.7</v>
      </c>
      <c r="X179" s="35">
        <v>0</v>
      </c>
      <c r="Y179" s="149">
        <v>3.2</v>
      </c>
      <c r="Z179" s="35">
        <v>0</v>
      </c>
      <c r="AA179" s="136">
        <v>3.2</v>
      </c>
      <c r="AB179" s="37">
        <v>0</v>
      </c>
      <c r="AC179" s="136">
        <v>3.2</v>
      </c>
      <c r="AD179" s="37"/>
      <c r="AE179" s="40">
        <v>41</v>
      </c>
      <c r="AF179" s="65"/>
      <c r="AG179" s="35">
        <v>0</v>
      </c>
      <c r="AH179" s="36">
        <v>0</v>
      </c>
      <c r="AI179" s="37"/>
      <c r="AJ179" s="35">
        <v>117</v>
      </c>
      <c r="AK179" s="36">
        <v>216</v>
      </c>
      <c r="AL179" s="35">
        <v>189</v>
      </c>
      <c r="AM179" s="36">
        <v>264</v>
      </c>
      <c r="AN179" s="35">
        <v>207</v>
      </c>
      <c r="AO179" s="36">
        <v>246.00000000000003</v>
      </c>
      <c r="AP179" s="37"/>
      <c r="AQ179" s="35">
        <v>112</v>
      </c>
      <c r="AR179" s="36">
        <v>360</v>
      </c>
      <c r="AS179" s="35">
        <v>271</v>
      </c>
      <c r="AT179" s="36">
        <v>201</v>
      </c>
      <c r="AU179" s="35">
        <v>376</v>
      </c>
      <c r="AV179" s="36">
        <v>96</v>
      </c>
      <c r="AW179" s="35">
        <v>376</v>
      </c>
      <c r="AX179" s="36">
        <v>96</v>
      </c>
      <c r="AY179" s="35">
        <v>376</v>
      </c>
      <c r="AZ179" s="36">
        <v>96</v>
      </c>
      <c r="BB179" s="40">
        <v>0</v>
      </c>
      <c r="BC179" s="65"/>
      <c r="BD179" s="35">
        <v>0</v>
      </c>
      <c r="BE179" s="36">
        <v>0</v>
      </c>
      <c r="BF179" s="37"/>
      <c r="BG179" s="415">
        <v>0</v>
      </c>
      <c r="BH179" s="353">
        <v>0</v>
      </c>
      <c r="BI179" s="415">
        <v>0</v>
      </c>
      <c r="BJ179" s="353">
        <v>0</v>
      </c>
      <c r="BK179" s="415">
        <v>0</v>
      </c>
      <c r="BL179" s="353">
        <v>0</v>
      </c>
      <c r="BM179" s="416"/>
      <c r="BN179" s="415">
        <v>0</v>
      </c>
      <c r="BO179" s="353">
        <v>0</v>
      </c>
      <c r="BP179" s="415">
        <v>0</v>
      </c>
      <c r="BQ179" s="353">
        <v>0</v>
      </c>
      <c r="BR179" s="415">
        <v>0</v>
      </c>
      <c r="BS179" s="353">
        <v>0</v>
      </c>
      <c r="BT179" s="415">
        <v>0</v>
      </c>
      <c r="BU179" s="353">
        <v>0</v>
      </c>
      <c r="BV179" s="415">
        <v>0</v>
      </c>
      <c r="BW179" s="353">
        <v>0</v>
      </c>
      <c r="BY179" s="80"/>
      <c r="BZ179" s="65"/>
      <c r="CA179" s="40" t="s">
        <v>3</v>
      </c>
      <c r="CB179" s="65"/>
      <c r="CC179" s="40">
        <v>-76.404958677685954</v>
      </c>
      <c r="CD179" s="40">
        <v>-148.40495867768595</v>
      </c>
      <c r="CE179" s="40">
        <v>-166.40495867768595</v>
      </c>
      <c r="CF179" s="65"/>
      <c r="CG179" s="40">
        <v>-71.404958677685954</v>
      </c>
      <c r="CH179" s="40">
        <v>-230.40495867768595</v>
      </c>
      <c r="CI179" s="40">
        <v>-335.40495867768595</v>
      </c>
      <c r="CJ179" s="40">
        <v>-335.40495867768595</v>
      </c>
      <c r="CK179" s="40">
        <v>-335.40495867768595</v>
      </c>
    </row>
    <row r="180" spans="1:89" s="2" customFormat="1">
      <c r="A180" s="141"/>
      <c r="B180" s="211" t="s">
        <v>225</v>
      </c>
      <c r="C180" s="435" t="s">
        <v>717</v>
      </c>
      <c r="D180" s="390">
        <v>620</v>
      </c>
      <c r="E180" s="390">
        <v>5.33</v>
      </c>
      <c r="F180" s="390" t="s">
        <v>391</v>
      </c>
      <c r="G180" s="418">
        <v>24</v>
      </c>
      <c r="H180" s="419">
        <v>569.42148760330576</v>
      </c>
      <c r="I180" s="321"/>
      <c r="J180" s="324" t="s">
        <v>3</v>
      </c>
      <c r="K180" s="151" t="s">
        <v>3</v>
      </c>
      <c r="L180" s="152"/>
      <c r="M180" s="150">
        <v>239</v>
      </c>
      <c r="N180" s="323">
        <v>9.8000000000000007</v>
      </c>
      <c r="O180" s="150">
        <v>139</v>
      </c>
      <c r="P180" s="323">
        <v>10.8</v>
      </c>
      <c r="Q180" s="152">
        <v>139</v>
      </c>
      <c r="R180" s="323">
        <v>10</v>
      </c>
      <c r="S180" s="152"/>
      <c r="T180" s="150">
        <v>0</v>
      </c>
      <c r="U180" s="323">
        <v>19.700000000000003</v>
      </c>
      <c r="V180" s="150">
        <v>0</v>
      </c>
      <c r="W180" s="323">
        <v>14.5</v>
      </c>
      <c r="X180" s="150">
        <v>0</v>
      </c>
      <c r="Y180" s="443">
        <v>8</v>
      </c>
      <c r="Z180" s="150">
        <v>0</v>
      </c>
      <c r="AA180" s="323">
        <v>8</v>
      </c>
      <c r="AB180" s="152">
        <v>0</v>
      </c>
      <c r="AC180" s="323">
        <v>8</v>
      </c>
      <c r="AD180" s="152"/>
      <c r="AE180" s="324">
        <v>51</v>
      </c>
      <c r="AF180" s="65"/>
      <c r="AG180" s="150">
        <v>0</v>
      </c>
      <c r="AH180" s="151">
        <v>0</v>
      </c>
      <c r="AI180" s="152"/>
      <c r="AJ180" s="150">
        <v>146</v>
      </c>
      <c r="AK180" s="151">
        <v>235.20000000000002</v>
      </c>
      <c r="AL180" s="150">
        <v>222</v>
      </c>
      <c r="AM180" s="151">
        <v>259.20000000000005</v>
      </c>
      <c r="AN180" s="152">
        <v>241</v>
      </c>
      <c r="AO180" s="151">
        <v>240</v>
      </c>
      <c r="AP180" s="152"/>
      <c r="AQ180" s="150">
        <v>147</v>
      </c>
      <c r="AR180" s="151">
        <v>472.80000000000007</v>
      </c>
      <c r="AS180" s="150">
        <v>272</v>
      </c>
      <c r="AT180" s="151">
        <v>348</v>
      </c>
      <c r="AU180" s="152">
        <v>428</v>
      </c>
      <c r="AV180" s="151">
        <v>192</v>
      </c>
      <c r="AW180" s="152">
        <v>428</v>
      </c>
      <c r="AX180" s="151">
        <v>192</v>
      </c>
      <c r="AY180" s="152">
        <v>428</v>
      </c>
      <c r="AZ180" s="151">
        <v>192</v>
      </c>
      <c r="BA180" s="141"/>
      <c r="BB180" s="324">
        <v>0</v>
      </c>
      <c r="BC180" s="228"/>
      <c r="BD180" s="150">
        <v>0</v>
      </c>
      <c r="BE180" s="151">
        <v>0</v>
      </c>
      <c r="BF180" s="152"/>
      <c r="BG180" s="420">
        <v>0</v>
      </c>
      <c r="BH180" s="387">
        <v>0</v>
      </c>
      <c r="BI180" s="420">
        <v>0</v>
      </c>
      <c r="BJ180" s="387">
        <v>0</v>
      </c>
      <c r="BK180" s="420">
        <v>0</v>
      </c>
      <c r="BL180" s="387">
        <v>0</v>
      </c>
      <c r="BM180" s="421"/>
      <c r="BN180" s="420">
        <v>0</v>
      </c>
      <c r="BO180" s="387">
        <v>0</v>
      </c>
      <c r="BP180" s="420">
        <v>0</v>
      </c>
      <c r="BQ180" s="387">
        <v>0</v>
      </c>
      <c r="BR180" s="420">
        <v>0</v>
      </c>
      <c r="BS180" s="387">
        <v>0</v>
      </c>
      <c r="BT180" s="420">
        <v>0</v>
      </c>
      <c r="BU180" s="387">
        <v>0</v>
      </c>
      <c r="BV180" s="420">
        <v>0</v>
      </c>
      <c r="BW180" s="387">
        <v>0</v>
      </c>
      <c r="BX180" s="141"/>
      <c r="BY180" s="154"/>
      <c r="BZ180" s="228"/>
      <c r="CA180" s="324" t="s">
        <v>3</v>
      </c>
      <c r="CB180" s="228"/>
      <c r="CC180" s="324">
        <v>-95.221487603305718</v>
      </c>
      <c r="CD180" s="324">
        <v>-171.22148760330572</v>
      </c>
      <c r="CE180" s="324">
        <v>-190.42148760330576</v>
      </c>
      <c r="CF180" s="228"/>
      <c r="CG180" s="324">
        <v>-96.621487603305695</v>
      </c>
      <c r="CH180" s="324">
        <v>-221.42148760330576</v>
      </c>
      <c r="CI180" s="324">
        <v>-377.42148760330576</v>
      </c>
      <c r="CJ180" s="324">
        <v>-377.42148760330576</v>
      </c>
      <c r="CK180" s="324">
        <v>-377.42148760330576</v>
      </c>
    </row>
    <row r="181" spans="1:89" s="2" customFormat="1">
      <c r="A181" s="141"/>
      <c r="B181" s="211" t="s">
        <v>225</v>
      </c>
      <c r="C181" s="435" t="s">
        <v>717</v>
      </c>
      <c r="D181" s="390">
        <v>620</v>
      </c>
      <c r="E181" s="390">
        <v>5.33</v>
      </c>
      <c r="F181" s="139" t="s">
        <v>391</v>
      </c>
      <c r="G181" s="324">
        <v>30</v>
      </c>
      <c r="H181" s="422">
        <v>569.42148760330576</v>
      </c>
      <c r="I181" s="321"/>
      <c r="J181" s="324" t="s">
        <v>3</v>
      </c>
      <c r="K181" s="151" t="s">
        <v>3</v>
      </c>
      <c r="L181" s="152"/>
      <c r="M181" s="150">
        <v>239</v>
      </c>
      <c r="N181" s="323">
        <v>7.9</v>
      </c>
      <c r="O181" s="150">
        <v>139</v>
      </c>
      <c r="P181" s="323">
        <v>8.7000000000000011</v>
      </c>
      <c r="Q181" s="152">
        <v>139</v>
      </c>
      <c r="R181" s="323">
        <v>8</v>
      </c>
      <c r="S181" s="152"/>
      <c r="T181" s="150">
        <v>0</v>
      </c>
      <c r="U181" s="323">
        <v>15.8</v>
      </c>
      <c r="V181" s="150">
        <v>0</v>
      </c>
      <c r="W181" s="323">
        <v>11.600000000000001</v>
      </c>
      <c r="X181" s="150">
        <v>0</v>
      </c>
      <c r="Y181" s="443">
        <v>6.4</v>
      </c>
      <c r="Z181" s="150">
        <v>0</v>
      </c>
      <c r="AA181" s="323">
        <v>6.4</v>
      </c>
      <c r="AB181" s="152">
        <v>0</v>
      </c>
      <c r="AC181" s="323">
        <v>6.4</v>
      </c>
      <c r="AD181" s="152"/>
      <c r="AE181" s="324">
        <v>51</v>
      </c>
      <c r="AF181" s="65"/>
      <c r="AG181" s="150">
        <v>0</v>
      </c>
      <c r="AH181" s="151">
        <v>0</v>
      </c>
      <c r="AI181" s="152"/>
      <c r="AJ181" s="150">
        <v>144</v>
      </c>
      <c r="AK181" s="151">
        <v>237</v>
      </c>
      <c r="AL181" s="150">
        <v>220</v>
      </c>
      <c r="AM181" s="151">
        <v>261.00000000000006</v>
      </c>
      <c r="AN181" s="150">
        <v>241</v>
      </c>
      <c r="AO181" s="151">
        <v>240</v>
      </c>
      <c r="AP181" s="152"/>
      <c r="AQ181" s="150">
        <v>146</v>
      </c>
      <c r="AR181" s="151">
        <v>474</v>
      </c>
      <c r="AS181" s="150">
        <v>272</v>
      </c>
      <c r="AT181" s="151">
        <v>348.00000000000006</v>
      </c>
      <c r="AU181" s="150">
        <v>428</v>
      </c>
      <c r="AV181" s="151">
        <v>192</v>
      </c>
      <c r="AW181" s="150">
        <v>428</v>
      </c>
      <c r="AX181" s="151">
        <v>192</v>
      </c>
      <c r="AY181" s="150">
        <v>428</v>
      </c>
      <c r="AZ181" s="151">
        <v>192</v>
      </c>
      <c r="BA181" s="141"/>
      <c r="BB181" s="324">
        <v>0</v>
      </c>
      <c r="BC181" s="228"/>
      <c r="BD181" s="150">
        <v>0</v>
      </c>
      <c r="BE181" s="151">
        <v>0</v>
      </c>
      <c r="BF181" s="152"/>
      <c r="BG181" s="420">
        <v>0</v>
      </c>
      <c r="BH181" s="387">
        <v>0</v>
      </c>
      <c r="BI181" s="420">
        <v>0</v>
      </c>
      <c r="BJ181" s="387">
        <v>0</v>
      </c>
      <c r="BK181" s="420">
        <v>0</v>
      </c>
      <c r="BL181" s="387">
        <v>0</v>
      </c>
      <c r="BM181" s="421"/>
      <c r="BN181" s="420">
        <v>0</v>
      </c>
      <c r="BO181" s="387">
        <v>0</v>
      </c>
      <c r="BP181" s="420">
        <v>0</v>
      </c>
      <c r="BQ181" s="387">
        <v>0</v>
      </c>
      <c r="BR181" s="420">
        <v>0</v>
      </c>
      <c r="BS181" s="387">
        <v>0</v>
      </c>
      <c r="BT181" s="420">
        <v>0</v>
      </c>
      <c r="BU181" s="387">
        <v>0</v>
      </c>
      <c r="BV181" s="420">
        <v>0</v>
      </c>
      <c r="BW181" s="387">
        <v>0</v>
      </c>
      <c r="BX181" s="141"/>
      <c r="BY181" s="154"/>
      <c r="BZ181" s="228"/>
      <c r="CA181" s="324" t="s">
        <v>3</v>
      </c>
      <c r="CB181" s="228"/>
      <c r="CC181" s="324">
        <v>-93.421487603305764</v>
      </c>
      <c r="CD181" s="324">
        <v>-169.42148760330571</v>
      </c>
      <c r="CE181" s="324">
        <v>-190.42148760330576</v>
      </c>
      <c r="CF181" s="228"/>
      <c r="CG181" s="324">
        <v>-95.421487603305764</v>
      </c>
      <c r="CH181" s="324">
        <v>-221.42148760330571</v>
      </c>
      <c r="CI181" s="324">
        <v>-377.42148760330576</v>
      </c>
      <c r="CJ181" s="324">
        <v>-377.42148760330576</v>
      </c>
      <c r="CK181" s="324">
        <v>-377.42148760330576</v>
      </c>
    </row>
    <row r="182" spans="1:89" s="2" customFormat="1">
      <c r="A182" s="196"/>
      <c r="B182" s="211" t="s">
        <v>225</v>
      </c>
      <c r="C182" s="211" t="s">
        <v>533</v>
      </c>
      <c r="D182" s="41">
        <v>638</v>
      </c>
      <c r="E182" s="41">
        <v>5.33</v>
      </c>
      <c r="F182" s="41" t="s">
        <v>391</v>
      </c>
      <c r="G182" s="413">
        <v>24</v>
      </c>
      <c r="H182" s="414">
        <v>619.83471074380168</v>
      </c>
      <c r="I182" s="321"/>
      <c r="J182" s="40" t="s">
        <v>3</v>
      </c>
      <c r="K182" s="36" t="s">
        <v>3</v>
      </c>
      <c r="L182" s="37"/>
      <c r="M182" s="35">
        <v>269</v>
      </c>
      <c r="N182" s="136">
        <v>10.8</v>
      </c>
      <c r="O182" s="35">
        <v>159</v>
      </c>
      <c r="P182" s="136">
        <v>12.200000000000001</v>
      </c>
      <c r="Q182" s="37">
        <v>159</v>
      </c>
      <c r="R182" s="136">
        <v>11.4</v>
      </c>
      <c r="S182" s="37"/>
      <c r="T182" s="35">
        <v>0</v>
      </c>
      <c r="U182" s="136">
        <v>21.700000000000003</v>
      </c>
      <c r="V182" s="35">
        <v>0</v>
      </c>
      <c r="W182" s="136">
        <v>16.600000000000001</v>
      </c>
      <c r="X182" s="35">
        <v>0</v>
      </c>
      <c r="Y182" s="149">
        <v>16.600000000000001</v>
      </c>
      <c r="Z182" s="35">
        <v>0</v>
      </c>
      <c r="AA182" s="136">
        <v>8</v>
      </c>
      <c r="AB182" s="37">
        <v>0</v>
      </c>
      <c r="AC182" s="136">
        <v>8</v>
      </c>
      <c r="AD182" s="37"/>
      <c r="AE182" s="40">
        <v>18</v>
      </c>
      <c r="AF182" s="65"/>
      <c r="AG182" s="35">
        <v>0</v>
      </c>
      <c r="AH182" s="36">
        <v>0</v>
      </c>
      <c r="AI182" s="37"/>
      <c r="AJ182" s="35">
        <v>110</v>
      </c>
      <c r="AK182" s="36">
        <v>259.20000000000005</v>
      </c>
      <c r="AL182" s="35">
        <v>186</v>
      </c>
      <c r="AM182" s="36">
        <v>292.8</v>
      </c>
      <c r="AN182" s="37">
        <v>205</v>
      </c>
      <c r="AO182" s="36">
        <v>273.60000000000002</v>
      </c>
      <c r="AP182" s="37"/>
      <c r="AQ182" s="35">
        <v>117</v>
      </c>
      <c r="AR182" s="36">
        <v>520.80000000000007</v>
      </c>
      <c r="AS182" s="35">
        <v>240</v>
      </c>
      <c r="AT182" s="36">
        <v>398.40000000000003</v>
      </c>
      <c r="AU182" s="37">
        <v>240</v>
      </c>
      <c r="AV182" s="36">
        <v>398.40000000000003</v>
      </c>
      <c r="AW182" s="37">
        <v>446</v>
      </c>
      <c r="AX182" s="36">
        <v>192</v>
      </c>
      <c r="AY182" s="37">
        <v>446</v>
      </c>
      <c r="AZ182" s="36">
        <v>192</v>
      </c>
      <c r="BB182" s="40">
        <v>0</v>
      </c>
      <c r="BC182" s="65"/>
      <c r="BD182" s="35">
        <v>0</v>
      </c>
      <c r="BE182" s="36">
        <v>0</v>
      </c>
      <c r="BF182" s="37"/>
      <c r="BG182" s="415">
        <v>110</v>
      </c>
      <c r="BH182" s="353">
        <v>-2.5</v>
      </c>
      <c r="BI182" s="415">
        <v>0</v>
      </c>
      <c r="BJ182" s="353">
        <v>0</v>
      </c>
      <c r="BK182" s="415">
        <v>0</v>
      </c>
      <c r="BL182" s="353">
        <v>0</v>
      </c>
      <c r="BM182" s="416"/>
      <c r="BN182" s="415">
        <v>0</v>
      </c>
      <c r="BO182" s="353">
        <v>0</v>
      </c>
      <c r="BP182" s="415">
        <v>0</v>
      </c>
      <c r="BQ182" s="353">
        <v>0</v>
      </c>
      <c r="BR182" s="415">
        <v>0</v>
      </c>
      <c r="BS182" s="353">
        <v>0</v>
      </c>
      <c r="BT182" s="415">
        <v>0</v>
      </c>
      <c r="BU182" s="353">
        <v>0</v>
      </c>
      <c r="BV182" s="415">
        <v>0</v>
      </c>
      <c r="BW182" s="353">
        <v>0</v>
      </c>
      <c r="BY182" s="80"/>
      <c r="BZ182" s="65"/>
      <c r="CA182" s="40" t="s">
        <v>3</v>
      </c>
      <c r="CB182" s="65"/>
      <c r="CC182" s="40">
        <v>-91.634710743801634</v>
      </c>
      <c r="CD182" s="40">
        <v>-168.03471074380167</v>
      </c>
      <c r="CE182" s="40">
        <v>-187.23471074380166</v>
      </c>
      <c r="CF182" s="65"/>
      <c r="CG182" s="40">
        <v>-99.034710743801611</v>
      </c>
      <c r="CH182" s="40">
        <v>-221.43471074380165</v>
      </c>
      <c r="CI182" s="40">
        <v>-221.43471074380165</v>
      </c>
      <c r="CJ182" s="40">
        <v>-427.83471074380168</v>
      </c>
      <c r="CK182" s="40">
        <v>-427.83471074380168</v>
      </c>
    </row>
    <row r="183" spans="1:89" s="2" customFormat="1">
      <c r="A183" s="196"/>
      <c r="B183" s="211" t="s">
        <v>225</v>
      </c>
      <c r="C183" s="211" t="s">
        <v>533</v>
      </c>
      <c r="D183" s="41">
        <v>638</v>
      </c>
      <c r="E183" s="41">
        <v>5.33</v>
      </c>
      <c r="F183" s="22" t="s">
        <v>391</v>
      </c>
      <c r="G183" s="40">
        <v>30</v>
      </c>
      <c r="H183" s="388">
        <v>619.83471074380168</v>
      </c>
      <c r="I183" s="321"/>
      <c r="J183" s="40" t="s">
        <v>3</v>
      </c>
      <c r="K183" s="36" t="s">
        <v>3</v>
      </c>
      <c r="L183" s="37"/>
      <c r="M183" s="35">
        <v>269</v>
      </c>
      <c r="N183" s="136">
        <v>8.7000000000000011</v>
      </c>
      <c r="O183" s="35">
        <v>159</v>
      </c>
      <c r="P183" s="136">
        <v>9.8000000000000007</v>
      </c>
      <c r="Q183" s="37">
        <v>159</v>
      </c>
      <c r="R183" s="136">
        <v>9.2000000000000011</v>
      </c>
      <c r="S183" s="37"/>
      <c r="T183" s="35">
        <v>0</v>
      </c>
      <c r="U183" s="136">
        <v>17.400000000000002</v>
      </c>
      <c r="V183" s="35">
        <v>0</v>
      </c>
      <c r="W183" s="136">
        <v>13.3</v>
      </c>
      <c r="X183" s="35">
        <v>0</v>
      </c>
      <c r="Y183" s="149">
        <v>13.3</v>
      </c>
      <c r="Z183" s="35">
        <v>0</v>
      </c>
      <c r="AA183" s="136">
        <v>6.4</v>
      </c>
      <c r="AB183" s="37">
        <v>0</v>
      </c>
      <c r="AC183" s="136">
        <v>6.4</v>
      </c>
      <c r="AD183" s="37"/>
      <c r="AE183" s="40">
        <v>18</v>
      </c>
      <c r="AF183" s="65"/>
      <c r="AG183" s="35">
        <v>0</v>
      </c>
      <c r="AH183" s="36">
        <v>0</v>
      </c>
      <c r="AI183" s="37"/>
      <c r="AJ183" s="35">
        <v>108</v>
      </c>
      <c r="AK183" s="36">
        <v>261.00000000000006</v>
      </c>
      <c r="AL183" s="35">
        <v>185</v>
      </c>
      <c r="AM183" s="36">
        <v>294</v>
      </c>
      <c r="AN183" s="35">
        <v>203</v>
      </c>
      <c r="AO183" s="36">
        <v>276.00000000000006</v>
      </c>
      <c r="AP183" s="37"/>
      <c r="AQ183" s="35">
        <v>116</v>
      </c>
      <c r="AR183" s="36">
        <v>522.00000000000011</v>
      </c>
      <c r="AS183" s="35">
        <v>239</v>
      </c>
      <c r="AT183" s="36">
        <v>399</v>
      </c>
      <c r="AU183" s="35">
        <v>239</v>
      </c>
      <c r="AV183" s="36">
        <v>399</v>
      </c>
      <c r="AW183" s="35">
        <v>446</v>
      </c>
      <c r="AX183" s="36">
        <v>192</v>
      </c>
      <c r="AY183" s="35">
        <v>446</v>
      </c>
      <c r="AZ183" s="36">
        <v>192</v>
      </c>
      <c r="BB183" s="40">
        <v>0</v>
      </c>
      <c r="BC183" s="65"/>
      <c r="BD183" s="35">
        <v>0</v>
      </c>
      <c r="BE183" s="36">
        <v>0</v>
      </c>
      <c r="BF183" s="37"/>
      <c r="BG183" s="415">
        <v>110</v>
      </c>
      <c r="BH183" s="353">
        <v>-2</v>
      </c>
      <c r="BI183" s="415">
        <v>0</v>
      </c>
      <c r="BJ183" s="353">
        <v>0</v>
      </c>
      <c r="BK183" s="415">
        <v>0</v>
      </c>
      <c r="BL183" s="353">
        <v>0</v>
      </c>
      <c r="BM183" s="416"/>
      <c r="BN183" s="415">
        <v>0</v>
      </c>
      <c r="BO183" s="353">
        <v>0</v>
      </c>
      <c r="BP183" s="415">
        <v>0</v>
      </c>
      <c r="BQ183" s="353">
        <v>0</v>
      </c>
      <c r="BR183" s="415">
        <v>0</v>
      </c>
      <c r="BS183" s="353">
        <v>0</v>
      </c>
      <c r="BT183" s="415">
        <v>0</v>
      </c>
      <c r="BU183" s="353">
        <v>0</v>
      </c>
      <c r="BV183" s="415">
        <v>0</v>
      </c>
      <c r="BW183" s="353">
        <v>0</v>
      </c>
      <c r="BY183" s="80"/>
      <c r="BZ183" s="65"/>
      <c r="CA183" s="40" t="s">
        <v>3</v>
      </c>
      <c r="CB183" s="65"/>
      <c r="CC183" s="40">
        <v>-89.834710743801679</v>
      </c>
      <c r="CD183" s="40">
        <v>-166.83471074380168</v>
      </c>
      <c r="CE183" s="40">
        <v>-184.83471074380162</v>
      </c>
      <c r="CF183" s="65"/>
      <c r="CG183" s="40">
        <v>-97.834710743801566</v>
      </c>
      <c r="CH183" s="40">
        <v>-220.83471074380168</v>
      </c>
      <c r="CI183" s="40">
        <v>-220.83471074380168</v>
      </c>
      <c r="CJ183" s="40">
        <v>-427.83471074380168</v>
      </c>
      <c r="CK183" s="40">
        <v>-427.83471074380168</v>
      </c>
    </row>
    <row r="184" spans="1:89" s="2" customFormat="1">
      <c r="A184" s="196"/>
      <c r="B184" s="211" t="s">
        <v>225</v>
      </c>
      <c r="C184" s="211" t="s">
        <v>718</v>
      </c>
      <c r="D184" s="41">
        <v>915</v>
      </c>
      <c r="E184" s="41">
        <v>5.33</v>
      </c>
      <c r="F184" s="41" t="s">
        <v>391</v>
      </c>
      <c r="G184" s="413">
        <v>24</v>
      </c>
      <c r="H184" s="414">
        <v>850.41322314049592</v>
      </c>
      <c r="I184" s="321"/>
      <c r="J184" s="40" t="s">
        <v>3</v>
      </c>
      <c r="K184" s="36" t="s">
        <v>3</v>
      </c>
      <c r="L184" s="37"/>
      <c r="M184" s="35">
        <v>359</v>
      </c>
      <c r="N184" s="136">
        <v>14.9</v>
      </c>
      <c r="O184" s="35">
        <v>219</v>
      </c>
      <c r="P184" s="136">
        <v>17.600000000000001</v>
      </c>
      <c r="Q184" s="37">
        <v>219</v>
      </c>
      <c r="R184" s="136">
        <v>17</v>
      </c>
      <c r="S184" s="37"/>
      <c r="T184" s="35">
        <v>0</v>
      </c>
      <c r="U184" s="136">
        <v>29.8</v>
      </c>
      <c r="V184" s="35">
        <v>0</v>
      </c>
      <c r="W184" s="136">
        <v>24.8</v>
      </c>
      <c r="X184" s="35">
        <v>0</v>
      </c>
      <c r="Y184" s="149">
        <v>24.8</v>
      </c>
      <c r="Z184" s="35">
        <v>0</v>
      </c>
      <c r="AA184" s="136">
        <v>24.5</v>
      </c>
      <c r="AB184" s="37">
        <v>0</v>
      </c>
      <c r="AC184" s="136">
        <v>24.5</v>
      </c>
      <c r="AD184" s="37"/>
      <c r="AE184" s="40">
        <v>65</v>
      </c>
      <c r="AF184" s="65"/>
      <c r="AG184" s="35">
        <v>0</v>
      </c>
      <c r="AH184" s="36">
        <v>0</v>
      </c>
      <c r="AI184" s="37"/>
      <c r="AJ184" s="35">
        <v>198</v>
      </c>
      <c r="AK184" s="36">
        <v>357.6</v>
      </c>
      <c r="AL184" s="35">
        <v>274</v>
      </c>
      <c r="AM184" s="36">
        <v>422.40000000000003</v>
      </c>
      <c r="AN184" s="37">
        <v>288</v>
      </c>
      <c r="AO184" s="36">
        <v>408</v>
      </c>
      <c r="AP184" s="37"/>
      <c r="AQ184" s="35">
        <v>200</v>
      </c>
      <c r="AR184" s="36">
        <v>715.2</v>
      </c>
      <c r="AS184" s="35">
        <v>320</v>
      </c>
      <c r="AT184" s="36">
        <v>595.20000000000005</v>
      </c>
      <c r="AU184" s="37">
        <v>320</v>
      </c>
      <c r="AV184" s="36">
        <v>595.20000000000005</v>
      </c>
      <c r="AW184" s="37">
        <v>327</v>
      </c>
      <c r="AX184" s="36">
        <v>588</v>
      </c>
      <c r="AY184" s="37">
        <v>327</v>
      </c>
      <c r="AZ184" s="36">
        <v>588</v>
      </c>
      <c r="BB184" s="40">
        <v>0</v>
      </c>
      <c r="BC184" s="65"/>
      <c r="BD184" s="35">
        <v>0</v>
      </c>
      <c r="BE184" s="36">
        <v>0</v>
      </c>
      <c r="BF184" s="37"/>
      <c r="BG184" s="415">
        <v>140</v>
      </c>
      <c r="BH184" s="353">
        <v>-3.7000000000000011</v>
      </c>
      <c r="BI184" s="415">
        <v>0</v>
      </c>
      <c r="BJ184" s="353">
        <v>0</v>
      </c>
      <c r="BK184" s="415">
        <v>0</v>
      </c>
      <c r="BL184" s="353">
        <v>0</v>
      </c>
      <c r="BM184" s="416"/>
      <c r="BN184" s="415">
        <v>0</v>
      </c>
      <c r="BO184" s="353">
        <v>0</v>
      </c>
      <c r="BP184" s="415">
        <v>0</v>
      </c>
      <c r="BQ184" s="353">
        <v>0</v>
      </c>
      <c r="BR184" s="415">
        <v>0</v>
      </c>
      <c r="BS184" s="353">
        <v>0</v>
      </c>
      <c r="BT184" s="415">
        <v>0</v>
      </c>
      <c r="BU184" s="353">
        <v>0</v>
      </c>
      <c r="BV184" s="415">
        <v>0</v>
      </c>
      <c r="BW184" s="353">
        <v>0</v>
      </c>
      <c r="BY184" s="80"/>
      <c r="BZ184" s="65"/>
      <c r="CA184" s="40" t="s">
        <v>3</v>
      </c>
      <c r="CB184" s="65"/>
      <c r="CC184" s="40">
        <v>-133.81322314049589</v>
      </c>
      <c r="CD184" s="40">
        <v>-209.01322314049582</v>
      </c>
      <c r="CE184" s="40">
        <v>-223.41322314049592</v>
      </c>
      <c r="CF184" s="65"/>
      <c r="CG184" s="40">
        <v>-135.21322314049587</v>
      </c>
      <c r="CH184" s="40">
        <v>-255.21322314049587</v>
      </c>
      <c r="CI184" s="40">
        <v>-255.21322314049587</v>
      </c>
      <c r="CJ184" s="40">
        <v>-262.41322314049592</v>
      </c>
      <c r="CK184" s="40">
        <v>-262.41322314049592</v>
      </c>
    </row>
    <row r="185" spans="1:89" s="2" customFormat="1">
      <c r="A185" s="196" t="s">
        <v>1014</v>
      </c>
      <c r="B185" s="211" t="s">
        <v>225</v>
      </c>
      <c r="C185" s="211" t="s">
        <v>718</v>
      </c>
      <c r="D185" s="41">
        <v>915</v>
      </c>
      <c r="E185" s="41">
        <v>5.33</v>
      </c>
      <c r="F185" s="22" t="s">
        <v>391</v>
      </c>
      <c r="G185" s="40">
        <v>30</v>
      </c>
      <c r="H185" s="388">
        <v>850.41322314049592</v>
      </c>
      <c r="I185" s="321"/>
      <c r="J185" s="40" t="s">
        <v>3</v>
      </c>
      <c r="K185" s="36" t="s">
        <v>3</v>
      </c>
      <c r="L185" s="37"/>
      <c r="M185" s="35">
        <v>359</v>
      </c>
      <c r="N185" s="136">
        <v>12</v>
      </c>
      <c r="O185" s="35">
        <v>219</v>
      </c>
      <c r="P185" s="136">
        <v>14.100000000000001</v>
      </c>
      <c r="Q185" s="37">
        <v>219</v>
      </c>
      <c r="R185" s="136">
        <v>13.600000000000001</v>
      </c>
      <c r="S185" s="37"/>
      <c r="T185" s="35">
        <v>0</v>
      </c>
      <c r="U185" s="136">
        <v>23.900000000000002</v>
      </c>
      <c r="V185" s="35">
        <v>0</v>
      </c>
      <c r="W185" s="136">
        <v>19.900000000000002</v>
      </c>
      <c r="X185" s="35">
        <v>0</v>
      </c>
      <c r="Y185" s="149">
        <v>19.900000000000002</v>
      </c>
      <c r="Z185" s="35">
        <v>0</v>
      </c>
      <c r="AA185" s="136">
        <v>19.600000000000001</v>
      </c>
      <c r="AB185" s="37">
        <v>0</v>
      </c>
      <c r="AC185" s="136">
        <v>19.600000000000001</v>
      </c>
      <c r="AD185" s="37"/>
      <c r="AE185" s="40">
        <v>65</v>
      </c>
      <c r="AF185" s="65"/>
      <c r="AG185" s="35">
        <v>0</v>
      </c>
      <c r="AH185" s="36">
        <v>0</v>
      </c>
      <c r="AI185" s="37"/>
      <c r="AJ185" s="35">
        <v>196</v>
      </c>
      <c r="AK185" s="36">
        <v>360</v>
      </c>
      <c r="AL185" s="35">
        <v>273</v>
      </c>
      <c r="AM185" s="36">
        <v>423.00000000000006</v>
      </c>
      <c r="AN185" s="35">
        <v>288</v>
      </c>
      <c r="AO185" s="36">
        <v>408.00000000000006</v>
      </c>
      <c r="AP185" s="37"/>
      <c r="AQ185" s="35">
        <v>198</v>
      </c>
      <c r="AR185" s="36">
        <v>717.00000000000011</v>
      </c>
      <c r="AS185" s="35">
        <v>318</v>
      </c>
      <c r="AT185" s="36">
        <v>597.00000000000011</v>
      </c>
      <c r="AU185" s="35">
        <v>318</v>
      </c>
      <c r="AV185" s="36">
        <v>597.00000000000011</v>
      </c>
      <c r="AW185" s="35">
        <v>327</v>
      </c>
      <c r="AX185" s="36">
        <v>588</v>
      </c>
      <c r="AY185" s="35">
        <v>327</v>
      </c>
      <c r="AZ185" s="36">
        <v>588</v>
      </c>
      <c r="BB185" s="40">
        <v>0</v>
      </c>
      <c r="BC185" s="65"/>
      <c r="BD185" s="35">
        <v>0</v>
      </c>
      <c r="BE185" s="36">
        <v>0</v>
      </c>
      <c r="BF185" s="37"/>
      <c r="BG185" s="415">
        <v>140</v>
      </c>
      <c r="BH185" s="353">
        <v>-2.9000000000000004</v>
      </c>
      <c r="BI185" s="415">
        <v>0</v>
      </c>
      <c r="BJ185" s="353">
        <v>0</v>
      </c>
      <c r="BK185" s="415">
        <v>0</v>
      </c>
      <c r="BL185" s="353">
        <v>0</v>
      </c>
      <c r="BM185" s="416"/>
      <c r="BN185" s="415">
        <v>0</v>
      </c>
      <c r="BO185" s="353">
        <v>0</v>
      </c>
      <c r="BP185" s="415">
        <v>0</v>
      </c>
      <c r="BQ185" s="353">
        <v>0</v>
      </c>
      <c r="BR185" s="415">
        <v>0</v>
      </c>
      <c r="BS185" s="353">
        <v>0</v>
      </c>
      <c r="BT185" s="415">
        <v>0</v>
      </c>
      <c r="BU185" s="353">
        <v>0</v>
      </c>
      <c r="BV185" s="415">
        <v>0</v>
      </c>
      <c r="BW185" s="353">
        <v>0</v>
      </c>
      <c r="BY185" s="80"/>
      <c r="BZ185" s="65"/>
      <c r="CA185" s="40" t="s">
        <v>3</v>
      </c>
      <c r="CB185" s="65"/>
      <c r="CC185" s="40">
        <v>-131.41322314049592</v>
      </c>
      <c r="CD185" s="40">
        <v>-208.41322314049592</v>
      </c>
      <c r="CE185" s="40">
        <v>-223.41322314049592</v>
      </c>
      <c r="CF185" s="65"/>
      <c r="CG185" s="40">
        <v>-133.4132231404958</v>
      </c>
      <c r="CH185" s="40">
        <v>-253.4132231404958</v>
      </c>
      <c r="CI185" s="40">
        <v>-253.4132231404958</v>
      </c>
      <c r="CJ185" s="40">
        <v>-262.41322314049592</v>
      </c>
      <c r="CK185" s="40">
        <v>-262.41322314049592</v>
      </c>
    </row>
    <row r="186" spans="1:89" s="2" customFormat="1">
      <c r="A186" s="196" t="s">
        <v>1015</v>
      </c>
      <c r="B186" s="211" t="s">
        <v>225</v>
      </c>
      <c r="C186" s="211" t="s">
        <v>563</v>
      </c>
      <c r="D186" s="41">
        <v>948</v>
      </c>
      <c r="E186" s="41">
        <v>5.33</v>
      </c>
      <c r="F186" s="41" t="s">
        <v>391</v>
      </c>
      <c r="G186" s="413">
        <v>24</v>
      </c>
      <c r="H186" s="414">
        <v>949.5867768595042</v>
      </c>
      <c r="I186" s="321"/>
      <c r="J186" s="40" t="s">
        <v>3</v>
      </c>
      <c r="K186" s="36" t="s">
        <v>3</v>
      </c>
      <c r="L186" s="37"/>
      <c r="M186" s="35">
        <v>399</v>
      </c>
      <c r="N186" s="136">
        <v>16.600000000000001</v>
      </c>
      <c r="O186" s="35">
        <v>239</v>
      </c>
      <c r="P186" s="136">
        <v>20.3</v>
      </c>
      <c r="Q186" s="37">
        <v>239</v>
      </c>
      <c r="R186" s="136">
        <v>19.5</v>
      </c>
      <c r="S186" s="37"/>
      <c r="T186" s="35">
        <v>0</v>
      </c>
      <c r="U186" s="136">
        <v>33.5</v>
      </c>
      <c r="V186" s="35">
        <v>0</v>
      </c>
      <c r="W186" s="136">
        <v>27.900000000000002</v>
      </c>
      <c r="X186" s="35">
        <v>0</v>
      </c>
      <c r="Y186" s="149">
        <v>27.900000000000002</v>
      </c>
      <c r="Z186" s="35">
        <v>0</v>
      </c>
      <c r="AA186" s="136">
        <v>26.5</v>
      </c>
      <c r="AB186" s="37">
        <v>0</v>
      </c>
      <c r="AC186" s="136">
        <v>26.5</v>
      </c>
      <c r="AD186" s="37"/>
      <c r="AE186" s="40">
        <v>-2</v>
      </c>
      <c r="AF186" s="65"/>
      <c r="AG186" s="35">
        <v>0</v>
      </c>
      <c r="AH186" s="36">
        <v>0</v>
      </c>
      <c r="AI186" s="37"/>
      <c r="AJ186" s="35">
        <v>151</v>
      </c>
      <c r="AK186" s="36">
        <v>398.40000000000003</v>
      </c>
      <c r="AL186" s="35">
        <v>222</v>
      </c>
      <c r="AM186" s="36">
        <v>487.20000000000005</v>
      </c>
      <c r="AN186" s="37">
        <v>241</v>
      </c>
      <c r="AO186" s="36">
        <v>468</v>
      </c>
      <c r="AP186" s="37"/>
      <c r="AQ186" s="35">
        <v>144</v>
      </c>
      <c r="AR186" s="36">
        <v>804</v>
      </c>
      <c r="AS186" s="35">
        <v>278</v>
      </c>
      <c r="AT186" s="36">
        <v>669.6</v>
      </c>
      <c r="AU186" s="37">
        <v>278</v>
      </c>
      <c r="AV186" s="36">
        <v>669.6</v>
      </c>
      <c r="AW186" s="37">
        <v>312</v>
      </c>
      <c r="AX186" s="36">
        <v>636</v>
      </c>
      <c r="AY186" s="37">
        <v>312</v>
      </c>
      <c r="AZ186" s="36">
        <v>636</v>
      </c>
      <c r="BB186" s="40">
        <v>0</v>
      </c>
      <c r="BC186" s="65"/>
      <c r="BD186" s="35">
        <v>0</v>
      </c>
      <c r="BE186" s="36">
        <v>0</v>
      </c>
      <c r="BF186" s="37"/>
      <c r="BG186" s="415">
        <v>160</v>
      </c>
      <c r="BH186" s="353">
        <v>-3.8999999999999986</v>
      </c>
      <c r="BI186" s="415">
        <v>0</v>
      </c>
      <c r="BJ186" s="353">
        <v>0.80000000000000071</v>
      </c>
      <c r="BK186" s="415">
        <v>0</v>
      </c>
      <c r="BL186" s="353">
        <v>1.0999999999999979</v>
      </c>
      <c r="BM186" s="416"/>
      <c r="BN186" s="415">
        <v>0</v>
      </c>
      <c r="BO186" s="353">
        <v>1.3999999999999986</v>
      </c>
      <c r="BP186" s="415">
        <v>0</v>
      </c>
      <c r="BQ186" s="353">
        <v>1</v>
      </c>
      <c r="BR186" s="415">
        <v>0</v>
      </c>
      <c r="BS186" s="353">
        <v>1</v>
      </c>
      <c r="BT186" s="415">
        <v>0</v>
      </c>
      <c r="BU186" s="353">
        <v>0</v>
      </c>
      <c r="BV186" s="415">
        <v>0</v>
      </c>
      <c r="BW186" s="353">
        <v>0</v>
      </c>
      <c r="BY186" s="80"/>
      <c r="BZ186" s="65"/>
      <c r="CA186" s="40" t="s">
        <v>3</v>
      </c>
      <c r="CB186" s="65"/>
      <c r="CC186" s="40">
        <v>-152.18677685950411</v>
      </c>
      <c r="CD186" s="40">
        <v>-223.38677685950415</v>
      </c>
      <c r="CE186" s="40">
        <v>-242.5867768595042</v>
      </c>
      <c r="CF186" s="65"/>
      <c r="CG186" s="40">
        <v>-145.5867768595042</v>
      </c>
      <c r="CH186" s="40">
        <v>-279.98677685950418</v>
      </c>
      <c r="CI186" s="40">
        <v>-279.98677685950418</v>
      </c>
      <c r="CJ186" s="40">
        <v>-313.5867768595042</v>
      </c>
      <c r="CK186" s="40">
        <v>-313.5867768595042</v>
      </c>
    </row>
    <row r="187" spans="1:89" s="2" customFormat="1">
      <c r="A187" s="196" t="s">
        <v>1016</v>
      </c>
      <c r="B187" s="211" t="s">
        <v>225</v>
      </c>
      <c r="C187" s="211" t="s">
        <v>563</v>
      </c>
      <c r="D187" s="41">
        <v>948</v>
      </c>
      <c r="E187" s="41">
        <v>5.33</v>
      </c>
      <c r="F187" s="22" t="s">
        <v>391</v>
      </c>
      <c r="G187" s="40">
        <v>30</v>
      </c>
      <c r="H187" s="388">
        <v>949.5867768595042</v>
      </c>
      <c r="I187" s="321"/>
      <c r="J187" s="40" t="s">
        <v>3</v>
      </c>
      <c r="K187" s="36" t="s">
        <v>3</v>
      </c>
      <c r="L187" s="37"/>
      <c r="M187" s="35">
        <v>399</v>
      </c>
      <c r="N187" s="136">
        <v>13.3</v>
      </c>
      <c r="O187" s="35">
        <v>239</v>
      </c>
      <c r="P187" s="136">
        <v>16.3</v>
      </c>
      <c r="Q187" s="37">
        <v>239</v>
      </c>
      <c r="R187" s="136">
        <v>15.600000000000001</v>
      </c>
      <c r="S187" s="37"/>
      <c r="T187" s="35">
        <v>0</v>
      </c>
      <c r="U187" s="136">
        <v>26.8</v>
      </c>
      <c r="V187" s="35">
        <v>0</v>
      </c>
      <c r="W187" s="136">
        <v>22.400000000000002</v>
      </c>
      <c r="X187" s="35">
        <v>0</v>
      </c>
      <c r="Y187" s="149">
        <v>22.400000000000002</v>
      </c>
      <c r="Z187" s="35">
        <v>0</v>
      </c>
      <c r="AA187" s="136">
        <v>21.200000000000003</v>
      </c>
      <c r="AB187" s="37">
        <v>0</v>
      </c>
      <c r="AC187" s="136">
        <v>21.200000000000003</v>
      </c>
      <c r="AD187" s="37"/>
      <c r="AE187" s="40">
        <v>-2</v>
      </c>
      <c r="AF187" s="65"/>
      <c r="AG187" s="35">
        <v>0</v>
      </c>
      <c r="AH187" s="36">
        <v>0</v>
      </c>
      <c r="AI187" s="37"/>
      <c r="AJ187" s="35">
        <v>150</v>
      </c>
      <c r="AK187" s="36">
        <v>399</v>
      </c>
      <c r="AL187" s="35">
        <v>220</v>
      </c>
      <c r="AM187" s="36">
        <v>489</v>
      </c>
      <c r="AN187" s="35">
        <v>241</v>
      </c>
      <c r="AO187" s="36">
        <v>468.00000000000006</v>
      </c>
      <c r="AP187" s="37"/>
      <c r="AQ187" s="35">
        <v>144</v>
      </c>
      <c r="AR187" s="36">
        <v>804</v>
      </c>
      <c r="AS187" s="35">
        <v>276</v>
      </c>
      <c r="AT187" s="36">
        <v>672.00000000000011</v>
      </c>
      <c r="AU187" s="35">
        <v>276</v>
      </c>
      <c r="AV187" s="36">
        <v>672.00000000000011</v>
      </c>
      <c r="AW187" s="35">
        <v>312</v>
      </c>
      <c r="AX187" s="36">
        <v>636.00000000000011</v>
      </c>
      <c r="AY187" s="35">
        <v>312</v>
      </c>
      <c r="AZ187" s="36">
        <v>636.00000000000011</v>
      </c>
      <c r="BB187" s="40">
        <v>0</v>
      </c>
      <c r="BC187" s="65"/>
      <c r="BD187" s="35">
        <v>0</v>
      </c>
      <c r="BE187" s="36">
        <v>0</v>
      </c>
      <c r="BF187" s="37"/>
      <c r="BG187" s="415">
        <v>160</v>
      </c>
      <c r="BH187" s="353">
        <v>-3.1000000000000014</v>
      </c>
      <c r="BI187" s="415">
        <v>0</v>
      </c>
      <c r="BJ187" s="353">
        <v>0.69999999999999929</v>
      </c>
      <c r="BK187" s="415">
        <v>0</v>
      </c>
      <c r="BL187" s="353">
        <v>0.80000000000000071</v>
      </c>
      <c r="BM187" s="416"/>
      <c r="BN187" s="415">
        <v>0</v>
      </c>
      <c r="BO187" s="353">
        <v>1.0999999999999979</v>
      </c>
      <c r="BP187" s="415">
        <v>0</v>
      </c>
      <c r="BQ187" s="353">
        <v>0.80000000000000071</v>
      </c>
      <c r="BR187" s="415">
        <v>0</v>
      </c>
      <c r="BS187" s="353">
        <v>0.80000000000000071</v>
      </c>
      <c r="BT187" s="415">
        <v>0</v>
      </c>
      <c r="BU187" s="353">
        <v>3.5527136788005009E-15</v>
      </c>
      <c r="BV187" s="415">
        <v>0</v>
      </c>
      <c r="BW187" s="353">
        <v>3.5527136788005009E-15</v>
      </c>
      <c r="BY187" s="80"/>
      <c r="BZ187" s="65"/>
      <c r="CA187" s="40" t="s">
        <v>3</v>
      </c>
      <c r="CB187" s="65"/>
      <c r="CC187" s="40">
        <v>-151.5867768595042</v>
      </c>
      <c r="CD187" s="40">
        <v>-221.5867768595042</v>
      </c>
      <c r="CE187" s="40">
        <v>-242.5867768595042</v>
      </c>
      <c r="CF187" s="65"/>
      <c r="CG187" s="40">
        <v>-145.5867768595042</v>
      </c>
      <c r="CH187" s="40">
        <v>-277.58677685950408</v>
      </c>
      <c r="CI187" s="40">
        <v>-277.58677685950408</v>
      </c>
      <c r="CJ187" s="40">
        <v>-313.58677685950408</v>
      </c>
      <c r="CK187" s="40">
        <v>-313.58677685950408</v>
      </c>
    </row>
    <row r="188" spans="1:89" s="2" customFormat="1">
      <c r="A188" s="196" t="s">
        <v>1031</v>
      </c>
      <c r="B188" s="211" t="s">
        <v>225</v>
      </c>
      <c r="C188" s="211" t="s">
        <v>645</v>
      </c>
      <c r="D188" s="41">
        <v>525</v>
      </c>
      <c r="E188" s="41">
        <v>5.33</v>
      </c>
      <c r="F188" s="41" t="s">
        <v>391</v>
      </c>
      <c r="G188" s="413">
        <v>24</v>
      </c>
      <c r="H188" s="414">
        <v>404.1322314049587</v>
      </c>
      <c r="I188" s="321"/>
      <c r="J188" s="40" t="s">
        <v>3</v>
      </c>
      <c r="K188" s="36" t="s">
        <v>3</v>
      </c>
      <c r="L188" s="37"/>
      <c r="M188" s="35">
        <v>0</v>
      </c>
      <c r="N188" s="136">
        <v>0</v>
      </c>
      <c r="O188" s="35">
        <v>0</v>
      </c>
      <c r="P188" s="136">
        <v>0</v>
      </c>
      <c r="Q188" s="37">
        <v>0</v>
      </c>
      <c r="R188" s="136">
        <v>0</v>
      </c>
      <c r="S188" s="37"/>
      <c r="T188" s="35">
        <v>0</v>
      </c>
      <c r="U188" s="136">
        <v>13.700000000000001</v>
      </c>
      <c r="V188" s="35">
        <v>0</v>
      </c>
      <c r="W188" s="136">
        <v>12.9</v>
      </c>
      <c r="X188" s="35">
        <v>0</v>
      </c>
      <c r="Y188" s="149">
        <v>4</v>
      </c>
      <c r="Z188" s="35">
        <v>0</v>
      </c>
      <c r="AA188" s="136">
        <v>4</v>
      </c>
      <c r="AB188" s="37">
        <v>0</v>
      </c>
      <c r="AC188" s="136">
        <v>4</v>
      </c>
      <c r="AD188" s="37"/>
      <c r="AE188" s="40">
        <v>121</v>
      </c>
      <c r="AF188" s="65"/>
      <c r="AG188" s="35">
        <v>0</v>
      </c>
      <c r="AH188" s="36">
        <v>0</v>
      </c>
      <c r="AI188" s="37"/>
      <c r="AJ188" s="35">
        <v>525</v>
      </c>
      <c r="AK188" s="36">
        <v>0</v>
      </c>
      <c r="AL188" s="35">
        <v>525</v>
      </c>
      <c r="AM188" s="36">
        <v>0</v>
      </c>
      <c r="AN188" s="37">
        <v>525</v>
      </c>
      <c r="AO188" s="36">
        <v>0</v>
      </c>
      <c r="AP188" s="37"/>
      <c r="AQ188" s="35">
        <v>196</v>
      </c>
      <c r="AR188" s="36">
        <v>328.8</v>
      </c>
      <c r="AS188" s="35">
        <v>215</v>
      </c>
      <c r="AT188" s="36">
        <v>309.60000000000002</v>
      </c>
      <c r="AU188" s="37">
        <v>429</v>
      </c>
      <c r="AV188" s="36">
        <v>96</v>
      </c>
      <c r="AW188" s="37">
        <v>429</v>
      </c>
      <c r="AX188" s="36">
        <v>96</v>
      </c>
      <c r="AY188" s="37">
        <v>429</v>
      </c>
      <c r="AZ188" s="36">
        <v>96</v>
      </c>
      <c r="BB188" s="40">
        <v>0</v>
      </c>
      <c r="BC188" s="65"/>
      <c r="BD188" s="35">
        <v>0</v>
      </c>
      <c r="BE188" s="36">
        <v>0</v>
      </c>
      <c r="BF188" s="37"/>
      <c r="BG188" s="415">
        <v>-19</v>
      </c>
      <c r="BH188" s="353">
        <v>-11</v>
      </c>
      <c r="BI188" s="415">
        <v>-19</v>
      </c>
      <c r="BJ188" s="353">
        <v>-10</v>
      </c>
      <c r="BK188" s="415">
        <v>-19</v>
      </c>
      <c r="BL188" s="353">
        <v>-9.1</v>
      </c>
      <c r="BM188" s="416"/>
      <c r="BN188" s="415">
        <v>0</v>
      </c>
      <c r="BO188" s="353">
        <v>-0.19999999999999929</v>
      </c>
      <c r="BP188" s="415">
        <v>0</v>
      </c>
      <c r="BQ188" s="353">
        <v>4.5999999999999996</v>
      </c>
      <c r="BR188" s="415">
        <v>0</v>
      </c>
      <c r="BS188" s="353">
        <v>-4.3000000000000007</v>
      </c>
      <c r="BT188" s="415">
        <v>0</v>
      </c>
      <c r="BU188" s="353">
        <v>0</v>
      </c>
      <c r="BV188" s="415">
        <v>0</v>
      </c>
      <c r="BW188" s="353">
        <v>0</v>
      </c>
      <c r="BY188" s="80"/>
      <c r="BZ188" s="65"/>
      <c r="CA188" s="40" t="s">
        <v>3</v>
      </c>
      <c r="CB188" s="65"/>
      <c r="CC188" s="40">
        <v>-404.1322314049587</v>
      </c>
      <c r="CD188" s="40">
        <v>-404.1322314049587</v>
      </c>
      <c r="CE188" s="40">
        <v>-404.1322314049587</v>
      </c>
      <c r="CF188" s="65"/>
      <c r="CG188" s="40">
        <v>-75.332231404958691</v>
      </c>
      <c r="CH188" s="40">
        <v>-94.532231404958679</v>
      </c>
      <c r="CI188" s="40">
        <v>-308.1322314049587</v>
      </c>
      <c r="CJ188" s="40">
        <v>-308.1322314049587</v>
      </c>
      <c r="CK188" s="40">
        <v>-308.1322314049587</v>
      </c>
    </row>
    <row r="189" spans="1:89" s="2" customFormat="1">
      <c r="A189" s="196" t="s">
        <v>1032</v>
      </c>
      <c r="B189" s="211" t="s">
        <v>225</v>
      </c>
      <c r="C189" s="211" t="s">
        <v>645</v>
      </c>
      <c r="D189" s="41">
        <v>525</v>
      </c>
      <c r="E189" s="41">
        <v>5.33</v>
      </c>
      <c r="F189" s="22" t="s">
        <v>391</v>
      </c>
      <c r="G189" s="40">
        <v>30</v>
      </c>
      <c r="H189" s="388">
        <v>404.1322314049587</v>
      </c>
      <c r="I189" s="321"/>
      <c r="J189" s="40" t="s">
        <v>3</v>
      </c>
      <c r="K189" s="36" t="s">
        <v>3</v>
      </c>
      <c r="L189" s="37"/>
      <c r="M189" s="35">
        <v>0</v>
      </c>
      <c r="N189" s="136">
        <v>0</v>
      </c>
      <c r="O189" s="35">
        <v>0</v>
      </c>
      <c r="P189" s="136">
        <v>0</v>
      </c>
      <c r="Q189" s="37">
        <v>0</v>
      </c>
      <c r="R189" s="136">
        <v>0</v>
      </c>
      <c r="S189" s="37"/>
      <c r="T189" s="35">
        <v>0</v>
      </c>
      <c r="U189" s="136">
        <v>11</v>
      </c>
      <c r="V189" s="35">
        <v>0</v>
      </c>
      <c r="W189" s="136">
        <v>10.4</v>
      </c>
      <c r="X189" s="35">
        <v>0</v>
      </c>
      <c r="Y189" s="149">
        <v>3.2</v>
      </c>
      <c r="Z189" s="35">
        <v>0</v>
      </c>
      <c r="AA189" s="136">
        <v>3.2</v>
      </c>
      <c r="AB189" s="37">
        <v>0</v>
      </c>
      <c r="AC189" s="136">
        <v>3.2</v>
      </c>
      <c r="AD189" s="37"/>
      <c r="AE189" s="40">
        <v>121</v>
      </c>
      <c r="AF189" s="65"/>
      <c r="AG189" s="35">
        <v>0</v>
      </c>
      <c r="AH189" s="36">
        <v>0</v>
      </c>
      <c r="AI189" s="37"/>
      <c r="AJ189" s="35">
        <v>525</v>
      </c>
      <c r="AK189" s="36">
        <v>0</v>
      </c>
      <c r="AL189" s="35">
        <v>525</v>
      </c>
      <c r="AM189" s="36">
        <v>0</v>
      </c>
      <c r="AN189" s="35">
        <v>525</v>
      </c>
      <c r="AO189" s="36">
        <v>0</v>
      </c>
      <c r="AP189" s="37"/>
      <c r="AQ189" s="35">
        <v>195</v>
      </c>
      <c r="AR189" s="36">
        <v>330</v>
      </c>
      <c r="AS189" s="35">
        <v>213</v>
      </c>
      <c r="AT189" s="36">
        <v>312</v>
      </c>
      <c r="AU189" s="35">
        <v>429</v>
      </c>
      <c r="AV189" s="36">
        <v>96</v>
      </c>
      <c r="AW189" s="35">
        <v>429</v>
      </c>
      <c r="AX189" s="36">
        <v>96</v>
      </c>
      <c r="AY189" s="35">
        <v>429</v>
      </c>
      <c r="AZ189" s="36">
        <v>96</v>
      </c>
      <c r="BB189" s="40">
        <v>0</v>
      </c>
      <c r="BC189" s="65"/>
      <c r="BD189" s="35">
        <v>0</v>
      </c>
      <c r="BE189" s="36">
        <v>0</v>
      </c>
      <c r="BF189" s="37"/>
      <c r="BG189" s="415">
        <v>-19</v>
      </c>
      <c r="BH189" s="353">
        <v>-8.8000000000000007</v>
      </c>
      <c r="BI189" s="415">
        <v>-19</v>
      </c>
      <c r="BJ189" s="353">
        <v>-8</v>
      </c>
      <c r="BK189" s="415">
        <v>-19</v>
      </c>
      <c r="BL189" s="353">
        <v>-7.3000000000000007</v>
      </c>
      <c r="BM189" s="416"/>
      <c r="BN189" s="415">
        <v>0</v>
      </c>
      <c r="BO189" s="353">
        <v>-0.20000000000000107</v>
      </c>
      <c r="BP189" s="415">
        <v>0</v>
      </c>
      <c r="BQ189" s="353">
        <v>3.7</v>
      </c>
      <c r="BR189" s="415">
        <v>0</v>
      </c>
      <c r="BS189" s="353">
        <v>-3.5</v>
      </c>
      <c r="BT189" s="415">
        <v>0</v>
      </c>
      <c r="BU189" s="353">
        <v>0</v>
      </c>
      <c r="BV189" s="415">
        <v>0</v>
      </c>
      <c r="BW189" s="353">
        <v>0</v>
      </c>
      <c r="BY189" s="80"/>
      <c r="BZ189" s="65"/>
      <c r="CA189" s="40" t="s">
        <v>3</v>
      </c>
      <c r="CB189" s="65"/>
      <c r="CC189" s="40">
        <v>-404.1322314049587</v>
      </c>
      <c r="CD189" s="40">
        <v>-404.1322314049587</v>
      </c>
      <c r="CE189" s="40">
        <v>-404.1322314049587</v>
      </c>
      <c r="CF189" s="65"/>
      <c r="CG189" s="40">
        <v>-74.132231404958702</v>
      </c>
      <c r="CH189" s="40">
        <v>-92.132231404958702</v>
      </c>
      <c r="CI189" s="40">
        <v>-308.1322314049587</v>
      </c>
      <c r="CJ189" s="40">
        <v>-308.1322314049587</v>
      </c>
      <c r="CK189" s="40">
        <v>-308.1322314049587</v>
      </c>
    </row>
    <row r="190" spans="1:89" s="2" customFormat="1">
      <c r="A190" s="196" t="s">
        <v>1017</v>
      </c>
      <c r="B190" s="211" t="s">
        <v>59</v>
      </c>
      <c r="C190" s="211" t="s">
        <v>630</v>
      </c>
      <c r="D190" s="41">
        <v>867</v>
      </c>
      <c r="E190" s="41">
        <v>5.33</v>
      </c>
      <c r="F190" s="41" t="s">
        <v>391</v>
      </c>
      <c r="G190" s="413">
        <v>24</v>
      </c>
      <c r="H190" s="414">
        <v>695.8677685950413</v>
      </c>
      <c r="I190" s="321"/>
      <c r="J190" s="40" t="s">
        <v>3</v>
      </c>
      <c r="K190" s="36" t="s">
        <v>3</v>
      </c>
      <c r="L190" s="37"/>
      <c r="M190" s="35">
        <v>299</v>
      </c>
      <c r="N190" s="136">
        <v>12.4</v>
      </c>
      <c r="O190" s="35">
        <v>189</v>
      </c>
      <c r="P190" s="136">
        <v>14.3</v>
      </c>
      <c r="Q190" s="37">
        <v>189</v>
      </c>
      <c r="R190" s="136">
        <v>13.5</v>
      </c>
      <c r="S190" s="37"/>
      <c r="T190" s="35">
        <v>0</v>
      </c>
      <c r="U190" s="136">
        <v>25.3</v>
      </c>
      <c r="V190" s="35">
        <v>0</v>
      </c>
      <c r="W190" s="136">
        <v>19.700000000000003</v>
      </c>
      <c r="X190" s="35">
        <v>0</v>
      </c>
      <c r="Y190" s="149">
        <v>19.700000000000003</v>
      </c>
      <c r="Z190" s="35">
        <v>0</v>
      </c>
      <c r="AA190" s="136">
        <v>19.600000000000001</v>
      </c>
      <c r="AB190" s="37">
        <v>0</v>
      </c>
      <c r="AC190" s="136">
        <v>19.600000000000001</v>
      </c>
      <c r="AD190" s="37"/>
      <c r="AE190" s="40">
        <v>171</v>
      </c>
      <c r="AF190" s="65"/>
      <c r="AG190" s="35">
        <v>0</v>
      </c>
      <c r="AH190" s="36">
        <v>0</v>
      </c>
      <c r="AI190" s="37"/>
      <c r="AJ190" s="35">
        <v>270</v>
      </c>
      <c r="AK190" s="36">
        <v>297.60000000000002</v>
      </c>
      <c r="AL190" s="35">
        <v>335</v>
      </c>
      <c r="AM190" s="36">
        <v>343.20000000000005</v>
      </c>
      <c r="AN190" s="37">
        <v>354</v>
      </c>
      <c r="AO190" s="36">
        <v>324</v>
      </c>
      <c r="AP190" s="37"/>
      <c r="AQ190" s="35">
        <v>260</v>
      </c>
      <c r="AR190" s="36">
        <v>607.20000000000005</v>
      </c>
      <c r="AS190" s="35">
        <v>394</v>
      </c>
      <c r="AT190" s="36">
        <v>472.80000000000007</v>
      </c>
      <c r="AU190" s="37">
        <v>394</v>
      </c>
      <c r="AV190" s="36">
        <v>472.80000000000007</v>
      </c>
      <c r="AW190" s="37">
        <v>397</v>
      </c>
      <c r="AX190" s="36">
        <v>470.40000000000003</v>
      </c>
      <c r="AY190" s="37">
        <v>397</v>
      </c>
      <c r="AZ190" s="36">
        <v>470.40000000000003</v>
      </c>
      <c r="BB190" s="40">
        <v>0</v>
      </c>
      <c r="BC190" s="65"/>
      <c r="BD190" s="35">
        <v>0</v>
      </c>
      <c r="BE190" s="36">
        <v>0</v>
      </c>
      <c r="BF190" s="37"/>
      <c r="BG190" s="415">
        <v>110</v>
      </c>
      <c r="BH190" s="353">
        <v>-2.9000000000000004</v>
      </c>
      <c r="BI190" s="415">
        <v>0</v>
      </c>
      <c r="BJ190" s="353">
        <v>0</v>
      </c>
      <c r="BK190" s="415">
        <v>0</v>
      </c>
      <c r="BL190" s="353">
        <v>0</v>
      </c>
      <c r="BM190" s="416"/>
      <c r="BN190" s="415">
        <v>0</v>
      </c>
      <c r="BO190" s="353">
        <v>0</v>
      </c>
      <c r="BP190" s="415">
        <v>0</v>
      </c>
      <c r="BQ190" s="353">
        <v>0</v>
      </c>
      <c r="BR190" s="415">
        <v>0</v>
      </c>
      <c r="BS190" s="353">
        <v>0</v>
      </c>
      <c r="BT190" s="415">
        <v>0</v>
      </c>
      <c r="BU190" s="353">
        <v>0.10000000000000142</v>
      </c>
      <c r="BV190" s="415">
        <v>0</v>
      </c>
      <c r="BW190" s="353">
        <v>0.10000000000000142</v>
      </c>
      <c r="BY190" s="80"/>
      <c r="BZ190" s="65"/>
      <c r="CA190" s="40" t="s">
        <v>3</v>
      </c>
      <c r="CB190" s="65"/>
      <c r="CC190" s="40">
        <v>-99.267768595041275</v>
      </c>
      <c r="CD190" s="40">
        <v>-163.66776859504125</v>
      </c>
      <c r="CE190" s="40">
        <v>-182.8677685950413</v>
      </c>
      <c r="CF190" s="65"/>
      <c r="CG190" s="40">
        <v>-88.667768595041252</v>
      </c>
      <c r="CH190" s="40">
        <v>-223.06776859504123</v>
      </c>
      <c r="CI190" s="40">
        <v>-223.06776859504123</v>
      </c>
      <c r="CJ190" s="40">
        <v>-225.46776859504126</v>
      </c>
      <c r="CK190" s="40">
        <v>-225.46776859504126</v>
      </c>
    </row>
    <row r="191" spans="1:89" s="2" customFormat="1">
      <c r="A191" s="196" t="s">
        <v>1018</v>
      </c>
      <c r="B191" s="211" t="s">
        <v>59</v>
      </c>
      <c r="C191" s="211" t="s">
        <v>630</v>
      </c>
      <c r="D191" s="41">
        <v>867</v>
      </c>
      <c r="E191" s="41">
        <v>5.33</v>
      </c>
      <c r="F191" s="22" t="s">
        <v>391</v>
      </c>
      <c r="G191" s="40">
        <v>30</v>
      </c>
      <c r="H191" s="388">
        <v>695.8677685950413</v>
      </c>
      <c r="I191" s="321"/>
      <c r="J191" s="40" t="s">
        <v>3</v>
      </c>
      <c r="K191" s="36" t="s">
        <v>3</v>
      </c>
      <c r="L191" s="37"/>
      <c r="M191" s="35">
        <v>299</v>
      </c>
      <c r="N191" s="136">
        <v>10</v>
      </c>
      <c r="O191" s="35">
        <v>189</v>
      </c>
      <c r="P191" s="136">
        <v>11.5</v>
      </c>
      <c r="Q191" s="37">
        <v>189</v>
      </c>
      <c r="R191" s="136">
        <v>10.8</v>
      </c>
      <c r="S191" s="37"/>
      <c r="T191" s="35">
        <v>0</v>
      </c>
      <c r="U191" s="136">
        <v>20.3</v>
      </c>
      <c r="V191" s="35">
        <v>0</v>
      </c>
      <c r="W191" s="136">
        <v>15.8</v>
      </c>
      <c r="X191" s="35">
        <v>0</v>
      </c>
      <c r="Y191" s="149">
        <v>15.8</v>
      </c>
      <c r="Z191" s="35">
        <v>0</v>
      </c>
      <c r="AA191" s="136">
        <v>15.700000000000001</v>
      </c>
      <c r="AB191" s="37">
        <v>0</v>
      </c>
      <c r="AC191" s="136">
        <v>15.700000000000001</v>
      </c>
      <c r="AD191" s="37"/>
      <c r="AE191" s="40">
        <v>171</v>
      </c>
      <c r="AF191" s="65"/>
      <c r="AG191" s="35">
        <v>0</v>
      </c>
      <c r="AH191" s="36">
        <v>0</v>
      </c>
      <c r="AI191" s="37"/>
      <c r="AJ191" s="35">
        <v>268</v>
      </c>
      <c r="AK191" s="36">
        <v>300</v>
      </c>
      <c r="AL191" s="35">
        <v>333</v>
      </c>
      <c r="AM191" s="36">
        <v>345</v>
      </c>
      <c r="AN191" s="35">
        <v>354</v>
      </c>
      <c r="AO191" s="36">
        <v>324</v>
      </c>
      <c r="AP191" s="37"/>
      <c r="AQ191" s="35">
        <v>258</v>
      </c>
      <c r="AR191" s="36">
        <v>609</v>
      </c>
      <c r="AS191" s="35">
        <v>393</v>
      </c>
      <c r="AT191" s="36">
        <v>474</v>
      </c>
      <c r="AU191" s="35">
        <v>393</v>
      </c>
      <c r="AV191" s="36">
        <v>474</v>
      </c>
      <c r="AW191" s="35">
        <v>396</v>
      </c>
      <c r="AX191" s="36">
        <v>471.00000000000006</v>
      </c>
      <c r="AY191" s="35">
        <v>396</v>
      </c>
      <c r="AZ191" s="36">
        <v>471.00000000000006</v>
      </c>
      <c r="BB191" s="40">
        <v>0</v>
      </c>
      <c r="BC191" s="65"/>
      <c r="BD191" s="35">
        <v>0</v>
      </c>
      <c r="BE191" s="36">
        <v>0</v>
      </c>
      <c r="BF191" s="37"/>
      <c r="BG191" s="415">
        <v>110</v>
      </c>
      <c r="BH191" s="353">
        <v>-2.3000000000000007</v>
      </c>
      <c r="BI191" s="415">
        <v>0</v>
      </c>
      <c r="BJ191" s="353">
        <v>0</v>
      </c>
      <c r="BK191" s="415">
        <v>0</v>
      </c>
      <c r="BL191" s="353">
        <v>0</v>
      </c>
      <c r="BM191" s="416"/>
      <c r="BN191" s="415">
        <v>0</v>
      </c>
      <c r="BO191" s="353">
        <v>0</v>
      </c>
      <c r="BP191" s="415">
        <v>0</v>
      </c>
      <c r="BQ191" s="353">
        <v>0</v>
      </c>
      <c r="BR191" s="415">
        <v>0</v>
      </c>
      <c r="BS191" s="353">
        <v>0</v>
      </c>
      <c r="BT191" s="415">
        <v>0</v>
      </c>
      <c r="BU191" s="353">
        <v>0.10000000000000142</v>
      </c>
      <c r="BV191" s="415">
        <v>0</v>
      </c>
      <c r="BW191" s="353">
        <v>0.10000000000000142</v>
      </c>
      <c r="BY191" s="80"/>
      <c r="BZ191" s="65"/>
      <c r="CA191" s="40" t="s">
        <v>3</v>
      </c>
      <c r="CB191" s="65"/>
      <c r="CC191" s="40">
        <v>-96.867768595041298</v>
      </c>
      <c r="CD191" s="40">
        <v>-161.8677685950413</v>
      </c>
      <c r="CE191" s="40">
        <v>-182.8677685950413</v>
      </c>
      <c r="CF191" s="65"/>
      <c r="CG191" s="40">
        <v>-86.867768595041298</v>
      </c>
      <c r="CH191" s="40">
        <v>-221.8677685950413</v>
      </c>
      <c r="CI191" s="40">
        <v>-221.8677685950413</v>
      </c>
      <c r="CJ191" s="40">
        <v>-224.86776859504124</v>
      </c>
      <c r="CK191" s="40">
        <v>-224.86776859504124</v>
      </c>
    </row>
    <row r="192" spans="1:89" s="2" customFormat="1">
      <c r="A192" s="196" t="s">
        <v>1019</v>
      </c>
      <c r="B192" s="211" t="s">
        <v>60</v>
      </c>
      <c r="C192" s="211" t="s">
        <v>522</v>
      </c>
      <c r="D192" s="41">
        <v>533</v>
      </c>
      <c r="E192" s="41">
        <v>5.33</v>
      </c>
      <c r="F192" s="41" t="s">
        <v>391</v>
      </c>
      <c r="G192" s="413">
        <v>24</v>
      </c>
      <c r="H192" s="414">
        <v>422.31404958677689</v>
      </c>
      <c r="I192" s="321"/>
      <c r="J192" s="40" t="s">
        <v>3</v>
      </c>
      <c r="K192" s="36" t="s">
        <v>3</v>
      </c>
      <c r="L192" s="37"/>
      <c r="M192" s="35">
        <v>139</v>
      </c>
      <c r="N192" s="136">
        <v>8.3000000000000007</v>
      </c>
      <c r="O192" s="35">
        <v>19</v>
      </c>
      <c r="P192" s="136">
        <v>10.8</v>
      </c>
      <c r="Q192" s="37">
        <v>19</v>
      </c>
      <c r="R192" s="136">
        <v>10</v>
      </c>
      <c r="S192" s="37"/>
      <c r="T192" s="35">
        <v>0</v>
      </c>
      <c r="U192" s="136">
        <v>14.5</v>
      </c>
      <c r="V192" s="35">
        <v>0</v>
      </c>
      <c r="W192" s="136">
        <v>8.3000000000000007</v>
      </c>
      <c r="X192" s="35">
        <v>0</v>
      </c>
      <c r="Y192" s="149">
        <v>4</v>
      </c>
      <c r="Z192" s="35">
        <v>0</v>
      </c>
      <c r="AA192" s="136">
        <v>4</v>
      </c>
      <c r="AB192" s="37">
        <v>0</v>
      </c>
      <c r="AC192" s="136">
        <v>4</v>
      </c>
      <c r="AD192" s="37"/>
      <c r="AE192" s="40">
        <v>111</v>
      </c>
      <c r="AF192" s="65"/>
      <c r="AG192" s="35">
        <v>0</v>
      </c>
      <c r="AH192" s="36">
        <v>0</v>
      </c>
      <c r="AI192" s="37"/>
      <c r="AJ192" s="35">
        <v>195</v>
      </c>
      <c r="AK192" s="36">
        <v>199.20000000000002</v>
      </c>
      <c r="AL192" s="35">
        <v>255</v>
      </c>
      <c r="AM192" s="36">
        <v>259.20000000000005</v>
      </c>
      <c r="AN192" s="37">
        <v>274</v>
      </c>
      <c r="AO192" s="36">
        <v>240</v>
      </c>
      <c r="AP192" s="37"/>
      <c r="AQ192" s="35">
        <v>185</v>
      </c>
      <c r="AR192" s="36">
        <v>348</v>
      </c>
      <c r="AS192" s="35">
        <v>334</v>
      </c>
      <c r="AT192" s="36">
        <v>199.20000000000002</v>
      </c>
      <c r="AU192" s="37">
        <v>437</v>
      </c>
      <c r="AV192" s="36">
        <v>96</v>
      </c>
      <c r="AW192" s="37">
        <v>437</v>
      </c>
      <c r="AX192" s="36">
        <v>96</v>
      </c>
      <c r="AY192" s="37">
        <v>437</v>
      </c>
      <c r="AZ192" s="36">
        <v>96</v>
      </c>
      <c r="BB192" s="40">
        <v>0</v>
      </c>
      <c r="BC192" s="65"/>
      <c r="BD192" s="35">
        <v>0</v>
      </c>
      <c r="BE192" s="36">
        <v>0</v>
      </c>
      <c r="BF192" s="37"/>
      <c r="BG192" s="415">
        <v>120</v>
      </c>
      <c r="BH192" s="353">
        <v>-3.5</v>
      </c>
      <c r="BI192" s="415">
        <v>0</v>
      </c>
      <c r="BJ192" s="353">
        <v>0</v>
      </c>
      <c r="BK192" s="415">
        <v>0</v>
      </c>
      <c r="BL192" s="353">
        <v>0</v>
      </c>
      <c r="BM192" s="416"/>
      <c r="BN192" s="415">
        <v>0</v>
      </c>
      <c r="BO192" s="353">
        <v>0</v>
      </c>
      <c r="BP192" s="415">
        <v>0</v>
      </c>
      <c r="BQ192" s="353">
        <v>0</v>
      </c>
      <c r="BR192" s="415">
        <v>0</v>
      </c>
      <c r="BS192" s="353">
        <v>-4.3000000000000007</v>
      </c>
      <c r="BT192" s="415">
        <v>0</v>
      </c>
      <c r="BU192" s="353">
        <v>0</v>
      </c>
      <c r="BV192" s="415">
        <v>0</v>
      </c>
      <c r="BW192" s="353">
        <v>0</v>
      </c>
      <c r="BY192" s="80"/>
      <c r="BZ192" s="65"/>
      <c r="CA192" s="40" t="s">
        <v>3</v>
      </c>
      <c r="CB192" s="65"/>
      <c r="CC192" s="40">
        <v>-84.114049586776844</v>
      </c>
      <c r="CD192" s="40">
        <v>-144.11404958677684</v>
      </c>
      <c r="CE192" s="40">
        <v>-163.31404958677689</v>
      </c>
      <c r="CF192" s="65"/>
      <c r="CG192" s="40">
        <v>-74.314049586776889</v>
      </c>
      <c r="CH192" s="40">
        <v>-223.11404958677687</v>
      </c>
      <c r="CI192" s="40">
        <v>-326.31404958677689</v>
      </c>
      <c r="CJ192" s="40">
        <v>-326.31404958677689</v>
      </c>
      <c r="CK192" s="40">
        <v>-326.31404958677689</v>
      </c>
    </row>
    <row r="193" spans="1:89" s="2" customFormat="1">
      <c r="A193" s="196" t="s">
        <v>1020</v>
      </c>
      <c r="B193" s="211" t="s">
        <v>60</v>
      </c>
      <c r="C193" s="211" t="s">
        <v>522</v>
      </c>
      <c r="D193" s="41">
        <v>533</v>
      </c>
      <c r="E193" s="41">
        <v>5.33</v>
      </c>
      <c r="F193" s="22" t="s">
        <v>391</v>
      </c>
      <c r="G193" s="40">
        <v>30</v>
      </c>
      <c r="H193" s="388">
        <v>422.31404958677689</v>
      </c>
      <c r="I193" s="321"/>
      <c r="J193" s="40" t="s">
        <v>3</v>
      </c>
      <c r="K193" s="36" t="s">
        <v>3</v>
      </c>
      <c r="L193" s="37"/>
      <c r="M193" s="35">
        <v>139</v>
      </c>
      <c r="N193" s="136">
        <v>6.7</v>
      </c>
      <c r="O193" s="35">
        <v>19</v>
      </c>
      <c r="P193" s="136">
        <v>8.7000000000000011</v>
      </c>
      <c r="Q193" s="37">
        <v>19</v>
      </c>
      <c r="R193" s="136">
        <v>8</v>
      </c>
      <c r="S193" s="37"/>
      <c r="T193" s="35">
        <v>0</v>
      </c>
      <c r="U193" s="136">
        <v>11.600000000000001</v>
      </c>
      <c r="V193" s="35">
        <v>0</v>
      </c>
      <c r="W193" s="136">
        <v>6.7</v>
      </c>
      <c r="X193" s="35">
        <v>0</v>
      </c>
      <c r="Y193" s="149">
        <v>3.2</v>
      </c>
      <c r="Z193" s="35">
        <v>0</v>
      </c>
      <c r="AA193" s="136">
        <v>3.2</v>
      </c>
      <c r="AB193" s="37">
        <v>0</v>
      </c>
      <c r="AC193" s="136">
        <v>3.2</v>
      </c>
      <c r="AD193" s="37"/>
      <c r="AE193" s="40">
        <v>111</v>
      </c>
      <c r="AF193" s="65"/>
      <c r="AG193" s="35">
        <v>0</v>
      </c>
      <c r="AH193" s="36">
        <v>0</v>
      </c>
      <c r="AI193" s="37"/>
      <c r="AJ193" s="35">
        <v>193</v>
      </c>
      <c r="AK193" s="36">
        <v>201</v>
      </c>
      <c r="AL193" s="35">
        <v>253</v>
      </c>
      <c r="AM193" s="36">
        <v>261.00000000000006</v>
      </c>
      <c r="AN193" s="35">
        <v>274</v>
      </c>
      <c r="AO193" s="36">
        <v>240</v>
      </c>
      <c r="AP193" s="37"/>
      <c r="AQ193" s="35">
        <v>185</v>
      </c>
      <c r="AR193" s="36">
        <v>348.00000000000006</v>
      </c>
      <c r="AS193" s="35">
        <v>332</v>
      </c>
      <c r="AT193" s="36">
        <v>201</v>
      </c>
      <c r="AU193" s="35">
        <v>437</v>
      </c>
      <c r="AV193" s="36">
        <v>96</v>
      </c>
      <c r="AW193" s="35">
        <v>437</v>
      </c>
      <c r="AX193" s="36">
        <v>96</v>
      </c>
      <c r="AY193" s="35">
        <v>437</v>
      </c>
      <c r="AZ193" s="36">
        <v>96</v>
      </c>
      <c r="BB193" s="40">
        <v>0</v>
      </c>
      <c r="BC193" s="65"/>
      <c r="BD193" s="35">
        <v>0</v>
      </c>
      <c r="BE193" s="36">
        <v>0</v>
      </c>
      <c r="BF193" s="37"/>
      <c r="BG193" s="415">
        <v>120</v>
      </c>
      <c r="BH193" s="353">
        <v>-2.8</v>
      </c>
      <c r="BI193" s="415">
        <v>0</v>
      </c>
      <c r="BJ193" s="353">
        <v>0</v>
      </c>
      <c r="BK193" s="415">
        <v>0</v>
      </c>
      <c r="BL193" s="353">
        <v>0</v>
      </c>
      <c r="BM193" s="416"/>
      <c r="BN193" s="415">
        <v>0</v>
      </c>
      <c r="BO193" s="353">
        <v>0</v>
      </c>
      <c r="BP193" s="415">
        <v>0</v>
      </c>
      <c r="BQ193" s="353">
        <v>0</v>
      </c>
      <c r="BR193" s="415">
        <v>0</v>
      </c>
      <c r="BS193" s="353">
        <v>-3.5</v>
      </c>
      <c r="BT193" s="415">
        <v>0</v>
      </c>
      <c r="BU193" s="353">
        <v>0</v>
      </c>
      <c r="BV193" s="415">
        <v>0</v>
      </c>
      <c r="BW193" s="353">
        <v>0</v>
      </c>
      <c r="BY193" s="80"/>
      <c r="BZ193" s="65"/>
      <c r="CA193" s="40" t="s">
        <v>3</v>
      </c>
      <c r="CB193" s="65"/>
      <c r="CC193" s="40">
        <v>-82.314049586776889</v>
      </c>
      <c r="CD193" s="40">
        <v>-142.31404958677683</v>
      </c>
      <c r="CE193" s="40">
        <v>-163.31404958677689</v>
      </c>
      <c r="CF193" s="65"/>
      <c r="CG193" s="40">
        <v>-74.314049586776832</v>
      </c>
      <c r="CH193" s="40">
        <v>-221.31404958677689</v>
      </c>
      <c r="CI193" s="40">
        <v>-326.31404958677689</v>
      </c>
      <c r="CJ193" s="40">
        <v>-326.31404958677689</v>
      </c>
      <c r="CK193" s="40">
        <v>-326.31404958677689</v>
      </c>
    </row>
    <row r="194" spans="1:89" s="2" customFormat="1">
      <c r="A194" s="196" t="s">
        <v>1021</v>
      </c>
      <c r="B194" s="211" t="s">
        <v>60</v>
      </c>
      <c r="C194" s="435" t="s">
        <v>727</v>
      </c>
      <c r="D194" s="41">
        <v>588</v>
      </c>
      <c r="E194" s="41">
        <v>5.33</v>
      </c>
      <c r="F194" s="41" t="s">
        <v>391</v>
      </c>
      <c r="G194" s="413">
        <v>24</v>
      </c>
      <c r="H194" s="414">
        <v>507.43801652892563</v>
      </c>
      <c r="I194" s="321"/>
      <c r="J194" s="40" t="s">
        <v>3</v>
      </c>
      <c r="K194" s="36" t="s">
        <v>3</v>
      </c>
      <c r="L194" s="37"/>
      <c r="M194" s="35">
        <v>169</v>
      </c>
      <c r="N194" s="136">
        <v>10.200000000000001</v>
      </c>
      <c r="O194" s="35">
        <v>19</v>
      </c>
      <c r="P194" s="136">
        <v>13.3</v>
      </c>
      <c r="Q194" s="37">
        <v>19</v>
      </c>
      <c r="R194" s="136">
        <v>12.4</v>
      </c>
      <c r="S194" s="37"/>
      <c r="T194" s="35">
        <v>0</v>
      </c>
      <c r="U194" s="136">
        <v>17.2</v>
      </c>
      <c r="V194" s="35">
        <v>0</v>
      </c>
      <c r="W194" s="136">
        <v>10.4</v>
      </c>
      <c r="X194" s="35">
        <v>0</v>
      </c>
      <c r="Y194" s="149">
        <v>4</v>
      </c>
      <c r="Z194" s="35">
        <v>0</v>
      </c>
      <c r="AA194" s="136">
        <v>4</v>
      </c>
      <c r="AB194" s="37">
        <v>0</v>
      </c>
      <c r="AC194" s="136">
        <v>4</v>
      </c>
      <c r="AD194" s="37"/>
      <c r="AE194" s="40">
        <v>81</v>
      </c>
      <c r="AF194" s="65"/>
      <c r="AG194" s="35">
        <v>0</v>
      </c>
      <c r="AH194" s="36">
        <v>0</v>
      </c>
      <c r="AI194" s="37"/>
      <c r="AJ194" s="35">
        <v>174</v>
      </c>
      <c r="AK194" s="36">
        <v>244.8</v>
      </c>
      <c r="AL194" s="35">
        <v>250</v>
      </c>
      <c r="AM194" s="36">
        <v>319.20000000000005</v>
      </c>
      <c r="AN194" s="37">
        <v>271</v>
      </c>
      <c r="AO194" s="36">
        <v>297.60000000000002</v>
      </c>
      <c r="AP194" s="37"/>
      <c r="AQ194" s="35">
        <v>175</v>
      </c>
      <c r="AR194" s="36">
        <v>412.79999999999995</v>
      </c>
      <c r="AS194" s="35">
        <v>338</v>
      </c>
      <c r="AT194" s="36">
        <v>249.60000000000002</v>
      </c>
      <c r="AU194" s="37">
        <v>492</v>
      </c>
      <c r="AV194" s="36">
        <v>96</v>
      </c>
      <c r="AW194" s="37">
        <v>492</v>
      </c>
      <c r="AX194" s="36">
        <v>96</v>
      </c>
      <c r="AY194" s="37">
        <v>492</v>
      </c>
      <c r="AZ194" s="36">
        <v>96</v>
      </c>
      <c r="BB194" s="40">
        <v>0</v>
      </c>
      <c r="BC194" s="65"/>
      <c r="BD194" s="35">
        <v>0</v>
      </c>
      <c r="BE194" s="36">
        <v>0</v>
      </c>
      <c r="BF194" s="37"/>
      <c r="BG194" s="415">
        <v>0</v>
      </c>
      <c r="BH194" s="353">
        <v>0</v>
      </c>
      <c r="BI194" s="415">
        <v>0</v>
      </c>
      <c r="BJ194" s="353">
        <v>0</v>
      </c>
      <c r="BK194" s="415">
        <v>0</v>
      </c>
      <c r="BL194" s="353">
        <v>0</v>
      </c>
      <c r="BM194" s="416"/>
      <c r="BN194" s="415">
        <v>0</v>
      </c>
      <c r="BO194" s="353">
        <v>0</v>
      </c>
      <c r="BP194" s="415">
        <v>0</v>
      </c>
      <c r="BQ194" s="353">
        <v>0</v>
      </c>
      <c r="BR194" s="415">
        <v>0</v>
      </c>
      <c r="BS194" s="353">
        <v>0</v>
      </c>
      <c r="BT194" s="415">
        <v>0</v>
      </c>
      <c r="BU194" s="353">
        <v>0</v>
      </c>
      <c r="BV194" s="415">
        <v>0</v>
      </c>
      <c r="BW194" s="353">
        <v>0</v>
      </c>
      <c r="BY194" s="80"/>
      <c r="BZ194" s="65"/>
      <c r="CA194" s="40" t="s">
        <v>3</v>
      </c>
      <c r="CB194" s="65"/>
      <c r="CC194" s="40">
        <v>-93.638016528925618</v>
      </c>
      <c r="CD194" s="40">
        <v>-169.23801652892558</v>
      </c>
      <c r="CE194" s="40">
        <v>-190.83801652892561</v>
      </c>
      <c r="CF194" s="65"/>
      <c r="CG194" s="40">
        <v>-94.638016528925675</v>
      </c>
      <c r="CH194" s="40">
        <v>-257.83801652892561</v>
      </c>
      <c r="CI194" s="40">
        <v>-411.43801652892563</v>
      </c>
      <c r="CJ194" s="40">
        <v>-411.43801652892563</v>
      </c>
      <c r="CK194" s="40">
        <v>-411.43801652892563</v>
      </c>
    </row>
    <row r="195" spans="1:89" s="2" customFormat="1">
      <c r="A195" s="196" t="s">
        <v>1022</v>
      </c>
      <c r="B195" s="211" t="s">
        <v>60</v>
      </c>
      <c r="C195" s="435" t="s">
        <v>727</v>
      </c>
      <c r="D195" s="41">
        <v>588</v>
      </c>
      <c r="E195" s="41">
        <v>5.33</v>
      </c>
      <c r="F195" s="22" t="s">
        <v>391</v>
      </c>
      <c r="G195" s="40">
        <v>30</v>
      </c>
      <c r="H195" s="388">
        <v>507.43801652892563</v>
      </c>
      <c r="I195" s="321"/>
      <c r="J195" s="40" t="s">
        <v>3</v>
      </c>
      <c r="K195" s="36" t="s">
        <v>3</v>
      </c>
      <c r="L195" s="37"/>
      <c r="M195" s="35">
        <v>169</v>
      </c>
      <c r="N195" s="136">
        <v>8.2000000000000011</v>
      </c>
      <c r="O195" s="35">
        <v>19</v>
      </c>
      <c r="P195" s="136">
        <v>10.700000000000001</v>
      </c>
      <c r="Q195" s="37">
        <v>19</v>
      </c>
      <c r="R195" s="136">
        <v>10</v>
      </c>
      <c r="S195" s="37"/>
      <c r="T195" s="35">
        <v>0</v>
      </c>
      <c r="U195" s="136">
        <v>13.8</v>
      </c>
      <c r="V195" s="35">
        <v>0</v>
      </c>
      <c r="W195" s="136">
        <v>8.4</v>
      </c>
      <c r="X195" s="35">
        <v>0</v>
      </c>
      <c r="Y195" s="149">
        <v>3.2</v>
      </c>
      <c r="Z195" s="35">
        <v>0</v>
      </c>
      <c r="AA195" s="136">
        <v>3.2</v>
      </c>
      <c r="AB195" s="37">
        <v>0</v>
      </c>
      <c r="AC195" s="136">
        <v>3.2</v>
      </c>
      <c r="AD195" s="37"/>
      <c r="AE195" s="40">
        <v>81</v>
      </c>
      <c r="AF195" s="65"/>
      <c r="AG195" s="35">
        <v>0</v>
      </c>
      <c r="AH195" s="36">
        <v>0</v>
      </c>
      <c r="AI195" s="37"/>
      <c r="AJ195" s="35">
        <v>173</v>
      </c>
      <c r="AK195" s="36">
        <v>246.00000000000003</v>
      </c>
      <c r="AL195" s="35">
        <v>248</v>
      </c>
      <c r="AM195" s="36">
        <v>321.00000000000006</v>
      </c>
      <c r="AN195" s="35">
        <v>269</v>
      </c>
      <c r="AO195" s="36">
        <v>300</v>
      </c>
      <c r="AP195" s="37"/>
      <c r="AQ195" s="35">
        <v>174</v>
      </c>
      <c r="AR195" s="36">
        <v>414</v>
      </c>
      <c r="AS195" s="35">
        <v>336</v>
      </c>
      <c r="AT195" s="36">
        <v>252</v>
      </c>
      <c r="AU195" s="35">
        <v>492</v>
      </c>
      <c r="AV195" s="36">
        <v>96</v>
      </c>
      <c r="AW195" s="35">
        <v>492</v>
      </c>
      <c r="AX195" s="36">
        <v>96</v>
      </c>
      <c r="AY195" s="35">
        <v>492</v>
      </c>
      <c r="AZ195" s="36">
        <v>96</v>
      </c>
      <c r="BB195" s="40">
        <v>0</v>
      </c>
      <c r="BC195" s="65"/>
      <c r="BD195" s="35">
        <v>0</v>
      </c>
      <c r="BE195" s="36">
        <v>0</v>
      </c>
      <c r="BF195" s="37"/>
      <c r="BG195" s="415">
        <v>0</v>
      </c>
      <c r="BH195" s="353">
        <v>0</v>
      </c>
      <c r="BI195" s="415">
        <v>0</v>
      </c>
      <c r="BJ195" s="353">
        <v>0</v>
      </c>
      <c r="BK195" s="415">
        <v>0</v>
      </c>
      <c r="BL195" s="353">
        <v>0</v>
      </c>
      <c r="BM195" s="416"/>
      <c r="BN195" s="415">
        <v>0</v>
      </c>
      <c r="BO195" s="353">
        <v>0</v>
      </c>
      <c r="BP195" s="415">
        <v>0</v>
      </c>
      <c r="BQ195" s="353">
        <v>0</v>
      </c>
      <c r="BR195" s="415">
        <v>0</v>
      </c>
      <c r="BS195" s="353">
        <v>0</v>
      </c>
      <c r="BT195" s="415">
        <v>0</v>
      </c>
      <c r="BU195" s="353">
        <v>0</v>
      </c>
      <c r="BV195" s="415">
        <v>0</v>
      </c>
      <c r="BW195" s="353">
        <v>0</v>
      </c>
      <c r="BY195" s="80"/>
      <c r="BZ195" s="65"/>
      <c r="CA195" s="40" t="s">
        <v>3</v>
      </c>
      <c r="CB195" s="65"/>
      <c r="CC195" s="40">
        <v>-92.43801652892563</v>
      </c>
      <c r="CD195" s="40">
        <v>-167.43801652892557</v>
      </c>
      <c r="CE195" s="40">
        <v>-188.43801652892563</v>
      </c>
      <c r="CF195" s="65"/>
      <c r="CG195" s="40">
        <v>-93.43801652892563</v>
      </c>
      <c r="CH195" s="40">
        <v>-255.43801652892563</v>
      </c>
      <c r="CI195" s="40">
        <v>-411.43801652892563</v>
      </c>
      <c r="CJ195" s="40">
        <v>-411.43801652892563</v>
      </c>
      <c r="CK195" s="40">
        <v>-411.43801652892563</v>
      </c>
    </row>
    <row r="196" spans="1:89" s="2" customFormat="1">
      <c r="A196" s="196" t="s">
        <v>1023</v>
      </c>
      <c r="B196" s="211" t="s">
        <v>60</v>
      </c>
      <c r="C196" s="435" t="s">
        <v>728</v>
      </c>
      <c r="D196" s="41">
        <v>921</v>
      </c>
      <c r="E196" s="41">
        <v>5.33</v>
      </c>
      <c r="F196" s="41" t="s">
        <v>391</v>
      </c>
      <c r="G196" s="413">
        <v>24</v>
      </c>
      <c r="H196" s="414">
        <v>792.56198347107443</v>
      </c>
      <c r="I196" s="321"/>
      <c r="J196" s="40" t="s">
        <v>3</v>
      </c>
      <c r="K196" s="36" t="s">
        <v>3</v>
      </c>
      <c r="L196" s="37"/>
      <c r="M196" s="35">
        <v>329</v>
      </c>
      <c r="N196" s="136">
        <v>13.5</v>
      </c>
      <c r="O196" s="35">
        <v>199</v>
      </c>
      <c r="P196" s="136">
        <v>16.2</v>
      </c>
      <c r="Q196" s="37">
        <v>199</v>
      </c>
      <c r="R196" s="136">
        <v>15.100000000000001</v>
      </c>
      <c r="S196" s="37"/>
      <c r="T196" s="35">
        <v>0</v>
      </c>
      <c r="U196" s="136">
        <v>27.5</v>
      </c>
      <c r="V196" s="35">
        <v>0</v>
      </c>
      <c r="W196" s="136">
        <v>21.700000000000003</v>
      </c>
      <c r="X196" s="35">
        <v>0</v>
      </c>
      <c r="Y196" s="149">
        <v>15</v>
      </c>
      <c r="Z196" s="35">
        <v>0</v>
      </c>
      <c r="AA196" s="136">
        <v>15</v>
      </c>
      <c r="AB196" s="37">
        <v>0</v>
      </c>
      <c r="AC196" s="136">
        <v>15</v>
      </c>
      <c r="AD196" s="37"/>
      <c r="AE196" s="40">
        <v>128</v>
      </c>
      <c r="AF196" s="65"/>
      <c r="AG196" s="35">
        <v>0</v>
      </c>
      <c r="AH196" s="36">
        <v>0</v>
      </c>
      <c r="AI196" s="37"/>
      <c r="AJ196" s="35">
        <v>268</v>
      </c>
      <c r="AK196" s="36">
        <v>324</v>
      </c>
      <c r="AL196" s="35">
        <v>333</v>
      </c>
      <c r="AM196" s="36">
        <v>388.79999999999995</v>
      </c>
      <c r="AN196" s="37">
        <v>360</v>
      </c>
      <c r="AO196" s="36">
        <v>362.40000000000003</v>
      </c>
      <c r="AP196" s="37"/>
      <c r="AQ196" s="35">
        <v>261</v>
      </c>
      <c r="AR196" s="36">
        <v>660</v>
      </c>
      <c r="AS196" s="35">
        <v>400</v>
      </c>
      <c r="AT196" s="36">
        <v>520.80000000000007</v>
      </c>
      <c r="AU196" s="37">
        <v>561</v>
      </c>
      <c r="AV196" s="36">
        <v>360</v>
      </c>
      <c r="AW196" s="37">
        <v>561</v>
      </c>
      <c r="AX196" s="36">
        <v>360</v>
      </c>
      <c r="AY196" s="37">
        <v>561</v>
      </c>
      <c r="AZ196" s="36">
        <v>360</v>
      </c>
      <c r="BB196" s="40">
        <v>0</v>
      </c>
      <c r="BC196" s="65"/>
      <c r="BD196" s="35">
        <v>0</v>
      </c>
      <c r="BE196" s="36">
        <v>0</v>
      </c>
      <c r="BF196" s="37"/>
      <c r="BG196" s="415">
        <v>0</v>
      </c>
      <c r="BH196" s="353">
        <v>0</v>
      </c>
      <c r="BI196" s="415">
        <v>0</v>
      </c>
      <c r="BJ196" s="353">
        <v>0</v>
      </c>
      <c r="BK196" s="415">
        <v>0</v>
      </c>
      <c r="BL196" s="353">
        <v>0</v>
      </c>
      <c r="BM196" s="416"/>
      <c r="BN196" s="415">
        <v>0</v>
      </c>
      <c r="BO196" s="353">
        <v>0</v>
      </c>
      <c r="BP196" s="415">
        <v>0</v>
      </c>
      <c r="BQ196" s="353">
        <v>0</v>
      </c>
      <c r="BR196" s="415">
        <v>0</v>
      </c>
      <c r="BS196" s="353">
        <v>0</v>
      </c>
      <c r="BT196" s="415">
        <v>0</v>
      </c>
      <c r="BU196" s="353">
        <v>0</v>
      </c>
      <c r="BV196" s="415">
        <v>0</v>
      </c>
      <c r="BW196" s="353">
        <v>0</v>
      </c>
      <c r="BY196" s="80"/>
      <c r="BZ196" s="65"/>
      <c r="CA196" s="40" t="s">
        <v>3</v>
      </c>
      <c r="CB196" s="65"/>
      <c r="CC196" s="40">
        <v>-139.56198347107443</v>
      </c>
      <c r="CD196" s="40">
        <v>-204.76198347107447</v>
      </c>
      <c r="CE196" s="40">
        <v>-231.16198347107434</v>
      </c>
      <c r="CF196" s="65"/>
      <c r="CG196" s="40">
        <v>-132.56198347107443</v>
      </c>
      <c r="CH196" s="40">
        <v>-271.76198347107436</v>
      </c>
      <c r="CI196" s="40">
        <v>-432.56198347107443</v>
      </c>
      <c r="CJ196" s="40">
        <v>-432.56198347107443</v>
      </c>
      <c r="CK196" s="40">
        <v>-432.56198347107443</v>
      </c>
    </row>
    <row r="197" spans="1:89" s="2" customFormat="1">
      <c r="A197" s="196" t="s">
        <v>1024</v>
      </c>
      <c r="B197" s="211" t="s">
        <v>60</v>
      </c>
      <c r="C197" s="435" t="s">
        <v>728</v>
      </c>
      <c r="D197" s="41">
        <v>921</v>
      </c>
      <c r="E197" s="41">
        <v>5.33</v>
      </c>
      <c r="F197" s="22" t="s">
        <v>391</v>
      </c>
      <c r="G197" s="40">
        <v>30</v>
      </c>
      <c r="H197" s="388">
        <v>792.56198347107443</v>
      </c>
      <c r="I197" s="321"/>
      <c r="J197" s="40" t="s">
        <v>3</v>
      </c>
      <c r="K197" s="36" t="s">
        <v>3</v>
      </c>
      <c r="L197" s="37"/>
      <c r="M197" s="35">
        <v>329</v>
      </c>
      <c r="N197" s="136">
        <v>10.8</v>
      </c>
      <c r="O197" s="35">
        <v>199</v>
      </c>
      <c r="P197" s="136">
        <v>13</v>
      </c>
      <c r="Q197" s="37">
        <v>199</v>
      </c>
      <c r="R197" s="136">
        <v>12.100000000000001</v>
      </c>
      <c r="S197" s="37"/>
      <c r="T197" s="35">
        <v>0</v>
      </c>
      <c r="U197" s="136">
        <v>22</v>
      </c>
      <c r="V197" s="35">
        <v>0</v>
      </c>
      <c r="W197" s="136">
        <v>17.400000000000002</v>
      </c>
      <c r="X197" s="35">
        <v>0</v>
      </c>
      <c r="Y197" s="149">
        <v>12</v>
      </c>
      <c r="Z197" s="35">
        <v>0</v>
      </c>
      <c r="AA197" s="136">
        <v>12</v>
      </c>
      <c r="AB197" s="37">
        <v>0</v>
      </c>
      <c r="AC197" s="136">
        <v>12</v>
      </c>
      <c r="AD197" s="37"/>
      <c r="AE197" s="40">
        <v>128</v>
      </c>
      <c r="AF197" s="65"/>
      <c r="AG197" s="35">
        <v>0</v>
      </c>
      <c r="AH197" s="36">
        <v>0</v>
      </c>
      <c r="AI197" s="37"/>
      <c r="AJ197" s="35">
        <v>268</v>
      </c>
      <c r="AK197" s="36">
        <v>324</v>
      </c>
      <c r="AL197" s="35">
        <v>332</v>
      </c>
      <c r="AM197" s="36">
        <v>390</v>
      </c>
      <c r="AN197" s="35">
        <v>359</v>
      </c>
      <c r="AO197" s="36">
        <v>363.00000000000006</v>
      </c>
      <c r="AP197" s="37"/>
      <c r="AQ197" s="35">
        <v>261</v>
      </c>
      <c r="AR197" s="36">
        <v>660</v>
      </c>
      <c r="AS197" s="35">
        <v>399</v>
      </c>
      <c r="AT197" s="36">
        <v>522.00000000000011</v>
      </c>
      <c r="AU197" s="35">
        <v>561</v>
      </c>
      <c r="AV197" s="36">
        <v>360</v>
      </c>
      <c r="AW197" s="35">
        <v>561</v>
      </c>
      <c r="AX197" s="36">
        <v>360</v>
      </c>
      <c r="AY197" s="35">
        <v>561</v>
      </c>
      <c r="AZ197" s="36">
        <v>360</v>
      </c>
      <c r="BB197" s="40">
        <v>0</v>
      </c>
      <c r="BC197" s="65"/>
      <c r="BD197" s="35">
        <v>0</v>
      </c>
      <c r="BE197" s="36">
        <v>0</v>
      </c>
      <c r="BF197" s="37"/>
      <c r="BG197" s="415">
        <v>0</v>
      </c>
      <c r="BH197" s="353">
        <v>0</v>
      </c>
      <c r="BI197" s="415">
        <v>0</v>
      </c>
      <c r="BJ197" s="353">
        <v>0</v>
      </c>
      <c r="BK197" s="415">
        <v>0</v>
      </c>
      <c r="BL197" s="353">
        <v>0</v>
      </c>
      <c r="BM197" s="416"/>
      <c r="BN197" s="415">
        <v>0</v>
      </c>
      <c r="BO197" s="353">
        <v>0</v>
      </c>
      <c r="BP197" s="415">
        <v>0</v>
      </c>
      <c r="BQ197" s="353">
        <v>0</v>
      </c>
      <c r="BR197" s="415">
        <v>0</v>
      </c>
      <c r="BS197" s="353">
        <v>0</v>
      </c>
      <c r="BT197" s="415">
        <v>0</v>
      </c>
      <c r="BU197" s="353">
        <v>0</v>
      </c>
      <c r="BV197" s="415">
        <v>0</v>
      </c>
      <c r="BW197" s="353">
        <v>0</v>
      </c>
      <c r="BY197" s="80"/>
      <c r="BZ197" s="65"/>
      <c r="CA197" s="40" t="s">
        <v>3</v>
      </c>
      <c r="CB197" s="65"/>
      <c r="CC197" s="40">
        <v>-139.56198347107443</v>
      </c>
      <c r="CD197" s="40">
        <v>-203.56198347107443</v>
      </c>
      <c r="CE197" s="40">
        <v>-230.56198347107443</v>
      </c>
      <c r="CF197" s="65"/>
      <c r="CG197" s="40">
        <v>-132.56198347107443</v>
      </c>
      <c r="CH197" s="40">
        <v>-270.56198347107431</v>
      </c>
      <c r="CI197" s="40">
        <v>-432.56198347107443</v>
      </c>
      <c r="CJ197" s="40">
        <v>-432.56198347107443</v>
      </c>
      <c r="CK197" s="40">
        <v>-432.56198347107443</v>
      </c>
    </row>
    <row r="198" spans="1:89" s="2" customFormat="1">
      <c r="A198" s="196" t="s">
        <v>1025</v>
      </c>
      <c r="B198" s="211" t="s">
        <v>60</v>
      </c>
      <c r="C198" s="211" t="s">
        <v>729</v>
      </c>
      <c r="D198" s="41">
        <v>801</v>
      </c>
      <c r="E198" s="41">
        <v>5.33</v>
      </c>
      <c r="F198" s="41" t="s">
        <v>391</v>
      </c>
      <c r="G198" s="413">
        <v>24</v>
      </c>
      <c r="H198" s="414">
        <v>671.07438016528931</v>
      </c>
      <c r="I198" s="321"/>
      <c r="J198" s="40" t="s">
        <v>3</v>
      </c>
      <c r="K198" s="36" t="s">
        <v>3</v>
      </c>
      <c r="L198" s="37"/>
      <c r="M198" s="35">
        <v>289</v>
      </c>
      <c r="N198" s="136">
        <v>11.8</v>
      </c>
      <c r="O198" s="35">
        <v>179</v>
      </c>
      <c r="P198" s="136">
        <v>13.9</v>
      </c>
      <c r="Q198" s="37">
        <v>179</v>
      </c>
      <c r="R198" s="136">
        <v>12.9</v>
      </c>
      <c r="S198" s="37"/>
      <c r="T198" s="35">
        <v>0</v>
      </c>
      <c r="U198" s="136">
        <v>24.200000000000003</v>
      </c>
      <c r="V198" s="35">
        <v>0</v>
      </c>
      <c r="W198" s="136">
        <v>19.700000000000003</v>
      </c>
      <c r="X198" s="35">
        <v>0</v>
      </c>
      <c r="Y198" s="149">
        <v>19.700000000000003</v>
      </c>
      <c r="Z198" s="35">
        <v>0</v>
      </c>
      <c r="AA198" s="136">
        <v>18.5</v>
      </c>
      <c r="AB198" s="37">
        <v>0</v>
      </c>
      <c r="AC198" s="136">
        <v>18.5</v>
      </c>
      <c r="AD198" s="37"/>
      <c r="AE198" s="40">
        <v>130</v>
      </c>
      <c r="AF198" s="65"/>
      <c r="AG198" s="35">
        <v>0</v>
      </c>
      <c r="AH198" s="36">
        <v>0</v>
      </c>
      <c r="AI198" s="37"/>
      <c r="AJ198" s="35">
        <v>229</v>
      </c>
      <c r="AK198" s="36">
        <v>283.20000000000005</v>
      </c>
      <c r="AL198" s="35">
        <v>288</v>
      </c>
      <c r="AM198" s="36">
        <v>333.6</v>
      </c>
      <c r="AN198" s="37">
        <v>312</v>
      </c>
      <c r="AO198" s="36">
        <v>309.60000000000002</v>
      </c>
      <c r="AP198" s="37"/>
      <c r="AQ198" s="35">
        <v>220</v>
      </c>
      <c r="AR198" s="36">
        <v>580.80000000000007</v>
      </c>
      <c r="AS198" s="35">
        <v>328</v>
      </c>
      <c r="AT198" s="36">
        <v>472.80000000000007</v>
      </c>
      <c r="AU198" s="37">
        <v>328</v>
      </c>
      <c r="AV198" s="36">
        <v>472.80000000000007</v>
      </c>
      <c r="AW198" s="37">
        <v>357</v>
      </c>
      <c r="AX198" s="36">
        <v>444</v>
      </c>
      <c r="AY198" s="37">
        <v>357</v>
      </c>
      <c r="AZ198" s="36">
        <v>444</v>
      </c>
      <c r="BB198" s="40">
        <v>0</v>
      </c>
      <c r="BC198" s="65"/>
      <c r="BD198" s="35">
        <v>0</v>
      </c>
      <c r="BE198" s="36">
        <v>0</v>
      </c>
      <c r="BF198" s="37"/>
      <c r="BG198" s="415">
        <v>0</v>
      </c>
      <c r="BH198" s="353">
        <v>0</v>
      </c>
      <c r="BI198" s="415">
        <v>0</v>
      </c>
      <c r="BJ198" s="353">
        <v>0</v>
      </c>
      <c r="BK198" s="415">
        <v>0</v>
      </c>
      <c r="BL198" s="353">
        <v>0</v>
      </c>
      <c r="BM198" s="416"/>
      <c r="BN198" s="415">
        <v>0</v>
      </c>
      <c r="BO198" s="353">
        <v>0</v>
      </c>
      <c r="BP198" s="415">
        <v>0</v>
      </c>
      <c r="BQ198" s="353">
        <v>0</v>
      </c>
      <c r="BR198" s="415">
        <v>0</v>
      </c>
      <c r="BS198" s="353">
        <v>0</v>
      </c>
      <c r="BT198" s="415">
        <v>0</v>
      </c>
      <c r="BU198" s="353">
        <v>0</v>
      </c>
      <c r="BV198" s="415">
        <v>0</v>
      </c>
      <c r="BW198" s="353">
        <v>0</v>
      </c>
      <c r="BY198" s="80"/>
      <c r="BZ198" s="65"/>
      <c r="CA198" s="40" t="s">
        <v>3</v>
      </c>
      <c r="CB198" s="65"/>
      <c r="CC198" s="40">
        <v>-98.874380165289267</v>
      </c>
      <c r="CD198" s="40">
        <v>-158.47438016528929</v>
      </c>
      <c r="CE198" s="40">
        <v>-182.47438016528929</v>
      </c>
      <c r="CF198" s="65"/>
      <c r="CG198" s="40">
        <v>-90.274380165289244</v>
      </c>
      <c r="CH198" s="40">
        <v>-198.27438016528924</v>
      </c>
      <c r="CI198" s="40">
        <v>-198.27438016528924</v>
      </c>
      <c r="CJ198" s="40">
        <v>-227.07438016528931</v>
      </c>
      <c r="CK198" s="40">
        <v>-227.07438016528931</v>
      </c>
    </row>
    <row r="199" spans="1:89" s="2" customFormat="1">
      <c r="A199" s="196" t="s">
        <v>1026</v>
      </c>
      <c r="B199" s="211" t="s">
        <v>60</v>
      </c>
      <c r="C199" s="211" t="s">
        <v>729</v>
      </c>
      <c r="D199" s="41">
        <v>801</v>
      </c>
      <c r="E199" s="41">
        <v>5.33</v>
      </c>
      <c r="F199" s="22" t="s">
        <v>391</v>
      </c>
      <c r="G199" s="40">
        <v>30</v>
      </c>
      <c r="H199" s="388">
        <v>671.07438016528931</v>
      </c>
      <c r="I199" s="321"/>
      <c r="J199" s="40" t="s">
        <v>3</v>
      </c>
      <c r="K199" s="36" t="s">
        <v>3</v>
      </c>
      <c r="L199" s="37"/>
      <c r="M199" s="35">
        <v>289</v>
      </c>
      <c r="N199" s="136">
        <v>9.5</v>
      </c>
      <c r="O199" s="35">
        <v>179</v>
      </c>
      <c r="P199" s="136">
        <v>11.200000000000001</v>
      </c>
      <c r="Q199" s="37">
        <v>179</v>
      </c>
      <c r="R199" s="136">
        <v>10.4</v>
      </c>
      <c r="S199" s="37"/>
      <c r="T199" s="35">
        <v>0</v>
      </c>
      <c r="U199" s="136">
        <v>19.400000000000002</v>
      </c>
      <c r="V199" s="35">
        <v>0</v>
      </c>
      <c r="W199" s="136">
        <v>15.8</v>
      </c>
      <c r="X199" s="35">
        <v>0</v>
      </c>
      <c r="Y199" s="149">
        <v>15.8</v>
      </c>
      <c r="Z199" s="35">
        <v>0</v>
      </c>
      <c r="AA199" s="136">
        <v>14.8</v>
      </c>
      <c r="AB199" s="37">
        <v>0</v>
      </c>
      <c r="AC199" s="136">
        <v>14.8</v>
      </c>
      <c r="AD199" s="37"/>
      <c r="AE199" s="40">
        <v>130</v>
      </c>
      <c r="AF199" s="65"/>
      <c r="AG199" s="35">
        <v>0</v>
      </c>
      <c r="AH199" s="36">
        <v>0</v>
      </c>
      <c r="AI199" s="37"/>
      <c r="AJ199" s="35">
        <v>227</v>
      </c>
      <c r="AK199" s="36">
        <v>285</v>
      </c>
      <c r="AL199" s="35">
        <v>286</v>
      </c>
      <c r="AM199" s="36">
        <v>336.00000000000006</v>
      </c>
      <c r="AN199" s="35">
        <v>310</v>
      </c>
      <c r="AO199" s="36">
        <v>312</v>
      </c>
      <c r="AP199" s="37"/>
      <c r="AQ199" s="35">
        <v>219</v>
      </c>
      <c r="AR199" s="36">
        <v>582.00000000000011</v>
      </c>
      <c r="AS199" s="35">
        <v>327</v>
      </c>
      <c r="AT199" s="36">
        <v>474</v>
      </c>
      <c r="AU199" s="35">
        <v>327</v>
      </c>
      <c r="AV199" s="36">
        <v>474</v>
      </c>
      <c r="AW199" s="35">
        <v>357</v>
      </c>
      <c r="AX199" s="36">
        <v>444</v>
      </c>
      <c r="AY199" s="35">
        <v>357</v>
      </c>
      <c r="AZ199" s="36">
        <v>444</v>
      </c>
      <c r="BB199" s="40">
        <v>0</v>
      </c>
      <c r="BC199" s="65"/>
      <c r="BD199" s="35">
        <v>0</v>
      </c>
      <c r="BE199" s="36">
        <v>0</v>
      </c>
      <c r="BF199" s="37"/>
      <c r="BG199" s="415">
        <v>0</v>
      </c>
      <c r="BH199" s="353">
        <v>0</v>
      </c>
      <c r="BI199" s="415">
        <v>0</v>
      </c>
      <c r="BJ199" s="353">
        <v>0</v>
      </c>
      <c r="BK199" s="415">
        <v>0</v>
      </c>
      <c r="BL199" s="353">
        <v>0</v>
      </c>
      <c r="BM199" s="416"/>
      <c r="BN199" s="415">
        <v>0</v>
      </c>
      <c r="BO199" s="353">
        <v>0</v>
      </c>
      <c r="BP199" s="415">
        <v>0</v>
      </c>
      <c r="BQ199" s="353">
        <v>0</v>
      </c>
      <c r="BR199" s="415">
        <v>0</v>
      </c>
      <c r="BS199" s="353">
        <v>0</v>
      </c>
      <c r="BT199" s="415">
        <v>0</v>
      </c>
      <c r="BU199" s="353">
        <v>0</v>
      </c>
      <c r="BV199" s="415">
        <v>0</v>
      </c>
      <c r="BW199" s="353">
        <v>0</v>
      </c>
      <c r="BY199" s="80"/>
      <c r="BZ199" s="65"/>
      <c r="CA199" s="40" t="s">
        <v>3</v>
      </c>
      <c r="CB199" s="65"/>
      <c r="CC199" s="40">
        <v>-97.074380165289313</v>
      </c>
      <c r="CD199" s="40">
        <v>-156.07438016528931</v>
      </c>
      <c r="CE199" s="40">
        <v>-180.07438016528931</v>
      </c>
      <c r="CF199" s="65"/>
      <c r="CG199" s="40">
        <v>-89.074380165289199</v>
      </c>
      <c r="CH199" s="40">
        <v>-197.07438016528931</v>
      </c>
      <c r="CI199" s="40">
        <v>-197.07438016528931</v>
      </c>
      <c r="CJ199" s="40">
        <v>-227.07438016528931</v>
      </c>
      <c r="CK199" s="40">
        <v>-227.07438016528931</v>
      </c>
    </row>
    <row r="200" spans="1:89" s="2" customFormat="1">
      <c r="A200" s="196" t="s">
        <v>1027</v>
      </c>
      <c r="B200" s="211" t="s">
        <v>60</v>
      </c>
      <c r="C200" s="211" t="s">
        <v>584</v>
      </c>
      <c r="D200" s="41">
        <v>1487</v>
      </c>
      <c r="E200" s="41">
        <v>5.33</v>
      </c>
      <c r="F200" s="41" t="s">
        <v>391</v>
      </c>
      <c r="G200" s="413">
        <v>24</v>
      </c>
      <c r="H200" s="414">
        <v>1228.9256198347107</v>
      </c>
      <c r="I200" s="321"/>
      <c r="J200" s="40" t="s">
        <v>3</v>
      </c>
      <c r="K200" s="36" t="s">
        <v>3</v>
      </c>
      <c r="L200" s="37"/>
      <c r="M200" s="35">
        <v>539</v>
      </c>
      <c r="N200" s="136">
        <v>22.400000000000002</v>
      </c>
      <c r="O200" s="35">
        <v>329</v>
      </c>
      <c r="P200" s="136">
        <v>28.6</v>
      </c>
      <c r="Q200" s="37">
        <v>329</v>
      </c>
      <c r="R200" s="136">
        <v>27.700000000000003</v>
      </c>
      <c r="S200" s="37"/>
      <c r="T200" s="35">
        <v>0</v>
      </c>
      <c r="U200" s="136">
        <v>45.1</v>
      </c>
      <c r="V200" s="35">
        <v>0</v>
      </c>
      <c r="W200" s="136">
        <v>39.300000000000004</v>
      </c>
      <c r="X200" s="35">
        <v>0</v>
      </c>
      <c r="Y200" s="149">
        <v>39.300000000000004</v>
      </c>
      <c r="Z200" s="35">
        <v>0</v>
      </c>
      <c r="AA200" s="136">
        <v>38</v>
      </c>
      <c r="AB200" s="37">
        <v>0</v>
      </c>
      <c r="AC200" s="136">
        <v>38</v>
      </c>
      <c r="AD200" s="37"/>
      <c r="AE200" s="40">
        <v>258</v>
      </c>
      <c r="AF200" s="65"/>
      <c r="AG200" s="35">
        <v>0</v>
      </c>
      <c r="AH200" s="36">
        <v>0</v>
      </c>
      <c r="AI200" s="37"/>
      <c r="AJ200" s="35">
        <v>410</v>
      </c>
      <c r="AK200" s="36">
        <v>537.6</v>
      </c>
      <c r="AL200" s="35">
        <v>472</v>
      </c>
      <c r="AM200" s="36">
        <v>686.40000000000009</v>
      </c>
      <c r="AN200" s="37">
        <v>493</v>
      </c>
      <c r="AO200" s="36">
        <v>664.80000000000007</v>
      </c>
      <c r="AP200" s="37"/>
      <c r="AQ200" s="35">
        <v>405</v>
      </c>
      <c r="AR200" s="36">
        <v>1082.4000000000001</v>
      </c>
      <c r="AS200" s="35">
        <v>544</v>
      </c>
      <c r="AT200" s="36">
        <v>943.2</v>
      </c>
      <c r="AU200" s="37">
        <v>544</v>
      </c>
      <c r="AV200" s="36">
        <v>943.2</v>
      </c>
      <c r="AW200" s="37">
        <v>575</v>
      </c>
      <c r="AX200" s="36">
        <v>912</v>
      </c>
      <c r="AY200" s="37">
        <v>575</v>
      </c>
      <c r="AZ200" s="36">
        <v>912</v>
      </c>
      <c r="BB200" s="40">
        <v>0</v>
      </c>
      <c r="BC200" s="65"/>
      <c r="BD200" s="35">
        <v>0</v>
      </c>
      <c r="BE200" s="36">
        <v>0</v>
      </c>
      <c r="BF200" s="37"/>
      <c r="BG200" s="415">
        <v>210</v>
      </c>
      <c r="BH200" s="353">
        <v>-7.1999999999999993</v>
      </c>
      <c r="BI200" s="415">
        <v>0</v>
      </c>
      <c r="BJ200" s="353">
        <v>0</v>
      </c>
      <c r="BK200" s="415">
        <v>0</v>
      </c>
      <c r="BL200" s="353">
        <v>0</v>
      </c>
      <c r="BM200" s="416"/>
      <c r="BN200" s="415">
        <v>0</v>
      </c>
      <c r="BO200" s="353">
        <v>0</v>
      </c>
      <c r="BP200" s="415">
        <v>0</v>
      </c>
      <c r="BQ200" s="353">
        <v>-1</v>
      </c>
      <c r="BR200" s="415">
        <v>0</v>
      </c>
      <c r="BS200" s="353">
        <v>-1</v>
      </c>
      <c r="BT200" s="415">
        <v>0</v>
      </c>
      <c r="BU200" s="353">
        <v>-2.3000000000000043</v>
      </c>
      <c r="BV200" s="415">
        <v>0</v>
      </c>
      <c r="BW200" s="353">
        <v>-2.3000000000000043</v>
      </c>
      <c r="BY200" s="80"/>
      <c r="BZ200" s="65"/>
      <c r="CA200" s="40" t="s">
        <v>3</v>
      </c>
      <c r="CB200" s="65"/>
      <c r="CC200" s="40">
        <v>-152.32561983471078</v>
      </c>
      <c r="CD200" s="40">
        <v>-213.5256198347106</v>
      </c>
      <c r="CE200" s="40">
        <v>-235.12561983471062</v>
      </c>
      <c r="CF200" s="65"/>
      <c r="CG200" s="40">
        <v>-146.5256198347106</v>
      </c>
      <c r="CH200" s="40">
        <v>-285.72561983471064</v>
      </c>
      <c r="CI200" s="40">
        <v>-285.72561983471064</v>
      </c>
      <c r="CJ200" s="40">
        <v>-316.92561983471069</v>
      </c>
      <c r="CK200" s="40">
        <v>-316.92561983471069</v>
      </c>
    </row>
    <row r="201" spans="1:89" s="2" customFormat="1">
      <c r="A201" s="196" t="s">
        <v>1028</v>
      </c>
      <c r="B201" s="211" t="s">
        <v>60</v>
      </c>
      <c r="C201" s="211" t="s">
        <v>584</v>
      </c>
      <c r="D201" s="41">
        <v>1487</v>
      </c>
      <c r="E201" s="41">
        <v>5.33</v>
      </c>
      <c r="F201" s="22" t="s">
        <v>391</v>
      </c>
      <c r="G201" s="40">
        <v>30</v>
      </c>
      <c r="H201" s="388">
        <v>1228.9256198347107</v>
      </c>
      <c r="I201" s="321"/>
      <c r="J201" s="40" t="s">
        <v>3</v>
      </c>
      <c r="K201" s="36" t="s">
        <v>3</v>
      </c>
      <c r="L201" s="37"/>
      <c r="M201" s="35">
        <v>539</v>
      </c>
      <c r="N201" s="136">
        <v>18</v>
      </c>
      <c r="O201" s="35">
        <v>329</v>
      </c>
      <c r="P201" s="136">
        <v>22.900000000000002</v>
      </c>
      <c r="Q201" s="37">
        <v>329</v>
      </c>
      <c r="R201" s="136">
        <v>22.200000000000003</v>
      </c>
      <c r="S201" s="37"/>
      <c r="T201" s="35">
        <v>0</v>
      </c>
      <c r="U201" s="136">
        <v>36.1</v>
      </c>
      <c r="V201" s="35">
        <v>0</v>
      </c>
      <c r="W201" s="136">
        <v>31.5</v>
      </c>
      <c r="X201" s="35">
        <v>0</v>
      </c>
      <c r="Y201" s="149">
        <v>31.5</v>
      </c>
      <c r="Z201" s="35">
        <v>0</v>
      </c>
      <c r="AA201" s="136">
        <v>30.400000000000002</v>
      </c>
      <c r="AB201" s="37">
        <v>0</v>
      </c>
      <c r="AC201" s="136">
        <v>30.400000000000002</v>
      </c>
      <c r="AD201" s="37"/>
      <c r="AE201" s="40">
        <v>258</v>
      </c>
      <c r="AF201" s="65"/>
      <c r="AG201" s="35">
        <v>0</v>
      </c>
      <c r="AH201" s="36">
        <v>0</v>
      </c>
      <c r="AI201" s="37"/>
      <c r="AJ201" s="35">
        <v>408</v>
      </c>
      <c r="AK201" s="36">
        <v>540</v>
      </c>
      <c r="AL201" s="35">
        <v>471</v>
      </c>
      <c r="AM201" s="36">
        <v>687.00000000000011</v>
      </c>
      <c r="AN201" s="35">
        <v>492</v>
      </c>
      <c r="AO201" s="36">
        <v>666.00000000000011</v>
      </c>
      <c r="AP201" s="37"/>
      <c r="AQ201" s="35">
        <v>404</v>
      </c>
      <c r="AR201" s="36">
        <v>1083</v>
      </c>
      <c r="AS201" s="35">
        <v>542</v>
      </c>
      <c r="AT201" s="36">
        <v>945</v>
      </c>
      <c r="AU201" s="35">
        <v>542</v>
      </c>
      <c r="AV201" s="36">
        <v>945</v>
      </c>
      <c r="AW201" s="35">
        <v>575</v>
      </c>
      <c r="AX201" s="36">
        <v>912.00000000000011</v>
      </c>
      <c r="AY201" s="35">
        <v>575</v>
      </c>
      <c r="AZ201" s="36">
        <v>912.00000000000011</v>
      </c>
      <c r="BB201" s="40">
        <v>0</v>
      </c>
      <c r="BC201" s="65"/>
      <c r="BD201" s="35">
        <v>0</v>
      </c>
      <c r="BE201" s="36">
        <v>0</v>
      </c>
      <c r="BF201" s="37"/>
      <c r="BG201" s="415">
        <v>210</v>
      </c>
      <c r="BH201" s="353">
        <v>-5.7000000000000028</v>
      </c>
      <c r="BI201" s="415">
        <v>0</v>
      </c>
      <c r="BJ201" s="353">
        <v>0</v>
      </c>
      <c r="BK201" s="415">
        <v>0</v>
      </c>
      <c r="BL201" s="353">
        <v>0</v>
      </c>
      <c r="BM201" s="416"/>
      <c r="BN201" s="415">
        <v>0</v>
      </c>
      <c r="BO201" s="353">
        <v>0</v>
      </c>
      <c r="BP201" s="415">
        <v>0</v>
      </c>
      <c r="BQ201" s="353">
        <v>-0.80000000000000426</v>
      </c>
      <c r="BR201" s="415">
        <v>0</v>
      </c>
      <c r="BS201" s="353">
        <v>-0.80000000000000426</v>
      </c>
      <c r="BT201" s="415">
        <v>0</v>
      </c>
      <c r="BU201" s="353">
        <v>-1.8000000000000007</v>
      </c>
      <c r="BV201" s="415">
        <v>0</v>
      </c>
      <c r="BW201" s="353">
        <v>-1.8000000000000007</v>
      </c>
      <c r="BY201" s="80"/>
      <c r="BZ201" s="65"/>
      <c r="CA201" s="40" t="s">
        <v>3</v>
      </c>
      <c r="CB201" s="65"/>
      <c r="CC201" s="40">
        <v>-149.92561983471069</v>
      </c>
      <c r="CD201" s="40">
        <v>-212.92561983471057</v>
      </c>
      <c r="CE201" s="40">
        <v>-233.92561983471057</v>
      </c>
      <c r="CF201" s="65"/>
      <c r="CG201" s="40">
        <v>-145.92561983471069</v>
      </c>
      <c r="CH201" s="40">
        <v>-283.92561983471069</v>
      </c>
      <c r="CI201" s="40">
        <v>-283.92561983471069</v>
      </c>
      <c r="CJ201" s="40">
        <v>-316.92561983471057</v>
      </c>
      <c r="CK201" s="40">
        <v>-316.92561983471057</v>
      </c>
    </row>
    <row r="202" spans="1:89" s="2" customFormat="1">
      <c r="A202" s="196" t="s">
        <v>1029</v>
      </c>
      <c r="B202" s="211" t="s">
        <v>60</v>
      </c>
      <c r="C202" s="435" t="s">
        <v>730</v>
      </c>
      <c r="D202" s="41">
        <v>1487</v>
      </c>
      <c r="E202" s="41">
        <v>5.33</v>
      </c>
      <c r="F202" s="41" t="s">
        <v>391</v>
      </c>
      <c r="G202" s="413">
        <v>24</v>
      </c>
      <c r="H202" s="414">
        <v>1248.7603305785124</v>
      </c>
      <c r="I202" s="321"/>
      <c r="J202" s="40" t="s">
        <v>3</v>
      </c>
      <c r="K202" s="36" t="s">
        <v>3</v>
      </c>
      <c r="L202" s="37"/>
      <c r="M202" s="35">
        <v>549</v>
      </c>
      <c r="N202" s="136">
        <v>22.8</v>
      </c>
      <c r="O202" s="35">
        <v>329</v>
      </c>
      <c r="P202" s="136">
        <v>29</v>
      </c>
      <c r="Q202" s="37">
        <v>329</v>
      </c>
      <c r="R202" s="136">
        <v>28.400000000000002</v>
      </c>
      <c r="S202" s="37"/>
      <c r="T202" s="35">
        <v>0</v>
      </c>
      <c r="U202" s="136">
        <v>45.900000000000006</v>
      </c>
      <c r="V202" s="35">
        <v>0</v>
      </c>
      <c r="W202" s="136">
        <v>41.400000000000006</v>
      </c>
      <c r="X202" s="35">
        <v>0</v>
      </c>
      <c r="Y202" s="149">
        <v>38</v>
      </c>
      <c r="Z202" s="35">
        <v>0</v>
      </c>
      <c r="AA202" s="136">
        <v>38</v>
      </c>
      <c r="AB202" s="37">
        <v>0</v>
      </c>
      <c r="AC202" s="136">
        <v>38</v>
      </c>
      <c r="AD202" s="37"/>
      <c r="AE202" s="40">
        <v>238</v>
      </c>
      <c r="AF202" s="65"/>
      <c r="AG202" s="35">
        <v>0</v>
      </c>
      <c r="AH202" s="36">
        <v>0</v>
      </c>
      <c r="AI202" s="37"/>
      <c r="AJ202" s="35">
        <v>391</v>
      </c>
      <c r="AK202" s="36">
        <v>547.20000000000005</v>
      </c>
      <c r="AL202" s="35">
        <v>462</v>
      </c>
      <c r="AM202" s="36">
        <v>696</v>
      </c>
      <c r="AN202" s="37">
        <v>476</v>
      </c>
      <c r="AO202" s="36">
        <v>681.6</v>
      </c>
      <c r="AP202" s="37"/>
      <c r="AQ202" s="35">
        <v>385</v>
      </c>
      <c r="AR202" s="36">
        <v>1101.6000000000001</v>
      </c>
      <c r="AS202" s="35">
        <v>493</v>
      </c>
      <c r="AT202" s="36">
        <v>993.60000000000014</v>
      </c>
      <c r="AU202" s="37">
        <v>575</v>
      </c>
      <c r="AV202" s="36">
        <v>912</v>
      </c>
      <c r="AW202" s="37">
        <v>575</v>
      </c>
      <c r="AX202" s="36">
        <v>912</v>
      </c>
      <c r="AY202" s="37">
        <v>575</v>
      </c>
      <c r="AZ202" s="36">
        <v>912</v>
      </c>
      <c r="BB202" s="40">
        <v>0</v>
      </c>
      <c r="BC202" s="65"/>
      <c r="BD202" s="35">
        <v>0</v>
      </c>
      <c r="BE202" s="36">
        <v>0</v>
      </c>
      <c r="BF202" s="37"/>
      <c r="BG202" s="415">
        <v>0</v>
      </c>
      <c r="BH202" s="353">
        <v>0</v>
      </c>
      <c r="BI202" s="415">
        <v>0</v>
      </c>
      <c r="BJ202" s="353">
        <v>0</v>
      </c>
      <c r="BK202" s="415">
        <v>0</v>
      </c>
      <c r="BL202" s="353">
        <v>0</v>
      </c>
      <c r="BM202" s="416"/>
      <c r="BN202" s="415">
        <v>0</v>
      </c>
      <c r="BO202" s="353">
        <v>0</v>
      </c>
      <c r="BP202" s="415">
        <v>0</v>
      </c>
      <c r="BQ202" s="353">
        <v>0</v>
      </c>
      <c r="BR202" s="415">
        <v>0</v>
      </c>
      <c r="BS202" s="353">
        <v>0</v>
      </c>
      <c r="BT202" s="415">
        <v>0</v>
      </c>
      <c r="BU202" s="353">
        <v>0</v>
      </c>
      <c r="BV202" s="415">
        <v>0</v>
      </c>
      <c r="BW202" s="353">
        <v>0</v>
      </c>
      <c r="BY202" s="80"/>
      <c r="BZ202" s="65"/>
      <c r="CA202" s="40" t="s">
        <v>3</v>
      </c>
      <c r="CB202" s="65"/>
      <c r="CC202" s="40">
        <v>-152.56033057851232</v>
      </c>
      <c r="CD202" s="40">
        <v>-223.76033057851237</v>
      </c>
      <c r="CE202" s="40">
        <v>-238.16033057851234</v>
      </c>
      <c r="CF202" s="65"/>
      <c r="CG202" s="40">
        <v>-147.16033057851223</v>
      </c>
      <c r="CH202" s="40">
        <v>-255.16033057851223</v>
      </c>
      <c r="CI202" s="40">
        <v>-336.76033057851237</v>
      </c>
      <c r="CJ202" s="40">
        <v>-336.76033057851237</v>
      </c>
      <c r="CK202" s="40">
        <v>-336.76033057851237</v>
      </c>
    </row>
    <row r="203" spans="1:89" s="2" customFormat="1">
      <c r="A203" s="196" t="s">
        <v>1030</v>
      </c>
      <c r="B203" s="211" t="s">
        <v>60</v>
      </c>
      <c r="C203" s="435" t="s">
        <v>730</v>
      </c>
      <c r="D203" s="41">
        <v>1487</v>
      </c>
      <c r="E203" s="41">
        <v>5.33</v>
      </c>
      <c r="F203" s="22" t="s">
        <v>391</v>
      </c>
      <c r="G203" s="40">
        <v>30</v>
      </c>
      <c r="H203" s="388">
        <v>1248.7603305785124</v>
      </c>
      <c r="I203" s="321"/>
      <c r="J203" s="40" t="s">
        <v>3</v>
      </c>
      <c r="K203" s="36" t="s">
        <v>3</v>
      </c>
      <c r="L203" s="37"/>
      <c r="M203" s="35">
        <v>549</v>
      </c>
      <c r="N203" s="136">
        <v>18.3</v>
      </c>
      <c r="O203" s="35">
        <v>329</v>
      </c>
      <c r="P203" s="136">
        <v>23.200000000000003</v>
      </c>
      <c r="Q203" s="37">
        <v>329</v>
      </c>
      <c r="R203" s="136">
        <v>22.8</v>
      </c>
      <c r="S203" s="37"/>
      <c r="T203" s="35">
        <v>0</v>
      </c>
      <c r="U203" s="136">
        <v>36.800000000000004</v>
      </c>
      <c r="V203" s="35">
        <v>0</v>
      </c>
      <c r="W203" s="136">
        <v>33.200000000000003</v>
      </c>
      <c r="X203" s="35">
        <v>0</v>
      </c>
      <c r="Y203" s="149">
        <v>30.400000000000002</v>
      </c>
      <c r="Z203" s="35">
        <v>0</v>
      </c>
      <c r="AA203" s="136">
        <v>30.400000000000002</v>
      </c>
      <c r="AB203" s="37">
        <v>0</v>
      </c>
      <c r="AC203" s="136">
        <v>30.400000000000002</v>
      </c>
      <c r="AD203" s="37"/>
      <c r="AE203" s="40">
        <v>238</v>
      </c>
      <c r="AF203" s="65"/>
      <c r="AG203" s="35">
        <v>0</v>
      </c>
      <c r="AH203" s="36">
        <v>0</v>
      </c>
      <c r="AI203" s="37"/>
      <c r="AJ203" s="35">
        <v>389</v>
      </c>
      <c r="AK203" s="36">
        <v>549</v>
      </c>
      <c r="AL203" s="35">
        <v>462</v>
      </c>
      <c r="AM203" s="36">
        <v>696.00000000000011</v>
      </c>
      <c r="AN203" s="35">
        <v>474</v>
      </c>
      <c r="AO203" s="36">
        <v>684</v>
      </c>
      <c r="AP203" s="37"/>
      <c r="AQ203" s="35">
        <v>383</v>
      </c>
      <c r="AR203" s="36">
        <v>1104.0000000000002</v>
      </c>
      <c r="AS203" s="35">
        <v>491</v>
      </c>
      <c r="AT203" s="36">
        <v>996.00000000000011</v>
      </c>
      <c r="AU203" s="35">
        <v>575</v>
      </c>
      <c r="AV203" s="36">
        <v>912.00000000000011</v>
      </c>
      <c r="AW203" s="35">
        <v>575</v>
      </c>
      <c r="AX203" s="36">
        <v>912.00000000000011</v>
      </c>
      <c r="AY203" s="35">
        <v>575</v>
      </c>
      <c r="AZ203" s="36">
        <v>912.00000000000011</v>
      </c>
      <c r="BB203" s="40">
        <v>0</v>
      </c>
      <c r="BC203" s="65"/>
      <c r="BD203" s="35">
        <v>0</v>
      </c>
      <c r="BE203" s="36">
        <v>0</v>
      </c>
      <c r="BF203" s="37"/>
      <c r="BG203" s="415">
        <v>0</v>
      </c>
      <c r="BH203" s="353">
        <v>0</v>
      </c>
      <c r="BI203" s="415">
        <v>0</v>
      </c>
      <c r="BJ203" s="353">
        <v>0</v>
      </c>
      <c r="BK203" s="415">
        <v>0</v>
      </c>
      <c r="BL203" s="353">
        <v>0</v>
      </c>
      <c r="BM203" s="416"/>
      <c r="BN203" s="415">
        <v>0</v>
      </c>
      <c r="BO203" s="353">
        <v>0</v>
      </c>
      <c r="BP203" s="415">
        <v>0</v>
      </c>
      <c r="BQ203" s="353">
        <v>0</v>
      </c>
      <c r="BR203" s="415">
        <v>0</v>
      </c>
      <c r="BS203" s="353">
        <v>0</v>
      </c>
      <c r="BT203" s="415">
        <v>0</v>
      </c>
      <c r="BU203" s="353">
        <v>0</v>
      </c>
      <c r="BV203" s="415">
        <v>0</v>
      </c>
      <c r="BW203" s="353">
        <v>0</v>
      </c>
      <c r="BY203" s="80"/>
      <c r="BZ203" s="65"/>
      <c r="CA203" s="40" t="s">
        <v>3</v>
      </c>
      <c r="CB203" s="65"/>
      <c r="CC203" s="40">
        <v>-150.76033057851237</v>
      </c>
      <c r="CD203" s="40">
        <v>-223.76033057851237</v>
      </c>
      <c r="CE203" s="40">
        <v>-235.76033057851237</v>
      </c>
      <c r="CF203" s="65"/>
      <c r="CG203" s="40">
        <v>-144.76033057851214</v>
      </c>
      <c r="CH203" s="40">
        <v>-252.76033057851225</v>
      </c>
      <c r="CI203" s="40">
        <v>-336.76033057851225</v>
      </c>
      <c r="CJ203" s="40">
        <v>-336.76033057851225</v>
      </c>
      <c r="CK203" s="40">
        <v>-336.76033057851225</v>
      </c>
    </row>
    <row r="204" spans="1:89" s="2" customFormat="1">
      <c r="A204" s="196" t="s">
        <v>984</v>
      </c>
      <c r="B204" s="211" t="s">
        <v>670</v>
      </c>
      <c r="C204" s="435" t="s">
        <v>705</v>
      </c>
      <c r="D204" s="41">
        <v>137</v>
      </c>
      <c r="E204" s="41">
        <v>3.75</v>
      </c>
      <c r="F204" s="22" t="s">
        <v>381</v>
      </c>
      <c r="G204" s="40">
        <v>24</v>
      </c>
      <c r="H204" s="388">
        <v>136.36363636363637</v>
      </c>
      <c r="I204" s="321"/>
      <c r="J204" s="40" t="s">
        <v>3</v>
      </c>
      <c r="K204" s="36" t="s">
        <v>3</v>
      </c>
      <c r="L204" s="37"/>
      <c r="M204" s="35">
        <v>19</v>
      </c>
      <c r="N204" s="136">
        <v>4</v>
      </c>
      <c r="O204" s="35">
        <v>0</v>
      </c>
      <c r="P204" s="136">
        <v>1.7000000000000002</v>
      </c>
      <c r="Q204" s="37">
        <v>0</v>
      </c>
      <c r="R204" s="136">
        <v>0.9</v>
      </c>
      <c r="S204" s="37"/>
      <c r="T204" s="35">
        <v>0</v>
      </c>
      <c r="U204" s="136">
        <v>5</v>
      </c>
      <c r="V204" s="35">
        <v>0</v>
      </c>
      <c r="W204" s="136">
        <v>0.9</v>
      </c>
      <c r="X204" s="35">
        <v>0</v>
      </c>
      <c r="Y204" s="149">
        <v>0.9</v>
      </c>
      <c r="Z204" s="35">
        <v>0</v>
      </c>
      <c r="AA204" s="136">
        <v>0.8</v>
      </c>
      <c r="AB204" s="37">
        <v>0</v>
      </c>
      <c r="AC204" s="136">
        <v>0.8</v>
      </c>
      <c r="AD204" s="37"/>
      <c r="AE204" s="40">
        <v>1</v>
      </c>
      <c r="AF204" s="65"/>
      <c r="AG204" s="35">
        <v>0</v>
      </c>
      <c r="AH204" s="36">
        <v>0</v>
      </c>
      <c r="AI204" s="37"/>
      <c r="AJ204" s="35">
        <v>22</v>
      </c>
      <c r="AK204" s="36">
        <v>96</v>
      </c>
      <c r="AL204" s="35">
        <v>96</v>
      </c>
      <c r="AM204" s="36">
        <v>40.800000000000004</v>
      </c>
      <c r="AN204" s="37">
        <v>115</v>
      </c>
      <c r="AO204" s="36">
        <v>21.6</v>
      </c>
      <c r="AP204" s="37"/>
      <c r="AQ204" s="35">
        <v>17</v>
      </c>
      <c r="AR204" s="36">
        <v>120</v>
      </c>
      <c r="AS204" s="35">
        <v>115</v>
      </c>
      <c r="AT204" s="36">
        <v>21.6</v>
      </c>
      <c r="AU204" s="37">
        <v>115</v>
      </c>
      <c r="AV204" s="36">
        <v>21.6</v>
      </c>
      <c r="AW204" s="37">
        <v>118</v>
      </c>
      <c r="AX204" s="36">
        <v>19.200000000000003</v>
      </c>
      <c r="AY204" s="37">
        <v>118</v>
      </c>
      <c r="AZ204" s="36">
        <v>19.200000000000003</v>
      </c>
      <c r="BB204" s="40">
        <v>0</v>
      </c>
      <c r="BC204" s="65"/>
      <c r="BD204" s="35">
        <v>0</v>
      </c>
      <c r="BE204" s="36">
        <v>0</v>
      </c>
      <c r="BF204" s="37"/>
      <c r="BG204" s="415">
        <v>0</v>
      </c>
      <c r="BH204" s="353">
        <v>0</v>
      </c>
      <c r="BI204" s="415">
        <v>0</v>
      </c>
      <c r="BJ204" s="353">
        <v>0</v>
      </c>
      <c r="BK204" s="415">
        <v>0</v>
      </c>
      <c r="BL204" s="353">
        <v>0</v>
      </c>
      <c r="BM204" s="416"/>
      <c r="BN204" s="415">
        <v>0</v>
      </c>
      <c r="BO204" s="353">
        <v>0</v>
      </c>
      <c r="BP204" s="415">
        <v>0</v>
      </c>
      <c r="BQ204" s="353">
        <v>0</v>
      </c>
      <c r="BR204" s="415">
        <v>0</v>
      </c>
      <c r="BS204" s="353">
        <v>0</v>
      </c>
      <c r="BT204" s="415">
        <v>0</v>
      </c>
      <c r="BU204" s="353">
        <v>0</v>
      </c>
      <c r="BV204" s="415">
        <v>0</v>
      </c>
      <c r="BW204" s="353">
        <v>0</v>
      </c>
      <c r="BY204" s="80"/>
      <c r="BZ204" s="65"/>
      <c r="CA204" s="40" t="s">
        <v>3</v>
      </c>
      <c r="CB204" s="65"/>
      <c r="CC204" s="40">
        <v>-21.363636363636374</v>
      </c>
      <c r="CD204" s="40">
        <v>-95.563636363636363</v>
      </c>
      <c r="CE204" s="40">
        <v>-114.76363636363638</v>
      </c>
      <c r="CF204" s="65"/>
      <c r="CG204" s="40">
        <v>-16.363636363636374</v>
      </c>
      <c r="CH204" s="40">
        <v>-114.76363636363638</v>
      </c>
      <c r="CI204" s="40">
        <v>-114.76363636363638</v>
      </c>
      <c r="CJ204" s="40">
        <v>-117.16363636363637</v>
      </c>
      <c r="CK204" s="40">
        <v>-117.16363636363637</v>
      </c>
    </row>
    <row r="205" spans="1:89" s="2" customFormat="1">
      <c r="A205" s="196" t="s">
        <v>968</v>
      </c>
      <c r="B205" s="211" t="s">
        <v>670</v>
      </c>
      <c r="C205" s="211" t="s">
        <v>614</v>
      </c>
      <c r="D205" s="41">
        <v>204</v>
      </c>
      <c r="E205" s="41">
        <v>3.75</v>
      </c>
      <c r="F205" s="41" t="s">
        <v>381</v>
      </c>
      <c r="G205" s="413">
        <v>24</v>
      </c>
      <c r="H205" s="414">
        <v>173.55371900826447</v>
      </c>
      <c r="I205" s="321"/>
      <c r="J205" s="40" t="s">
        <v>3</v>
      </c>
      <c r="K205" s="36" t="s">
        <v>3</v>
      </c>
      <c r="L205" s="37"/>
      <c r="M205" s="35">
        <v>29</v>
      </c>
      <c r="N205" s="136">
        <v>4.8000000000000007</v>
      </c>
      <c r="O205" s="35">
        <v>0</v>
      </c>
      <c r="P205" s="136">
        <v>2.9000000000000004</v>
      </c>
      <c r="Q205" s="37">
        <v>0</v>
      </c>
      <c r="R205" s="136">
        <v>2.1</v>
      </c>
      <c r="S205" s="37"/>
      <c r="T205" s="35">
        <v>0</v>
      </c>
      <c r="U205" s="136">
        <v>6</v>
      </c>
      <c r="V205" s="35">
        <v>0</v>
      </c>
      <c r="W205" s="136">
        <v>1.7000000000000002</v>
      </c>
      <c r="X205" s="35">
        <v>0</v>
      </c>
      <c r="Y205" s="149">
        <v>1.7000000000000002</v>
      </c>
      <c r="Z205" s="35">
        <v>0</v>
      </c>
      <c r="AA205" s="136">
        <v>1.7000000000000002</v>
      </c>
      <c r="AB205" s="37">
        <v>0</v>
      </c>
      <c r="AC205" s="136">
        <v>1.7000000000000002</v>
      </c>
      <c r="AD205" s="37"/>
      <c r="AE205" s="40">
        <v>30</v>
      </c>
      <c r="AF205" s="65"/>
      <c r="AG205" s="35">
        <v>0</v>
      </c>
      <c r="AH205" s="36">
        <v>0</v>
      </c>
      <c r="AI205" s="37"/>
      <c r="AJ205" s="35">
        <v>60</v>
      </c>
      <c r="AK205" s="36">
        <v>115.20000000000002</v>
      </c>
      <c r="AL205" s="35">
        <v>134</v>
      </c>
      <c r="AM205" s="36">
        <v>69.600000000000009</v>
      </c>
      <c r="AN205" s="35">
        <v>154</v>
      </c>
      <c r="AO205" s="36">
        <v>50.400000000000006</v>
      </c>
      <c r="AP205" s="37"/>
      <c r="AQ205" s="35">
        <v>60</v>
      </c>
      <c r="AR205" s="36">
        <v>144</v>
      </c>
      <c r="AS205" s="35">
        <v>163</v>
      </c>
      <c r="AT205" s="36">
        <v>40.800000000000004</v>
      </c>
      <c r="AU205" s="35">
        <v>163</v>
      </c>
      <c r="AV205" s="36">
        <v>40.800000000000004</v>
      </c>
      <c r="AW205" s="35">
        <v>163</v>
      </c>
      <c r="AX205" s="36">
        <v>40.800000000000004</v>
      </c>
      <c r="AY205" s="35">
        <v>163</v>
      </c>
      <c r="AZ205" s="36">
        <v>40.800000000000004</v>
      </c>
      <c r="BB205" s="40">
        <v>0</v>
      </c>
      <c r="BC205" s="65"/>
      <c r="BD205" s="35">
        <v>0</v>
      </c>
      <c r="BE205" s="36">
        <v>0</v>
      </c>
      <c r="BF205" s="37"/>
      <c r="BG205" s="415">
        <v>29</v>
      </c>
      <c r="BH205" s="353">
        <v>0.80000000000000071</v>
      </c>
      <c r="BI205" s="415">
        <v>0</v>
      </c>
      <c r="BJ205" s="353">
        <v>0</v>
      </c>
      <c r="BK205" s="415">
        <v>0</v>
      </c>
      <c r="BL205" s="353">
        <v>0</v>
      </c>
      <c r="BM205" s="416"/>
      <c r="BN205" s="415">
        <v>0</v>
      </c>
      <c r="BO205" s="353">
        <v>0</v>
      </c>
      <c r="BP205" s="415">
        <v>0</v>
      </c>
      <c r="BQ205" s="353">
        <v>0</v>
      </c>
      <c r="BR205" s="415">
        <v>0</v>
      </c>
      <c r="BS205" s="353">
        <v>0</v>
      </c>
      <c r="BT205" s="415">
        <v>0</v>
      </c>
      <c r="BU205" s="353">
        <v>0</v>
      </c>
      <c r="BV205" s="415">
        <v>0</v>
      </c>
      <c r="BW205" s="353">
        <v>0</v>
      </c>
      <c r="BY205" s="80"/>
      <c r="BZ205" s="65"/>
      <c r="CA205" s="40" t="s">
        <v>3</v>
      </c>
      <c r="CB205" s="65"/>
      <c r="CC205" s="40">
        <v>-29.353719008264449</v>
      </c>
      <c r="CD205" s="40">
        <v>-103.95371900826446</v>
      </c>
      <c r="CE205" s="40">
        <v>-123.15371900826446</v>
      </c>
      <c r="CF205" s="65"/>
      <c r="CG205" s="40">
        <v>-29.553719008264466</v>
      </c>
      <c r="CH205" s="40">
        <v>-132.75371900826445</v>
      </c>
      <c r="CI205" s="40">
        <v>-132.75371900826445</v>
      </c>
      <c r="CJ205" s="40">
        <v>-132.75371900826445</v>
      </c>
      <c r="CK205" s="40">
        <v>-132.75371900826445</v>
      </c>
    </row>
    <row r="206" spans="1:89" s="2" customFormat="1">
      <c r="A206" s="196" t="s">
        <v>982</v>
      </c>
      <c r="B206" s="211" t="s">
        <v>58</v>
      </c>
      <c r="C206" s="435" t="s">
        <v>706</v>
      </c>
      <c r="D206" s="41">
        <v>367</v>
      </c>
      <c r="E206" s="41">
        <v>3.75</v>
      </c>
      <c r="F206" s="41" t="s">
        <v>381</v>
      </c>
      <c r="G206" s="413">
        <v>24</v>
      </c>
      <c r="H206" s="414">
        <v>366.11570247933884</v>
      </c>
      <c r="I206" s="321"/>
      <c r="J206" s="40" t="s">
        <v>3</v>
      </c>
      <c r="K206" s="36" t="s">
        <v>3</v>
      </c>
      <c r="L206" s="37"/>
      <c r="M206" s="35">
        <v>129</v>
      </c>
      <c r="N206" s="136">
        <v>7.1000000000000005</v>
      </c>
      <c r="O206" s="35">
        <v>19</v>
      </c>
      <c r="P206" s="136">
        <v>8.7000000000000011</v>
      </c>
      <c r="Q206" s="37">
        <v>19</v>
      </c>
      <c r="R206" s="136">
        <v>7.9</v>
      </c>
      <c r="S206" s="37"/>
      <c r="T206" s="35">
        <v>0</v>
      </c>
      <c r="U206" s="136">
        <v>12.4</v>
      </c>
      <c r="V206" s="35">
        <v>0</v>
      </c>
      <c r="W206" s="136">
        <v>9.1</v>
      </c>
      <c r="X206" s="35">
        <v>0</v>
      </c>
      <c r="Y206" s="149">
        <v>9.1</v>
      </c>
      <c r="Z206" s="35">
        <v>0</v>
      </c>
      <c r="AA206" s="136">
        <v>9.1</v>
      </c>
      <c r="AB206" s="37">
        <v>0</v>
      </c>
      <c r="AC206" s="136">
        <v>9.1</v>
      </c>
      <c r="AD206" s="37"/>
      <c r="AE206" s="40">
        <v>1</v>
      </c>
      <c r="AF206" s="65"/>
      <c r="AG206" s="35">
        <v>0</v>
      </c>
      <c r="AH206" s="36">
        <v>0</v>
      </c>
      <c r="AI206" s="37"/>
      <c r="AJ206" s="35">
        <v>68</v>
      </c>
      <c r="AK206" s="36">
        <v>170.4</v>
      </c>
      <c r="AL206" s="35">
        <v>139</v>
      </c>
      <c r="AM206" s="36">
        <v>208.8</v>
      </c>
      <c r="AN206" s="37">
        <v>158</v>
      </c>
      <c r="AO206" s="36">
        <v>189.60000000000002</v>
      </c>
      <c r="AP206" s="37"/>
      <c r="AQ206" s="35">
        <v>69</v>
      </c>
      <c r="AR206" s="36">
        <v>297.60000000000002</v>
      </c>
      <c r="AS206" s="35">
        <v>149</v>
      </c>
      <c r="AT206" s="36">
        <v>218.39999999999998</v>
      </c>
      <c r="AU206" s="37">
        <v>149</v>
      </c>
      <c r="AV206" s="36">
        <v>218.39999999999998</v>
      </c>
      <c r="AW206" s="37">
        <v>149</v>
      </c>
      <c r="AX206" s="36">
        <v>218.39999999999998</v>
      </c>
      <c r="AY206" s="37">
        <v>149</v>
      </c>
      <c r="AZ206" s="36">
        <v>218.39999999999998</v>
      </c>
      <c r="BB206" s="40">
        <v>0</v>
      </c>
      <c r="BC206" s="65"/>
      <c r="BD206" s="35">
        <v>0</v>
      </c>
      <c r="BE206" s="36">
        <v>0</v>
      </c>
      <c r="BF206" s="37"/>
      <c r="BG206" s="415">
        <v>0</v>
      </c>
      <c r="BH206" s="353">
        <v>0</v>
      </c>
      <c r="BI206" s="415">
        <v>0</v>
      </c>
      <c r="BJ206" s="353">
        <v>0</v>
      </c>
      <c r="BK206" s="415">
        <v>0</v>
      </c>
      <c r="BL206" s="353">
        <v>0</v>
      </c>
      <c r="BM206" s="416"/>
      <c r="BN206" s="415">
        <v>0</v>
      </c>
      <c r="BO206" s="353">
        <v>0</v>
      </c>
      <c r="BP206" s="415">
        <v>0</v>
      </c>
      <c r="BQ206" s="353">
        <v>0</v>
      </c>
      <c r="BR206" s="415">
        <v>0</v>
      </c>
      <c r="BS206" s="353">
        <v>0</v>
      </c>
      <c r="BT206" s="415">
        <v>0</v>
      </c>
      <c r="BU206" s="353">
        <v>0</v>
      </c>
      <c r="BV206" s="415">
        <v>0</v>
      </c>
      <c r="BW206" s="353">
        <v>0</v>
      </c>
      <c r="BY206" s="80"/>
      <c r="BZ206" s="65"/>
      <c r="CA206" s="40" t="s">
        <v>3</v>
      </c>
      <c r="CB206" s="65"/>
      <c r="CC206" s="40">
        <v>-66.715702479338859</v>
      </c>
      <c r="CD206" s="40">
        <v>-138.31570247933882</v>
      </c>
      <c r="CE206" s="40">
        <v>-157.51570247933881</v>
      </c>
      <c r="CF206" s="65"/>
      <c r="CG206" s="40">
        <v>-68.515702479338813</v>
      </c>
      <c r="CH206" s="40">
        <v>-147.71570247933886</v>
      </c>
      <c r="CI206" s="40">
        <v>-147.71570247933886</v>
      </c>
      <c r="CJ206" s="40">
        <v>-147.71570247933886</v>
      </c>
      <c r="CK206" s="40">
        <v>-147.71570247933886</v>
      </c>
    </row>
    <row r="207" spans="1:89" s="2" customFormat="1">
      <c r="A207" s="196" t="s">
        <v>965</v>
      </c>
      <c r="B207" s="211" t="s">
        <v>58</v>
      </c>
      <c r="C207" s="211" t="s">
        <v>615</v>
      </c>
      <c r="D207" s="41">
        <v>623</v>
      </c>
      <c r="E207" s="41">
        <v>3.75</v>
      </c>
      <c r="F207" s="22" t="s">
        <v>381</v>
      </c>
      <c r="G207" s="40">
        <v>24</v>
      </c>
      <c r="H207" s="388">
        <v>622.31404958677683</v>
      </c>
      <c r="I207" s="321"/>
      <c r="J207" s="40" t="s">
        <v>3</v>
      </c>
      <c r="K207" s="36" t="s">
        <v>3</v>
      </c>
      <c r="L207" s="37"/>
      <c r="M207" s="35">
        <v>269</v>
      </c>
      <c r="N207" s="136">
        <v>10.600000000000001</v>
      </c>
      <c r="O207" s="35">
        <v>159</v>
      </c>
      <c r="P207" s="136">
        <v>12.200000000000001</v>
      </c>
      <c r="Q207" s="37">
        <v>159</v>
      </c>
      <c r="R207" s="136">
        <v>11.4</v>
      </c>
      <c r="S207" s="37"/>
      <c r="T207" s="35">
        <v>0</v>
      </c>
      <c r="U207" s="136">
        <v>22</v>
      </c>
      <c r="V207" s="35">
        <v>0</v>
      </c>
      <c r="W207" s="136">
        <v>21.1</v>
      </c>
      <c r="X207" s="35">
        <v>0</v>
      </c>
      <c r="Y207" s="149">
        <v>19.700000000000003</v>
      </c>
      <c r="Z207" s="35">
        <v>0</v>
      </c>
      <c r="AA207" s="136">
        <v>19.600000000000001</v>
      </c>
      <c r="AB207" s="37">
        <v>0</v>
      </c>
      <c r="AC207" s="136">
        <v>19.600000000000001</v>
      </c>
      <c r="AD207" s="37"/>
      <c r="AE207" s="40">
        <v>1</v>
      </c>
      <c r="AF207" s="65"/>
      <c r="AG207" s="35">
        <v>0</v>
      </c>
      <c r="AH207" s="36">
        <v>0</v>
      </c>
      <c r="AI207" s="37"/>
      <c r="AJ207" s="35">
        <v>100</v>
      </c>
      <c r="AK207" s="36">
        <v>254.40000000000003</v>
      </c>
      <c r="AL207" s="35">
        <v>171</v>
      </c>
      <c r="AM207" s="36">
        <v>292.8</v>
      </c>
      <c r="AN207" s="35">
        <v>190</v>
      </c>
      <c r="AO207" s="36">
        <v>273.60000000000002</v>
      </c>
      <c r="AP207" s="37"/>
      <c r="AQ207" s="35">
        <v>95</v>
      </c>
      <c r="AR207" s="36">
        <v>528</v>
      </c>
      <c r="AS207" s="35">
        <v>117</v>
      </c>
      <c r="AT207" s="36">
        <v>506.40000000000003</v>
      </c>
      <c r="AU207" s="35">
        <v>150</v>
      </c>
      <c r="AV207" s="36">
        <v>472.80000000000007</v>
      </c>
      <c r="AW207" s="35">
        <v>153</v>
      </c>
      <c r="AX207" s="36">
        <v>470.40000000000003</v>
      </c>
      <c r="AY207" s="35">
        <v>153</v>
      </c>
      <c r="AZ207" s="36">
        <v>470.40000000000003</v>
      </c>
      <c r="BB207" s="40">
        <v>0</v>
      </c>
      <c r="BC207" s="65"/>
      <c r="BD207" s="35">
        <v>0</v>
      </c>
      <c r="BE207" s="36">
        <v>0</v>
      </c>
      <c r="BF207" s="37"/>
      <c r="BG207" s="415">
        <v>110</v>
      </c>
      <c r="BH207" s="353">
        <v>-2.6999999999999993</v>
      </c>
      <c r="BI207" s="415">
        <v>0</v>
      </c>
      <c r="BJ207" s="353">
        <v>0</v>
      </c>
      <c r="BK207" s="415">
        <v>0</v>
      </c>
      <c r="BL207" s="353">
        <v>0</v>
      </c>
      <c r="BM207" s="416"/>
      <c r="BN207" s="415">
        <v>0</v>
      </c>
      <c r="BO207" s="353">
        <v>0</v>
      </c>
      <c r="BP207" s="415">
        <v>0</v>
      </c>
      <c r="BQ207" s="353">
        <v>0</v>
      </c>
      <c r="BR207" s="415">
        <v>0</v>
      </c>
      <c r="BS207" s="353">
        <v>0</v>
      </c>
      <c r="BT207" s="415">
        <v>0</v>
      </c>
      <c r="BU207" s="353">
        <v>0</v>
      </c>
      <c r="BV207" s="415">
        <v>0</v>
      </c>
      <c r="BW207" s="353">
        <v>0</v>
      </c>
      <c r="BY207" s="80"/>
      <c r="BZ207" s="65"/>
      <c r="CA207" s="40" t="s">
        <v>3</v>
      </c>
      <c r="CB207" s="65"/>
      <c r="CC207" s="40">
        <v>-98.914049586776741</v>
      </c>
      <c r="CD207" s="40">
        <v>-170.51404958677682</v>
      </c>
      <c r="CE207" s="40">
        <v>-189.71404958677681</v>
      </c>
      <c r="CF207" s="65"/>
      <c r="CG207" s="40">
        <v>-94.314049586776832</v>
      </c>
      <c r="CH207" s="40">
        <v>-115.9140495867768</v>
      </c>
      <c r="CI207" s="40">
        <v>-149.51404958677676</v>
      </c>
      <c r="CJ207" s="40">
        <v>-151.9140495867768</v>
      </c>
      <c r="CK207" s="40">
        <v>-151.9140495867768</v>
      </c>
    </row>
    <row r="208" spans="1:89" s="2" customFormat="1">
      <c r="A208" s="196" t="s">
        <v>966</v>
      </c>
      <c r="B208" s="211" t="s">
        <v>58</v>
      </c>
      <c r="C208" s="211" t="s">
        <v>616</v>
      </c>
      <c r="D208" s="41">
        <v>847</v>
      </c>
      <c r="E208" s="41">
        <v>3.75</v>
      </c>
      <c r="F208" s="41" t="s">
        <v>381</v>
      </c>
      <c r="G208" s="413">
        <v>24</v>
      </c>
      <c r="H208" s="414">
        <v>846.28099173553721</v>
      </c>
      <c r="I208" s="321"/>
      <c r="J208" s="40" t="s">
        <v>3</v>
      </c>
      <c r="K208" s="36" t="s">
        <v>3</v>
      </c>
      <c r="L208" s="37"/>
      <c r="M208" s="35">
        <v>359</v>
      </c>
      <c r="N208" s="136">
        <v>14.5</v>
      </c>
      <c r="O208" s="35">
        <v>219</v>
      </c>
      <c r="P208" s="136">
        <v>17.400000000000002</v>
      </c>
      <c r="Q208" s="37">
        <v>219</v>
      </c>
      <c r="R208" s="136">
        <v>16.600000000000001</v>
      </c>
      <c r="S208" s="37"/>
      <c r="T208" s="35">
        <v>0</v>
      </c>
      <c r="U208" s="136">
        <v>29.6</v>
      </c>
      <c r="V208" s="35">
        <v>0</v>
      </c>
      <c r="W208" s="136">
        <v>28.8</v>
      </c>
      <c r="X208" s="35">
        <v>0</v>
      </c>
      <c r="Y208" s="149">
        <v>27.5</v>
      </c>
      <c r="Z208" s="35">
        <v>0</v>
      </c>
      <c r="AA208" s="136">
        <v>27.5</v>
      </c>
      <c r="AB208" s="37">
        <v>0</v>
      </c>
      <c r="AC208" s="136">
        <v>27.5</v>
      </c>
      <c r="AD208" s="37"/>
      <c r="AE208" s="40">
        <v>1</v>
      </c>
      <c r="AF208" s="65"/>
      <c r="AG208" s="35">
        <v>0</v>
      </c>
      <c r="AH208" s="36">
        <v>0</v>
      </c>
      <c r="AI208" s="37"/>
      <c r="AJ208" s="35">
        <v>140</v>
      </c>
      <c r="AK208" s="36">
        <v>348</v>
      </c>
      <c r="AL208" s="35">
        <v>210</v>
      </c>
      <c r="AM208" s="36">
        <v>417.6</v>
      </c>
      <c r="AN208" s="37">
        <v>230</v>
      </c>
      <c r="AO208" s="36">
        <v>398.40000000000003</v>
      </c>
      <c r="AP208" s="37"/>
      <c r="AQ208" s="35">
        <v>137</v>
      </c>
      <c r="AR208" s="36">
        <v>710.40000000000009</v>
      </c>
      <c r="AS208" s="35">
        <v>156</v>
      </c>
      <c r="AT208" s="36">
        <v>691.2</v>
      </c>
      <c r="AU208" s="37">
        <v>187</v>
      </c>
      <c r="AV208" s="36">
        <v>660</v>
      </c>
      <c r="AW208" s="37">
        <v>187</v>
      </c>
      <c r="AX208" s="36">
        <v>660</v>
      </c>
      <c r="AY208" s="37">
        <v>187</v>
      </c>
      <c r="AZ208" s="36">
        <v>660</v>
      </c>
      <c r="BB208" s="40">
        <v>0</v>
      </c>
      <c r="BC208" s="65"/>
      <c r="BD208" s="35">
        <v>0</v>
      </c>
      <c r="BE208" s="36">
        <v>0</v>
      </c>
      <c r="BF208" s="37"/>
      <c r="BG208" s="415">
        <v>140</v>
      </c>
      <c r="BH208" s="353">
        <v>-4.1000000000000014</v>
      </c>
      <c r="BI208" s="415">
        <v>0</v>
      </c>
      <c r="BJ208" s="353">
        <v>0</v>
      </c>
      <c r="BK208" s="415">
        <v>0</v>
      </c>
      <c r="BL208" s="353">
        <v>0</v>
      </c>
      <c r="BM208" s="416"/>
      <c r="BN208" s="415">
        <v>0</v>
      </c>
      <c r="BO208" s="353">
        <v>0</v>
      </c>
      <c r="BP208" s="415">
        <v>0</v>
      </c>
      <c r="BQ208" s="353">
        <v>0</v>
      </c>
      <c r="BR208" s="415">
        <v>0</v>
      </c>
      <c r="BS208" s="353">
        <v>0</v>
      </c>
      <c r="BT208" s="415">
        <v>0</v>
      </c>
      <c r="BU208" s="353">
        <v>0</v>
      </c>
      <c r="BV208" s="415">
        <v>0</v>
      </c>
      <c r="BW208" s="353">
        <v>0</v>
      </c>
      <c r="BY208" s="80"/>
      <c r="BZ208" s="65"/>
      <c r="CA208" s="40" t="s">
        <v>3</v>
      </c>
      <c r="CB208" s="65"/>
      <c r="CC208" s="40">
        <v>-139.28099173553721</v>
      </c>
      <c r="CD208" s="40">
        <v>-209.68099173553719</v>
      </c>
      <c r="CE208" s="40">
        <v>-228.88099173553712</v>
      </c>
      <c r="CF208" s="65"/>
      <c r="CG208" s="40">
        <v>-135.88099173553712</v>
      </c>
      <c r="CH208" s="40">
        <v>-155.08099173553717</v>
      </c>
      <c r="CI208" s="40">
        <v>-186.28099173553721</v>
      </c>
      <c r="CJ208" s="40">
        <v>-186.28099173553721</v>
      </c>
      <c r="CK208" s="40">
        <v>-186.28099173553721</v>
      </c>
    </row>
    <row r="209" spans="1:89" s="2" customFormat="1">
      <c r="A209" s="196" t="s">
        <v>967</v>
      </c>
      <c r="B209" s="211" t="s">
        <v>58</v>
      </c>
      <c r="C209" s="211" t="s">
        <v>617</v>
      </c>
      <c r="D209" s="41">
        <v>1044</v>
      </c>
      <c r="E209" s="41">
        <v>3.75</v>
      </c>
      <c r="F209" s="22" t="s">
        <v>381</v>
      </c>
      <c r="G209" s="40">
        <v>24</v>
      </c>
      <c r="H209" s="388">
        <v>1043.8016528925621</v>
      </c>
      <c r="I209" s="321"/>
      <c r="J209" s="40" t="s">
        <v>3</v>
      </c>
      <c r="K209" s="36" t="s">
        <v>3</v>
      </c>
      <c r="L209" s="37"/>
      <c r="M209" s="35">
        <v>449</v>
      </c>
      <c r="N209" s="136">
        <v>18.400000000000002</v>
      </c>
      <c r="O209" s="35">
        <v>279</v>
      </c>
      <c r="P209" s="136">
        <v>22.8</v>
      </c>
      <c r="Q209" s="37">
        <v>279</v>
      </c>
      <c r="R209" s="136">
        <v>22</v>
      </c>
      <c r="S209" s="37"/>
      <c r="T209" s="35">
        <v>0</v>
      </c>
      <c r="U209" s="136">
        <v>37.200000000000003</v>
      </c>
      <c r="V209" s="35">
        <v>0</v>
      </c>
      <c r="W209" s="136">
        <v>36.4</v>
      </c>
      <c r="X209" s="35">
        <v>0</v>
      </c>
      <c r="Y209" s="149">
        <v>35.200000000000003</v>
      </c>
      <c r="Z209" s="35">
        <v>0</v>
      </c>
      <c r="AA209" s="136">
        <v>35.1</v>
      </c>
      <c r="AB209" s="37">
        <v>0</v>
      </c>
      <c r="AC209" s="136">
        <v>35.1</v>
      </c>
      <c r="AD209" s="37"/>
      <c r="AE209" s="40">
        <v>0</v>
      </c>
      <c r="AF209" s="65"/>
      <c r="AG209" s="35">
        <v>0</v>
      </c>
      <c r="AH209" s="36">
        <v>0</v>
      </c>
      <c r="AI209" s="37"/>
      <c r="AJ209" s="35">
        <v>153</v>
      </c>
      <c r="AK209" s="36">
        <v>441.6</v>
      </c>
      <c r="AL209" s="35">
        <v>218</v>
      </c>
      <c r="AM209" s="36">
        <v>547.20000000000005</v>
      </c>
      <c r="AN209" s="35">
        <v>237</v>
      </c>
      <c r="AO209" s="36">
        <v>528</v>
      </c>
      <c r="AP209" s="37"/>
      <c r="AQ209" s="35">
        <v>151</v>
      </c>
      <c r="AR209" s="36">
        <v>892.80000000000007</v>
      </c>
      <c r="AS209" s="35">
        <v>170</v>
      </c>
      <c r="AT209" s="36">
        <v>873.59999999999991</v>
      </c>
      <c r="AU209" s="35">
        <v>199</v>
      </c>
      <c r="AV209" s="36">
        <v>844.80000000000007</v>
      </c>
      <c r="AW209" s="35">
        <v>202</v>
      </c>
      <c r="AX209" s="36">
        <v>842.40000000000009</v>
      </c>
      <c r="AY209" s="35">
        <v>202</v>
      </c>
      <c r="AZ209" s="36">
        <v>842.40000000000009</v>
      </c>
      <c r="BB209" s="40">
        <v>0</v>
      </c>
      <c r="BC209" s="65"/>
      <c r="BD209" s="35">
        <v>0</v>
      </c>
      <c r="BE209" s="36">
        <v>0</v>
      </c>
      <c r="BF209" s="37"/>
      <c r="BG209" s="415">
        <v>170</v>
      </c>
      <c r="BH209" s="353">
        <v>-5.3999999999999986</v>
      </c>
      <c r="BI209" s="415">
        <v>0</v>
      </c>
      <c r="BJ209" s="353">
        <v>0</v>
      </c>
      <c r="BK209" s="415">
        <v>0</v>
      </c>
      <c r="BL209" s="353">
        <v>0</v>
      </c>
      <c r="BM209" s="416"/>
      <c r="BN209" s="415">
        <v>0</v>
      </c>
      <c r="BO209" s="353">
        <v>0</v>
      </c>
      <c r="BP209" s="415">
        <v>0</v>
      </c>
      <c r="BQ209" s="353">
        <v>0</v>
      </c>
      <c r="BR209" s="415">
        <v>0</v>
      </c>
      <c r="BS209" s="353">
        <v>0</v>
      </c>
      <c r="BT209" s="415">
        <v>0</v>
      </c>
      <c r="BU209" s="353">
        <v>0</v>
      </c>
      <c r="BV209" s="415">
        <v>0</v>
      </c>
      <c r="BW209" s="353">
        <v>0</v>
      </c>
      <c r="BY209" s="80"/>
      <c r="BZ209" s="65"/>
      <c r="CA209" s="40" t="s">
        <v>3</v>
      </c>
      <c r="CB209" s="65"/>
      <c r="CC209" s="40">
        <v>-153.20165289256204</v>
      </c>
      <c r="CD209" s="40">
        <v>-217.60165289256202</v>
      </c>
      <c r="CE209" s="40">
        <v>-236.80165289256206</v>
      </c>
      <c r="CF209" s="65"/>
      <c r="CG209" s="40">
        <v>-151.00165289256199</v>
      </c>
      <c r="CH209" s="40">
        <v>-170.20165289256215</v>
      </c>
      <c r="CI209" s="40">
        <v>-199.00165289256199</v>
      </c>
      <c r="CJ209" s="40">
        <v>-201.40165289256197</v>
      </c>
      <c r="CK209" s="40">
        <v>-201.40165289256197</v>
      </c>
    </row>
    <row r="210" spans="1:89" s="2" customFormat="1">
      <c r="A210" s="196" t="s">
        <v>969</v>
      </c>
      <c r="B210" s="211" t="s">
        <v>225</v>
      </c>
      <c r="C210" s="211" t="s">
        <v>719</v>
      </c>
      <c r="D210" s="41">
        <v>191</v>
      </c>
      <c r="E210" s="41">
        <v>3.75</v>
      </c>
      <c r="F210" s="22" t="s">
        <v>381</v>
      </c>
      <c r="G210" s="40">
        <v>24</v>
      </c>
      <c r="H210" s="388">
        <v>166.11570247933884</v>
      </c>
      <c r="I210" s="321"/>
      <c r="J210" s="40" t="s">
        <v>3</v>
      </c>
      <c r="K210" s="36" t="s">
        <v>3</v>
      </c>
      <c r="L210" s="37"/>
      <c r="M210" s="35">
        <v>29</v>
      </c>
      <c r="N210" s="136">
        <v>4.4000000000000004</v>
      </c>
      <c r="O210" s="35">
        <v>0</v>
      </c>
      <c r="P210" s="136">
        <v>2.5</v>
      </c>
      <c r="Q210" s="37">
        <v>0</v>
      </c>
      <c r="R210" s="136">
        <v>1.7000000000000002</v>
      </c>
      <c r="S210" s="37"/>
      <c r="T210" s="35">
        <v>0</v>
      </c>
      <c r="U210" s="136">
        <v>5.6000000000000005</v>
      </c>
      <c r="V210" s="35">
        <v>0</v>
      </c>
      <c r="W210" s="136">
        <v>1.7000000000000002</v>
      </c>
      <c r="X210" s="35">
        <v>0</v>
      </c>
      <c r="Y210" s="149">
        <v>1.7000000000000002</v>
      </c>
      <c r="Z210" s="35">
        <v>0</v>
      </c>
      <c r="AA210" s="136">
        <v>1.7000000000000002</v>
      </c>
      <c r="AB210" s="37">
        <v>0</v>
      </c>
      <c r="AC210" s="136">
        <v>1.7000000000000002</v>
      </c>
      <c r="AD210" s="37"/>
      <c r="AE210" s="40">
        <v>25</v>
      </c>
      <c r="AF210" s="65"/>
      <c r="AG210" s="35">
        <v>0</v>
      </c>
      <c r="AH210" s="36">
        <v>0</v>
      </c>
      <c r="AI210" s="37"/>
      <c r="AJ210" s="35">
        <v>56</v>
      </c>
      <c r="AK210" s="36">
        <v>105.60000000000001</v>
      </c>
      <c r="AL210" s="35">
        <v>131</v>
      </c>
      <c r="AM210" s="36">
        <v>60</v>
      </c>
      <c r="AN210" s="37">
        <v>150</v>
      </c>
      <c r="AO210" s="36">
        <v>40.800000000000004</v>
      </c>
      <c r="AP210" s="37"/>
      <c r="AQ210" s="35">
        <v>57</v>
      </c>
      <c r="AR210" s="36">
        <v>134.4</v>
      </c>
      <c r="AS210" s="35">
        <v>150</v>
      </c>
      <c r="AT210" s="36">
        <v>40.800000000000004</v>
      </c>
      <c r="AU210" s="37">
        <v>150</v>
      </c>
      <c r="AV210" s="36">
        <v>40.800000000000004</v>
      </c>
      <c r="AW210" s="37">
        <v>150</v>
      </c>
      <c r="AX210" s="36">
        <v>40.800000000000004</v>
      </c>
      <c r="AY210" s="37">
        <v>150</v>
      </c>
      <c r="AZ210" s="36">
        <v>40.800000000000004</v>
      </c>
      <c r="BB210" s="40">
        <v>0</v>
      </c>
      <c r="BC210" s="65"/>
      <c r="BD210" s="35">
        <v>0</v>
      </c>
      <c r="BE210" s="36">
        <v>0</v>
      </c>
      <c r="BF210" s="37"/>
      <c r="BG210" s="415">
        <v>0</v>
      </c>
      <c r="BH210" s="353">
        <v>0</v>
      </c>
      <c r="BI210" s="415">
        <v>0</v>
      </c>
      <c r="BJ210" s="353">
        <v>0</v>
      </c>
      <c r="BK210" s="415">
        <v>0</v>
      </c>
      <c r="BL210" s="353">
        <v>0</v>
      </c>
      <c r="BM210" s="416"/>
      <c r="BN210" s="415">
        <v>0</v>
      </c>
      <c r="BO210" s="353">
        <v>0</v>
      </c>
      <c r="BP210" s="415">
        <v>0</v>
      </c>
      <c r="BQ210" s="353">
        <v>0</v>
      </c>
      <c r="BR210" s="415">
        <v>0</v>
      </c>
      <c r="BS210" s="353">
        <v>0</v>
      </c>
      <c r="BT210" s="415">
        <v>0</v>
      </c>
      <c r="BU210" s="353">
        <v>0.90000000000000013</v>
      </c>
      <c r="BV210" s="415">
        <v>0</v>
      </c>
      <c r="BW210" s="353">
        <v>0.90000000000000013</v>
      </c>
      <c r="BY210" s="80"/>
      <c r="BZ210" s="65"/>
      <c r="CA210" s="40" t="s">
        <v>3</v>
      </c>
      <c r="CB210" s="65"/>
      <c r="CC210" s="40">
        <v>-31.515702479338813</v>
      </c>
      <c r="CD210" s="40">
        <v>-106.11570247933884</v>
      </c>
      <c r="CE210" s="40">
        <v>-125.31570247933882</v>
      </c>
      <c r="CF210" s="65"/>
      <c r="CG210" s="40">
        <v>-31.71570247933883</v>
      </c>
      <c r="CH210" s="40">
        <v>-125.31570247933882</v>
      </c>
      <c r="CI210" s="40">
        <v>-125.31570247933882</v>
      </c>
      <c r="CJ210" s="40">
        <v>-125.31570247933882</v>
      </c>
      <c r="CK210" s="40">
        <v>-125.31570247933882</v>
      </c>
    </row>
    <row r="211" spans="1:89" s="2" customFormat="1">
      <c r="A211" s="196" t="s">
        <v>970</v>
      </c>
      <c r="B211" s="211" t="s">
        <v>60</v>
      </c>
      <c r="C211" s="211" t="s">
        <v>568</v>
      </c>
      <c r="D211" s="41">
        <v>182</v>
      </c>
      <c r="E211" s="41">
        <v>3.75</v>
      </c>
      <c r="F211" s="41" t="s">
        <v>381</v>
      </c>
      <c r="G211" s="413">
        <v>24</v>
      </c>
      <c r="H211" s="414">
        <v>161.98347107438016</v>
      </c>
      <c r="I211" s="321"/>
      <c r="J211" s="40" t="s">
        <v>3</v>
      </c>
      <c r="K211" s="36" t="s">
        <v>3</v>
      </c>
      <c r="L211" s="37"/>
      <c r="M211" s="35">
        <v>29</v>
      </c>
      <c r="N211" s="136">
        <v>4.2</v>
      </c>
      <c r="O211" s="35">
        <v>0</v>
      </c>
      <c r="P211" s="136">
        <v>2.3000000000000003</v>
      </c>
      <c r="Q211" s="37">
        <v>0</v>
      </c>
      <c r="R211" s="136">
        <v>1.5</v>
      </c>
      <c r="S211" s="37"/>
      <c r="T211" s="35">
        <v>0</v>
      </c>
      <c r="U211" s="136">
        <v>5.6000000000000005</v>
      </c>
      <c r="V211" s="35">
        <v>0</v>
      </c>
      <c r="W211" s="136">
        <v>1.7000000000000002</v>
      </c>
      <c r="X211" s="35">
        <v>0</v>
      </c>
      <c r="Y211" s="149">
        <v>1.7000000000000002</v>
      </c>
      <c r="Z211" s="35">
        <v>0</v>
      </c>
      <c r="AA211" s="136">
        <v>1.7000000000000002</v>
      </c>
      <c r="AB211" s="37">
        <v>0</v>
      </c>
      <c r="AC211" s="136">
        <v>1.7000000000000002</v>
      </c>
      <c r="AD211" s="37"/>
      <c r="AE211" s="40">
        <v>20</v>
      </c>
      <c r="AF211" s="65"/>
      <c r="AG211" s="35">
        <v>0</v>
      </c>
      <c r="AH211" s="36">
        <v>0</v>
      </c>
      <c r="AI211" s="37"/>
      <c r="AJ211" s="35">
        <v>52</v>
      </c>
      <c r="AK211" s="36">
        <v>100.80000000000001</v>
      </c>
      <c r="AL211" s="35">
        <v>127</v>
      </c>
      <c r="AM211" s="36">
        <v>55.2</v>
      </c>
      <c r="AN211" s="35">
        <v>146</v>
      </c>
      <c r="AO211" s="36">
        <v>36</v>
      </c>
      <c r="AP211" s="37"/>
      <c r="AQ211" s="35">
        <v>48</v>
      </c>
      <c r="AR211" s="36">
        <v>134.4</v>
      </c>
      <c r="AS211" s="35">
        <v>141</v>
      </c>
      <c r="AT211" s="36">
        <v>40.800000000000004</v>
      </c>
      <c r="AU211" s="35">
        <v>141</v>
      </c>
      <c r="AV211" s="36">
        <v>40.800000000000004</v>
      </c>
      <c r="AW211" s="35">
        <v>141</v>
      </c>
      <c r="AX211" s="36">
        <v>40.800000000000004</v>
      </c>
      <c r="AY211" s="35">
        <v>141</v>
      </c>
      <c r="AZ211" s="36">
        <v>40.800000000000004</v>
      </c>
      <c r="BB211" s="40">
        <v>0</v>
      </c>
      <c r="BC211" s="65"/>
      <c r="BD211" s="35">
        <v>0</v>
      </c>
      <c r="BE211" s="36">
        <v>0</v>
      </c>
      <c r="BF211" s="37"/>
      <c r="BG211" s="415">
        <v>29</v>
      </c>
      <c r="BH211" s="353">
        <v>0.79999999999999982</v>
      </c>
      <c r="BI211" s="415">
        <v>0</v>
      </c>
      <c r="BJ211" s="353">
        <v>0</v>
      </c>
      <c r="BK211" s="415">
        <v>0</v>
      </c>
      <c r="BL211" s="353">
        <v>0</v>
      </c>
      <c r="BM211" s="416"/>
      <c r="BN211" s="415">
        <v>0</v>
      </c>
      <c r="BO211" s="353">
        <v>0</v>
      </c>
      <c r="BP211" s="415">
        <v>0</v>
      </c>
      <c r="BQ211" s="353">
        <v>0</v>
      </c>
      <c r="BR211" s="415">
        <v>0</v>
      </c>
      <c r="BS211" s="353">
        <v>0</v>
      </c>
      <c r="BT211" s="415">
        <v>0</v>
      </c>
      <c r="BU211" s="353">
        <v>0</v>
      </c>
      <c r="BV211" s="415">
        <v>0</v>
      </c>
      <c r="BW211" s="353">
        <v>0</v>
      </c>
      <c r="BY211" s="80"/>
      <c r="BZ211" s="65"/>
      <c r="CA211" s="40" t="s">
        <v>3</v>
      </c>
      <c r="CB211" s="65"/>
      <c r="CC211" s="40">
        <v>-32.183471074380151</v>
      </c>
      <c r="CD211" s="40">
        <v>-106.78347107438016</v>
      </c>
      <c r="CE211" s="40">
        <v>-125.98347107438016</v>
      </c>
      <c r="CF211" s="65"/>
      <c r="CG211" s="40">
        <v>-27.583471074380157</v>
      </c>
      <c r="CH211" s="40">
        <v>-121.18347107438015</v>
      </c>
      <c r="CI211" s="40">
        <v>-121.18347107438015</v>
      </c>
      <c r="CJ211" s="40">
        <v>-121.18347107438015</v>
      </c>
      <c r="CK211" s="40">
        <v>-121.18347107438015</v>
      </c>
    </row>
    <row r="212" spans="1:89" s="2" customFormat="1">
      <c r="A212" s="196" t="s">
        <v>971</v>
      </c>
      <c r="B212" s="211" t="s">
        <v>60</v>
      </c>
      <c r="C212" s="211" t="s">
        <v>569</v>
      </c>
      <c r="D212" s="41">
        <v>310</v>
      </c>
      <c r="E212" s="41">
        <v>3.75</v>
      </c>
      <c r="F212" s="22" t="s">
        <v>381</v>
      </c>
      <c r="G212" s="40">
        <v>24</v>
      </c>
      <c r="H212" s="388">
        <v>250.41322314049589</v>
      </c>
      <c r="I212" s="321"/>
      <c r="J212" s="40" t="s">
        <v>3</v>
      </c>
      <c r="K212" s="36" t="s">
        <v>3</v>
      </c>
      <c r="L212" s="37"/>
      <c r="M212" s="35">
        <v>39</v>
      </c>
      <c r="N212" s="136">
        <v>6.9</v>
      </c>
      <c r="O212" s="35">
        <v>0</v>
      </c>
      <c r="P212" s="136">
        <v>5.4</v>
      </c>
      <c r="Q212" s="37">
        <v>0</v>
      </c>
      <c r="R212" s="136">
        <v>4.6000000000000005</v>
      </c>
      <c r="S212" s="37"/>
      <c r="T212" s="35">
        <v>0</v>
      </c>
      <c r="U212" s="136">
        <v>8.5</v>
      </c>
      <c r="V212" s="35">
        <v>0</v>
      </c>
      <c r="W212" s="136">
        <v>5</v>
      </c>
      <c r="X212" s="35">
        <v>0</v>
      </c>
      <c r="Y212" s="149">
        <v>5</v>
      </c>
      <c r="Z212" s="35">
        <v>0</v>
      </c>
      <c r="AA212" s="136">
        <v>5</v>
      </c>
      <c r="AB212" s="37">
        <v>0</v>
      </c>
      <c r="AC212" s="136">
        <v>5</v>
      </c>
      <c r="AD212" s="37"/>
      <c r="AE212" s="40">
        <v>60</v>
      </c>
      <c r="AF212" s="65"/>
      <c r="AG212" s="35">
        <v>0</v>
      </c>
      <c r="AH212" s="36">
        <v>0</v>
      </c>
      <c r="AI212" s="37"/>
      <c r="AJ212" s="35">
        <v>105</v>
      </c>
      <c r="AK212" s="36">
        <v>165.60000000000002</v>
      </c>
      <c r="AL212" s="35">
        <v>180</v>
      </c>
      <c r="AM212" s="36">
        <v>129.60000000000002</v>
      </c>
      <c r="AN212" s="37">
        <v>200</v>
      </c>
      <c r="AO212" s="36">
        <v>110.4</v>
      </c>
      <c r="AP212" s="37"/>
      <c r="AQ212" s="35">
        <v>106</v>
      </c>
      <c r="AR212" s="36">
        <v>204</v>
      </c>
      <c r="AS212" s="35">
        <v>190</v>
      </c>
      <c r="AT212" s="36">
        <v>120</v>
      </c>
      <c r="AU212" s="37">
        <v>190</v>
      </c>
      <c r="AV212" s="36">
        <v>120</v>
      </c>
      <c r="AW212" s="37">
        <v>190</v>
      </c>
      <c r="AX212" s="36">
        <v>120</v>
      </c>
      <c r="AY212" s="37">
        <v>190</v>
      </c>
      <c r="AZ212" s="36">
        <v>120</v>
      </c>
      <c r="BB212" s="40">
        <v>0</v>
      </c>
      <c r="BC212" s="65"/>
      <c r="BD212" s="35">
        <v>0</v>
      </c>
      <c r="BE212" s="36">
        <v>0</v>
      </c>
      <c r="BF212" s="37"/>
      <c r="BG212" s="415">
        <v>39</v>
      </c>
      <c r="BH212" s="353">
        <v>0.40000000000000036</v>
      </c>
      <c r="BI212" s="415">
        <v>0</v>
      </c>
      <c r="BJ212" s="353">
        <v>0</v>
      </c>
      <c r="BK212" s="415">
        <v>0</v>
      </c>
      <c r="BL212" s="353">
        <v>0</v>
      </c>
      <c r="BM212" s="416"/>
      <c r="BN212" s="415">
        <v>0</v>
      </c>
      <c r="BO212" s="353">
        <v>0</v>
      </c>
      <c r="BP212" s="415">
        <v>0</v>
      </c>
      <c r="BQ212" s="353">
        <v>0</v>
      </c>
      <c r="BR212" s="415">
        <v>0</v>
      </c>
      <c r="BS212" s="353">
        <v>0</v>
      </c>
      <c r="BT212" s="415">
        <v>0</v>
      </c>
      <c r="BU212" s="353">
        <v>0</v>
      </c>
      <c r="BV212" s="415">
        <v>0</v>
      </c>
      <c r="BW212" s="353">
        <v>0</v>
      </c>
      <c r="BY212" s="80"/>
      <c r="BZ212" s="65"/>
      <c r="CA212" s="40" t="s">
        <v>3</v>
      </c>
      <c r="CB212" s="65"/>
      <c r="CC212" s="40">
        <v>-45.813223140495865</v>
      </c>
      <c r="CD212" s="40">
        <v>-120.81322314049586</v>
      </c>
      <c r="CE212" s="40">
        <v>-140.01322314049588</v>
      </c>
      <c r="CF212" s="65"/>
      <c r="CG212" s="40">
        <v>-46.413223140495887</v>
      </c>
      <c r="CH212" s="40">
        <v>-130.41322314049589</v>
      </c>
      <c r="CI212" s="40">
        <v>-130.41322314049589</v>
      </c>
      <c r="CJ212" s="40">
        <v>-130.41322314049589</v>
      </c>
      <c r="CK212" s="40">
        <v>-130.41322314049589</v>
      </c>
    </row>
    <row r="213" spans="1:89" s="2" customFormat="1">
      <c r="A213" s="196" t="s">
        <v>972</v>
      </c>
      <c r="B213" s="211" t="s">
        <v>60</v>
      </c>
      <c r="C213" s="211" t="s">
        <v>570</v>
      </c>
      <c r="D213" s="41">
        <v>310</v>
      </c>
      <c r="E213" s="41">
        <v>3.75</v>
      </c>
      <c r="F213" s="41" t="s">
        <v>381</v>
      </c>
      <c r="G213" s="413">
        <v>24</v>
      </c>
      <c r="H213" s="414">
        <v>240.49586776859505</v>
      </c>
      <c r="I213" s="321"/>
      <c r="J213" s="40" t="s">
        <v>3</v>
      </c>
      <c r="K213" s="36" t="s">
        <v>3</v>
      </c>
      <c r="L213" s="37"/>
      <c r="M213" s="35">
        <v>39</v>
      </c>
      <c r="N213" s="136">
        <v>6.5</v>
      </c>
      <c r="O213" s="35">
        <v>0</v>
      </c>
      <c r="P213" s="136">
        <v>5</v>
      </c>
      <c r="Q213" s="37">
        <v>0</v>
      </c>
      <c r="R213" s="136">
        <v>4.2</v>
      </c>
      <c r="S213" s="37"/>
      <c r="T213" s="35">
        <v>0</v>
      </c>
      <c r="U213" s="136">
        <v>8.1</v>
      </c>
      <c r="V213" s="35">
        <v>0</v>
      </c>
      <c r="W213" s="136">
        <v>4.2</v>
      </c>
      <c r="X213" s="35">
        <v>0</v>
      </c>
      <c r="Y213" s="149">
        <v>4.2</v>
      </c>
      <c r="Z213" s="35">
        <v>0</v>
      </c>
      <c r="AA213" s="136">
        <v>4.1000000000000005</v>
      </c>
      <c r="AB213" s="37">
        <v>0</v>
      </c>
      <c r="AC213" s="136">
        <v>4.1000000000000005</v>
      </c>
      <c r="AD213" s="37"/>
      <c r="AE213" s="40">
        <v>70</v>
      </c>
      <c r="AF213" s="65"/>
      <c r="AG213" s="35">
        <v>0</v>
      </c>
      <c r="AH213" s="36">
        <v>0</v>
      </c>
      <c r="AI213" s="37"/>
      <c r="AJ213" s="35">
        <v>115</v>
      </c>
      <c r="AK213" s="36">
        <v>156</v>
      </c>
      <c r="AL213" s="35">
        <v>190</v>
      </c>
      <c r="AM213" s="36">
        <v>120</v>
      </c>
      <c r="AN213" s="35">
        <v>209</v>
      </c>
      <c r="AO213" s="36">
        <v>100.80000000000001</v>
      </c>
      <c r="AP213" s="37"/>
      <c r="AQ213" s="35">
        <v>116</v>
      </c>
      <c r="AR213" s="36">
        <v>194.39999999999998</v>
      </c>
      <c r="AS213" s="35">
        <v>209</v>
      </c>
      <c r="AT213" s="36">
        <v>100.80000000000001</v>
      </c>
      <c r="AU213" s="35">
        <v>209</v>
      </c>
      <c r="AV213" s="36">
        <v>100.80000000000001</v>
      </c>
      <c r="AW213" s="35">
        <v>212</v>
      </c>
      <c r="AX213" s="36">
        <v>98.4</v>
      </c>
      <c r="AY213" s="35">
        <v>212</v>
      </c>
      <c r="AZ213" s="36">
        <v>98.4</v>
      </c>
      <c r="BB213" s="40">
        <v>0</v>
      </c>
      <c r="BC213" s="65"/>
      <c r="BD213" s="35">
        <v>0</v>
      </c>
      <c r="BE213" s="36">
        <v>0</v>
      </c>
      <c r="BF213" s="37"/>
      <c r="BG213" s="415">
        <v>39</v>
      </c>
      <c r="BH213" s="353">
        <v>0.5</v>
      </c>
      <c r="BI213" s="415">
        <v>0</v>
      </c>
      <c r="BJ213" s="353">
        <v>0</v>
      </c>
      <c r="BK213" s="415">
        <v>0</v>
      </c>
      <c r="BL213" s="353">
        <v>0</v>
      </c>
      <c r="BM213" s="416"/>
      <c r="BN213" s="415">
        <v>0</v>
      </c>
      <c r="BO213" s="353">
        <v>0</v>
      </c>
      <c r="BP213" s="415">
        <v>0</v>
      </c>
      <c r="BQ213" s="353">
        <v>0</v>
      </c>
      <c r="BR213" s="415">
        <v>0</v>
      </c>
      <c r="BS213" s="353">
        <v>0</v>
      </c>
      <c r="BT213" s="415">
        <v>0</v>
      </c>
      <c r="BU213" s="353">
        <v>0</v>
      </c>
      <c r="BV213" s="415">
        <v>0</v>
      </c>
      <c r="BW213" s="353">
        <v>0</v>
      </c>
      <c r="BY213" s="80"/>
      <c r="BZ213" s="65"/>
      <c r="CA213" s="40" t="s">
        <v>3</v>
      </c>
      <c r="CB213" s="65"/>
      <c r="CC213" s="40">
        <v>-45.495867768595048</v>
      </c>
      <c r="CD213" s="40">
        <v>-120.49586776859505</v>
      </c>
      <c r="CE213" s="40">
        <v>-139.69586776859504</v>
      </c>
      <c r="CF213" s="65"/>
      <c r="CG213" s="40">
        <v>-46.09586776859507</v>
      </c>
      <c r="CH213" s="40">
        <v>-139.69586776859504</v>
      </c>
      <c r="CI213" s="40">
        <v>-139.69586776859504</v>
      </c>
      <c r="CJ213" s="40">
        <v>-142.09586776859504</v>
      </c>
      <c r="CK213" s="40">
        <v>-142.09586776859504</v>
      </c>
    </row>
    <row r="214" spans="1:89" s="2" customFormat="1">
      <c r="A214" s="196" t="s">
        <v>1198</v>
      </c>
      <c r="B214" s="211" t="s">
        <v>60</v>
      </c>
      <c r="C214" s="211" t="s">
        <v>611</v>
      </c>
      <c r="D214" s="41">
        <v>544</v>
      </c>
      <c r="E214" s="41">
        <v>3.75</v>
      </c>
      <c r="F214" s="41" t="s">
        <v>381</v>
      </c>
      <c r="G214" s="413">
        <v>24</v>
      </c>
      <c r="H214" s="414">
        <v>443.801652892562</v>
      </c>
      <c r="I214" s="321"/>
      <c r="J214" s="40" t="s">
        <v>3</v>
      </c>
      <c r="K214" s="36" t="s">
        <v>3</v>
      </c>
      <c r="L214" s="37"/>
      <c r="M214" s="35">
        <v>229</v>
      </c>
      <c r="N214" s="136">
        <v>15</v>
      </c>
      <c r="O214" s="35">
        <v>0</v>
      </c>
      <c r="P214" s="136">
        <v>15</v>
      </c>
      <c r="Q214" s="37">
        <v>139</v>
      </c>
      <c r="R214" s="136">
        <v>15</v>
      </c>
      <c r="S214" s="37"/>
      <c r="T214" s="35">
        <v>0</v>
      </c>
      <c r="U214" s="136">
        <v>18.600000000000001</v>
      </c>
      <c r="V214" s="35">
        <v>0</v>
      </c>
      <c r="W214" s="136">
        <v>17.8</v>
      </c>
      <c r="X214" s="35">
        <v>0</v>
      </c>
      <c r="Y214" s="149">
        <v>8</v>
      </c>
      <c r="Z214" s="35">
        <v>0</v>
      </c>
      <c r="AA214" s="136">
        <v>8</v>
      </c>
      <c r="AB214" s="37">
        <v>0</v>
      </c>
      <c r="AC214" s="136">
        <v>8</v>
      </c>
      <c r="AD214" s="37"/>
      <c r="AE214" s="40">
        <v>100</v>
      </c>
      <c r="AF214" s="65"/>
      <c r="AG214" s="35">
        <v>0</v>
      </c>
      <c r="AH214" s="36">
        <v>0</v>
      </c>
      <c r="AI214" s="37"/>
      <c r="AJ214" s="35">
        <v>-45</v>
      </c>
      <c r="AK214" s="36">
        <v>360</v>
      </c>
      <c r="AL214" s="35">
        <v>184</v>
      </c>
      <c r="AM214" s="36">
        <v>360</v>
      </c>
      <c r="AN214" s="37">
        <v>45</v>
      </c>
      <c r="AO214" s="36">
        <v>360</v>
      </c>
      <c r="AP214" s="37"/>
      <c r="AQ214" s="35">
        <v>98</v>
      </c>
      <c r="AR214" s="36">
        <v>446.40000000000003</v>
      </c>
      <c r="AS214" s="35">
        <v>117</v>
      </c>
      <c r="AT214" s="36">
        <v>427.20000000000005</v>
      </c>
      <c r="AU214" s="37">
        <v>352</v>
      </c>
      <c r="AV214" s="36">
        <v>192</v>
      </c>
      <c r="AW214" s="37">
        <v>352</v>
      </c>
      <c r="AX214" s="36">
        <v>192</v>
      </c>
      <c r="AY214" s="37">
        <v>352</v>
      </c>
      <c r="AZ214" s="36">
        <v>192</v>
      </c>
      <c r="BB214" s="40">
        <v>0</v>
      </c>
      <c r="BC214" s="65"/>
      <c r="BD214" s="35">
        <v>0</v>
      </c>
      <c r="BE214" s="36">
        <v>0</v>
      </c>
      <c r="BF214" s="37"/>
      <c r="BG214" s="415">
        <v>229</v>
      </c>
      <c r="BH214" s="353">
        <v>15</v>
      </c>
      <c r="BI214" s="415">
        <v>0</v>
      </c>
      <c r="BJ214" s="353">
        <v>15</v>
      </c>
      <c r="BK214" s="415">
        <v>0</v>
      </c>
      <c r="BL214" s="353">
        <v>5.9</v>
      </c>
      <c r="BM214" s="416"/>
      <c r="BN214" s="415">
        <v>0</v>
      </c>
      <c r="BO214" s="353">
        <v>0</v>
      </c>
      <c r="BP214" s="415">
        <v>0</v>
      </c>
      <c r="BQ214" s="353">
        <v>0</v>
      </c>
      <c r="BR214" s="415">
        <v>0</v>
      </c>
      <c r="BS214" s="353">
        <v>-8.6000000000000014</v>
      </c>
      <c r="BT214" s="415">
        <v>0</v>
      </c>
      <c r="BU214" s="353">
        <v>0</v>
      </c>
      <c r="BV214" s="415">
        <v>0</v>
      </c>
      <c r="BW214" s="353">
        <v>0</v>
      </c>
      <c r="BY214" s="80"/>
      <c r="BZ214" s="65"/>
      <c r="CA214" s="40" t="s">
        <v>3</v>
      </c>
      <c r="CB214" s="65"/>
      <c r="CC214" s="40">
        <v>145.198347107438</v>
      </c>
      <c r="CD214" s="40">
        <v>-83.801652892562004</v>
      </c>
      <c r="CE214" s="40">
        <v>55.198347107437996</v>
      </c>
      <c r="CF214" s="65"/>
      <c r="CG214" s="40">
        <v>2.5983471074380304</v>
      </c>
      <c r="CH214" s="40">
        <v>-16.601652892561958</v>
      </c>
      <c r="CI214" s="40">
        <v>-251.801652892562</v>
      </c>
      <c r="CJ214" s="40">
        <v>-251.801652892562</v>
      </c>
      <c r="CK214" s="40">
        <v>-251.801652892562</v>
      </c>
    </row>
    <row r="215" spans="1:89" s="2" customFormat="1">
      <c r="A215" s="196" t="s">
        <v>973</v>
      </c>
      <c r="B215" s="211" t="s">
        <v>60</v>
      </c>
      <c r="C215" s="211" t="s">
        <v>732</v>
      </c>
      <c r="D215" s="41">
        <v>1195</v>
      </c>
      <c r="E215" s="41">
        <v>3.75</v>
      </c>
      <c r="F215" s="22" t="s">
        <v>381</v>
      </c>
      <c r="G215" s="40">
        <v>24</v>
      </c>
      <c r="H215" s="388">
        <v>994.21487603305786</v>
      </c>
      <c r="I215" s="321"/>
      <c r="J215" s="40" t="s">
        <v>3</v>
      </c>
      <c r="K215" s="36" t="s">
        <v>3</v>
      </c>
      <c r="L215" s="37"/>
      <c r="M215" s="35">
        <v>429</v>
      </c>
      <c r="N215" s="136">
        <v>17.400000000000002</v>
      </c>
      <c r="O215" s="35">
        <v>259</v>
      </c>
      <c r="P215" s="136">
        <v>21.3</v>
      </c>
      <c r="Q215" s="37">
        <v>259</v>
      </c>
      <c r="R215" s="136">
        <v>20.5</v>
      </c>
      <c r="S215" s="37"/>
      <c r="T215" s="35">
        <v>0</v>
      </c>
      <c r="U215" s="136">
        <v>35.200000000000003</v>
      </c>
      <c r="V215" s="35">
        <v>0</v>
      </c>
      <c r="W215" s="136">
        <v>31.5</v>
      </c>
      <c r="X215" s="35">
        <v>0</v>
      </c>
      <c r="Y215" s="149">
        <v>31.5</v>
      </c>
      <c r="Z215" s="35">
        <v>0</v>
      </c>
      <c r="AA215" s="136">
        <v>31.400000000000002</v>
      </c>
      <c r="AB215" s="37">
        <v>0</v>
      </c>
      <c r="AC215" s="136">
        <v>31.400000000000002</v>
      </c>
      <c r="AD215" s="37"/>
      <c r="AE215" s="40">
        <v>201</v>
      </c>
      <c r="AF215" s="65"/>
      <c r="AG215" s="35">
        <v>0</v>
      </c>
      <c r="AH215" s="36">
        <v>0</v>
      </c>
      <c r="AI215" s="37"/>
      <c r="AJ215" s="35">
        <v>348</v>
      </c>
      <c r="AK215" s="36">
        <v>417.6</v>
      </c>
      <c r="AL215" s="35">
        <v>425</v>
      </c>
      <c r="AM215" s="36">
        <v>511.20000000000005</v>
      </c>
      <c r="AN215" s="35">
        <v>444</v>
      </c>
      <c r="AO215" s="36">
        <v>492</v>
      </c>
      <c r="AP215" s="37"/>
      <c r="AQ215" s="35">
        <v>350</v>
      </c>
      <c r="AR215" s="36">
        <v>844.80000000000007</v>
      </c>
      <c r="AS215" s="35">
        <v>439</v>
      </c>
      <c r="AT215" s="36">
        <v>756</v>
      </c>
      <c r="AU215" s="35">
        <v>439</v>
      </c>
      <c r="AV215" s="36">
        <v>756</v>
      </c>
      <c r="AW215" s="35">
        <v>441</v>
      </c>
      <c r="AX215" s="36">
        <v>753.6</v>
      </c>
      <c r="AY215" s="35">
        <v>441</v>
      </c>
      <c r="AZ215" s="36">
        <v>753.6</v>
      </c>
      <c r="BB215" s="40">
        <v>0</v>
      </c>
      <c r="BC215" s="65"/>
      <c r="BD215" s="35">
        <v>0</v>
      </c>
      <c r="BE215" s="36">
        <v>0</v>
      </c>
      <c r="BF215" s="37"/>
      <c r="BG215" s="415">
        <v>0</v>
      </c>
      <c r="BH215" s="353">
        <v>0</v>
      </c>
      <c r="BI215" s="415">
        <v>0</v>
      </c>
      <c r="BJ215" s="353">
        <v>0</v>
      </c>
      <c r="BK215" s="415">
        <v>0</v>
      </c>
      <c r="BL215" s="353">
        <v>0</v>
      </c>
      <c r="BM215" s="416"/>
      <c r="BN215" s="415">
        <v>0</v>
      </c>
      <c r="BO215" s="353">
        <v>0</v>
      </c>
      <c r="BP215" s="415">
        <v>0</v>
      </c>
      <c r="BQ215" s="353">
        <v>0</v>
      </c>
      <c r="BR215" s="415">
        <v>0</v>
      </c>
      <c r="BS215" s="353">
        <v>0</v>
      </c>
      <c r="BT215" s="415">
        <v>0</v>
      </c>
      <c r="BU215" s="353">
        <v>-3.5999999999999979</v>
      </c>
      <c r="BV215" s="415">
        <v>0</v>
      </c>
      <c r="BW215" s="353">
        <v>-3.5999999999999979</v>
      </c>
      <c r="BY215" s="80"/>
      <c r="BZ215" s="65"/>
      <c r="CA215" s="40" t="s">
        <v>3</v>
      </c>
      <c r="CB215" s="65"/>
      <c r="CC215" s="40">
        <v>-147.61487603305784</v>
      </c>
      <c r="CD215" s="40">
        <v>-224.01487603305782</v>
      </c>
      <c r="CE215" s="40">
        <v>-243.21487603305786</v>
      </c>
      <c r="CF215" s="65"/>
      <c r="CG215" s="40">
        <v>-149.41487603305779</v>
      </c>
      <c r="CH215" s="40">
        <v>-238.21487603305786</v>
      </c>
      <c r="CI215" s="40">
        <v>-238.21487603305786</v>
      </c>
      <c r="CJ215" s="40">
        <v>-240.61487603305784</v>
      </c>
      <c r="CK215" s="40">
        <v>-240.61487603305784</v>
      </c>
    </row>
    <row r="216" spans="1:89" s="2" customFormat="1">
      <c r="A216" s="196" t="s">
        <v>974</v>
      </c>
      <c r="B216" s="211" t="s">
        <v>60</v>
      </c>
      <c r="C216" s="211" t="s">
        <v>559</v>
      </c>
      <c r="D216" s="41">
        <v>537</v>
      </c>
      <c r="E216" s="41">
        <v>3.75</v>
      </c>
      <c r="F216" s="41" t="s">
        <v>381</v>
      </c>
      <c r="G216" s="413">
        <v>24</v>
      </c>
      <c r="H216" s="414">
        <v>386.77685950413223</v>
      </c>
      <c r="I216" s="321"/>
      <c r="J216" s="40" t="s">
        <v>3</v>
      </c>
      <c r="K216" s="36" t="s">
        <v>3</v>
      </c>
      <c r="L216" s="37"/>
      <c r="M216" s="35">
        <v>139</v>
      </c>
      <c r="N216" s="136">
        <v>7.7</v>
      </c>
      <c r="O216" s="35">
        <v>19</v>
      </c>
      <c r="P216" s="136">
        <v>9.6000000000000014</v>
      </c>
      <c r="Q216" s="37">
        <v>19</v>
      </c>
      <c r="R216" s="136">
        <v>8.7000000000000011</v>
      </c>
      <c r="S216" s="37"/>
      <c r="T216" s="35">
        <v>0</v>
      </c>
      <c r="U216" s="136">
        <v>13.5</v>
      </c>
      <c r="V216" s="35">
        <v>0</v>
      </c>
      <c r="W216" s="136">
        <v>10</v>
      </c>
      <c r="X216" s="35">
        <v>0</v>
      </c>
      <c r="Y216" s="149">
        <v>10</v>
      </c>
      <c r="Z216" s="35">
        <v>0</v>
      </c>
      <c r="AA216" s="136">
        <v>9.9</v>
      </c>
      <c r="AB216" s="37">
        <v>0</v>
      </c>
      <c r="AC216" s="136">
        <v>9.9</v>
      </c>
      <c r="AD216" s="37"/>
      <c r="AE216" s="40">
        <v>150</v>
      </c>
      <c r="AF216" s="65"/>
      <c r="AG216" s="35">
        <v>0</v>
      </c>
      <c r="AH216" s="36">
        <v>0</v>
      </c>
      <c r="AI216" s="37"/>
      <c r="AJ216" s="35">
        <v>213</v>
      </c>
      <c r="AK216" s="36">
        <v>184.8</v>
      </c>
      <c r="AL216" s="35">
        <v>288</v>
      </c>
      <c r="AM216" s="36">
        <v>230.40000000000003</v>
      </c>
      <c r="AN216" s="37">
        <v>309</v>
      </c>
      <c r="AO216" s="36">
        <v>208.8</v>
      </c>
      <c r="AP216" s="37"/>
      <c r="AQ216" s="35">
        <v>213</v>
      </c>
      <c r="AR216" s="36">
        <v>324</v>
      </c>
      <c r="AS216" s="35">
        <v>297</v>
      </c>
      <c r="AT216" s="36">
        <v>240</v>
      </c>
      <c r="AU216" s="37">
        <v>297</v>
      </c>
      <c r="AV216" s="36">
        <v>240</v>
      </c>
      <c r="AW216" s="37">
        <v>299</v>
      </c>
      <c r="AX216" s="36">
        <v>237.60000000000002</v>
      </c>
      <c r="AY216" s="37">
        <v>299</v>
      </c>
      <c r="AZ216" s="36">
        <v>237.60000000000002</v>
      </c>
      <c r="BB216" s="40">
        <v>0</v>
      </c>
      <c r="BC216" s="65"/>
      <c r="BD216" s="35">
        <v>0</v>
      </c>
      <c r="BE216" s="36">
        <v>0</v>
      </c>
      <c r="BF216" s="37"/>
      <c r="BG216" s="415">
        <v>120</v>
      </c>
      <c r="BH216" s="353">
        <v>-2.9000000000000012</v>
      </c>
      <c r="BI216" s="415">
        <v>0</v>
      </c>
      <c r="BJ216" s="353">
        <v>0</v>
      </c>
      <c r="BK216" s="415">
        <v>0</v>
      </c>
      <c r="BL216" s="353">
        <v>0</v>
      </c>
      <c r="BM216" s="416"/>
      <c r="BN216" s="415">
        <v>0</v>
      </c>
      <c r="BO216" s="353">
        <v>0</v>
      </c>
      <c r="BP216" s="415">
        <v>0</v>
      </c>
      <c r="BQ216" s="353">
        <v>0</v>
      </c>
      <c r="BR216" s="415">
        <v>0</v>
      </c>
      <c r="BS216" s="353">
        <v>0</v>
      </c>
      <c r="BT216" s="415">
        <v>0</v>
      </c>
      <c r="BU216" s="353">
        <v>0</v>
      </c>
      <c r="BV216" s="415">
        <v>0</v>
      </c>
      <c r="BW216" s="353">
        <v>0</v>
      </c>
      <c r="BY216" s="80"/>
      <c r="BZ216" s="65"/>
      <c r="CA216" s="40" t="s">
        <v>3</v>
      </c>
      <c r="CB216" s="65"/>
      <c r="CC216" s="40">
        <v>-62.976859504132221</v>
      </c>
      <c r="CD216" s="40">
        <v>-137.3768595041322</v>
      </c>
      <c r="CE216" s="40">
        <v>-158.97685950413222</v>
      </c>
      <c r="CF216" s="65"/>
      <c r="CG216" s="40">
        <v>-62.776859504132233</v>
      </c>
      <c r="CH216" s="40">
        <v>-146.77685950413223</v>
      </c>
      <c r="CI216" s="40">
        <v>-146.77685950413223</v>
      </c>
      <c r="CJ216" s="40">
        <v>-149.17685950413221</v>
      </c>
      <c r="CK216" s="40">
        <v>-149.17685950413221</v>
      </c>
    </row>
    <row r="217" spans="1:89" s="2" customFormat="1">
      <c r="A217" s="196" t="s">
        <v>975</v>
      </c>
      <c r="B217" s="211" t="s">
        <v>673</v>
      </c>
      <c r="C217" s="211" t="s">
        <v>549</v>
      </c>
      <c r="D217" s="41">
        <v>208</v>
      </c>
      <c r="E217" s="41">
        <v>3.75</v>
      </c>
      <c r="F217" s="22" t="s">
        <v>381</v>
      </c>
      <c r="G217" s="40">
        <v>24</v>
      </c>
      <c r="H217" s="388">
        <v>187.60330578512398</v>
      </c>
      <c r="I217" s="321"/>
      <c r="J217" s="40" t="s">
        <v>3</v>
      </c>
      <c r="K217" s="36" t="s">
        <v>3</v>
      </c>
      <c r="L217" s="37"/>
      <c r="M217" s="35">
        <v>29</v>
      </c>
      <c r="N217" s="136">
        <v>5.4</v>
      </c>
      <c r="O217" s="35">
        <v>0</v>
      </c>
      <c r="P217" s="136">
        <v>3.4000000000000004</v>
      </c>
      <c r="Q217" s="37">
        <v>0</v>
      </c>
      <c r="R217" s="136">
        <v>2.5</v>
      </c>
      <c r="S217" s="37"/>
      <c r="T217" s="35">
        <v>0</v>
      </c>
      <c r="U217" s="136">
        <v>6.7</v>
      </c>
      <c r="V217" s="35">
        <v>0</v>
      </c>
      <c r="W217" s="136">
        <v>2.5</v>
      </c>
      <c r="X217" s="35">
        <v>0</v>
      </c>
      <c r="Y217" s="149">
        <v>2.5</v>
      </c>
      <c r="Z217" s="35">
        <v>0</v>
      </c>
      <c r="AA217" s="136">
        <v>2.5</v>
      </c>
      <c r="AB217" s="37">
        <v>0</v>
      </c>
      <c r="AC217" s="136">
        <v>2.5</v>
      </c>
      <c r="AD217" s="37"/>
      <c r="AE217" s="40">
        <v>20</v>
      </c>
      <c r="AF217" s="65"/>
      <c r="AG217" s="35">
        <v>0</v>
      </c>
      <c r="AH217" s="36">
        <v>0</v>
      </c>
      <c r="AI217" s="37"/>
      <c r="AJ217" s="35">
        <v>49</v>
      </c>
      <c r="AK217" s="36">
        <v>129.60000000000002</v>
      </c>
      <c r="AL217" s="35">
        <v>126</v>
      </c>
      <c r="AM217" s="36">
        <v>81.600000000000009</v>
      </c>
      <c r="AN217" s="35">
        <v>148</v>
      </c>
      <c r="AO217" s="36">
        <v>60</v>
      </c>
      <c r="AP217" s="37"/>
      <c r="AQ217" s="35">
        <v>47</v>
      </c>
      <c r="AR217" s="36">
        <v>160.80000000000001</v>
      </c>
      <c r="AS217" s="35">
        <v>148</v>
      </c>
      <c r="AT217" s="36">
        <v>60</v>
      </c>
      <c r="AU217" s="35">
        <v>148</v>
      </c>
      <c r="AV217" s="36">
        <v>60</v>
      </c>
      <c r="AW217" s="35">
        <v>148</v>
      </c>
      <c r="AX217" s="36">
        <v>60</v>
      </c>
      <c r="AY217" s="35">
        <v>148</v>
      </c>
      <c r="AZ217" s="36">
        <v>60</v>
      </c>
      <c r="BB217" s="40">
        <v>0</v>
      </c>
      <c r="BC217" s="65"/>
      <c r="BD217" s="35">
        <v>0</v>
      </c>
      <c r="BE217" s="36">
        <v>0</v>
      </c>
      <c r="BF217" s="37"/>
      <c r="BG217" s="415">
        <v>29</v>
      </c>
      <c r="BH217" s="353">
        <v>1</v>
      </c>
      <c r="BI217" s="415">
        <v>0</v>
      </c>
      <c r="BJ217" s="353">
        <v>0</v>
      </c>
      <c r="BK217" s="415">
        <v>0</v>
      </c>
      <c r="BL217" s="353">
        <v>0</v>
      </c>
      <c r="BM217" s="416"/>
      <c r="BN217" s="415">
        <v>0</v>
      </c>
      <c r="BO217" s="353">
        <v>0</v>
      </c>
      <c r="BP217" s="415">
        <v>0</v>
      </c>
      <c r="BQ217" s="353">
        <v>0</v>
      </c>
      <c r="BR217" s="415">
        <v>0</v>
      </c>
      <c r="BS217" s="353">
        <v>0</v>
      </c>
      <c r="BT217" s="415">
        <v>0</v>
      </c>
      <c r="BU217" s="353">
        <v>0</v>
      </c>
      <c r="BV217" s="415">
        <v>0</v>
      </c>
      <c r="BW217" s="353">
        <v>0</v>
      </c>
      <c r="BY217" s="80"/>
      <c r="BZ217" s="65"/>
      <c r="CA217" s="40" t="s">
        <v>3</v>
      </c>
      <c r="CB217" s="65"/>
      <c r="CC217" s="40">
        <v>-29.003305785123956</v>
      </c>
      <c r="CD217" s="40">
        <v>-106.00330578512397</v>
      </c>
      <c r="CE217" s="40">
        <v>-127.60330578512398</v>
      </c>
      <c r="CF217" s="65"/>
      <c r="CG217" s="40">
        <v>-26.803305785123968</v>
      </c>
      <c r="CH217" s="40">
        <v>-127.60330578512398</v>
      </c>
      <c r="CI217" s="40">
        <v>-127.60330578512398</v>
      </c>
      <c r="CJ217" s="40">
        <v>-127.60330578512398</v>
      </c>
      <c r="CK217" s="40">
        <v>-127.60330578512398</v>
      </c>
    </row>
    <row r="218" spans="1:89" s="2" customFormat="1">
      <c r="A218" s="196" t="s">
        <v>976</v>
      </c>
      <c r="B218" s="211" t="s">
        <v>673</v>
      </c>
      <c r="C218" s="211" t="s">
        <v>550</v>
      </c>
      <c r="D218" s="41">
        <v>132</v>
      </c>
      <c r="E218" s="41">
        <v>3.75</v>
      </c>
      <c r="F218" s="41" t="s">
        <v>381</v>
      </c>
      <c r="G218" s="413">
        <v>24</v>
      </c>
      <c r="H218" s="414">
        <v>100.82644628099173</v>
      </c>
      <c r="I218" s="321"/>
      <c r="J218" s="40" t="s">
        <v>3</v>
      </c>
      <c r="K218" s="36" t="s">
        <v>3</v>
      </c>
      <c r="L218" s="37"/>
      <c r="M218" s="35">
        <v>0</v>
      </c>
      <c r="N218" s="136">
        <v>3.6</v>
      </c>
      <c r="O218" s="35">
        <v>0</v>
      </c>
      <c r="P218" s="136">
        <v>0.70000000000000007</v>
      </c>
      <c r="Q218" s="37">
        <v>0</v>
      </c>
      <c r="R218" s="136">
        <v>0.30000000000000004</v>
      </c>
      <c r="S218" s="37"/>
      <c r="T218" s="35">
        <v>0</v>
      </c>
      <c r="U218" s="136">
        <v>3.8000000000000003</v>
      </c>
      <c r="V218" s="35">
        <v>0</v>
      </c>
      <c r="W218" s="136">
        <v>0.9</v>
      </c>
      <c r="X218" s="35">
        <v>0</v>
      </c>
      <c r="Y218" s="149">
        <v>0.9</v>
      </c>
      <c r="Z218" s="35">
        <v>0</v>
      </c>
      <c r="AA218" s="136">
        <v>0.8</v>
      </c>
      <c r="AB218" s="37">
        <v>0</v>
      </c>
      <c r="AC218" s="136">
        <v>0.8</v>
      </c>
      <c r="AD218" s="37"/>
      <c r="AE218" s="40">
        <v>31</v>
      </c>
      <c r="AF218" s="65"/>
      <c r="AG218" s="35">
        <v>0</v>
      </c>
      <c r="AH218" s="36">
        <v>0</v>
      </c>
      <c r="AI218" s="37"/>
      <c r="AJ218" s="35">
        <v>46</v>
      </c>
      <c r="AK218" s="36">
        <v>86.4</v>
      </c>
      <c r="AL218" s="35">
        <v>115</v>
      </c>
      <c r="AM218" s="36">
        <v>16.8</v>
      </c>
      <c r="AN218" s="37">
        <v>125</v>
      </c>
      <c r="AO218" s="36">
        <v>7.2000000000000011</v>
      </c>
      <c r="AP218" s="37"/>
      <c r="AQ218" s="35">
        <v>41</v>
      </c>
      <c r="AR218" s="36">
        <v>91.2</v>
      </c>
      <c r="AS218" s="35">
        <v>110</v>
      </c>
      <c r="AT218" s="36">
        <v>21.6</v>
      </c>
      <c r="AU218" s="37">
        <v>110</v>
      </c>
      <c r="AV218" s="36">
        <v>21.6</v>
      </c>
      <c r="AW218" s="37">
        <v>113</v>
      </c>
      <c r="AX218" s="36">
        <v>19.200000000000003</v>
      </c>
      <c r="AY218" s="37">
        <v>113</v>
      </c>
      <c r="AZ218" s="36">
        <v>19.200000000000003</v>
      </c>
      <c r="BB218" s="40">
        <v>0</v>
      </c>
      <c r="BC218" s="65"/>
      <c r="BD218" s="35">
        <v>0</v>
      </c>
      <c r="BE218" s="36">
        <v>0</v>
      </c>
      <c r="BF218" s="37"/>
      <c r="BG218" s="415">
        <v>0</v>
      </c>
      <c r="BH218" s="353">
        <v>1.9</v>
      </c>
      <c r="BI218" s="415">
        <v>0</v>
      </c>
      <c r="BJ218" s="353">
        <v>0</v>
      </c>
      <c r="BK218" s="415">
        <v>0</v>
      </c>
      <c r="BL218" s="353">
        <v>0</v>
      </c>
      <c r="BM218" s="416"/>
      <c r="BN218" s="415">
        <v>0</v>
      </c>
      <c r="BO218" s="353">
        <v>0</v>
      </c>
      <c r="BP218" s="415">
        <v>0</v>
      </c>
      <c r="BQ218" s="353">
        <v>0</v>
      </c>
      <c r="BR218" s="415">
        <v>0</v>
      </c>
      <c r="BS218" s="353">
        <v>0</v>
      </c>
      <c r="BT218" s="415">
        <v>0</v>
      </c>
      <c r="BU218" s="353">
        <v>0</v>
      </c>
      <c r="BV218" s="415">
        <v>0</v>
      </c>
      <c r="BW218" s="353">
        <v>0</v>
      </c>
      <c r="BY218" s="80"/>
      <c r="BZ218" s="65"/>
      <c r="CA218" s="40" t="s">
        <v>3</v>
      </c>
      <c r="CB218" s="65"/>
      <c r="CC218" s="40">
        <v>-14.426446280991726</v>
      </c>
      <c r="CD218" s="40">
        <v>-84.026446280991735</v>
      </c>
      <c r="CE218" s="40">
        <v>-93.626446280991729</v>
      </c>
      <c r="CF218" s="65"/>
      <c r="CG218" s="40">
        <v>-9.6264462809917291</v>
      </c>
      <c r="CH218" s="40">
        <v>-79.226446280991723</v>
      </c>
      <c r="CI218" s="40">
        <v>-79.226446280991723</v>
      </c>
      <c r="CJ218" s="40">
        <v>-81.626446280991729</v>
      </c>
      <c r="CK218" s="40">
        <v>-81.626446280991729</v>
      </c>
    </row>
    <row r="219" spans="1:89" s="2" customFormat="1">
      <c r="A219" s="196" t="s">
        <v>977</v>
      </c>
      <c r="B219" s="211" t="s">
        <v>673</v>
      </c>
      <c r="C219" s="211" t="s">
        <v>467</v>
      </c>
      <c r="D219" s="41">
        <v>115</v>
      </c>
      <c r="E219" s="41">
        <v>3.75</v>
      </c>
      <c r="F219" s="22" t="s">
        <v>381</v>
      </c>
      <c r="G219" s="40">
        <v>24</v>
      </c>
      <c r="H219" s="388">
        <v>105.78512396694215</v>
      </c>
      <c r="I219" s="321"/>
      <c r="J219" s="40" t="s">
        <v>3</v>
      </c>
      <c r="K219" s="36" t="s">
        <v>3</v>
      </c>
      <c r="L219" s="37"/>
      <c r="M219" s="35">
        <v>0</v>
      </c>
      <c r="N219" s="136">
        <v>3.8000000000000003</v>
      </c>
      <c r="O219" s="35">
        <v>0</v>
      </c>
      <c r="P219" s="136">
        <v>0.9</v>
      </c>
      <c r="Q219" s="37">
        <v>0</v>
      </c>
      <c r="R219" s="136">
        <v>0.30000000000000004</v>
      </c>
      <c r="S219" s="37"/>
      <c r="T219" s="35">
        <v>0</v>
      </c>
      <c r="U219" s="136">
        <v>4</v>
      </c>
      <c r="V219" s="35">
        <v>0</v>
      </c>
      <c r="W219" s="136">
        <v>0.9</v>
      </c>
      <c r="X219" s="35">
        <v>0</v>
      </c>
      <c r="Y219" s="149">
        <v>0.9</v>
      </c>
      <c r="Z219" s="35">
        <v>0</v>
      </c>
      <c r="AA219" s="136">
        <v>0.8</v>
      </c>
      <c r="AB219" s="37">
        <v>0</v>
      </c>
      <c r="AC219" s="136">
        <v>0.8</v>
      </c>
      <c r="AD219" s="37"/>
      <c r="AE219" s="40">
        <v>9</v>
      </c>
      <c r="AF219" s="65"/>
      <c r="AG219" s="35">
        <v>0</v>
      </c>
      <c r="AH219" s="36">
        <v>0</v>
      </c>
      <c r="AI219" s="37"/>
      <c r="AJ219" s="35">
        <v>24</v>
      </c>
      <c r="AK219" s="36">
        <v>91.2</v>
      </c>
      <c r="AL219" s="35">
        <v>93</v>
      </c>
      <c r="AM219" s="36">
        <v>21.6</v>
      </c>
      <c r="AN219" s="35">
        <v>108</v>
      </c>
      <c r="AO219" s="36">
        <v>7.2000000000000011</v>
      </c>
      <c r="AP219" s="37"/>
      <c r="AQ219" s="35">
        <v>19</v>
      </c>
      <c r="AR219" s="36">
        <v>96</v>
      </c>
      <c r="AS219" s="35">
        <v>93</v>
      </c>
      <c r="AT219" s="36">
        <v>21.6</v>
      </c>
      <c r="AU219" s="35">
        <v>93</v>
      </c>
      <c r="AV219" s="36">
        <v>21.6</v>
      </c>
      <c r="AW219" s="35">
        <v>96</v>
      </c>
      <c r="AX219" s="36">
        <v>19.200000000000003</v>
      </c>
      <c r="AY219" s="35">
        <v>96</v>
      </c>
      <c r="AZ219" s="36">
        <v>19.200000000000003</v>
      </c>
      <c r="BB219" s="40">
        <v>0</v>
      </c>
      <c r="BC219" s="65"/>
      <c r="BD219" s="35">
        <v>0</v>
      </c>
      <c r="BE219" s="36">
        <v>0</v>
      </c>
      <c r="BF219" s="37"/>
      <c r="BG219" s="415">
        <v>0</v>
      </c>
      <c r="BH219" s="353">
        <v>1.9000000000000001</v>
      </c>
      <c r="BI219" s="415">
        <v>0</v>
      </c>
      <c r="BJ219" s="353">
        <v>0</v>
      </c>
      <c r="BK219" s="415">
        <v>0</v>
      </c>
      <c r="BL219" s="353">
        <v>0</v>
      </c>
      <c r="BM219" s="416"/>
      <c r="BN219" s="415">
        <v>0</v>
      </c>
      <c r="BO219" s="353">
        <v>0</v>
      </c>
      <c r="BP219" s="415">
        <v>0</v>
      </c>
      <c r="BQ219" s="353">
        <v>0</v>
      </c>
      <c r="BR219" s="415">
        <v>0</v>
      </c>
      <c r="BS219" s="353">
        <v>0</v>
      </c>
      <c r="BT219" s="415">
        <v>0</v>
      </c>
      <c r="BU219" s="353">
        <v>0</v>
      </c>
      <c r="BV219" s="415">
        <v>0</v>
      </c>
      <c r="BW219" s="353">
        <v>0</v>
      </c>
      <c r="BY219" s="80"/>
      <c r="BZ219" s="65"/>
      <c r="CA219" s="40" t="s">
        <v>3</v>
      </c>
      <c r="CB219" s="65"/>
      <c r="CC219" s="40">
        <v>-14.585123966942149</v>
      </c>
      <c r="CD219" s="40">
        <v>-84.185123966942143</v>
      </c>
      <c r="CE219" s="40">
        <v>-98.585123966942149</v>
      </c>
      <c r="CF219" s="65"/>
      <c r="CG219" s="40">
        <v>-9.7851239669421517</v>
      </c>
      <c r="CH219" s="40">
        <v>-84.185123966942143</v>
      </c>
      <c r="CI219" s="40">
        <v>-84.185123966942143</v>
      </c>
      <c r="CJ219" s="40">
        <v>-86.585123966942149</v>
      </c>
      <c r="CK219" s="40">
        <v>-86.585123966942149</v>
      </c>
    </row>
    <row r="220" spans="1:89" s="2" customFormat="1">
      <c r="A220" s="196" t="s">
        <v>978</v>
      </c>
      <c r="B220" s="211" t="s">
        <v>664</v>
      </c>
      <c r="C220" s="211" t="s">
        <v>619</v>
      </c>
      <c r="D220" s="41">
        <v>647</v>
      </c>
      <c r="E220" s="41">
        <v>3.75</v>
      </c>
      <c r="F220" s="41" t="s">
        <v>381</v>
      </c>
      <c r="G220" s="413">
        <v>24</v>
      </c>
      <c r="H220" s="414">
        <v>466.11570247933884</v>
      </c>
      <c r="I220" s="321"/>
      <c r="J220" s="40" t="s">
        <v>3</v>
      </c>
      <c r="K220" s="36" t="s">
        <v>3</v>
      </c>
      <c r="L220" s="37"/>
      <c r="M220" s="35">
        <v>159</v>
      </c>
      <c r="N220" s="136">
        <v>9.6000000000000014</v>
      </c>
      <c r="O220" s="35">
        <v>19</v>
      </c>
      <c r="P220" s="136">
        <v>12.4</v>
      </c>
      <c r="Q220" s="37">
        <v>19</v>
      </c>
      <c r="R220" s="136">
        <v>11.600000000000001</v>
      </c>
      <c r="S220" s="37"/>
      <c r="T220" s="35">
        <v>0</v>
      </c>
      <c r="U220" s="136">
        <v>16.2</v>
      </c>
      <c r="V220" s="35">
        <v>0</v>
      </c>
      <c r="W220" s="136">
        <v>12</v>
      </c>
      <c r="X220" s="35">
        <v>0</v>
      </c>
      <c r="Y220" s="149">
        <v>12</v>
      </c>
      <c r="Z220" s="35">
        <v>0</v>
      </c>
      <c r="AA220" s="136">
        <v>12</v>
      </c>
      <c r="AB220" s="37">
        <v>0</v>
      </c>
      <c r="AC220" s="136">
        <v>12</v>
      </c>
      <c r="AD220" s="37"/>
      <c r="AE220" s="40">
        <v>181</v>
      </c>
      <c r="AF220" s="65"/>
      <c r="AG220" s="35">
        <v>0</v>
      </c>
      <c r="AH220" s="36">
        <v>0</v>
      </c>
      <c r="AI220" s="37"/>
      <c r="AJ220" s="35">
        <v>258</v>
      </c>
      <c r="AK220" s="36">
        <v>230.40000000000003</v>
      </c>
      <c r="AL220" s="35">
        <v>330</v>
      </c>
      <c r="AM220" s="36">
        <v>297.60000000000002</v>
      </c>
      <c r="AN220" s="37">
        <v>350</v>
      </c>
      <c r="AO220" s="36">
        <v>278.40000000000003</v>
      </c>
      <c r="AP220" s="37"/>
      <c r="AQ220" s="35">
        <v>258</v>
      </c>
      <c r="AR220" s="36">
        <v>388.79999999999995</v>
      </c>
      <c r="AS220" s="35">
        <v>359</v>
      </c>
      <c r="AT220" s="36">
        <v>288</v>
      </c>
      <c r="AU220" s="37">
        <v>359</v>
      </c>
      <c r="AV220" s="36">
        <v>288</v>
      </c>
      <c r="AW220" s="37">
        <v>359</v>
      </c>
      <c r="AX220" s="36">
        <v>288</v>
      </c>
      <c r="AY220" s="37">
        <v>359</v>
      </c>
      <c r="AZ220" s="36">
        <v>288</v>
      </c>
      <c r="BB220" s="40">
        <v>0</v>
      </c>
      <c r="BC220" s="65"/>
      <c r="BD220" s="35">
        <v>0</v>
      </c>
      <c r="BE220" s="36">
        <v>0</v>
      </c>
      <c r="BF220" s="37"/>
      <c r="BG220" s="415">
        <v>140</v>
      </c>
      <c r="BH220" s="353">
        <v>-3.8999999999999986</v>
      </c>
      <c r="BI220" s="415">
        <v>0</v>
      </c>
      <c r="BJ220" s="353">
        <v>0</v>
      </c>
      <c r="BK220" s="415">
        <v>0</v>
      </c>
      <c r="BL220" s="353">
        <v>0</v>
      </c>
      <c r="BM220" s="416"/>
      <c r="BN220" s="415">
        <v>0</v>
      </c>
      <c r="BO220" s="353">
        <v>0</v>
      </c>
      <c r="BP220" s="415">
        <v>0</v>
      </c>
      <c r="BQ220" s="353">
        <v>0</v>
      </c>
      <c r="BR220" s="415">
        <v>0</v>
      </c>
      <c r="BS220" s="353">
        <v>0</v>
      </c>
      <c r="BT220" s="415">
        <v>0</v>
      </c>
      <c r="BU220" s="353">
        <v>0</v>
      </c>
      <c r="BV220" s="415">
        <v>0</v>
      </c>
      <c r="BW220" s="353">
        <v>0</v>
      </c>
      <c r="BY220" s="80"/>
      <c r="BZ220" s="65"/>
      <c r="CA220" s="40" t="s">
        <v>3</v>
      </c>
      <c r="CB220" s="65"/>
      <c r="CC220" s="40">
        <v>-76.715702479338802</v>
      </c>
      <c r="CD220" s="40">
        <v>-149.51570247933881</v>
      </c>
      <c r="CE220" s="40">
        <v>-168.7157024793388</v>
      </c>
      <c r="CF220" s="65"/>
      <c r="CG220" s="40">
        <v>-77.315702479338881</v>
      </c>
      <c r="CH220" s="40">
        <v>-178.11570247933884</v>
      </c>
      <c r="CI220" s="40">
        <v>-178.11570247933884</v>
      </c>
      <c r="CJ220" s="40">
        <v>-178.11570247933884</v>
      </c>
      <c r="CK220" s="40">
        <v>-178.11570247933884</v>
      </c>
    </row>
    <row r="221" spans="1:89" s="2" customFormat="1">
      <c r="A221" s="196" t="s">
        <v>979</v>
      </c>
      <c r="B221" s="211" t="s">
        <v>664</v>
      </c>
      <c r="C221" s="211" t="s">
        <v>561</v>
      </c>
      <c r="D221" s="41">
        <v>208</v>
      </c>
      <c r="E221" s="41">
        <v>3.75</v>
      </c>
      <c r="F221" s="22" t="s">
        <v>381</v>
      </c>
      <c r="G221" s="40">
        <v>24</v>
      </c>
      <c r="H221" s="388">
        <v>171.900826446281</v>
      </c>
      <c r="I221" s="321"/>
      <c r="J221" s="40" t="s">
        <v>3</v>
      </c>
      <c r="K221" s="36" t="s">
        <v>3</v>
      </c>
      <c r="L221" s="37"/>
      <c r="M221" s="35">
        <v>29</v>
      </c>
      <c r="N221" s="136">
        <v>4.8000000000000007</v>
      </c>
      <c r="O221" s="35">
        <v>0</v>
      </c>
      <c r="P221" s="136">
        <v>2.7</v>
      </c>
      <c r="Q221" s="37">
        <v>0</v>
      </c>
      <c r="R221" s="136">
        <v>1.9000000000000001</v>
      </c>
      <c r="S221" s="37"/>
      <c r="T221" s="35">
        <v>0</v>
      </c>
      <c r="U221" s="136">
        <v>6</v>
      </c>
      <c r="V221" s="35">
        <v>0</v>
      </c>
      <c r="W221" s="136">
        <v>1.7000000000000002</v>
      </c>
      <c r="X221" s="35">
        <v>0</v>
      </c>
      <c r="Y221" s="149">
        <v>1.7000000000000002</v>
      </c>
      <c r="Z221" s="35">
        <v>0</v>
      </c>
      <c r="AA221" s="136">
        <v>1.7000000000000002</v>
      </c>
      <c r="AB221" s="37">
        <v>0</v>
      </c>
      <c r="AC221" s="136">
        <v>1.7000000000000002</v>
      </c>
      <c r="AD221" s="37"/>
      <c r="AE221" s="40">
        <v>36</v>
      </c>
      <c r="AF221" s="65"/>
      <c r="AG221" s="35">
        <v>0</v>
      </c>
      <c r="AH221" s="36">
        <v>0</v>
      </c>
      <c r="AI221" s="37"/>
      <c r="AJ221" s="35">
        <v>64</v>
      </c>
      <c r="AK221" s="36">
        <v>115.20000000000002</v>
      </c>
      <c r="AL221" s="35">
        <v>143</v>
      </c>
      <c r="AM221" s="36">
        <v>64.800000000000011</v>
      </c>
      <c r="AN221" s="35">
        <v>162</v>
      </c>
      <c r="AO221" s="36">
        <v>45.6</v>
      </c>
      <c r="AP221" s="37"/>
      <c r="AQ221" s="35">
        <v>64</v>
      </c>
      <c r="AR221" s="36">
        <v>144</v>
      </c>
      <c r="AS221" s="35">
        <v>167</v>
      </c>
      <c r="AT221" s="36">
        <v>40.800000000000004</v>
      </c>
      <c r="AU221" s="35">
        <v>167</v>
      </c>
      <c r="AV221" s="36">
        <v>40.800000000000004</v>
      </c>
      <c r="AW221" s="35">
        <v>167</v>
      </c>
      <c r="AX221" s="36">
        <v>40.800000000000004</v>
      </c>
      <c r="AY221" s="35">
        <v>167</v>
      </c>
      <c r="AZ221" s="36">
        <v>40.800000000000004</v>
      </c>
      <c r="BB221" s="40">
        <v>0</v>
      </c>
      <c r="BC221" s="65"/>
      <c r="BD221" s="35">
        <v>0</v>
      </c>
      <c r="BE221" s="36">
        <v>0</v>
      </c>
      <c r="BF221" s="37"/>
      <c r="BG221" s="415">
        <v>29</v>
      </c>
      <c r="BH221" s="353">
        <v>1.0000000000000004</v>
      </c>
      <c r="BI221" s="415">
        <v>0</v>
      </c>
      <c r="BJ221" s="353">
        <v>0</v>
      </c>
      <c r="BK221" s="415">
        <v>0</v>
      </c>
      <c r="BL221" s="353">
        <v>0</v>
      </c>
      <c r="BM221" s="416"/>
      <c r="BN221" s="415">
        <v>0</v>
      </c>
      <c r="BO221" s="353">
        <v>0</v>
      </c>
      <c r="BP221" s="415">
        <v>0</v>
      </c>
      <c r="BQ221" s="353">
        <v>0</v>
      </c>
      <c r="BR221" s="415">
        <v>0</v>
      </c>
      <c r="BS221" s="353">
        <v>0</v>
      </c>
      <c r="BT221" s="415">
        <v>0</v>
      </c>
      <c r="BU221" s="353">
        <v>0</v>
      </c>
      <c r="BV221" s="415">
        <v>0</v>
      </c>
      <c r="BW221" s="353">
        <v>0</v>
      </c>
      <c r="BY221" s="80"/>
      <c r="BZ221" s="65"/>
      <c r="CA221" s="40" t="s">
        <v>3</v>
      </c>
      <c r="CB221" s="65"/>
      <c r="CC221" s="40">
        <v>-27.700826446280985</v>
      </c>
      <c r="CD221" s="40">
        <v>-107.10082644628099</v>
      </c>
      <c r="CE221" s="40">
        <v>-126.30082644628101</v>
      </c>
      <c r="CF221" s="65"/>
      <c r="CG221" s="40">
        <v>-27.900826446281002</v>
      </c>
      <c r="CH221" s="40">
        <v>-131.10082644628099</v>
      </c>
      <c r="CI221" s="40">
        <v>-131.10082644628099</v>
      </c>
      <c r="CJ221" s="40">
        <v>-131.10082644628099</v>
      </c>
      <c r="CK221" s="40">
        <v>-131.10082644628099</v>
      </c>
    </row>
    <row r="222" spans="1:89" s="2" customFormat="1">
      <c r="A222" s="196" t="s">
        <v>980</v>
      </c>
      <c r="B222" s="211" t="s">
        <v>664</v>
      </c>
      <c r="C222" s="211" t="s">
        <v>620</v>
      </c>
      <c r="D222" s="41">
        <v>327</v>
      </c>
      <c r="E222" s="41">
        <v>3.75</v>
      </c>
      <c r="F222" s="41" t="s">
        <v>381</v>
      </c>
      <c r="G222" s="413">
        <v>24</v>
      </c>
      <c r="H222" s="414">
        <v>276.03305785123968</v>
      </c>
      <c r="I222" s="321"/>
      <c r="J222" s="40" t="s">
        <v>3</v>
      </c>
      <c r="K222" s="36" t="s">
        <v>3</v>
      </c>
      <c r="L222" s="37"/>
      <c r="M222" s="35">
        <v>39</v>
      </c>
      <c r="N222" s="136">
        <v>7.3000000000000007</v>
      </c>
      <c r="O222" s="35">
        <v>0</v>
      </c>
      <c r="P222" s="136">
        <v>5.6000000000000005</v>
      </c>
      <c r="Q222" s="37">
        <v>0</v>
      </c>
      <c r="R222" s="136">
        <v>4.8000000000000007</v>
      </c>
      <c r="S222" s="37"/>
      <c r="T222" s="35">
        <v>0</v>
      </c>
      <c r="U222" s="136">
        <v>8.7000000000000011</v>
      </c>
      <c r="V222" s="35">
        <v>0</v>
      </c>
      <c r="W222" s="136">
        <v>4.2</v>
      </c>
      <c r="X222" s="35">
        <v>0</v>
      </c>
      <c r="Y222" s="149">
        <v>4.2</v>
      </c>
      <c r="Z222" s="35">
        <v>0</v>
      </c>
      <c r="AA222" s="136">
        <v>4.1000000000000005</v>
      </c>
      <c r="AB222" s="37">
        <v>0</v>
      </c>
      <c r="AC222" s="136">
        <v>4.1000000000000005</v>
      </c>
      <c r="AD222" s="37"/>
      <c r="AE222" s="40">
        <v>51</v>
      </c>
      <c r="AF222" s="65"/>
      <c r="AG222" s="35">
        <v>0</v>
      </c>
      <c r="AH222" s="36">
        <v>0</v>
      </c>
      <c r="AI222" s="37"/>
      <c r="AJ222" s="35">
        <v>113</v>
      </c>
      <c r="AK222" s="36">
        <v>175.20000000000002</v>
      </c>
      <c r="AL222" s="35">
        <v>193</v>
      </c>
      <c r="AM222" s="36">
        <v>134.4</v>
      </c>
      <c r="AN222" s="37">
        <v>212</v>
      </c>
      <c r="AO222" s="36">
        <v>115.20000000000002</v>
      </c>
      <c r="AP222" s="37"/>
      <c r="AQ222" s="35">
        <v>118</v>
      </c>
      <c r="AR222" s="36">
        <v>208.8</v>
      </c>
      <c r="AS222" s="35">
        <v>226</v>
      </c>
      <c r="AT222" s="36">
        <v>100.80000000000001</v>
      </c>
      <c r="AU222" s="37">
        <v>226</v>
      </c>
      <c r="AV222" s="36">
        <v>100.80000000000001</v>
      </c>
      <c r="AW222" s="37">
        <v>229</v>
      </c>
      <c r="AX222" s="36">
        <v>98.4</v>
      </c>
      <c r="AY222" s="37">
        <v>229</v>
      </c>
      <c r="AZ222" s="36">
        <v>98.4</v>
      </c>
      <c r="BB222" s="40">
        <v>0</v>
      </c>
      <c r="BC222" s="65"/>
      <c r="BD222" s="35">
        <v>0</v>
      </c>
      <c r="BE222" s="36">
        <v>0</v>
      </c>
      <c r="BF222" s="37"/>
      <c r="BG222" s="415">
        <v>39</v>
      </c>
      <c r="BH222" s="353">
        <v>0.60000000000000053</v>
      </c>
      <c r="BI222" s="415">
        <v>0</v>
      </c>
      <c r="BJ222" s="353">
        <v>0</v>
      </c>
      <c r="BK222" s="415">
        <v>0</v>
      </c>
      <c r="BL222" s="353">
        <v>0</v>
      </c>
      <c r="BM222" s="416"/>
      <c r="BN222" s="415">
        <v>0</v>
      </c>
      <c r="BO222" s="353">
        <v>0</v>
      </c>
      <c r="BP222" s="415">
        <v>0</v>
      </c>
      <c r="BQ222" s="353">
        <v>0</v>
      </c>
      <c r="BR222" s="415">
        <v>0</v>
      </c>
      <c r="BS222" s="353">
        <v>0</v>
      </c>
      <c r="BT222" s="415">
        <v>0</v>
      </c>
      <c r="BU222" s="353">
        <v>0.10000000000000053</v>
      </c>
      <c r="BV222" s="415">
        <v>0</v>
      </c>
      <c r="BW222" s="353">
        <v>0.10000000000000053</v>
      </c>
      <c r="BY222" s="80"/>
      <c r="BZ222" s="65"/>
      <c r="CA222" s="40" t="s">
        <v>3</v>
      </c>
      <c r="CB222" s="65"/>
      <c r="CC222" s="40">
        <v>-61.833057851239658</v>
      </c>
      <c r="CD222" s="40">
        <v>-141.63305785123967</v>
      </c>
      <c r="CE222" s="40">
        <v>-160.83305785123966</v>
      </c>
      <c r="CF222" s="65"/>
      <c r="CG222" s="40">
        <v>-67.233057851239664</v>
      </c>
      <c r="CH222" s="40">
        <v>-175.23305785123966</v>
      </c>
      <c r="CI222" s="40">
        <v>-175.23305785123966</v>
      </c>
      <c r="CJ222" s="40">
        <v>-177.63305785123967</v>
      </c>
      <c r="CK222" s="40">
        <v>-177.63305785123967</v>
      </c>
    </row>
    <row r="223" spans="1:89" s="2" customFormat="1">
      <c r="A223" s="196" t="s">
        <v>981</v>
      </c>
      <c r="B223" s="211" t="s">
        <v>664</v>
      </c>
      <c r="C223" s="211" t="s">
        <v>641</v>
      </c>
      <c r="D223" s="41">
        <v>167</v>
      </c>
      <c r="E223" s="41">
        <v>3.75</v>
      </c>
      <c r="F223" s="22" t="s">
        <v>381</v>
      </c>
      <c r="G223" s="40">
        <v>24</v>
      </c>
      <c r="H223" s="388">
        <v>109.91735537190083</v>
      </c>
      <c r="I223" s="321"/>
      <c r="J223" s="40" t="s">
        <v>3</v>
      </c>
      <c r="K223" s="36" t="s">
        <v>3</v>
      </c>
      <c r="L223" s="37"/>
      <c r="M223" s="35">
        <v>0</v>
      </c>
      <c r="N223" s="136">
        <v>4</v>
      </c>
      <c r="O223" s="35">
        <v>0</v>
      </c>
      <c r="P223" s="136">
        <v>1.1000000000000001</v>
      </c>
      <c r="Q223" s="37">
        <v>0</v>
      </c>
      <c r="R223" s="136">
        <v>0.30000000000000004</v>
      </c>
      <c r="S223" s="37"/>
      <c r="T223" s="35">
        <v>0</v>
      </c>
      <c r="U223" s="136">
        <v>4.2</v>
      </c>
      <c r="V223" s="35">
        <v>0</v>
      </c>
      <c r="W223" s="136">
        <v>0.9</v>
      </c>
      <c r="X223" s="35">
        <v>0</v>
      </c>
      <c r="Y223" s="149">
        <v>0.9</v>
      </c>
      <c r="Z223" s="35">
        <v>0</v>
      </c>
      <c r="AA223" s="136">
        <v>0.8</v>
      </c>
      <c r="AB223" s="37">
        <v>0</v>
      </c>
      <c r="AC223" s="136">
        <v>0.8</v>
      </c>
      <c r="AD223" s="37"/>
      <c r="AE223" s="40">
        <v>57</v>
      </c>
      <c r="AF223" s="65"/>
      <c r="AG223" s="35">
        <v>0</v>
      </c>
      <c r="AH223" s="36">
        <v>0</v>
      </c>
      <c r="AI223" s="37"/>
      <c r="AJ223" s="35">
        <v>71</v>
      </c>
      <c r="AK223" s="36">
        <v>96</v>
      </c>
      <c r="AL223" s="35">
        <v>141</v>
      </c>
      <c r="AM223" s="36">
        <v>26.400000000000002</v>
      </c>
      <c r="AN223" s="35">
        <v>160</v>
      </c>
      <c r="AO223" s="36">
        <v>7.2000000000000011</v>
      </c>
      <c r="AP223" s="37"/>
      <c r="AQ223" s="35">
        <v>66</v>
      </c>
      <c r="AR223" s="36">
        <v>100.80000000000001</v>
      </c>
      <c r="AS223" s="35">
        <v>145</v>
      </c>
      <c r="AT223" s="36">
        <v>21.6</v>
      </c>
      <c r="AU223" s="35">
        <v>145</v>
      </c>
      <c r="AV223" s="36">
        <v>21.6</v>
      </c>
      <c r="AW223" s="35">
        <v>148</v>
      </c>
      <c r="AX223" s="36">
        <v>19.200000000000003</v>
      </c>
      <c r="AY223" s="35">
        <v>148</v>
      </c>
      <c r="AZ223" s="36">
        <v>19.200000000000003</v>
      </c>
      <c r="BB223" s="40">
        <v>0</v>
      </c>
      <c r="BC223" s="65"/>
      <c r="BD223" s="35">
        <v>0</v>
      </c>
      <c r="BE223" s="36">
        <v>0</v>
      </c>
      <c r="BF223" s="37"/>
      <c r="BG223" s="415">
        <v>0</v>
      </c>
      <c r="BH223" s="353">
        <v>1.9</v>
      </c>
      <c r="BI223" s="415">
        <v>0</v>
      </c>
      <c r="BJ223" s="353">
        <v>0</v>
      </c>
      <c r="BK223" s="415">
        <v>0</v>
      </c>
      <c r="BL223" s="353">
        <v>0</v>
      </c>
      <c r="BM223" s="416"/>
      <c r="BN223" s="415">
        <v>0</v>
      </c>
      <c r="BO223" s="353">
        <v>0</v>
      </c>
      <c r="BP223" s="415">
        <v>0</v>
      </c>
      <c r="BQ223" s="353">
        <v>0</v>
      </c>
      <c r="BR223" s="415">
        <v>0</v>
      </c>
      <c r="BS223" s="353">
        <v>0</v>
      </c>
      <c r="BT223" s="415">
        <v>0</v>
      </c>
      <c r="BU223" s="353">
        <v>0</v>
      </c>
      <c r="BV223" s="415">
        <v>0</v>
      </c>
      <c r="BW223" s="353">
        <v>0</v>
      </c>
      <c r="BY223" s="80"/>
      <c r="BZ223" s="65"/>
      <c r="CA223" s="40" t="s">
        <v>3</v>
      </c>
      <c r="CB223" s="65"/>
      <c r="CC223" s="40">
        <v>-13.917355371900825</v>
      </c>
      <c r="CD223" s="40">
        <v>-83.51735537190082</v>
      </c>
      <c r="CE223" s="40">
        <v>-102.71735537190082</v>
      </c>
      <c r="CF223" s="65"/>
      <c r="CG223" s="40">
        <v>-9.117355371900814</v>
      </c>
      <c r="CH223" s="40">
        <v>-88.317355371900817</v>
      </c>
      <c r="CI223" s="40">
        <v>-88.317355371900817</v>
      </c>
      <c r="CJ223" s="40">
        <v>-90.717355371900823</v>
      </c>
      <c r="CK223" s="40">
        <v>-90.717355371900823</v>
      </c>
    </row>
    <row r="224" spans="1:89" s="2" customFormat="1">
      <c r="A224" s="196" t="s">
        <v>923</v>
      </c>
      <c r="B224" s="211" t="s">
        <v>59</v>
      </c>
      <c r="C224" s="435" t="s">
        <v>511</v>
      </c>
      <c r="D224" s="41">
        <v>215</v>
      </c>
      <c r="E224" s="41">
        <v>0</v>
      </c>
      <c r="F224" s="41" t="s">
        <v>924</v>
      </c>
      <c r="G224" s="413">
        <v>24</v>
      </c>
      <c r="H224" s="414">
        <v>214.04958677685951</v>
      </c>
      <c r="I224" s="321"/>
      <c r="J224" s="40" t="s">
        <v>3</v>
      </c>
      <c r="K224" s="36" t="s">
        <v>3</v>
      </c>
      <c r="L224" s="37"/>
      <c r="M224" s="35">
        <v>29</v>
      </c>
      <c r="N224" s="136">
        <v>5.2</v>
      </c>
      <c r="O224" s="35">
        <v>0</v>
      </c>
      <c r="P224" s="136">
        <v>3.1</v>
      </c>
      <c r="Q224" s="37">
        <v>0</v>
      </c>
      <c r="R224" s="136">
        <v>2.3000000000000003</v>
      </c>
      <c r="S224" s="37"/>
      <c r="T224" s="35">
        <v>0</v>
      </c>
      <c r="U224" s="136">
        <v>6.5</v>
      </c>
      <c r="V224" s="35">
        <v>0</v>
      </c>
      <c r="W224" s="136">
        <v>2.5</v>
      </c>
      <c r="X224" s="35">
        <v>0</v>
      </c>
      <c r="Y224" s="149">
        <v>2</v>
      </c>
      <c r="Z224" s="35">
        <v>0</v>
      </c>
      <c r="AA224" s="136">
        <v>1</v>
      </c>
      <c r="AB224" s="37">
        <v>0</v>
      </c>
      <c r="AC224" s="136">
        <v>1</v>
      </c>
      <c r="AD224" s="37"/>
      <c r="AE224" s="40">
        <v>1</v>
      </c>
      <c r="AF224" s="65"/>
      <c r="AG224" s="35">
        <v>0</v>
      </c>
      <c r="AH224" s="36">
        <v>0</v>
      </c>
      <c r="AI224" s="37"/>
      <c r="AJ224" s="35">
        <v>61</v>
      </c>
      <c r="AK224" s="36">
        <v>124.80000000000001</v>
      </c>
      <c r="AL224" s="35">
        <v>141</v>
      </c>
      <c r="AM224" s="36">
        <v>74.400000000000006</v>
      </c>
      <c r="AN224" s="37">
        <v>160</v>
      </c>
      <c r="AO224" s="36">
        <v>55.2</v>
      </c>
      <c r="AP224" s="37"/>
      <c r="AQ224" s="35">
        <v>59</v>
      </c>
      <c r="AR224" s="36">
        <v>156</v>
      </c>
      <c r="AS224" s="35">
        <v>155</v>
      </c>
      <c r="AT224" s="36">
        <v>60</v>
      </c>
      <c r="AU224" s="37">
        <v>167</v>
      </c>
      <c r="AV224" s="36">
        <v>48</v>
      </c>
      <c r="AW224" s="37">
        <v>191</v>
      </c>
      <c r="AX224" s="36">
        <v>24</v>
      </c>
      <c r="AY224" s="37">
        <v>191</v>
      </c>
      <c r="AZ224" s="36">
        <v>24</v>
      </c>
      <c r="BB224" s="40">
        <v>0</v>
      </c>
      <c r="BC224" s="65"/>
      <c r="BD224" s="35">
        <v>0</v>
      </c>
      <c r="BE224" s="36">
        <v>0</v>
      </c>
      <c r="BF224" s="37"/>
      <c r="BG224" s="415">
        <v>29</v>
      </c>
      <c r="BH224" s="353">
        <v>1</v>
      </c>
      <c r="BI224" s="415">
        <v>0</v>
      </c>
      <c r="BJ224" s="353">
        <v>0</v>
      </c>
      <c r="BK224" s="415">
        <v>0</v>
      </c>
      <c r="BL224" s="353">
        <v>0</v>
      </c>
      <c r="BM224" s="416"/>
      <c r="BN224" s="415">
        <v>0</v>
      </c>
      <c r="BO224" s="353">
        <v>0</v>
      </c>
      <c r="BP224" s="415">
        <v>0</v>
      </c>
      <c r="BQ224" s="353">
        <v>-1.7000000000000002</v>
      </c>
      <c r="BR224" s="415">
        <v>0</v>
      </c>
      <c r="BS224" s="353">
        <v>-2.2000000000000002</v>
      </c>
      <c r="BT224" s="415">
        <v>0</v>
      </c>
      <c r="BU224" s="353">
        <v>0</v>
      </c>
      <c r="BV224" s="415">
        <v>0</v>
      </c>
      <c r="BW224" s="353">
        <v>0</v>
      </c>
      <c r="BY224" s="80"/>
      <c r="BZ224" s="65"/>
      <c r="CA224" s="40" t="s">
        <v>3</v>
      </c>
      <c r="CB224" s="65"/>
      <c r="CC224" s="40">
        <v>-60.249586776859502</v>
      </c>
      <c r="CD224" s="40">
        <v>-139.64958677685951</v>
      </c>
      <c r="CE224" s="40">
        <v>-158.8495867768595</v>
      </c>
      <c r="CF224" s="65"/>
      <c r="CG224" s="40">
        <v>-58.049586776859513</v>
      </c>
      <c r="CH224" s="40">
        <v>-154.04958677685951</v>
      </c>
      <c r="CI224" s="40">
        <v>-166.04958677685951</v>
      </c>
      <c r="CJ224" s="40">
        <v>-190.04958677685951</v>
      </c>
      <c r="CK224" s="40">
        <v>-190.04958677685951</v>
      </c>
    </row>
    <row r="225" spans="1:89" s="2" customFormat="1">
      <c r="A225" s="196" t="s">
        <v>925</v>
      </c>
      <c r="B225" s="211" t="s">
        <v>59</v>
      </c>
      <c r="C225" s="211" t="s">
        <v>524</v>
      </c>
      <c r="D225" s="41">
        <v>396</v>
      </c>
      <c r="E225" s="41">
        <v>0</v>
      </c>
      <c r="F225" s="22" t="s">
        <v>924</v>
      </c>
      <c r="G225" s="40">
        <v>24</v>
      </c>
      <c r="H225" s="388">
        <v>395.86776859504135</v>
      </c>
      <c r="I225" s="321"/>
      <c r="J225" s="40" t="s">
        <v>3</v>
      </c>
      <c r="K225" s="36" t="s">
        <v>3</v>
      </c>
      <c r="L225" s="37"/>
      <c r="M225" s="35">
        <v>109</v>
      </c>
      <c r="N225" s="136">
        <v>6.7</v>
      </c>
      <c r="O225" s="35">
        <v>19</v>
      </c>
      <c r="P225" s="136">
        <v>7.3000000000000007</v>
      </c>
      <c r="Q225" s="37">
        <v>19</v>
      </c>
      <c r="R225" s="136">
        <v>6.7</v>
      </c>
      <c r="S225" s="37"/>
      <c r="T225" s="35">
        <v>0</v>
      </c>
      <c r="U225" s="136">
        <v>11.200000000000001</v>
      </c>
      <c r="V225" s="35">
        <v>0</v>
      </c>
      <c r="W225" s="136">
        <v>5</v>
      </c>
      <c r="X225" s="35">
        <v>0</v>
      </c>
      <c r="Y225" s="149">
        <v>5</v>
      </c>
      <c r="Z225" s="35">
        <v>0</v>
      </c>
      <c r="AA225" s="136">
        <v>6.5</v>
      </c>
      <c r="AB225" s="37">
        <v>0</v>
      </c>
      <c r="AC225" s="136">
        <v>6.5</v>
      </c>
      <c r="AD225" s="37"/>
      <c r="AE225" s="40">
        <v>0</v>
      </c>
      <c r="AF225" s="65"/>
      <c r="AG225" s="35">
        <v>0</v>
      </c>
      <c r="AH225" s="36">
        <v>0</v>
      </c>
      <c r="AI225" s="37"/>
      <c r="AJ225" s="35">
        <v>126</v>
      </c>
      <c r="AK225" s="36">
        <v>160.80000000000001</v>
      </c>
      <c r="AL225" s="35">
        <v>202</v>
      </c>
      <c r="AM225" s="36">
        <v>175.20000000000002</v>
      </c>
      <c r="AN225" s="35">
        <v>216</v>
      </c>
      <c r="AO225" s="36">
        <v>160.80000000000001</v>
      </c>
      <c r="AP225" s="37"/>
      <c r="AQ225" s="35">
        <v>127</v>
      </c>
      <c r="AR225" s="36">
        <v>268.8</v>
      </c>
      <c r="AS225" s="35">
        <v>276</v>
      </c>
      <c r="AT225" s="36">
        <v>120</v>
      </c>
      <c r="AU225" s="35">
        <v>276</v>
      </c>
      <c r="AV225" s="36">
        <v>120</v>
      </c>
      <c r="AW225" s="35">
        <v>240</v>
      </c>
      <c r="AX225" s="36">
        <v>156</v>
      </c>
      <c r="AY225" s="35">
        <v>240</v>
      </c>
      <c r="AZ225" s="36">
        <v>156</v>
      </c>
      <c r="BB225" s="40">
        <v>0</v>
      </c>
      <c r="BC225" s="65"/>
      <c r="BD225" s="35">
        <v>0</v>
      </c>
      <c r="BE225" s="36">
        <v>0</v>
      </c>
      <c r="BF225" s="37"/>
      <c r="BG225" s="415">
        <v>90</v>
      </c>
      <c r="BH225" s="353">
        <v>-1.6000000000000005</v>
      </c>
      <c r="BI225" s="415">
        <v>0</v>
      </c>
      <c r="BJ225" s="353">
        <v>0</v>
      </c>
      <c r="BK225" s="415">
        <v>0</v>
      </c>
      <c r="BL225" s="353">
        <v>0</v>
      </c>
      <c r="BM225" s="416"/>
      <c r="BN225" s="415">
        <v>0</v>
      </c>
      <c r="BO225" s="353">
        <v>0</v>
      </c>
      <c r="BP225" s="415">
        <v>0</v>
      </c>
      <c r="BQ225" s="353">
        <v>-1.2000000000000002</v>
      </c>
      <c r="BR225" s="415">
        <v>0</v>
      </c>
      <c r="BS225" s="353">
        <v>-1.2000000000000002</v>
      </c>
      <c r="BT225" s="415">
        <v>0</v>
      </c>
      <c r="BU225" s="353">
        <v>0.19999999999999929</v>
      </c>
      <c r="BV225" s="415">
        <v>0</v>
      </c>
      <c r="BW225" s="353">
        <v>0.19999999999999929</v>
      </c>
      <c r="BY225" s="80"/>
      <c r="BZ225" s="65"/>
      <c r="CA225" s="40" t="s">
        <v>3</v>
      </c>
      <c r="CB225" s="65"/>
      <c r="CC225" s="40">
        <v>-126.06776859504134</v>
      </c>
      <c r="CD225" s="40">
        <v>-201.66776859504134</v>
      </c>
      <c r="CE225" s="40">
        <v>-216.06776859504134</v>
      </c>
      <c r="CF225" s="65"/>
      <c r="CG225" s="40">
        <v>-127.06776859504134</v>
      </c>
      <c r="CH225" s="40">
        <v>-275.86776859504135</v>
      </c>
      <c r="CI225" s="40">
        <v>-275.86776859504135</v>
      </c>
      <c r="CJ225" s="40">
        <v>-239.86776859504135</v>
      </c>
      <c r="CK225" s="40">
        <v>-239.86776859504135</v>
      </c>
    </row>
    <row r="226" spans="1:89" s="2" customFormat="1">
      <c r="A226" s="196" t="s">
        <v>926</v>
      </c>
      <c r="B226" s="211" t="s">
        <v>59</v>
      </c>
      <c r="C226" s="211" t="s">
        <v>524</v>
      </c>
      <c r="D226" s="41">
        <v>396</v>
      </c>
      <c r="E226" s="41">
        <v>0</v>
      </c>
      <c r="F226" s="41" t="s">
        <v>924</v>
      </c>
      <c r="G226" s="413">
        <v>30</v>
      </c>
      <c r="H226" s="414">
        <v>395.86776859504135</v>
      </c>
      <c r="I226" s="321"/>
      <c r="J226" s="40" t="s">
        <v>3</v>
      </c>
      <c r="K226" s="36" t="s">
        <v>3</v>
      </c>
      <c r="L226" s="37"/>
      <c r="M226" s="35">
        <v>109</v>
      </c>
      <c r="N226" s="136">
        <v>5.4</v>
      </c>
      <c r="O226" s="35">
        <v>19</v>
      </c>
      <c r="P226" s="136">
        <v>5.9</v>
      </c>
      <c r="Q226" s="37">
        <v>19</v>
      </c>
      <c r="R226" s="136">
        <v>5.4</v>
      </c>
      <c r="S226" s="37"/>
      <c r="T226" s="35">
        <v>0</v>
      </c>
      <c r="U226" s="136">
        <v>9</v>
      </c>
      <c r="V226" s="35">
        <v>0</v>
      </c>
      <c r="W226" s="136">
        <v>4</v>
      </c>
      <c r="X226" s="35">
        <v>0</v>
      </c>
      <c r="Y226" s="149">
        <v>4</v>
      </c>
      <c r="Z226" s="35">
        <v>0</v>
      </c>
      <c r="AA226" s="136">
        <v>5.2</v>
      </c>
      <c r="AB226" s="37">
        <v>0</v>
      </c>
      <c r="AC226" s="136">
        <v>5.2</v>
      </c>
      <c r="AD226" s="37"/>
      <c r="AE226" s="40">
        <v>0</v>
      </c>
      <c r="AF226" s="65"/>
      <c r="AG226" s="35">
        <v>0</v>
      </c>
      <c r="AH226" s="36">
        <v>0</v>
      </c>
      <c r="AI226" s="37"/>
      <c r="AJ226" s="35">
        <v>125</v>
      </c>
      <c r="AK226" s="36">
        <v>162</v>
      </c>
      <c r="AL226" s="35">
        <v>200</v>
      </c>
      <c r="AM226" s="36">
        <v>177</v>
      </c>
      <c r="AN226" s="37">
        <v>215</v>
      </c>
      <c r="AO226" s="36">
        <v>162</v>
      </c>
      <c r="AP226" s="37"/>
      <c r="AQ226" s="35">
        <v>126</v>
      </c>
      <c r="AR226" s="36">
        <v>270</v>
      </c>
      <c r="AS226" s="35">
        <v>276</v>
      </c>
      <c r="AT226" s="36">
        <v>120</v>
      </c>
      <c r="AU226" s="37">
        <v>276</v>
      </c>
      <c r="AV226" s="36">
        <v>120</v>
      </c>
      <c r="AW226" s="37">
        <v>240</v>
      </c>
      <c r="AX226" s="36">
        <v>156</v>
      </c>
      <c r="AY226" s="37">
        <v>240</v>
      </c>
      <c r="AZ226" s="36">
        <v>156</v>
      </c>
      <c r="BB226" s="40">
        <v>0</v>
      </c>
      <c r="BC226" s="65"/>
      <c r="BD226" s="35">
        <v>0</v>
      </c>
      <c r="BE226" s="36">
        <v>0</v>
      </c>
      <c r="BF226" s="37"/>
      <c r="BG226" s="415">
        <v>90</v>
      </c>
      <c r="BH226" s="353">
        <v>-1.2999999999999998</v>
      </c>
      <c r="BI226" s="415">
        <v>0</v>
      </c>
      <c r="BJ226" s="353">
        <v>0</v>
      </c>
      <c r="BK226" s="415">
        <v>0</v>
      </c>
      <c r="BL226" s="353">
        <v>0</v>
      </c>
      <c r="BM226" s="416"/>
      <c r="BN226" s="415">
        <v>0</v>
      </c>
      <c r="BO226" s="353">
        <v>0</v>
      </c>
      <c r="BP226" s="415">
        <v>0</v>
      </c>
      <c r="BQ226" s="353">
        <v>-1</v>
      </c>
      <c r="BR226" s="415">
        <v>0</v>
      </c>
      <c r="BS226" s="353">
        <v>-1</v>
      </c>
      <c r="BT226" s="415">
        <v>0</v>
      </c>
      <c r="BU226" s="353">
        <v>0.20000000000000018</v>
      </c>
      <c r="BV226" s="415">
        <v>0</v>
      </c>
      <c r="BW226" s="353">
        <v>0.20000000000000018</v>
      </c>
      <c r="BY226" s="80"/>
      <c r="BZ226" s="65"/>
      <c r="CA226" s="40" t="s">
        <v>3</v>
      </c>
      <c r="CB226" s="65"/>
      <c r="CC226" s="40">
        <v>-124.86776859504135</v>
      </c>
      <c r="CD226" s="40">
        <v>-199.86776859504135</v>
      </c>
      <c r="CE226" s="40">
        <v>-214.86776859504135</v>
      </c>
      <c r="CF226" s="65"/>
      <c r="CG226" s="40">
        <v>-125.86776859504135</v>
      </c>
      <c r="CH226" s="40">
        <v>-275.86776859504135</v>
      </c>
      <c r="CI226" s="40">
        <v>-275.86776859504135</v>
      </c>
      <c r="CJ226" s="40">
        <v>-239.86776859504135</v>
      </c>
      <c r="CK226" s="40">
        <v>-239.86776859504135</v>
      </c>
    </row>
    <row r="227" spans="1:89" s="2" customFormat="1">
      <c r="A227" s="196" t="s">
        <v>927</v>
      </c>
      <c r="B227" s="211" t="s">
        <v>59</v>
      </c>
      <c r="C227" s="211" t="s">
        <v>534</v>
      </c>
      <c r="D227" s="41">
        <v>479</v>
      </c>
      <c r="E227" s="41">
        <v>0</v>
      </c>
      <c r="F227" s="22" t="s">
        <v>924</v>
      </c>
      <c r="G227" s="40">
        <v>24</v>
      </c>
      <c r="H227" s="388">
        <v>478.51239669421489</v>
      </c>
      <c r="I227" s="321"/>
      <c r="J227" s="40" t="s">
        <v>3</v>
      </c>
      <c r="K227" s="36" t="s">
        <v>3</v>
      </c>
      <c r="L227" s="37"/>
      <c r="M227" s="35">
        <v>139</v>
      </c>
      <c r="N227" s="136">
        <v>8.1</v>
      </c>
      <c r="O227" s="35">
        <v>19</v>
      </c>
      <c r="P227" s="136">
        <v>10</v>
      </c>
      <c r="Q227" s="37">
        <v>19</v>
      </c>
      <c r="R227" s="136">
        <v>9.1</v>
      </c>
      <c r="S227" s="37"/>
      <c r="T227" s="35">
        <v>0</v>
      </c>
      <c r="U227" s="136">
        <v>13.9</v>
      </c>
      <c r="V227" s="35">
        <v>0</v>
      </c>
      <c r="W227" s="136">
        <v>9.3000000000000007</v>
      </c>
      <c r="X227" s="35">
        <v>0</v>
      </c>
      <c r="Y227" s="149">
        <v>7</v>
      </c>
      <c r="Z227" s="35">
        <v>0</v>
      </c>
      <c r="AA227" s="136">
        <v>10</v>
      </c>
      <c r="AB227" s="37">
        <v>0</v>
      </c>
      <c r="AC227" s="136">
        <v>10</v>
      </c>
      <c r="AD227" s="37"/>
      <c r="AE227" s="40">
        <v>0</v>
      </c>
      <c r="AF227" s="65"/>
      <c r="AG227" s="35">
        <v>0</v>
      </c>
      <c r="AH227" s="36">
        <v>0</v>
      </c>
      <c r="AI227" s="37"/>
      <c r="AJ227" s="35">
        <v>146</v>
      </c>
      <c r="AK227" s="36">
        <v>194.39999999999998</v>
      </c>
      <c r="AL227" s="35">
        <v>220</v>
      </c>
      <c r="AM227" s="36">
        <v>240</v>
      </c>
      <c r="AN227" s="35">
        <v>242</v>
      </c>
      <c r="AO227" s="36">
        <v>218.39999999999998</v>
      </c>
      <c r="AP227" s="37"/>
      <c r="AQ227" s="35">
        <v>145</v>
      </c>
      <c r="AR227" s="36">
        <v>333.6</v>
      </c>
      <c r="AS227" s="35">
        <v>256</v>
      </c>
      <c r="AT227" s="36">
        <v>223.20000000000002</v>
      </c>
      <c r="AU227" s="35">
        <v>311</v>
      </c>
      <c r="AV227" s="36">
        <v>168</v>
      </c>
      <c r="AW227" s="35">
        <v>239</v>
      </c>
      <c r="AX227" s="36">
        <v>240</v>
      </c>
      <c r="AY227" s="35">
        <v>239</v>
      </c>
      <c r="AZ227" s="36">
        <v>240</v>
      </c>
      <c r="BB227" s="40">
        <v>0</v>
      </c>
      <c r="BC227" s="65"/>
      <c r="BD227" s="35">
        <v>0</v>
      </c>
      <c r="BE227" s="36">
        <v>0</v>
      </c>
      <c r="BF227" s="37"/>
      <c r="BG227" s="415">
        <v>120</v>
      </c>
      <c r="BH227" s="353">
        <v>-2.1000000000000014</v>
      </c>
      <c r="BI227" s="415">
        <v>0</v>
      </c>
      <c r="BJ227" s="353">
        <v>0.90000000000000036</v>
      </c>
      <c r="BK227" s="415">
        <v>0</v>
      </c>
      <c r="BL227" s="353">
        <v>0.79999999999999893</v>
      </c>
      <c r="BM227" s="416"/>
      <c r="BN227" s="415">
        <v>0</v>
      </c>
      <c r="BO227" s="353">
        <v>0.79999999999999893</v>
      </c>
      <c r="BP227" s="415">
        <v>0</v>
      </c>
      <c r="BQ227" s="353">
        <v>0</v>
      </c>
      <c r="BR227" s="415">
        <v>0</v>
      </c>
      <c r="BS227" s="353">
        <v>-2.3000000000000007</v>
      </c>
      <c r="BT227" s="415">
        <v>0</v>
      </c>
      <c r="BU227" s="353">
        <v>1.1999999999999993</v>
      </c>
      <c r="BV227" s="415">
        <v>0</v>
      </c>
      <c r="BW227" s="353">
        <v>1.1999999999999993</v>
      </c>
      <c r="BY227" s="80"/>
      <c r="BZ227" s="65"/>
      <c r="CA227" s="40" t="s">
        <v>3</v>
      </c>
      <c r="CB227" s="65"/>
      <c r="CC227" s="40">
        <v>-145.11239669421491</v>
      </c>
      <c r="CD227" s="40">
        <v>-219.51239669421489</v>
      </c>
      <c r="CE227" s="40">
        <v>-241.11239669421491</v>
      </c>
      <c r="CF227" s="65"/>
      <c r="CG227" s="40">
        <v>-144.91239669421486</v>
      </c>
      <c r="CH227" s="40">
        <v>-255.31239669421487</v>
      </c>
      <c r="CI227" s="40">
        <v>-310.51239669421489</v>
      </c>
      <c r="CJ227" s="40">
        <v>-238.51239669421489</v>
      </c>
      <c r="CK227" s="40">
        <v>-238.51239669421489</v>
      </c>
    </row>
    <row r="228" spans="1:89" s="2" customFormat="1">
      <c r="A228" s="196" t="s">
        <v>928</v>
      </c>
      <c r="B228" s="211" t="s">
        <v>59</v>
      </c>
      <c r="C228" s="211" t="s">
        <v>534</v>
      </c>
      <c r="D228" s="41">
        <v>479</v>
      </c>
      <c r="E228" s="41">
        <v>0</v>
      </c>
      <c r="F228" s="41" t="s">
        <v>924</v>
      </c>
      <c r="G228" s="413">
        <v>30</v>
      </c>
      <c r="H228" s="414">
        <v>478.51239669421489</v>
      </c>
      <c r="I228" s="321"/>
      <c r="J228" s="40" t="s">
        <v>3</v>
      </c>
      <c r="K228" s="36" t="s">
        <v>3</v>
      </c>
      <c r="L228" s="37"/>
      <c r="M228" s="35">
        <v>139</v>
      </c>
      <c r="N228" s="136">
        <v>6.5</v>
      </c>
      <c r="O228" s="35">
        <v>19</v>
      </c>
      <c r="P228" s="136">
        <v>8</v>
      </c>
      <c r="Q228" s="37">
        <v>19</v>
      </c>
      <c r="R228" s="136">
        <v>7.3000000000000007</v>
      </c>
      <c r="S228" s="37"/>
      <c r="T228" s="35">
        <v>0</v>
      </c>
      <c r="U228" s="136">
        <v>11.200000000000001</v>
      </c>
      <c r="V228" s="35">
        <v>0</v>
      </c>
      <c r="W228" s="136">
        <v>7.5</v>
      </c>
      <c r="X228" s="35">
        <v>0</v>
      </c>
      <c r="Y228" s="149">
        <v>5.6000000000000005</v>
      </c>
      <c r="Z228" s="35">
        <v>0</v>
      </c>
      <c r="AA228" s="136">
        <v>8</v>
      </c>
      <c r="AB228" s="37">
        <v>0</v>
      </c>
      <c r="AC228" s="136">
        <v>8</v>
      </c>
      <c r="AD228" s="37"/>
      <c r="AE228" s="40">
        <v>0</v>
      </c>
      <c r="AF228" s="65"/>
      <c r="AG228" s="35">
        <v>0</v>
      </c>
      <c r="AH228" s="36">
        <v>0</v>
      </c>
      <c r="AI228" s="37"/>
      <c r="AJ228" s="35">
        <v>145</v>
      </c>
      <c r="AK228" s="36">
        <v>195</v>
      </c>
      <c r="AL228" s="35">
        <v>220</v>
      </c>
      <c r="AM228" s="36">
        <v>240</v>
      </c>
      <c r="AN228" s="37">
        <v>241</v>
      </c>
      <c r="AO228" s="36">
        <v>219.00000000000003</v>
      </c>
      <c r="AP228" s="37"/>
      <c r="AQ228" s="35">
        <v>143</v>
      </c>
      <c r="AR228" s="36">
        <v>336.00000000000006</v>
      </c>
      <c r="AS228" s="35">
        <v>254</v>
      </c>
      <c r="AT228" s="36">
        <v>225</v>
      </c>
      <c r="AU228" s="37">
        <v>311</v>
      </c>
      <c r="AV228" s="36">
        <v>168.00000000000003</v>
      </c>
      <c r="AW228" s="37">
        <v>239</v>
      </c>
      <c r="AX228" s="36">
        <v>240</v>
      </c>
      <c r="AY228" s="37">
        <v>239</v>
      </c>
      <c r="AZ228" s="36">
        <v>240</v>
      </c>
      <c r="BB228" s="40">
        <v>0</v>
      </c>
      <c r="BC228" s="65"/>
      <c r="BD228" s="35">
        <v>0</v>
      </c>
      <c r="BE228" s="36">
        <v>0</v>
      </c>
      <c r="BF228" s="37"/>
      <c r="BG228" s="415">
        <v>120</v>
      </c>
      <c r="BH228" s="353">
        <v>-1.7000000000000011</v>
      </c>
      <c r="BI228" s="415">
        <v>0</v>
      </c>
      <c r="BJ228" s="353">
        <v>0.69999999999999929</v>
      </c>
      <c r="BK228" s="415">
        <v>0</v>
      </c>
      <c r="BL228" s="353">
        <v>0.60000000000000053</v>
      </c>
      <c r="BM228" s="416"/>
      <c r="BN228" s="415">
        <v>0</v>
      </c>
      <c r="BO228" s="353">
        <v>0.70000000000000107</v>
      </c>
      <c r="BP228" s="415">
        <v>0</v>
      </c>
      <c r="BQ228" s="353">
        <v>0</v>
      </c>
      <c r="BR228" s="415">
        <v>0</v>
      </c>
      <c r="BS228" s="353">
        <v>-1.8999999999999995</v>
      </c>
      <c r="BT228" s="415">
        <v>0</v>
      </c>
      <c r="BU228" s="353">
        <v>1</v>
      </c>
      <c r="BV228" s="415">
        <v>0</v>
      </c>
      <c r="BW228" s="353">
        <v>1</v>
      </c>
      <c r="BY228" s="80"/>
      <c r="BZ228" s="65"/>
      <c r="CA228" s="40" t="s">
        <v>3</v>
      </c>
      <c r="CB228" s="65"/>
      <c r="CC228" s="40">
        <v>-144.51239669421489</v>
      </c>
      <c r="CD228" s="40">
        <v>-219.51239669421489</v>
      </c>
      <c r="CE228" s="40">
        <v>-240.51239669421486</v>
      </c>
      <c r="CF228" s="65"/>
      <c r="CG228" s="40">
        <v>-142.51239669421483</v>
      </c>
      <c r="CH228" s="40">
        <v>-253.51239669421489</v>
      </c>
      <c r="CI228" s="40">
        <v>-310.51239669421489</v>
      </c>
      <c r="CJ228" s="40">
        <v>-238.51239669421489</v>
      </c>
      <c r="CK228" s="40">
        <v>-238.51239669421489</v>
      </c>
    </row>
    <row r="229" spans="1:89" s="2" customFormat="1">
      <c r="A229" s="196" t="s">
        <v>929</v>
      </c>
      <c r="B229" s="211" t="s">
        <v>59</v>
      </c>
      <c r="C229" s="211" t="s">
        <v>591</v>
      </c>
      <c r="D229" s="41">
        <v>1735</v>
      </c>
      <c r="E229" s="41">
        <v>0</v>
      </c>
      <c r="F229" s="22" t="s">
        <v>924</v>
      </c>
      <c r="G229" s="40">
        <v>24</v>
      </c>
      <c r="H229" s="388">
        <v>1734.7107438016531</v>
      </c>
      <c r="I229" s="321"/>
      <c r="J229" s="40" t="s">
        <v>3</v>
      </c>
      <c r="K229" s="36" t="s">
        <v>3</v>
      </c>
      <c r="L229" s="37"/>
      <c r="M229" s="35">
        <v>469</v>
      </c>
      <c r="N229" s="136">
        <v>19.3</v>
      </c>
      <c r="O229" s="35">
        <v>289</v>
      </c>
      <c r="P229" s="136">
        <v>23.8</v>
      </c>
      <c r="Q229" s="37">
        <v>289</v>
      </c>
      <c r="R229" s="136">
        <v>22.8</v>
      </c>
      <c r="S229" s="37"/>
      <c r="T229" s="35">
        <v>39</v>
      </c>
      <c r="U229" s="136">
        <v>37.200000000000003</v>
      </c>
      <c r="V229" s="35">
        <v>39</v>
      </c>
      <c r="W229" s="136">
        <v>34.1</v>
      </c>
      <c r="X229" s="35">
        <v>39</v>
      </c>
      <c r="Y229" s="149">
        <v>34.1</v>
      </c>
      <c r="Z229" s="35">
        <v>39</v>
      </c>
      <c r="AA229" s="136">
        <v>34.1</v>
      </c>
      <c r="AB229" s="37">
        <v>39</v>
      </c>
      <c r="AC229" s="136">
        <v>34.1</v>
      </c>
      <c r="AD229" s="37"/>
      <c r="AE229" s="40">
        <v>0</v>
      </c>
      <c r="AF229" s="65"/>
      <c r="AG229" s="35">
        <v>0</v>
      </c>
      <c r="AH229" s="36">
        <v>0</v>
      </c>
      <c r="AI229" s="37"/>
      <c r="AJ229" s="35">
        <v>803</v>
      </c>
      <c r="AK229" s="36">
        <v>463.20000000000005</v>
      </c>
      <c r="AL229" s="35">
        <v>875</v>
      </c>
      <c r="AM229" s="36">
        <v>571.20000000000005</v>
      </c>
      <c r="AN229" s="35">
        <v>899</v>
      </c>
      <c r="AO229" s="36">
        <v>547.20000000000005</v>
      </c>
      <c r="AP229" s="37"/>
      <c r="AQ229" s="35">
        <v>803</v>
      </c>
      <c r="AR229" s="36">
        <v>892.80000000000007</v>
      </c>
      <c r="AS229" s="35">
        <v>878</v>
      </c>
      <c r="AT229" s="36">
        <v>818.40000000000009</v>
      </c>
      <c r="AU229" s="35">
        <v>878</v>
      </c>
      <c r="AV229" s="36">
        <v>818.40000000000009</v>
      </c>
      <c r="AW229" s="35">
        <v>878</v>
      </c>
      <c r="AX229" s="36">
        <v>818.40000000000009</v>
      </c>
      <c r="AY229" s="35">
        <v>878</v>
      </c>
      <c r="AZ229" s="36">
        <v>818.40000000000009</v>
      </c>
      <c r="BB229" s="40">
        <v>0</v>
      </c>
      <c r="BC229" s="65"/>
      <c r="BD229" s="35">
        <v>0</v>
      </c>
      <c r="BE229" s="36">
        <v>0</v>
      </c>
      <c r="BF229" s="37"/>
      <c r="BG229" s="415">
        <v>180</v>
      </c>
      <c r="BH229" s="353">
        <v>-5.5</v>
      </c>
      <c r="BI229" s="415">
        <v>0</v>
      </c>
      <c r="BJ229" s="353">
        <v>0</v>
      </c>
      <c r="BK229" s="415">
        <v>0</v>
      </c>
      <c r="BL229" s="353">
        <v>0</v>
      </c>
      <c r="BM229" s="416"/>
      <c r="BN229" s="415">
        <v>0</v>
      </c>
      <c r="BO229" s="353">
        <v>0</v>
      </c>
      <c r="BP229" s="415">
        <v>0</v>
      </c>
      <c r="BQ229" s="353">
        <v>0</v>
      </c>
      <c r="BR229" s="415">
        <v>0</v>
      </c>
      <c r="BS229" s="353">
        <v>0</v>
      </c>
      <c r="BT229" s="415">
        <v>10</v>
      </c>
      <c r="BU229" s="353">
        <v>0</v>
      </c>
      <c r="BV229" s="415">
        <v>10</v>
      </c>
      <c r="BW229" s="353">
        <v>0</v>
      </c>
      <c r="BY229" s="80"/>
      <c r="BZ229" s="65"/>
      <c r="CA229" s="40" t="s">
        <v>3</v>
      </c>
      <c r="CB229" s="65"/>
      <c r="CC229" s="40">
        <v>-802.51074380165301</v>
      </c>
      <c r="CD229" s="40">
        <v>-874.51074380165301</v>
      </c>
      <c r="CE229" s="40">
        <v>-898.51074380165301</v>
      </c>
      <c r="CF229" s="65"/>
      <c r="CG229" s="40">
        <v>-802.91074380165298</v>
      </c>
      <c r="CH229" s="40">
        <v>-877.31074380165296</v>
      </c>
      <c r="CI229" s="40">
        <v>-877.31074380165296</v>
      </c>
      <c r="CJ229" s="40">
        <v>-877.31074380165296</v>
      </c>
      <c r="CK229" s="40">
        <v>-877.31074380165296</v>
      </c>
    </row>
    <row r="230" spans="1:89" s="2" customFormat="1">
      <c r="A230" s="196" t="s">
        <v>930</v>
      </c>
      <c r="B230" s="211" t="s">
        <v>59</v>
      </c>
      <c r="C230" s="211" t="s">
        <v>591</v>
      </c>
      <c r="D230" s="41">
        <v>1735</v>
      </c>
      <c r="E230" s="41">
        <v>0</v>
      </c>
      <c r="F230" s="41" t="s">
        <v>924</v>
      </c>
      <c r="G230" s="413">
        <v>30</v>
      </c>
      <c r="H230" s="414">
        <v>1734.7107438016531</v>
      </c>
      <c r="I230" s="321"/>
      <c r="J230" s="40" t="s">
        <v>3</v>
      </c>
      <c r="K230" s="36" t="s">
        <v>3</v>
      </c>
      <c r="L230" s="37"/>
      <c r="M230" s="35">
        <v>469</v>
      </c>
      <c r="N230" s="136">
        <v>15.5</v>
      </c>
      <c r="O230" s="35">
        <v>289</v>
      </c>
      <c r="P230" s="136">
        <v>19.100000000000001</v>
      </c>
      <c r="Q230" s="37">
        <v>289</v>
      </c>
      <c r="R230" s="136">
        <v>18.3</v>
      </c>
      <c r="S230" s="37"/>
      <c r="T230" s="35">
        <v>39</v>
      </c>
      <c r="U230" s="136">
        <v>29.8</v>
      </c>
      <c r="V230" s="35">
        <v>39</v>
      </c>
      <c r="W230" s="136">
        <v>27.3</v>
      </c>
      <c r="X230" s="35">
        <v>39</v>
      </c>
      <c r="Y230" s="149">
        <v>27.3</v>
      </c>
      <c r="Z230" s="35">
        <v>39</v>
      </c>
      <c r="AA230" s="136">
        <v>27.3</v>
      </c>
      <c r="AB230" s="37">
        <v>39</v>
      </c>
      <c r="AC230" s="136">
        <v>27.3</v>
      </c>
      <c r="AD230" s="37"/>
      <c r="AE230" s="40">
        <v>0</v>
      </c>
      <c r="AF230" s="65"/>
      <c r="AG230" s="35">
        <v>0</v>
      </c>
      <c r="AH230" s="36">
        <v>0</v>
      </c>
      <c r="AI230" s="37"/>
      <c r="AJ230" s="35">
        <v>801</v>
      </c>
      <c r="AK230" s="36">
        <v>465</v>
      </c>
      <c r="AL230" s="35">
        <v>873</v>
      </c>
      <c r="AM230" s="36">
        <v>573</v>
      </c>
      <c r="AN230" s="37">
        <v>897</v>
      </c>
      <c r="AO230" s="36">
        <v>549</v>
      </c>
      <c r="AP230" s="37"/>
      <c r="AQ230" s="35">
        <v>802</v>
      </c>
      <c r="AR230" s="36">
        <v>894</v>
      </c>
      <c r="AS230" s="35">
        <v>877</v>
      </c>
      <c r="AT230" s="36">
        <v>819</v>
      </c>
      <c r="AU230" s="37">
        <v>877</v>
      </c>
      <c r="AV230" s="36">
        <v>819</v>
      </c>
      <c r="AW230" s="37">
        <v>877</v>
      </c>
      <c r="AX230" s="36">
        <v>819</v>
      </c>
      <c r="AY230" s="37">
        <v>877</v>
      </c>
      <c r="AZ230" s="36">
        <v>819</v>
      </c>
      <c r="BB230" s="40">
        <v>0</v>
      </c>
      <c r="BC230" s="65"/>
      <c r="BD230" s="35">
        <v>0</v>
      </c>
      <c r="BE230" s="36">
        <v>0</v>
      </c>
      <c r="BF230" s="37"/>
      <c r="BG230" s="415">
        <v>180</v>
      </c>
      <c r="BH230" s="353">
        <v>-4.4000000000000021</v>
      </c>
      <c r="BI230" s="415">
        <v>0</v>
      </c>
      <c r="BJ230" s="353">
        <v>0</v>
      </c>
      <c r="BK230" s="415">
        <v>0</v>
      </c>
      <c r="BL230" s="353">
        <v>0</v>
      </c>
      <c r="BM230" s="416"/>
      <c r="BN230" s="415">
        <v>0</v>
      </c>
      <c r="BO230" s="353">
        <v>0</v>
      </c>
      <c r="BP230" s="415">
        <v>0</v>
      </c>
      <c r="BQ230" s="353">
        <v>0</v>
      </c>
      <c r="BR230" s="415">
        <v>0</v>
      </c>
      <c r="BS230" s="353">
        <v>0</v>
      </c>
      <c r="BT230" s="415">
        <v>10</v>
      </c>
      <c r="BU230" s="353">
        <v>0</v>
      </c>
      <c r="BV230" s="415">
        <v>10</v>
      </c>
      <c r="BW230" s="353">
        <v>0</v>
      </c>
      <c r="BY230" s="80"/>
      <c r="BZ230" s="65"/>
      <c r="CA230" s="40" t="s">
        <v>3</v>
      </c>
      <c r="CB230" s="65"/>
      <c r="CC230" s="40">
        <v>-800.71074380165305</v>
      </c>
      <c r="CD230" s="40">
        <v>-872.71074380165305</v>
      </c>
      <c r="CE230" s="40">
        <v>-896.71074380165305</v>
      </c>
      <c r="CF230" s="65"/>
      <c r="CG230" s="40">
        <v>-801.71074380165305</v>
      </c>
      <c r="CH230" s="40">
        <v>-876.71074380165305</v>
      </c>
      <c r="CI230" s="40">
        <v>-876.71074380165305</v>
      </c>
      <c r="CJ230" s="40">
        <v>-876.71074380165305</v>
      </c>
      <c r="CK230" s="40">
        <v>-876.71074380165305</v>
      </c>
    </row>
    <row r="231" spans="1:89" s="2" customFormat="1">
      <c r="A231" s="196" t="s">
        <v>931</v>
      </c>
      <c r="B231" s="211" t="s">
        <v>59</v>
      </c>
      <c r="C231" s="211" t="s">
        <v>535</v>
      </c>
      <c r="D231" s="41">
        <v>537</v>
      </c>
      <c r="E231" s="41">
        <v>0</v>
      </c>
      <c r="F231" s="22" t="s">
        <v>924</v>
      </c>
      <c r="G231" s="40">
        <v>24</v>
      </c>
      <c r="H231" s="388">
        <v>536.36363636363637</v>
      </c>
      <c r="I231" s="321"/>
      <c r="J231" s="40" t="s">
        <v>3</v>
      </c>
      <c r="K231" s="36" t="s">
        <v>3</v>
      </c>
      <c r="L231" s="37"/>
      <c r="M231" s="35">
        <v>159</v>
      </c>
      <c r="N231" s="136">
        <v>9.8000000000000007</v>
      </c>
      <c r="O231" s="35">
        <v>19</v>
      </c>
      <c r="P231" s="136">
        <v>12.9</v>
      </c>
      <c r="Q231" s="37">
        <v>19</v>
      </c>
      <c r="R231" s="136">
        <v>12</v>
      </c>
      <c r="S231" s="37"/>
      <c r="T231" s="35">
        <v>0</v>
      </c>
      <c r="U231" s="136">
        <v>16.600000000000001</v>
      </c>
      <c r="V231" s="35">
        <v>0</v>
      </c>
      <c r="W231" s="136">
        <v>12.4</v>
      </c>
      <c r="X231" s="35">
        <v>0</v>
      </c>
      <c r="Y231" s="149">
        <v>10.199999999999999</v>
      </c>
      <c r="Z231" s="35">
        <v>0</v>
      </c>
      <c r="AA231" s="136">
        <v>10.199999999999999</v>
      </c>
      <c r="AB231" s="37">
        <v>0</v>
      </c>
      <c r="AC231" s="136">
        <v>10.199999999999999</v>
      </c>
      <c r="AD231" s="37"/>
      <c r="AE231" s="40">
        <v>1</v>
      </c>
      <c r="AF231" s="65"/>
      <c r="AG231" s="35">
        <v>0</v>
      </c>
      <c r="AH231" s="36">
        <v>0</v>
      </c>
      <c r="AI231" s="37"/>
      <c r="AJ231" s="35">
        <v>143</v>
      </c>
      <c r="AK231" s="36">
        <v>235.20000000000002</v>
      </c>
      <c r="AL231" s="35">
        <v>208</v>
      </c>
      <c r="AM231" s="36">
        <v>309.60000000000002</v>
      </c>
      <c r="AN231" s="35">
        <v>230</v>
      </c>
      <c r="AO231" s="36">
        <v>288</v>
      </c>
      <c r="AP231" s="37"/>
      <c r="AQ231" s="35">
        <v>139</v>
      </c>
      <c r="AR231" s="36">
        <v>398.40000000000003</v>
      </c>
      <c r="AS231" s="35">
        <v>239</v>
      </c>
      <c r="AT231" s="36">
        <v>297.60000000000002</v>
      </c>
      <c r="AU231" s="35">
        <v>292</v>
      </c>
      <c r="AV231" s="36">
        <v>244.79999999999998</v>
      </c>
      <c r="AW231" s="35">
        <v>292</v>
      </c>
      <c r="AX231" s="36">
        <v>244.79999999999998</v>
      </c>
      <c r="AY231" s="35">
        <v>292</v>
      </c>
      <c r="AZ231" s="36">
        <v>244.79999999999998</v>
      </c>
      <c r="BB231" s="40">
        <v>0</v>
      </c>
      <c r="BC231" s="65"/>
      <c r="BD231" s="35">
        <v>0</v>
      </c>
      <c r="BE231" s="36">
        <v>0</v>
      </c>
      <c r="BF231" s="37"/>
      <c r="BG231" s="415">
        <v>140</v>
      </c>
      <c r="BH231" s="353">
        <v>-3.3000000000000007</v>
      </c>
      <c r="BI231" s="415">
        <v>0</v>
      </c>
      <c r="BJ231" s="353">
        <v>0.90000000000000036</v>
      </c>
      <c r="BK231" s="415">
        <v>0</v>
      </c>
      <c r="BL231" s="353">
        <v>1</v>
      </c>
      <c r="BM231" s="416"/>
      <c r="BN231" s="415">
        <v>0</v>
      </c>
      <c r="BO231" s="353">
        <v>1.1000000000000014</v>
      </c>
      <c r="BP231" s="415">
        <v>0</v>
      </c>
      <c r="BQ231" s="353">
        <v>2</v>
      </c>
      <c r="BR231" s="415">
        <v>0</v>
      </c>
      <c r="BS231" s="353">
        <v>-0.20000000000000107</v>
      </c>
      <c r="BT231" s="415">
        <v>0</v>
      </c>
      <c r="BU231" s="353">
        <v>-1.1000000000000014</v>
      </c>
      <c r="BV231" s="415">
        <v>0</v>
      </c>
      <c r="BW231" s="353">
        <v>-1.1000000000000014</v>
      </c>
      <c r="BY231" s="80"/>
      <c r="BZ231" s="65"/>
      <c r="CA231" s="40" t="s">
        <v>3</v>
      </c>
      <c r="CB231" s="65"/>
      <c r="CC231" s="40">
        <v>-142.16363636363633</v>
      </c>
      <c r="CD231" s="40">
        <v>-207.76363636363635</v>
      </c>
      <c r="CE231" s="40">
        <v>-229.36363636363637</v>
      </c>
      <c r="CF231" s="65"/>
      <c r="CG231" s="40">
        <v>-137.96363636363634</v>
      </c>
      <c r="CH231" s="40">
        <v>-238.76363636363635</v>
      </c>
      <c r="CI231" s="40">
        <v>-291.56363636363642</v>
      </c>
      <c r="CJ231" s="40">
        <v>-291.56363636363642</v>
      </c>
      <c r="CK231" s="40">
        <v>-291.56363636363642</v>
      </c>
    </row>
    <row r="232" spans="1:89" s="2" customFormat="1">
      <c r="A232" s="196" t="s">
        <v>932</v>
      </c>
      <c r="B232" s="211" t="s">
        <v>59</v>
      </c>
      <c r="C232" s="211" t="s">
        <v>535</v>
      </c>
      <c r="D232" s="41">
        <v>537</v>
      </c>
      <c r="E232" s="41">
        <v>0</v>
      </c>
      <c r="F232" s="41" t="s">
        <v>924</v>
      </c>
      <c r="G232" s="413">
        <v>30</v>
      </c>
      <c r="H232" s="414">
        <v>536.36363636363637</v>
      </c>
      <c r="I232" s="321"/>
      <c r="J232" s="40" t="s">
        <v>3</v>
      </c>
      <c r="K232" s="36" t="s">
        <v>3</v>
      </c>
      <c r="L232" s="37"/>
      <c r="M232" s="35">
        <v>159</v>
      </c>
      <c r="N232" s="136">
        <v>7.9</v>
      </c>
      <c r="O232" s="35">
        <v>19</v>
      </c>
      <c r="P232" s="136">
        <v>10.4</v>
      </c>
      <c r="Q232" s="37">
        <v>19</v>
      </c>
      <c r="R232" s="136">
        <v>9.6000000000000014</v>
      </c>
      <c r="S232" s="37"/>
      <c r="T232" s="35">
        <v>0</v>
      </c>
      <c r="U232" s="136">
        <v>13.3</v>
      </c>
      <c r="V232" s="35">
        <v>0</v>
      </c>
      <c r="W232" s="136">
        <v>10</v>
      </c>
      <c r="X232" s="35">
        <v>0</v>
      </c>
      <c r="Y232" s="149">
        <v>8.2000000000000011</v>
      </c>
      <c r="Z232" s="35">
        <v>0</v>
      </c>
      <c r="AA232" s="136">
        <v>8.2000000000000011</v>
      </c>
      <c r="AB232" s="37">
        <v>0</v>
      </c>
      <c r="AC232" s="136">
        <v>8.2000000000000011</v>
      </c>
      <c r="AD232" s="37"/>
      <c r="AE232" s="40">
        <v>1</v>
      </c>
      <c r="AF232" s="65"/>
      <c r="AG232" s="35">
        <v>0</v>
      </c>
      <c r="AH232" s="36">
        <v>0</v>
      </c>
      <c r="AI232" s="37"/>
      <c r="AJ232" s="35">
        <v>141</v>
      </c>
      <c r="AK232" s="36">
        <v>237</v>
      </c>
      <c r="AL232" s="35">
        <v>206</v>
      </c>
      <c r="AM232" s="36">
        <v>312</v>
      </c>
      <c r="AN232" s="37">
        <v>230</v>
      </c>
      <c r="AO232" s="36">
        <v>288.00000000000006</v>
      </c>
      <c r="AP232" s="37"/>
      <c r="AQ232" s="35">
        <v>138</v>
      </c>
      <c r="AR232" s="36">
        <v>399</v>
      </c>
      <c r="AS232" s="35">
        <v>237</v>
      </c>
      <c r="AT232" s="36">
        <v>300</v>
      </c>
      <c r="AU232" s="37">
        <v>291</v>
      </c>
      <c r="AV232" s="36">
        <v>246.00000000000003</v>
      </c>
      <c r="AW232" s="37">
        <v>291</v>
      </c>
      <c r="AX232" s="36">
        <v>246.00000000000003</v>
      </c>
      <c r="AY232" s="37">
        <v>291</v>
      </c>
      <c r="AZ232" s="36">
        <v>246.00000000000003</v>
      </c>
      <c r="BB232" s="40">
        <v>0</v>
      </c>
      <c r="BC232" s="65"/>
      <c r="BD232" s="35">
        <v>0</v>
      </c>
      <c r="BE232" s="36">
        <v>0</v>
      </c>
      <c r="BF232" s="37"/>
      <c r="BG232" s="415">
        <v>140</v>
      </c>
      <c r="BH232" s="353">
        <v>-2.5999999999999996</v>
      </c>
      <c r="BI232" s="415">
        <v>0</v>
      </c>
      <c r="BJ232" s="353">
        <v>0.79999999999999893</v>
      </c>
      <c r="BK232" s="415">
        <v>0</v>
      </c>
      <c r="BL232" s="353">
        <v>0.80000000000000071</v>
      </c>
      <c r="BM232" s="416"/>
      <c r="BN232" s="415">
        <v>0</v>
      </c>
      <c r="BO232" s="353">
        <v>0.90000000000000036</v>
      </c>
      <c r="BP232" s="415">
        <v>0</v>
      </c>
      <c r="BQ232" s="353">
        <v>1.5999999999999996</v>
      </c>
      <c r="BR232" s="415">
        <v>0</v>
      </c>
      <c r="BS232" s="353">
        <v>-0.19999999999999929</v>
      </c>
      <c r="BT232" s="415">
        <v>0</v>
      </c>
      <c r="BU232" s="353">
        <v>-0.79999999999999893</v>
      </c>
      <c r="BV232" s="415">
        <v>0</v>
      </c>
      <c r="BW232" s="353">
        <v>-0.79999999999999893</v>
      </c>
      <c r="BY232" s="80"/>
      <c r="BZ232" s="65"/>
      <c r="CA232" s="40" t="s">
        <v>3</v>
      </c>
      <c r="CB232" s="65"/>
      <c r="CC232" s="40">
        <v>-140.36363636363637</v>
      </c>
      <c r="CD232" s="40">
        <v>-205.36363636363637</v>
      </c>
      <c r="CE232" s="40">
        <v>-229.36363636363632</v>
      </c>
      <c r="CF232" s="65"/>
      <c r="CG232" s="40">
        <v>-137.36363636363637</v>
      </c>
      <c r="CH232" s="40">
        <v>-236.36363636363637</v>
      </c>
      <c r="CI232" s="40">
        <v>-290.36363636363637</v>
      </c>
      <c r="CJ232" s="40">
        <v>-290.36363636363637</v>
      </c>
      <c r="CK232" s="40">
        <v>-290.36363636363637</v>
      </c>
    </row>
    <row r="233" spans="1:89" s="2" customFormat="1">
      <c r="A233" s="196" t="s">
        <v>933</v>
      </c>
      <c r="B233" s="211" t="s">
        <v>59</v>
      </c>
      <c r="C233" s="211" t="s">
        <v>592</v>
      </c>
      <c r="D233" s="41">
        <v>2396</v>
      </c>
      <c r="E233" s="41">
        <v>0</v>
      </c>
      <c r="F233" s="22" t="s">
        <v>924</v>
      </c>
      <c r="G233" s="40">
        <v>24</v>
      </c>
      <c r="H233" s="388">
        <v>2395.8677685950415</v>
      </c>
      <c r="I233" s="321"/>
      <c r="J233" s="40" t="s">
        <v>3</v>
      </c>
      <c r="K233" s="36" t="s">
        <v>3</v>
      </c>
      <c r="L233" s="37"/>
      <c r="M233" s="35">
        <v>629</v>
      </c>
      <c r="N233" s="136">
        <v>25.700000000000003</v>
      </c>
      <c r="O233" s="35">
        <v>379</v>
      </c>
      <c r="P233" s="136">
        <v>33.1</v>
      </c>
      <c r="Q233" s="37">
        <v>379</v>
      </c>
      <c r="R233" s="136">
        <v>32.5</v>
      </c>
      <c r="S233" s="37"/>
      <c r="T233" s="35">
        <v>49</v>
      </c>
      <c r="U233" s="136">
        <v>50.5</v>
      </c>
      <c r="V233" s="35">
        <v>49</v>
      </c>
      <c r="W233" s="136">
        <v>43.400000000000006</v>
      </c>
      <c r="X233" s="35">
        <v>49</v>
      </c>
      <c r="Y233" s="149">
        <v>43.400000000000006</v>
      </c>
      <c r="Z233" s="35">
        <v>49</v>
      </c>
      <c r="AA233" s="136">
        <v>43.400000000000006</v>
      </c>
      <c r="AB233" s="37">
        <v>49</v>
      </c>
      <c r="AC233" s="136">
        <v>43.400000000000006</v>
      </c>
      <c r="AD233" s="37"/>
      <c r="AE233" s="40">
        <v>0</v>
      </c>
      <c r="AF233" s="65"/>
      <c r="AG233" s="35">
        <v>0</v>
      </c>
      <c r="AH233" s="36">
        <v>0</v>
      </c>
      <c r="AI233" s="37"/>
      <c r="AJ233" s="35">
        <v>1150</v>
      </c>
      <c r="AK233" s="36">
        <v>616.80000000000007</v>
      </c>
      <c r="AL233" s="35">
        <v>1223</v>
      </c>
      <c r="AM233" s="36">
        <v>794.40000000000009</v>
      </c>
      <c r="AN233" s="35">
        <v>1237</v>
      </c>
      <c r="AO233" s="36">
        <v>780</v>
      </c>
      <c r="AP233" s="37"/>
      <c r="AQ233" s="35">
        <v>1135</v>
      </c>
      <c r="AR233" s="36">
        <v>1212</v>
      </c>
      <c r="AS233" s="35">
        <v>1305</v>
      </c>
      <c r="AT233" s="36">
        <v>1041.6000000000001</v>
      </c>
      <c r="AU233" s="35">
        <v>1305</v>
      </c>
      <c r="AV233" s="36">
        <v>1041.6000000000001</v>
      </c>
      <c r="AW233" s="35">
        <v>1305</v>
      </c>
      <c r="AX233" s="36">
        <v>1041.6000000000001</v>
      </c>
      <c r="AY233" s="35">
        <v>1305</v>
      </c>
      <c r="AZ233" s="36">
        <v>1041.6000000000001</v>
      </c>
      <c r="BB233" s="40">
        <v>0</v>
      </c>
      <c r="BC233" s="65"/>
      <c r="BD233" s="35">
        <v>0</v>
      </c>
      <c r="BE233" s="36">
        <v>0</v>
      </c>
      <c r="BF233" s="37"/>
      <c r="BG233" s="415">
        <v>250</v>
      </c>
      <c r="BH233" s="353">
        <v>-8.3999999999999986</v>
      </c>
      <c r="BI233" s="415">
        <v>0</v>
      </c>
      <c r="BJ233" s="353">
        <v>0</v>
      </c>
      <c r="BK233" s="415">
        <v>0</v>
      </c>
      <c r="BL233" s="353">
        <v>0</v>
      </c>
      <c r="BM233" s="416"/>
      <c r="BN233" s="415">
        <v>0</v>
      </c>
      <c r="BO233" s="353">
        <v>0</v>
      </c>
      <c r="BP233" s="415">
        <v>0</v>
      </c>
      <c r="BQ233" s="353">
        <v>0</v>
      </c>
      <c r="BR233" s="415">
        <v>0</v>
      </c>
      <c r="BS233" s="353">
        <v>0</v>
      </c>
      <c r="BT233" s="415">
        <v>10</v>
      </c>
      <c r="BU233" s="353">
        <v>0</v>
      </c>
      <c r="BV233" s="415">
        <v>10</v>
      </c>
      <c r="BW233" s="353">
        <v>0</v>
      </c>
      <c r="BY233" s="80"/>
      <c r="BZ233" s="65"/>
      <c r="CA233" s="40" t="s">
        <v>3</v>
      </c>
      <c r="CB233" s="65"/>
      <c r="CC233" s="40">
        <v>-1150.0677685950413</v>
      </c>
      <c r="CD233" s="40">
        <v>-1222.4677685950414</v>
      </c>
      <c r="CE233" s="40">
        <v>-1236.8677685950415</v>
      </c>
      <c r="CF233" s="65"/>
      <c r="CG233" s="40">
        <v>-1134.8677685950415</v>
      </c>
      <c r="CH233" s="40">
        <v>-1305.2677685950414</v>
      </c>
      <c r="CI233" s="40">
        <v>-1305.2677685950414</v>
      </c>
      <c r="CJ233" s="40">
        <v>-1305.2677685950414</v>
      </c>
      <c r="CK233" s="40">
        <v>-1305.2677685950414</v>
      </c>
    </row>
    <row r="234" spans="1:89" s="2" customFormat="1">
      <c r="A234" s="196" t="s">
        <v>934</v>
      </c>
      <c r="B234" s="211" t="s">
        <v>59</v>
      </c>
      <c r="C234" s="211" t="s">
        <v>592</v>
      </c>
      <c r="D234" s="41">
        <v>2396</v>
      </c>
      <c r="E234" s="41">
        <v>0</v>
      </c>
      <c r="F234" s="41" t="s">
        <v>924</v>
      </c>
      <c r="G234" s="413">
        <v>30</v>
      </c>
      <c r="H234" s="414">
        <v>2395.8677685950415</v>
      </c>
      <c r="I234" s="321"/>
      <c r="J234" s="40" t="s">
        <v>3</v>
      </c>
      <c r="K234" s="36" t="s">
        <v>3</v>
      </c>
      <c r="L234" s="37"/>
      <c r="M234" s="35">
        <v>629</v>
      </c>
      <c r="N234" s="136">
        <v>20.6</v>
      </c>
      <c r="O234" s="35">
        <v>379</v>
      </c>
      <c r="P234" s="136">
        <v>26.5</v>
      </c>
      <c r="Q234" s="37">
        <v>379</v>
      </c>
      <c r="R234" s="136">
        <v>26</v>
      </c>
      <c r="S234" s="37"/>
      <c r="T234" s="35">
        <v>49</v>
      </c>
      <c r="U234" s="136">
        <v>40.400000000000006</v>
      </c>
      <c r="V234" s="35">
        <v>49</v>
      </c>
      <c r="W234" s="136">
        <v>34.800000000000004</v>
      </c>
      <c r="X234" s="35">
        <v>49</v>
      </c>
      <c r="Y234" s="149">
        <v>34.800000000000004</v>
      </c>
      <c r="Z234" s="35">
        <v>49</v>
      </c>
      <c r="AA234" s="136">
        <v>34.700000000000003</v>
      </c>
      <c r="AB234" s="37">
        <v>49</v>
      </c>
      <c r="AC234" s="136">
        <v>34.700000000000003</v>
      </c>
      <c r="AD234" s="37"/>
      <c r="AE234" s="40">
        <v>0</v>
      </c>
      <c r="AF234" s="65"/>
      <c r="AG234" s="35">
        <v>0</v>
      </c>
      <c r="AH234" s="36">
        <v>0</v>
      </c>
      <c r="AI234" s="37"/>
      <c r="AJ234" s="35">
        <v>1149</v>
      </c>
      <c r="AK234" s="36">
        <v>618</v>
      </c>
      <c r="AL234" s="35">
        <v>1222</v>
      </c>
      <c r="AM234" s="36">
        <v>795</v>
      </c>
      <c r="AN234" s="37">
        <v>1237</v>
      </c>
      <c r="AO234" s="36">
        <v>780</v>
      </c>
      <c r="AP234" s="37"/>
      <c r="AQ234" s="35">
        <v>1135</v>
      </c>
      <c r="AR234" s="36">
        <v>1212.0000000000002</v>
      </c>
      <c r="AS234" s="35">
        <v>1303</v>
      </c>
      <c r="AT234" s="36">
        <v>1044.0000000000002</v>
      </c>
      <c r="AU234" s="37">
        <v>1303</v>
      </c>
      <c r="AV234" s="36">
        <v>1044.0000000000002</v>
      </c>
      <c r="AW234" s="37">
        <v>1306</v>
      </c>
      <c r="AX234" s="36">
        <v>1041</v>
      </c>
      <c r="AY234" s="37">
        <v>1306</v>
      </c>
      <c r="AZ234" s="36">
        <v>1041</v>
      </c>
      <c r="BB234" s="40">
        <v>0</v>
      </c>
      <c r="BC234" s="65"/>
      <c r="BD234" s="35">
        <v>0</v>
      </c>
      <c r="BE234" s="36">
        <v>0</v>
      </c>
      <c r="BF234" s="37"/>
      <c r="BG234" s="415">
        <v>250</v>
      </c>
      <c r="BH234" s="353">
        <v>-6.6999999999999993</v>
      </c>
      <c r="BI234" s="415">
        <v>0</v>
      </c>
      <c r="BJ234" s="353">
        <v>0</v>
      </c>
      <c r="BK234" s="415">
        <v>0</v>
      </c>
      <c r="BL234" s="353">
        <v>0</v>
      </c>
      <c r="BM234" s="416"/>
      <c r="BN234" s="415">
        <v>0</v>
      </c>
      <c r="BO234" s="353">
        <v>0</v>
      </c>
      <c r="BP234" s="415">
        <v>0</v>
      </c>
      <c r="BQ234" s="353">
        <v>0</v>
      </c>
      <c r="BR234" s="415">
        <v>0</v>
      </c>
      <c r="BS234" s="353">
        <v>0</v>
      </c>
      <c r="BT234" s="415">
        <v>10</v>
      </c>
      <c r="BU234" s="353">
        <v>0</v>
      </c>
      <c r="BV234" s="415">
        <v>10</v>
      </c>
      <c r="BW234" s="353">
        <v>0</v>
      </c>
      <c r="BY234" s="80"/>
      <c r="BZ234" s="65"/>
      <c r="CA234" s="40" t="s">
        <v>3</v>
      </c>
      <c r="CB234" s="65"/>
      <c r="CC234" s="40">
        <v>-1148.8677685950415</v>
      </c>
      <c r="CD234" s="40">
        <v>-1221.8677685950415</v>
      </c>
      <c r="CE234" s="40">
        <v>-1236.8677685950415</v>
      </c>
      <c r="CF234" s="65"/>
      <c r="CG234" s="40">
        <v>-1134.8677685950413</v>
      </c>
      <c r="CH234" s="40">
        <v>-1302.8677685950413</v>
      </c>
      <c r="CI234" s="40">
        <v>-1302.8677685950413</v>
      </c>
      <c r="CJ234" s="40">
        <v>-1305.8677685950415</v>
      </c>
      <c r="CK234" s="40">
        <v>-1305.8677685950415</v>
      </c>
    </row>
    <row r="235" spans="1:89" s="2" customFormat="1">
      <c r="A235" s="196" t="s">
        <v>935</v>
      </c>
      <c r="B235" s="211" t="s">
        <v>59</v>
      </c>
      <c r="C235" s="211" t="s">
        <v>536</v>
      </c>
      <c r="D235" s="41">
        <v>686</v>
      </c>
      <c r="E235" s="41">
        <v>0</v>
      </c>
      <c r="F235" s="22" t="s">
        <v>924</v>
      </c>
      <c r="G235" s="40">
        <v>24</v>
      </c>
      <c r="H235" s="388">
        <v>685.12396694214874</v>
      </c>
      <c r="I235" s="321"/>
      <c r="J235" s="40" t="s">
        <v>3</v>
      </c>
      <c r="K235" s="36" t="s">
        <v>3</v>
      </c>
      <c r="L235" s="37"/>
      <c r="M235" s="35">
        <v>239</v>
      </c>
      <c r="N235" s="136">
        <v>9.8000000000000007</v>
      </c>
      <c r="O235" s="35">
        <v>139</v>
      </c>
      <c r="P235" s="136">
        <v>10.8</v>
      </c>
      <c r="Q235" s="37">
        <v>139</v>
      </c>
      <c r="R235" s="136">
        <v>10</v>
      </c>
      <c r="S235" s="37"/>
      <c r="T235" s="35">
        <v>19</v>
      </c>
      <c r="U235" s="136">
        <v>19.100000000000001</v>
      </c>
      <c r="V235" s="35">
        <v>19</v>
      </c>
      <c r="W235" s="136">
        <v>14.5</v>
      </c>
      <c r="X235" s="35">
        <v>0</v>
      </c>
      <c r="Y235" s="149">
        <v>13</v>
      </c>
      <c r="Z235" s="35">
        <v>0</v>
      </c>
      <c r="AA235" s="136">
        <v>13</v>
      </c>
      <c r="AB235" s="37">
        <v>0</v>
      </c>
      <c r="AC235" s="136">
        <v>13</v>
      </c>
      <c r="AD235" s="37"/>
      <c r="AE235" s="40">
        <v>1</v>
      </c>
      <c r="AF235" s="65"/>
      <c r="AG235" s="35">
        <v>0</v>
      </c>
      <c r="AH235" s="36">
        <v>0</v>
      </c>
      <c r="AI235" s="37"/>
      <c r="AJ235" s="35">
        <v>212</v>
      </c>
      <c r="AK235" s="36">
        <v>235.20000000000002</v>
      </c>
      <c r="AL235" s="35">
        <v>288</v>
      </c>
      <c r="AM235" s="36">
        <v>259.20000000000005</v>
      </c>
      <c r="AN235" s="35">
        <v>307</v>
      </c>
      <c r="AO235" s="36">
        <v>240</v>
      </c>
      <c r="AP235" s="37"/>
      <c r="AQ235" s="35">
        <v>209</v>
      </c>
      <c r="AR235" s="36">
        <v>458.40000000000003</v>
      </c>
      <c r="AS235" s="35">
        <v>319</v>
      </c>
      <c r="AT235" s="36">
        <v>348</v>
      </c>
      <c r="AU235" s="35">
        <v>374</v>
      </c>
      <c r="AV235" s="36">
        <v>312</v>
      </c>
      <c r="AW235" s="35">
        <v>374</v>
      </c>
      <c r="AX235" s="36">
        <v>312</v>
      </c>
      <c r="AY235" s="35">
        <v>374</v>
      </c>
      <c r="AZ235" s="36">
        <v>312</v>
      </c>
      <c r="BB235" s="40">
        <v>0</v>
      </c>
      <c r="BC235" s="65"/>
      <c r="BD235" s="35">
        <v>0</v>
      </c>
      <c r="BE235" s="36">
        <v>0</v>
      </c>
      <c r="BF235" s="37"/>
      <c r="BG235" s="415">
        <v>100</v>
      </c>
      <c r="BH235" s="353">
        <v>-2</v>
      </c>
      <c r="BI235" s="415">
        <v>0</v>
      </c>
      <c r="BJ235" s="353">
        <v>0</v>
      </c>
      <c r="BK235" s="415">
        <v>0</v>
      </c>
      <c r="BL235" s="353">
        <v>0</v>
      </c>
      <c r="BM235" s="416"/>
      <c r="BN235" s="415">
        <v>0</v>
      </c>
      <c r="BO235" s="353">
        <v>0</v>
      </c>
      <c r="BP235" s="415">
        <v>0</v>
      </c>
      <c r="BQ235" s="353">
        <v>-1</v>
      </c>
      <c r="BR235" s="415">
        <v>-19</v>
      </c>
      <c r="BS235" s="353">
        <v>-2.5</v>
      </c>
      <c r="BT235" s="415">
        <v>-9</v>
      </c>
      <c r="BU235" s="353">
        <v>-0.80000000000000071</v>
      </c>
      <c r="BV235" s="415">
        <v>-9</v>
      </c>
      <c r="BW235" s="353">
        <v>-0.80000000000000071</v>
      </c>
      <c r="BY235" s="80"/>
      <c r="BZ235" s="65"/>
      <c r="CA235" s="40" t="s">
        <v>3</v>
      </c>
      <c r="CB235" s="65"/>
      <c r="CC235" s="40">
        <v>-210.9239669421487</v>
      </c>
      <c r="CD235" s="40">
        <v>-286.9239669421487</v>
      </c>
      <c r="CE235" s="40">
        <v>-306.12396694214874</v>
      </c>
      <c r="CF235" s="65"/>
      <c r="CG235" s="40">
        <v>-207.72396694214871</v>
      </c>
      <c r="CH235" s="40">
        <v>-318.12396694214874</v>
      </c>
      <c r="CI235" s="40">
        <v>-373.12396694214874</v>
      </c>
      <c r="CJ235" s="40">
        <v>-373.12396694214874</v>
      </c>
      <c r="CK235" s="40">
        <v>-373.12396694214874</v>
      </c>
    </row>
    <row r="236" spans="1:89" s="2" customFormat="1">
      <c r="A236" s="196" t="s">
        <v>936</v>
      </c>
      <c r="B236" s="211" t="s">
        <v>59</v>
      </c>
      <c r="C236" s="211" t="s">
        <v>536</v>
      </c>
      <c r="D236" s="41">
        <v>686</v>
      </c>
      <c r="E236" s="41">
        <v>0</v>
      </c>
      <c r="F236" s="41" t="s">
        <v>924</v>
      </c>
      <c r="G236" s="413">
        <v>30</v>
      </c>
      <c r="H236" s="414">
        <v>685.12396694214874</v>
      </c>
      <c r="I236" s="321"/>
      <c r="J236" s="40" t="s">
        <v>3</v>
      </c>
      <c r="K236" s="36" t="s">
        <v>3</v>
      </c>
      <c r="L236" s="37"/>
      <c r="M236" s="35">
        <v>239</v>
      </c>
      <c r="N236" s="136">
        <v>7.9</v>
      </c>
      <c r="O236" s="35">
        <v>139</v>
      </c>
      <c r="P236" s="136">
        <v>8.7000000000000011</v>
      </c>
      <c r="Q236" s="37">
        <v>139</v>
      </c>
      <c r="R236" s="136">
        <v>8</v>
      </c>
      <c r="S236" s="37"/>
      <c r="T236" s="35">
        <v>19</v>
      </c>
      <c r="U236" s="136">
        <v>15.3</v>
      </c>
      <c r="V236" s="35">
        <v>19</v>
      </c>
      <c r="W236" s="136">
        <v>11.600000000000001</v>
      </c>
      <c r="X236" s="35">
        <v>0</v>
      </c>
      <c r="Y236" s="149">
        <v>10.4</v>
      </c>
      <c r="Z236" s="35">
        <v>0</v>
      </c>
      <c r="AA236" s="136">
        <v>10.4</v>
      </c>
      <c r="AB236" s="37">
        <v>0</v>
      </c>
      <c r="AC236" s="136">
        <v>10.4</v>
      </c>
      <c r="AD236" s="37"/>
      <c r="AE236" s="40">
        <v>1</v>
      </c>
      <c r="AF236" s="65"/>
      <c r="AG236" s="35">
        <v>0</v>
      </c>
      <c r="AH236" s="36">
        <v>0</v>
      </c>
      <c r="AI236" s="37"/>
      <c r="AJ236" s="35">
        <v>210</v>
      </c>
      <c r="AK236" s="36">
        <v>237</v>
      </c>
      <c r="AL236" s="35">
        <v>286</v>
      </c>
      <c r="AM236" s="36">
        <v>261.00000000000006</v>
      </c>
      <c r="AN236" s="37">
        <v>307</v>
      </c>
      <c r="AO236" s="36">
        <v>240</v>
      </c>
      <c r="AP236" s="37"/>
      <c r="AQ236" s="35">
        <v>208</v>
      </c>
      <c r="AR236" s="36">
        <v>459</v>
      </c>
      <c r="AS236" s="35">
        <v>319</v>
      </c>
      <c r="AT236" s="36">
        <v>348.00000000000006</v>
      </c>
      <c r="AU236" s="37">
        <v>374</v>
      </c>
      <c r="AV236" s="36">
        <v>312</v>
      </c>
      <c r="AW236" s="37">
        <v>374</v>
      </c>
      <c r="AX236" s="36">
        <v>312</v>
      </c>
      <c r="AY236" s="37">
        <v>374</v>
      </c>
      <c r="AZ236" s="36">
        <v>312</v>
      </c>
      <c r="BB236" s="40">
        <v>0</v>
      </c>
      <c r="BC236" s="65"/>
      <c r="BD236" s="35">
        <v>0</v>
      </c>
      <c r="BE236" s="36">
        <v>0</v>
      </c>
      <c r="BF236" s="37"/>
      <c r="BG236" s="415">
        <v>100</v>
      </c>
      <c r="BH236" s="353">
        <v>-1.5999999999999996</v>
      </c>
      <c r="BI236" s="415">
        <v>0</v>
      </c>
      <c r="BJ236" s="353">
        <v>0</v>
      </c>
      <c r="BK236" s="415">
        <v>0</v>
      </c>
      <c r="BL236" s="353">
        <v>0</v>
      </c>
      <c r="BM236" s="416"/>
      <c r="BN236" s="415">
        <v>0</v>
      </c>
      <c r="BO236" s="353">
        <v>0</v>
      </c>
      <c r="BP236" s="415">
        <v>0</v>
      </c>
      <c r="BQ236" s="353">
        <v>-0.79999999999999893</v>
      </c>
      <c r="BR236" s="415">
        <v>-19</v>
      </c>
      <c r="BS236" s="353">
        <v>-2</v>
      </c>
      <c r="BT236" s="415">
        <v>-9</v>
      </c>
      <c r="BU236" s="353">
        <v>-0.59999999999999964</v>
      </c>
      <c r="BV236" s="415">
        <v>-9</v>
      </c>
      <c r="BW236" s="353">
        <v>-0.59999999999999964</v>
      </c>
      <c r="BY236" s="80"/>
      <c r="BZ236" s="65"/>
      <c r="CA236" s="40" t="s">
        <v>3</v>
      </c>
      <c r="CB236" s="65"/>
      <c r="CC236" s="40">
        <v>-209.12396694214874</v>
      </c>
      <c r="CD236" s="40">
        <v>-285.12396694214868</v>
      </c>
      <c r="CE236" s="40">
        <v>-306.12396694214874</v>
      </c>
      <c r="CF236" s="65"/>
      <c r="CG236" s="40">
        <v>-207.12396694214874</v>
      </c>
      <c r="CH236" s="40">
        <v>-318.12396694214868</v>
      </c>
      <c r="CI236" s="40">
        <v>-373.12396694214874</v>
      </c>
      <c r="CJ236" s="40">
        <v>-373.12396694214874</v>
      </c>
      <c r="CK236" s="40">
        <v>-373.12396694214874</v>
      </c>
    </row>
    <row r="237" spans="1:89" s="2" customFormat="1">
      <c r="A237" s="196" t="s">
        <v>937</v>
      </c>
      <c r="B237" s="211" t="s">
        <v>59</v>
      </c>
      <c r="C237" s="211" t="s">
        <v>593</v>
      </c>
      <c r="D237" s="41">
        <v>1157</v>
      </c>
      <c r="E237" s="41">
        <v>0</v>
      </c>
      <c r="F237" s="22" t="s">
        <v>924</v>
      </c>
      <c r="G237" s="40">
        <v>24</v>
      </c>
      <c r="H237" s="388">
        <v>1156.1983471074379</v>
      </c>
      <c r="I237" s="321"/>
      <c r="J237" s="40" t="s">
        <v>3</v>
      </c>
      <c r="K237" s="36" t="s">
        <v>3</v>
      </c>
      <c r="L237" s="37"/>
      <c r="M237" s="35">
        <v>369</v>
      </c>
      <c r="N237" s="136">
        <v>14.9</v>
      </c>
      <c r="O237" s="35">
        <v>219</v>
      </c>
      <c r="P237" s="136">
        <v>18.2</v>
      </c>
      <c r="Q237" s="37">
        <v>219</v>
      </c>
      <c r="R237" s="136">
        <v>17.400000000000002</v>
      </c>
      <c r="S237" s="37"/>
      <c r="T237" s="35">
        <v>29</v>
      </c>
      <c r="U237" s="136">
        <v>29.400000000000002</v>
      </c>
      <c r="V237" s="35">
        <v>29</v>
      </c>
      <c r="W237" s="136">
        <v>21.700000000000003</v>
      </c>
      <c r="X237" s="35">
        <v>29</v>
      </c>
      <c r="Y237" s="149">
        <v>21.700000000000003</v>
      </c>
      <c r="Z237" s="35">
        <v>29</v>
      </c>
      <c r="AA237" s="136">
        <v>21.700000000000003</v>
      </c>
      <c r="AB237" s="37">
        <v>29</v>
      </c>
      <c r="AC237" s="136">
        <v>21.700000000000003</v>
      </c>
      <c r="AD237" s="37"/>
      <c r="AE237" s="40">
        <v>1</v>
      </c>
      <c r="AF237" s="65"/>
      <c r="AG237" s="35">
        <v>0</v>
      </c>
      <c r="AH237" s="36">
        <v>0</v>
      </c>
      <c r="AI237" s="37"/>
      <c r="AJ237" s="35">
        <v>430</v>
      </c>
      <c r="AK237" s="36">
        <v>357.6</v>
      </c>
      <c r="AL237" s="35">
        <v>501</v>
      </c>
      <c r="AM237" s="36">
        <v>436.79999999999995</v>
      </c>
      <c r="AN237" s="35">
        <v>520</v>
      </c>
      <c r="AO237" s="36">
        <v>417.6</v>
      </c>
      <c r="AP237" s="37"/>
      <c r="AQ237" s="35">
        <v>422</v>
      </c>
      <c r="AR237" s="36">
        <v>705.6</v>
      </c>
      <c r="AS237" s="35">
        <v>607</v>
      </c>
      <c r="AT237" s="36">
        <v>520.80000000000007</v>
      </c>
      <c r="AU237" s="35">
        <v>607</v>
      </c>
      <c r="AV237" s="36">
        <v>520.80000000000007</v>
      </c>
      <c r="AW237" s="35">
        <v>607</v>
      </c>
      <c r="AX237" s="36">
        <v>520.80000000000007</v>
      </c>
      <c r="AY237" s="35">
        <v>607</v>
      </c>
      <c r="AZ237" s="36">
        <v>520.80000000000007</v>
      </c>
      <c r="BB237" s="40">
        <v>0</v>
      </c>
      <c r="BC237" s="65"/>
      <c r="BD237" s="35">
        <v>0</v>
      </c>
      <c r="BE237" s="36">
        <v>0</v>
      </c>
      <c r="BF237" s="37"/>
      <c r="BG237" s="415">
        <v>150</v>
      </c>
      <c r="BH237" s="353">
        <v>-4.4000000000000004</v>
      </c>
      <c r="BI237" s="415">
        <v>0</v>
      </c>
      <c r="BJ237" s="353">
        <v>0</v>
      </c>
      <c r="BK237" s="415">
        <v>0</v>
      </c>
      <c r="BL237" s="353">
        <v>0</v>
      </c>
      <c r="BM237" s="416"/>
      <c r="BN237" s="415">
        <v>0</v>
      </c>
      <c r="BO237" s="353">
        <v>0</v>
      </c>
      <c r="BP237" s="415">
        <v>0</v>
      </c>
      <c r="BQ237" s="353">
        <v>0</v>
      </c>
      <c r="BR237" s="415">
        <v>0</v>
      </c>
      <c r="BS237" s="353">
        <v>0</v>
      </c>
      <c r="BT237" s="415">
        <v>10</v>
      </c>
      <c r="BU237" s="353">
        <v>-9.9999999999997868E-2</v>
      </c>
      <c r="BV237" s="415">
        <v>10</v>
      </c>
      <c r="BW237" s="353">
        <v>-9.9999999999997868E-2</v>
      </c>
      <c r="BY237" s="80"/>
      <c r="BZ237" s="65"/>
      <c r="CA237" s="40" t="s">
        <v>3</v>
      </c>
      <c r="CB237" s="65"/>
      <c r="CC237" s="40">
        <v>-429.59834710743792</v>
      </c>
      <c r="CD237" s="40">
        <v>-500.39834710743798</v>
      </c>
      <c r="CE237" s="40">
        <v>-519.59834710743792</v>
      </c>
      <c r="CF237" s="65"/>
      <c r="CG237" s="40">
        <v>-421.59834710743792</v>
      </c>
      <c r="CH237" s="40">
        <v>-606.39834710743787</v>
      </c>
      <c r="CI237" s="40">
        <v>-606.39834710743787</v>
      </c>
      <c r="CJ237" s="40">
        <v>-606.39834710743787</v>
      </c>
      <c r="CK237" s="40">
        <v>-606.39834710743787</v>
      </c>
    </row>
    <row r="238" spans="1:89" s="2" customFormat="1">
      <c r="A238" s="196" t="s">
        <v>938</v>
      </c>
      <c r="B238" s="211" t="s">
        <v>59</v>
      </c>
      <c r="C238" s="211" t="s">
        <v>593</v>
      </c>
      <c r="D238" s="41">
        <v>1157</v>
      </c>
      <c r="E238" s="41">
        <v>0</v>
      </c>
      <c r="F238" s="41" t="s">
        <v>924</v>
      </c>
      <c r="G238" s="413">
        <v>30</v>
      </c>
      <c r="H238" s="414">
        <v>1156.1983471074379</v>
      </c>
      <c r="I238" s="321"/>
      <c r="J238" s="40" t="s">
        <v>3</v>
      </c>
      <c r="K238" s="36" t="s">
        <v>3</v>
      </c>
      <c r="L238" s="37"/>
      <c r="M238" s="35">
        <v>369</v>
      </c>
      <c r="N238" s="136">
        <v>12</v>
      </c>
      <c r="O238" s="35">
        <v>219</v>
      </c>
      <c r="P238" s="136">
        <v>14.600000000000001</v>
      </c>
      <c r="Q238" s="37">
        <v>219</v>
      </c>
      <c r="R238" s="136">
        <v>14</v>
      </c>
      <c r="S238" s="37"/>
      <c r="T238" s="35">
        <v>29</v>
      </c>
      <c r="U238" s="136">
        <v>23.6</v>
      </c>
      <c r="V238" s="35">
        <v>29</v>
      </c>
      <c r="W238" s="136">
        <v>17.400000000000002</v>
      </c>
      <c r="X238" s="35">
        <v>29</v>
      </c>
      <c r="Y238" s="149">
        <v>17.400000000000002</v>
      </c>
      <c r="Z238" s="35">
        <v>29</v>
      </c>
      <c r="AA238" s="136">
        <v>17.400000000000002</v>
      </c>
      <c r="AB238" s="37">
        <v>29</v>
      </c>
      <c r="AC238" s="136">
        <v>17.400000000000002</v>
      </c>
      <c r="AD238" s="37"/>
      <c r="AE238" s="40">
        <v>1</v>
      </c>
      <c r="AF238" s="65"/>
      <c r="AG238" s="35">
        <v>0</v>
      </c>
      <c r="AH238" s="36">
        <v>0</v>
      </c>
      <c r="AI238" s="37"/>
      <c r="AJ238" s="35">
        <v>428</v>
      </c>
      <c r="AK238" s="36">
        <v>360</v>
      </c>
      <c r="AL238" s="35">
        <v>500</v>
      </c>
      <c r="AM238" s="36">
        <v>438.00000000000006</v>
      </c>
      <c r="AN238" s="37">
        <v>518</v>
      </c>
      <c r="AO238" s="36">
        <v>420</v>
      </c>
      <c r="AP238" s="37"/>
      <c r="AQ238" s="35">
        <v>420</v>
      </c>
      <c r="AR238" s="36">
        <v>708</v>
      </c>
      <c r="AS238" s="35">
        <v>606</v>
      </c>
      <c r="AT238" s="36">
        <v>522.00000000000011</v>
      </c>
      <c r="AU238" s="37">
        <v>606</v>
      </c>
      <c r="AV238" s="36">
        <v>522.00000000000011</v>
      </c>
      <c r="AW238" s="37">
        <v>606</v>
      </c>
      <c r="AX238" s="36">
        <v>522.00000000000011</v>
      </c>
      <c r="AY238" s="37">
        <v>606</v>
      </c>
      <c r="AZ238" s="36">
        <v>522.00000000000011</v>
      </c>
      <c r="BB238" s="40">
        <v>0</v>
      </c>
      <c r="BC238" s="65"/>
      <c r="BD238" s="35">
        <v>0</v>
      </c>
      <c r="BE238" s="36">
        <v>0</v>
      </c>
      <c r="BF238" s="37"/>
      <c r="BG238" s="415">
        <v>150</v>
      </c>
      <c r="BH238" s="353">
        <v>-3.5</v>
      </c>
      <c r="BI238" s="415">
        <v>0</v>
      </c>
      <c r="BJ238" s="353">
        <v>0</v>
      </c>
      <c r="BK238" s="415">
        <v>0</v>
      </c>
      <c r="BL238" s="353">
        <v>0</v>
      </c>
      <c r="BM238" s="416"/>
      <c r="BN238" s="415">
        <v>0</v>
      </c>
      <c r="BO238" s="353">
        <v>0</v>
      </c>
      <c r="BP238" s="415">
        <v>0</v>
      </c>
      <c r="BQ238" s="353">
        <v>0</v>
      </c>
      <c r="BR238" s="415">
        <v>0</v>
      </c>
      <c r="BS238" s="353">
        <v>0</v>
      </c>
      <c r="BT238" s="415">
        <v>10</v>
      </c>
      <c r="BU238" s="353">
        <v>0</v>
      </c>
      <c r="BV238" s="415">
        <v>10</v>
      </c>
      <c r="BW238" s="353">
        <v>0</v>
      </c>
      <c r="BY238" s="80"/>
      <c r="BZ238" s="65"/>
      <c r="CA238" s="40" t="s">
        <v>3</v>
      </c>
      <c r="CB238" s="65"/>
      <c r="CC238" s="40">
        <v>-427.19834710743794</v>
      </c>
      <c r="CD238" s="40">
        <v>-499.19834710743794</v>
      </c>
      <c r="CE238" s="40">
        <v>-517.19834710743794</v>
      </c>
      <c r="CF238" s="65"/>
      <c r="CG238" s="40">
        <v>-419.19834710743794</v>
      </c>
      <c r="CH238" s="40">
        <v>-605.19834710743783</v>
      </c>
      <c r="CI238" s="40">
        <v>-605.19834710743783</v>
      </c>
      <c r="CJ238" s="40">
        <v>-605.19834710743783</v>
      </c>
      <c r="CK238" s="40">
        <v>-605.19834710743783</v>
      </c>
    </row>
    <row r="239" spans="1:89" s="2" customFormat="1">
      <c r="A239" s="196" t="s">
        <v>939</v>
      </c>
      <c r="B239" s="211" t="s">
        <v>60</v>
      </c>
      <c r="C239" s="211" t="s">
        <v>596</v>
      </c>
      <c r="D239" s="41">
        <v>429</v>
      </c>
      <c r="E239" s="41">
        <v>0</v>
      </c>
      <c r="F239" s="22" t="s">
        <v>924</v>
      </c>
      <c r="G239" s="40">
        <v>24</v>
      </c>
      <c r="H239" s="388">
        <v>354.54545454545456</v>
      </c>
      <c r="I239" s="321"/>
      <c r="J239" s="40" t="s">
        <v>3</v>
      </c>
      <c r="K239" s="36" t="s">
        <v>3</v>
      </c>
      <c r="L239" s="37"/>
      <c r="M239" s="35">
        <v>109</v>
      </c>
      <c r="N239" s="136">
        <v>6.2</v>
      </c>
      <c r="O239" s="35">
        <v>19</v>
      </c>
      <c r="P239" s="136">
        <v>7.1000000000000005</v>
      </c>
      <c r="Q239" s="37">
        <v>19</v>
      </c>
      <c r="R239" s="136">
        <v>6.2</v>
      </c>
      <c r="S239" s="37"/>
      <c r="T239" s="35">
        <v>0</v>
      </c>
      <c r="U239" s="136">
        <v>11</v>
      </c>
      <c r="V239" s="35">
        <v>0</v>
      </c>
      <c r="W239" s="136">
        <v>6.2</v>
      </c>
      <c r="X239" s="35">
        <v>0</v>
      </c>
      <c r="Y239" s="149">
        <v>5</v>
      </c>
      <c r="Z239" s="35">
        <v>0</v>
      </c>
      <c r="AA239" s="136">
        <v>6.5</v>
      </c>
      <c r="AB239" s="37">
        <v>0</v>
      </c>
      <c r="AC239" s="136">
        <v>6.5</v>
      </c>
      <c r="AD239" s="37"/>
      <c r="AE239" s="40">
        <v>74</v>
      </c>
      <c r="AF239" s="65"/>
      <c r="AG239" s="35">
        <v>0</v>
      </c>
      <c r="AH239" s="36">
        <v>0</v>
      </c>
      <c r="AI239" s="37"/>
      <c r="AJ239" s="35">
        <v>171</v>
      </c>
      <c r="AK239" s="36">
        <v>148.80000000000001</v>
      </c>
      <c r="AL239" s="35">
        <v>240</v>
      </c>
      <c r="AM239" s="36">
        <v>170.4</v>
      </c>
      <c r="AN239" s="35">
        <v>261</v>
      </c>
      <c r="AO239" s="36">
        <v>148.80000000000001</v>
      </c>
      <c r="AP239" s="37"/>
      <c r="AQ239" s="35">
        <v>165</v>
      </c>
      <c r="AR239" s="36">
        <v>264</v>
      </c>
      <c r="AS239" s="35">
        <v>280</v>
      </c>
      <c r="AT239" s="36">
        <v>148.80000000000001</v>
      </c>
      <c r="AU239" s="35">
        <v>309</v>
      </c>
      <c r="AV239" s="36">
        <v>120</v>
      </c>
      <c r="AW239" s="35">
        <v>273</v>
      </c>
      <c r="AX239" s="36">
        <v>156</v>
      </c>
      <c r="AY239" s="35">
        <v>273</v>
      </c>
      <c r="AZ239" s="36">
        <v>156</v>
      </c>
      <c r="BB239" s="40">
        <v>0</v>
      </c>
      <c r="BC239" s="65"/>
      <c r="BD239" s="35">
        <v>0</v>
      </c>
      <c r="BE239" s="36">
        <v>0</v>
      </c>
      <c r="BF239" s="37"/>
      <c r="BG239" s="415">
        <v>90</v>
      </c>
      <c r="BH239" s="353">
        <v>-1.8999999999999995</v>
      </c>
      <c r="BI239" s="415">
        <v>0</v>
      </c>
      <c r="BJ239" s="353">
        <v>0</v>
      </c>
      <c r="BK239" s="415">
        <v>0</v>
      </c>
      <c r="BL239" s="353">
        <v>0</v>
      </c>
      <c r="BM239" s="416"/>
      <c r="BN239" s="415">
        <v>0</v>
      </c>
      <c r="BO239" s="353">
        <v>0</v>
      </c>
      <c r="BP239" s="415">
        <v>0</v>
      </c>
      <c r="BQ239" s="353">
        <v>0</v>
      </c>
      <c r="BR239" s="415">
        <v>0</v>
      </c>
      <c r="BS239" s="353">
        <v>-1.2000000000000002</v>
      </c>
      <c r="BT239" s="415">
        <v>0</v>
      </c>
      <c r="BU239" s="353">
        <v>0</v>
      </c>
      <c r="BV239" s="415">
        <v>0</v>
      </c>
      <c r="BW239" s="353">
        <v>0</v>
      </c>
      <c r="BY239" s="80"/>
      <c r="BZ239" s="65"/>
      <c r="CA239" s="40" t="s">
        <v>3</v>
      </c>
      <c r="CB239" s="65"/>
      <c r="CC239" s="40">
        <v>-96.74545454545455</v>
      </c>
      <c r="CD239" s="40">
        <v>-165.14545454545456</v>
      </c>
      <c r="CE239" s="40">
        <v>-186.74545454545455</v>
      </c>
      <c r="CF239" s="65"/>
      <c r="CG239" s="40">
        <v>-90.545454545454561</v>
      </c>
      <c r="CH239" s="40">
        <v>-205.74545454545455</v>
      </c>
      <c r="CI239" s="40">
        <v>-234.54545454545456</v>
      </c>
      <c r="CJ239" s="40">
        <v>-198.54545454545456</v>
      </c>
      <c r="CK239" s="40">
        <v>-198.54545454545456</v>
      </c>
    </row>
    <row r="240" spans="1:89" s="2" customFormat="1">
      <c r="A240" s="196" t="s">
        <v>940</v>
      </c>
      <c r="B240" s="211" t="s">
        <v>60</v>
      </c>
      <c r="C240" s="211" t="s">
        <v>596</v>
      </c>
      <c r="D240" s="41">
        <v>429</v>
      </c>
      <c r="E240" s="41">
        <v>0</v>
      </c>
      <c r="F240" s="41" t="s">
        <v>924</v>
      </c>
      <c r="G240" s="413">
        <v>30</v>
      </c>
      <c r="H240" s="414">
        <v>354.54545454545456</v>
      </c>
      <c r="I240" s="321"/>
      <c r="J240" s="40" t="s">
        <v>3</v>
      </c>
      <c r="K240" s="36" t="s">
        <v>3</v>
      </c>
      <c r="L240" s="37"/>
      <c r="M240" s="35">
        <v>109</v>
      </c>
      <c r="N240" s="136">
        <v>5</v>
      </c>
      <c r="O240" s="35">
        <v>19</v>
      </c>
      <c r="P240" s="136">
        <v>5.7</v>
      </c>
      <c r="Q240" s="37">
        <v>19</v>
      </c>
      <c r="R240" s="136">
        <v>5</v>
      </c>
      <c r="S240" s="37"/>
      <c r="T240" s="35">
        <v>0</v>
      </c>
      <c r="U240" s="136">
        <v>8.8000000000000007</v>
      </c>
      <c r="V240" s="35">
        <v>0</v>
      </c>
      <c r="W240" s="136">
        <v>5</v>
      </c>
      <c r="X240" s="35">
        <v>0</v>
      </c>
      <c r="Y240" s="149">
        <v>4</v>
      </c>
      <c r="Z240" s="35">
        <v>0</v>
      </c>
      <c r="AA240" s="136">
        <v>5.2</v>
      </c>
      <c r="AB240" s="37">
        <v>0</v>
      </c>
      <c r="AC240" s="136">
        <v>5.2</v>
      </c>
      <c r="AD240" s="37"/>
      <c r="AE240" s="40">
        <v>74</v>
      </c>
      <c r="AF240" s="65"/>
      <c r="AG240" s="35">
        <v>0</v>
      </c>
      <c r="AH240" s="36">
        <v>0</v>
      </c>
      <c r="AI240" s="37"/>
      <c r="AJ240" s="35">
        <v>170</v>
      </c>
      <c r="AK240" s="36">
        <v>150</v>
      </c>
      <c r="AL240" s="35">
        <v>239</v>
      </c>
      <c r="AM240" s="36">
        <v>171</v>
      </c>
      <c r="AN240" s="37">
        <v>260</v>
      </c>
      <c r="AO240" s="36">
        <v>150</v>
      </c>
      <c r="AP240" s="37"/>
      <c r="AQ240" s="35">
        <v>165</v>
      </c>
      <c r="AR240" s="36">
        <v>264</v>
      </c>
      <c r="AS240" s="35">
        <v>279</v>
      </c>
      <c r="AT240" s="36">
        <v>150</v>
      </c>
      <c r="AU240" s="37">
        <v>309</v>
      </c>
      <c r="AV240" s="36">
        <v>120</v>
      </c>
      <c r="AW240" s="37">
        <v>273</v>
      </c>
      <c r="AX240" s="36">
        <v>156</v>
      </c>
      <c r="AY240" s="37">
        <v>273</v>
      </c>
      <c r="AZ240" s="36">
        <v>156</v>
      </c>
      <c r="BB240" s="40">
        <v>0</v>
      </c>
      <c r="BC240" s="65"/>
      <c r="BD240" s="35">
        <v>0</v>
      </c>
      <c r="BE240" s="36">
        <v>0</v>
      </c>
      <c r="BF240" s="37"/>
      <c r="BG240" s="415">
        <v>90</v>
      </c>
      <c r="BH240" s="353">
        <v>-1.5</v>
      </c>
      <c r="BI240" s="415">
        <v>0</v>
      </c>
      <c r="BJ240" s="353">
        <v>0</v>
      </c>
      <c r="BK240" s="415">
        <v>0</v>
      </c>
      <c r="BL240" s="353">
        <v>0</v>
      </c>
      <c r="BM240" s="416"/>
      <c r="BN240" s="415">
        <v>0</v>
      </c>
      <c r="BO240" s="353">
        <v>0</v>
      </c>
      <c r="BP240" s="415">
        <v>0</v>
      </c>
      <c r="BQ240" s="353">
        <v>0</v>
      </c>
      <c r="BR240" s="415">
        <v>0</v>
      </c>
      <c r="BS240" s="353">
        <v>-1</v>
      </c>
      <c r="BT240" s="415">
        <v>0</v>
      </c>
      <c r="BU240" s="353">
        <v>0</v>
      </c>
      <c r="BV240" s="415">
        <v>0</v>
      </c>
      <c r="BW240" s="353">
        <v>0</v>
      </c>
      <c r="BY240" s="80"/>
      <c r="BZ240" s="65"/>
      <c r="CA240" s="40" t="s">
        <v>3</v>
      </c>
      <c r="CB240" s="65"/>
      <c r="CC240" s="40">
        <v>-95.545454545454561</v>
      </c>
      <c r="CD240" s="40">
        <v>-164.54545454545456</v>
      </c>
      <c r="CE240" s="40">
        <v>-185.54545454545456</v>
      </c>
      <c r="CF240" s="65"/>
      <c r="CG240" s="40">
        <v>-90.545454545454561</v>
      </c>
      <c r="CH240" s="40">
        <v>-204.54545454545456</v>
      </c>
      <c r="CI240" s="40">
        <v>-234.54545454545456</v>
      </c>
      <c r="CJ240" s="40">
        <v>-198.54545454545456</v>
      </c>
      <c r="CK240" s="40">
        <v>-198.54545454545456</v>
      </c>
    </row>
    <row r="241" spans="1:89" s="2" customFormat="1">
      <c r="A241" s="196" t="s">
        <v>941</v>
      </c>
      <c r="B241" s="211" t="s">
        <v>60</v>
      </c>
      <c r="C241" s="211" t="s">
        <v>597</v>
      </c>
      <c r="D241" s="41">
        <v>537</v>
      </c>
      <c r="E241" s="41">
        <v>0</v>
      </c>
      <c r="F241" s="22" t="s">
        <v>924</v>
      </c>
      <c r="G241" s="40">
        <v>24</v>
      </c>
      <c r="H241" s="388">
        <v>495.04132231404958</v>
      </c>
      <c r="I241" s="321"/>
      <c r="J241" s="40" t="s">
        <v>3</v>
      </c>
      <c r="K241" s="36" t="s">
        <v>3</v>
      </c>
      <c r="L241" s="37"/>
      <c r="M241" s="35">
        <v>169</v>
      </c>
      <c r="N241" s="136">
        <v>10</v>
      </c>
      <c r="O241" s="35">
        <v>19</v>
      </c>
      <c r="P241" s="136">
        <v>13.3</v>
      </c>
      <c r="Q241" s="37">
        <v>19</v>
      </c>
      <c r="R241" s="136">
        <v>12.4</v>
      </c>
      <c r="S241" s="37"/>
      <c r="T241" s="35">
        <v>0</v>
      </c>
      <c r="U241" s="136">
        <v>17.2</v>
      </c>
      <c r="V241" s="35">
        <v>0</v>
      </c>
      <c r="W241" s="136">
        <v>12.4</v>
      </c>
      <c r="X241" s="35">
        <v>0</v>
      </c>
      <c r="Y241" s="149">
        <v>11.3</v>
      </c>
      <c r="Z241" s="35">
        <v>0</v>
      </c>
      <c r="AA241" s="136">
        <v>11.3</v>
      </c>
      <c r="AB241" s="37">
        <v>0</v>
      </c>
      <c r="AC241" s="136">
        <v>11.3</v>
      </c>
      <c r="AD241" s="37"/>
      <c r="AE241" s="40">
        <v>42</v>
      </c>
      <c r="AF241" s="65"/>
      <c r="AG241" s="35">
        <v>0</v>
      </c>
      <c r="AH241" s="36">
        <v>0</v>
      </c>
      <c r="AI241" s="37"/>
      <c r="AJ241" s="35">
        <v>128</v>
      </c>
      <c r="AK241" s="36">
        <v>240</v>
      </c>
      <c r="AL241" s="35">
        <v>199</v>
      </c>
      <c r="AM241" s="36">
        <v>319.20000000000005</v>
      </c>
      <c r="AN241" s="35">
        <v>220</v>
      </c>
      <c r="AO241" s="36">
        <v>297.60000000000002</v>
      </c>
      <c r="AP241" s="37"/>
      <c r="AQ241" s="35">
        <v>124</v>
      </c>
      <c r="AR241" s="36">
        <v>412.79999999999995</v>
      </c>
      <c r="AS241" s="35">
        <v>239</v>
      </c>
      <c r="AT241" s="36">
        <v>297.60000000000002</v>
      </c>
      <c r="AU241" s="35">
        <v>266</v>
      </c>
      <c r="AV241" s="36">
        <v>271.20000000000005</v>
      </c>
      <c r="AW241" s="35">
        <v>266</v>
      </c>
      <c r="AX241" s="36">
        <v>271.20000000000005</v>
      </c>
      <c r="AY241" s="35">
        <v>266</v>
      </c>
      <c r="AZ241" s="36">
        <v>271.20000000000005</v>
      </c>
      <c r="BB241" s="40">
        <v>0</v>
      </c>
      <c r="BC241" s="65"/>
      <c r="BD241" s="35">
        <v>0</v>
      </c>
      <c r="BE241" s="36">
        <v>0</v>
      </c>
      <c r="BF241" s="37"/>
      <c r="BG241" s="415">
        <v>150</v>
      </c>
      <c r="BH241" s="353">
        <v>-4.3000000000000007</v>
      </c>
      <c r="BI241" s="415">
        <v>0</v>
      </c>
      <c r="BJ241" s="353">
        <v>0</v>
      </c>
      <c r="BK241" s="415">
        <v>0</v>
      </c>
      <c r="BL241" s="353">
        <v>0</v>
      </c>
      <c r="BM241" s="416"/>
      <c r="BN241" s="415">
        <v>0</v>
      </c>
      <c r="BO241" s="353">
        <v>0</v>
      </c>
      <c r="BP241" s="415">
        <v>0</v>
      </c>
      <c r="BQ241" s="353">
        <v>0</v>
      </c>
      <c r="BR241" s="415">
        <v>0</v>
      </c>
      <c r="BS241" s="353">
        <v>-1.0999999999999996</v>
      </c>
      <c r="BT241" s="415">
        <v>-9</v>
      </c>
      <c r="BU241" s="353">
        <v>-1.0999999999999996</v>
      </c>
      <c r="BV241" s="415">
        <v>-9</v>
      </c>
      <c r="BW241" s="353">
        <v>-1.0999999999999996</v>
      </c>
      <c r="BY241" s="80"/>
      <c r="BZ241" s="65"/>
      <c r="CA241" s="40" t="s">
        <v>3</v>
      </c>
      <c r="CB241" s="65"/>
      <c r="CC241" s="40">
        <v>-86.04132231404958</v>
      </c>
      <c r="CD241" s="40">
        <v>-156.84132231404953</v>
      </c>
      <c r="CE241" s="40">
        <v>-178.44132231404956</v>
      </c>
      <c r="CF241" s="65"/>
      <c r="CG241" s="40">
        <v>-82.241322314049626</v>
      </c>
      <c r="CH241" s="40">
        <v>-197.44132231404956</v>
      </c>
      <c r="CI241" s="40">
        <v>-223.84132231404953</v>
      </c>
      <c r="CJ241" s="40">
        <v>-223.84132231404953</v>
      </c>
      <c r="CK241" s="40">
        <v>-223.84132231404953</v>
      </c>
    </row>
    <row r="242" spans="1:89" s="2" customFormat="1">
      <c r="A242" s="196" t="s">
        <v>942</v>
      </c>
      <c r="B242" s="211" t="s">
        <v>60</v>
      </c>
      <c r="C242" s="211" t="s">
        <v>597</v>
      </c>
      <c r="D242" s="41">
        <v>537</v>
      </c>
      <c r="E242" s="41">
        <v>0</v>
      </c>
      <c r="F242" s="41" t="s">
        <v>924</v>
      </c>
      <c r="G242" s="413">
        <v>30</v>
      </c>
      <c r="H242" s="414">
        <v>495.04132231404958</v>
      </c>
      <c r="I242" s="321"/>
      <c r="J242" s="40" t="s">
        <v>3</v>
      </c>
      <c r="K242" s="36" t="s">
        <v>3</v>
      </c>
      <c r="L242" s="37"/>
      <c r="M242" s="35">
        <v>169</v>
      </c>
      <c r="N242" s="136">
        <v>8</v>
      </c>
      <c r="O242" s="35">
        <v>19</v>
      </c>
      <c r="P242" s="136">
        <v>10.700000000000001</v>
      </c>
      <c r="Q242" s="37">
        <v>19</v>
      </c>
      <c r="R242" s="136">
        <v>10</v>
      </c>
      <c r="S242" s="37"/>
      <c r="T242" s="35">
        <v>0</v>
      </c>
      <c r="U242" s="136">
        <v>13.8</v>
      </c>
      <c r="V242" s="35">
        <v>0</v>
      </c>
      <c r="W242" s="136">
        <v>10</v>
      </c>
      <c r="X242" s="35">
        <v>0</v>
      </c>
      <c r="Y242" s="149">
        <v>9.1</v>
      </c>
      <c r="Z242" s="35">
        <v>0</v>
      </c>
      <c r="AA242" s="136">
        <v>9</v>
      </c>
      <c r="AB242" s="37">
        <v>0</v>
      </c>
      <c r="AC242" s="136">
        <v>9</v>
      </c>
      <c r="AD242" s="37"/>
      <c r="AE242" s="40">
        <v>42</v>
      </c>
      <c r="AF242" s="65"/>
      <c r="AG242" s="35">
        <v>0</v>
      </c>
      <c r="AH242" s="36">
        <v>0</v>
      </c>
      <c r="AI242" s="37"/>
      <c r="AJ242" s="35">
        <v>128</v>
      </c>
      <c r="AK242" s="36">
        <v>240</v>
      </c>
      <c r="AL242" s="35">
        <v>197</v>
      </c>
      <c r="AM242" s="36">
        <v>321.00000000000006</v>
      </c>
      <c r="AN242" s="37">
        <v>218</v>
      </c>
      <c r="AO242" s="36">
        <v>300</v>
      </c>
      <c r="AP242" s="37"/>
      <c r="AQ242" s="35">
        <v>123</v>
      </c>
      <c r="AR242" s="36">
        <v>414</v>
      </c>
      <c r="AS242" s="35">
        <v>237</v>
      </c>
      <c r="AT242" s="36">
        <v>300</v>
      </c>
      <c r="AU242" s="37">
        <v>264</v>
      </c>
      <c r="AV242" s="36">
        <v>273</v>
      </c>
      <c r="AW242" s="37">
        <v>267</v>
      </c>
      <c r="AX242" s="36">
        <v>270</v>
      </c>
      <c r="AY242" s="37">
        <v>267</v>
      </c>
      <c r="AZ242" s="36">
        <v>270</v>
      </c>
      <c r="BB242" s="40">
        <v>0</v>
      </c>
      <c r="BC242" s="65"/>
      <c r="BD242" s="35">
        <v>0</v>
      </c>
      <c r="BE242" s="36">
        <v>0</v>
      </c>
      <c r="BF242" s="37"/>
      <c r="BG242" s="415">
        <v>150</v>
      </c>
      <c r="BH242" s="353">
        <v>-3.5</v>
      </c>
      <c r="BI242" s="415">
        <v>0</v>
      </c>
      <c r="BJ242" s="353">
        <v>0</v>
      </c>
      <c r="BK242" s="415">
        <v>0</v>
      </c>
      <c r="BL242" s="353">
        <v>0</v>
      </c>
      <c r="BM242" s="416"/>
      <c r="BN242" s="415">
        <v>0</v>
      </c>
      <c r="BO242" s="353">
        <v>0</v>
      </c>
      <c r="BP242" s="415">
        <v>0</v>
      </c>
      <c r="BQ242" s="353">
        <v>0</v>
      </c>
      <c r="BR242" s="415">
        <v>0</v>
      </c>
      <c r="BS242" s="353">
        <v>-0.90000000000000036</v>
      </c>
      <c r="BT242" s="415">
        <v>-9</v>
      </c>
      <c r="BU242" s="353">
        <v>-0.90000000000000036</v>
      </c>
      <c r="BV242" s="415">
        <v>-9</v>
      </c>
      <c r="BW242" s="353">
        <v>-0.90000000000000036</v>
      </c>
      <c r="BY242" s="80"/>
      <c r="BZ242" s="65"/>
      <c r="CA242" s="40" t="s">
        <v>3</v>
      </c>
      <c r="CB242" s="65"/>
      <c r="CC242" s="40">
        <v>-86.04132231404958</v>
      </c>
      <c r="CD242" s="40">
        <v>-155.04132231404952</v>
      </c>
      <c r="CE242" s="40">
        <v>-176.04132231404958</v>
      </c>
      <c r="CF242" s="65"/>
      <c r="CG242" s="40">
        <v>-81.04132231404958</v>
      </c>
      <c r="CH242" s="40">
        <v>-195.04132231404958</v>
      </c>
      <c r="CI242" s="40">
        <v>-222.04132231404958</v>
      </c>
      <c r="CJ242" s="40">
        <v>-225.04132231404958</v>
      </c>
      <c r="CK242" s="40">
        <v>-225.04132231404958</v>
      </c>
    </row>
    <row r="243" spans="1:89" s="2" customFormat="1">
      <c r="A243" s="196" t="s">
        <v>943</v>
      </c>
      <c r="B243" s="211" t="s">
        <v>60</v>
      </c>
      <c r="C243" s="211" t="s">
        <v>598</v>
      </c>
      <c r="D243" s="41">
        <v>702</v>
      </c>
      <c r="E243" s="41">
        <v>0</v>
      </c>
      <c r="F243" s="22" t="s">
        <v>924</v>
      </c>
      <c r="G243" s="40">
        <v>24</v>
      </c>
      <c r="H243" s="388">
        <v>660.33057851239676</v>
      </c>
      <c r="I243" s="321"/>
      <c r="J243" s="40" t="s">
        <v>3</v>
      </c>
      <c r="K243" s="36" t="s">
        <v>3</v>
      </c>
      <c r="L243" s="37"/>
      <c r="M243" s="35">
        <v>239</v>
      </c>
      <c r="N243" s="136">
        <v>9.8000000000000007</v>
      </c>
      <c r="O243" s="35">
        <v>139</v>
      </c>
      <c r="P243" s="136">
        <v>11</v>
      </c>
      <c r="Q243" s="37">
        <v>139</v>
      </c>
      <c r="R243" s="136">
        <v>10</v>
      </c>
      <c r="S243" s="37"/>
      <c r="T243" s="35">
        <v>19</v>
      </c>
      <c r="U243" s="136">
        <v>19.3</v>
      </c>
      <c r="V243" s="35">
        <v>19</v>
      </c>
      <c r="W243" s="136">
        <v>14.5</v>
      </c>
      <c r="X243" s="35">
        <v>19</v>
      </c>
      <c r="Y243" s="149">
        <v>14</v>
      </c>
      <c r="Z243" s="35">
        <v>19</v>
      </c>
      <c r="AA243" s="136">
        <v>14.5</v>
      </c>
      <c r="AB243" s="37">
        <v>19</v>
      </c>
      <c r="AC243" s="136">
        <v>14.5</v>
      </c>
      <c r="AD243" s="37"/>
      <c r="AE243" s="40">
        <v>42</v>
      </c>
      <c r="AF243" s="65"/>
      <c r="AG243" s="35">
        <v>0</v>
      </c>
      <c r="AH243" s="36">
        <v>0</v>
      </c>
      <c r="AI243" s="37"/>
      <c r="AJ243" s="35">
        <v>228</v>
      </c>
      <c r="AK243" s="36">
        <v>235.20000000000002</v>
      </c>
      <c r="AL243" s="35">
        <v>299</v>
      </c>
      <c r="AM243" s="36">
        <v>264</v>
      </c>
      <c r="AN243" s="35">
        <v>323</v>
      </c>
      <c r="AO243" s="36">
        <v>240</v>
      </c>
      <c r="AP243" s="37"/>
      <c r="AQ243" s="35">
        <v>220</v>
      </c>
      <c r="AR243" s="36">
        <v>463.20000000000005</v>
      </c>
      <c r="AS243" s="35">
        <v>335</v>
      </c>
      <c r="AT243" s="36">
        <v>348</v>
      </c>
      <c r="AU243" s="35">
        <v>347</v>
      </c>
      <c r="AV243" s="36">
        <v>336</v>
      </c>
      <c r="AW243" s="35">
        <v>335</v>
      </c>
      <c r="AX243" s="36">
        <v>348</v>
      </c>
      <c r="AY243" s="35">
        <v>335</v>
      </c>
      <c r="AZ243" s="36">
        <v>348</v>
      </c>
      <c r="BB243" s="40">
        <v>0</v>
      </c>
      <c r="BC243" s="65"/>
      <c r="BD243" s="35">
        <v>0</v>
      </c>
      <c r="BE243" s="36">
        <v>0</v>
      </c>
      <c r="BF243" s="37"/>
      <c r="BG243" s="415">
        <v>90</v>
      </c>
      <c r="BH243" s="353">
        <v>-2.5999999999999996</v>
      </c>
      <c r="BI243" s="415">
        <v>-10</v>
      </c>
      <c r="BJ243" s="353">
        <v>-0.40000000000000036</v>
      </c>
      <c r="BK243" s="415">
        <v>-10</v>
      </c>
      <c r="BL243" s="353">
        <v>-0.40000000000000036</v>
      </c>
      <c r="BM243" s="416"/>
      <c r="BN243" s="415">
        <v>0</v>
      </c>
      <c r="BO243" s="353">
        <v>-0.80000000000000071</v>
      </c>
      <c r="BP243" s="415">
        <v>0</v>
      </c>
      <c r="BQ243" s="353">
        <v>-1</v>
      </c>
      <c r="BR243" s="415">
        <v>0</v>
      </c>
      <c r="BS243" s="353">
        <v>-1.5</v>
      </c>
      <c r="BT243" s="415">
        <v>0</v>
      </c>
      <c r="BU243" s="353">
        <v>-1</v>
      </c>
      <c r="BV243" s="415">
        <v>0</v>
      </c>
      <c r="BW243" s="353">
        <v>-1</v>
      </c>
      <c r="BY243" s="80"/>
      <c r="BZ243" s="65"/>
      <c r="CA243" s="40" t="s">
        <v>3</v>
      </c>
      <c r="CB243" s="65"/>
      <c r="CC243" s="40">
        <v>-186.13057851239671</v>
      </c>
      <c r="CD243" s="40">
        <v>-257.33057851239676</v>
      </c>
      <c r="CE243" s="40">
        <v>-281.33057851239676</v>
      </c>
      <c r="CF243" s="65"/>
      <c r="CG243" s="40">
        <v>-178.13057851239671</v>
      </c>
      <c r="CH243" s="40">
        <v>-293.33057851239676</v>
      </c>
      <c r="CI243" s="40">
        <v>-305.33057851239676</v>
      </c>
      <c r="CJ243" s="40">
        <v>-293.33057851239676</v>
      </c>
      <c r="CK243" s="40">
        <v>-293.33057851239676</v>
      </c>
    </row>
    <row r="244" spans="1:89" s="2" customFormat="1">
      <c r="A244" s="196" t="s">
        <v>944</v>
      </c>
      <c r="B244" s="211" t="s">
        <v>60</v>
      </c>
      <c r="C244" s="211" t="s">
        <v>598</v>
      </c>
      <c r="D244" s="41">
        <v>702</v>
      </c>
      <c r="E244" s="41">
        <v>0</v>
      </c>
      <c r="F244" s="41" t="s">
        <v>924</v>
      </c>
      <c r="G244" s="413">
        <v>30</v>
      </c>
      <c r="H244" s="414">
        <v>660.33057851239676</v>
      </c>
      <c r="I244" s="321"/>
      <c r="J244" s="40" t="s">
        <v>3</v>
      </c>
      <c r="K244" s="36" t="s">
        <v>3</v>
      </c>
      <c r="L244" s="37"/>
      <c r="M244" s="35">
        <v>239</v>
      </c>
      <c r="N244" s="136">
        <v>7.9</v>
      </c>
      <c r="O244" s="35">
        <v>139</v>
      </c>
      <c r="P244" s="136">
        <v>8.8000000000000007</v>
      </c>
      <c r="Q244" s="37">
        <v>139</v>
      </c>
      <c r="R244" s="136">
        <v>8</v>
      </c>
      <c r="S244" s="37"/>
      <c r="T244" s="35">
        <v>19</v>
      </c>
      <c r="U244" s="136">
        <v>15.5</v>
      </c>
      <c r="V244" s="35">
        <v>19</v>
      </c>
      <c r="W244" s="136">
        <v>11.600000000000001</v>
      </c>
      <c r="X244" s="35">
        <v>19</v>
      </c>
      <c r="Y244" s="149">
        <v>11.200000000000001</v>
      </c>
      <c r="Z244" s="35">
        <v>19</v>
      </c>
      <c r="AA244" s="136">
        <v>11.600000000000001</v>
      </c>
      <c r="AB244" s="37">
        <v>19</v>
      </c>
      <c r="AC244" s="136">
        <v>11.600000000000001</v>
      </c>
      <c r="AD244" s="37"/>
      <c r="AE244" s="40">
        <v>42</v>
      </c>
      <c r="AF244" s="65"/>
      <c r="AG244" s="35">
        <v>0</v>
      </c>
      <c r="AH244" s="36">
        <v>0</v>
      </c>
      <c r="AI244" s="37"/>
      <c r="AJ244" s="35">
        <v>226</v>
      </c>
      <c r="AK244" s="36">
        <v>237</v>
      </c>
      <c r="AL244" s="35">
        <v>299</v>
      </c>
      <c r="AM244" s="36">
        <v>264</v>
      </c>
      <c r="AN244" s="37">
        <v>323</v>
      </c>
      <c r="AO244" s="36">
        <v>240</v>
      </c>
      <c r="AP244" s="37"/>
      <c r="AQ244" s="35">
        <v>218</v>
      </c>
      <c r="AR244" s="36">
        <v>465</v>
      </c>
      <c r="AS244" s="35">
        <v>335</v>
      </c>
      <c r="AT244" s="36">
        <v>348.00000000000006</v>
      </c>
      <c r="AU244" s="37">
        <v>347</v>
      </c>
      <c r="AV244" s="36">
        <v>336.00000000000006</v>
      </c>
      <c r="AW244" s="37">
        <v>335</v>
      </c>
      <c r="AX244" s="36">
        <v>348.00000000000006</v>
      </c>
      <c r="AY244" s="37">
        <v>335</v>
      </c>
      <c r="AZ244" s="36">
        <v>348.00000000000006</v>
      </c>
      <c r="BB244" s="40">
        <v>0</v>
      </c>
      <c r="BC244" s="65"/>
      <c r="BD244" s="35">
        <v>0</v>
      </c>
      <c r="BE244" s="36">
        <v>0</v>
      </c>
      <c r="BF244" s="37"/>
      <c r="BG244" s="415">
        <v>90</v>
      </c>
      <c r="BH244" s="353">
        <v>-2.0999999999999996</v>
      </c>
      <c r="BI244" s="415">
        <v>-10</v>
      </c>
      <c r="BJ244" s="353">
        <v>-0.40000000000000036</v>
      </c>
      <c r="BK244" s="415">
        <v>-10</v>
      </c>
      <c r="BL244" s="353">
        <v>-0.40000000000000036</v>
      </c>
      <c r="BM244" s="416"/>
      <c r="BN244" s="415">
        <v>0</v>
      </c>
      <c r="BO244" s="353">
        <v>-0.60000000000000142</v>
      </c>
      <c r="BP244" s="415">
        <v>0</v>
      </c>
      <c r="BQ244" s="353">
        <v>-0.79999999999999893</v>
      </c>
      <c r="BR244" s="415">
        <v>0</v>
      </c>
      <c r="BS244" s="353">
        <v>-1.1999999999999993</v>
      </c>
      <c r="BT244" s="415">
        <v>0</v>
      </c>
      <c r="BU244" s="353">
        <v>-0.79999999999999893</v>
      </c>
      <c r="BV244" s="415">
        <v>0</v>
      </c>
      <c r="BW244" s="353">
        <v>-0.79999999999999893</v>
      </c>
      <c r="BY244" s="80"/>
      <c r="BZ244" s="65"/>
      <c r="CA244" s="40" t="s">
        <v>3</v>
      </c>
      <c r="CB244" s="65"/>
      <c r="CC244" s="40">
        <v>-184.33057851239676</v>
      </c>
      <c r="CD244" s="40">
        <v>-257.33057851239676</v>
      </c>
      <c r="CE244" s="40">
        <v>-281.33057851239676</v>
      </c>
      <c r="CF244" s="65"/>
      <c r="CG244" s="40">
        <v>-176.33057851239676</v>
      </c>
      <c r="CH244" s="40">
        <v>-293.3305785123967</v>
      </c>
      <c r="CI244" s="40">
        <v>-305.3305785123967</v>
      </c>
      <c r="CJ244" s="40">
        <v>-293.3305785123967</v>
      </c>
      <c r="CK244" s="40">
        <v>-293.3305785123967</v>
      </c>
    </row>
    <row r="245" spans="1:89" s="2" customFormat="1">
      <c r="A245" s="196" t="s">
        <v>945</v>
      </c>
      <c r="B245" s="211" t="s">
        <v>60</v>
      </c>
      <c r="C245" s="211" t="s">
        <v>538</v>
      </c>
      <c r="D245" s="41">
        <v>2727</v>
      </c>
      <c r="E245" s="41">
        <v>0</v>
      </c>
      <c r="F245" s="22" t="s">
        <v>924</v>
      </c>
      <c r="G245" s="40">
        <v>24</v>
      </c>
      <c r="H245" s="388">
        <v>2726.4462809917354</v>
      </c>
      <c r="I245" s="321"/>
      <c r="J245" s="40" t="s">
        <v>3</v>
      </c>
      <c r="K245" s="36" t="s">
        <v>3</v>
      </c>
      <c r="L245" s="37"/>
      <c r="M245" s="35">
        <v>939</v>
      </c>
      <c r="N245" s="136">
        <v>38.900000000000006</v>
      </c>
      <c r="O245" s="35">
        <v>569</v>
      </c>
      <c r="P245" s="136">
        <v>51.5</v>
      </c>
      <c r="Q245" s="37">
        <v>569</v>
      </c>
      <c r="R245" s="136">
        <v>50.5</v>
      </c>
      <c r="S245" s="37"/>
      <c r="T245" s="35">
        <v>69</v>
      </c>
      <c r="U245" s="136">
        <v>75.3</v>
      </c>
      <c r="V245" s="35">
        <v>69</v>
      </c>
      <c r="W245" s="136">
        <v>65</v>
      </c>
      <c r="X245" s="35">
        <v>69</v>
      </c>
      <c r="Y245" s="149">
        <v>65</v>
      </c>
      <c r="Z245" s="35">
        <v>79</v>
      </c>
      <c r="AA245" s="136">
        <v>68</v>
      </c>
      <c r="AB245" s="37">
        <v>79</v>
      </c>
      <c r="AC245" s="136">
        <v>68</v>
      </c>
      <c r="AD245" s="37"/>
      <c r="AE245" s="40">
        <v>1</v>
      </c>
      <c r="AF245" s="65"/>
      <c r="AG245" s="35">
        <v>0</v>
      </c>
      <c r="AH245" s="36">
        <v>0</v>
      </c>
      <c r="AI245" s="37"/>
      <c r="AJ245" s="35">
        <v>854</v>
      </c>
      <c r="AK245" s="36">
        <v>933.60000000000014</v>
      </c>
      <c r="AL245" s="35">
        <v>922</v>
      </c>
      <c r="AM245" s="36">
        <v>1236</v>
      </c>
      <c r="AN245" s="35">
        <v>946</v>
      </c>
      <c r="AO245" s="36">
        <v>1212</v>
      </c>
      <c r="AP245" s="37"/>
      <c r="AQ245" s="35">
        <v>851</v>
      </c>
      <c r="AR245" s="36">
        <v>1807.1999999999998</v>
      </c>
      <c r="AS245" s="35">
        <v>1098</v>
      </c>
      <c r="AT245" s="36">
        <v>1560</v>
      </c>
      <c r="AU245" s="35">
        <v>1098</v>
      </c>
      <c r="AV245" s="36">
        <v>1560</v>
      </c>
      <c r="AW245" s="35">
        <v>1016</v>
      </c>
      <c r="AX245" s="36">
        <v>1632</v>
      </c>
      <c r="AY245" s="35">
        <v>1016</v>
      </c>
      <c r="AZ245" s="36">
        <v>1632</v>
      </c>
      <c r="BB245" s="40">
        <v>0</v>
      </c>
      <c r="BC245" s="65"/>
      <c r="BD245" s="35">
        <v>0</v>
      </c>
      <c r="BE245" s="36">
        <v>0</v>
      </c>
      <c r="BF245" s="37"/>
      <c r="BG245" s="415">
        <v>370</v>
      </c>
      <c r="BH245" s="353">
        <v>-13.599999999999994</v>
      </c>
      <c r="BI245" s="415">
        <v>0</v>
      </c>
      <c r="BJ245" s="353">
        <v>0</v>
      </c>
      <c r="BK245" s="415">
        <v>0</v>
      </c>
      <c r="BL245" s="353">
        <v>0</v>
      </c>
      <c r="BM245" s="416"/>
      <c r="BN245" s="415">
        <v>0</v>
      </c>
      <c r="BO245" s="353">
        <v>0</v>
      </c>
      <c r="BP245" s="415">
        <v>0</v>
      </c>
      <c r="BQ245" s="353">
        <v>1.8999999999999986</v>
      </c>
      <c r="BR245" s="415">
        <v>0</v>
      </c>
      <c r="BS245" s="353">
        <v>1.8999999999999986</v>
      </c>
      <c r="BT245" s="415">
        <v>30</v>
      </c>
      <c r="BU245" s="353">
        <v>-4</v>
      </c>
      <c r="BV245" s="415">
        <v>30</v>
      </c>
      <c r="BW245" s="353">
        <v>-4</v>
      </c>
      <c r="BY245" s="80"/>
      <c r="BZ245" s="65"/>
      <c r="CA245" s="40" t="s">
        <v>3</v>
      </c>
      <c r="CB245" s="65"/>
      <c r="CC245" s="40">
        <v>-853.84628099173528</v>
      </c>
      <c r="CD245" s="40">
        <v>-921.44628099173542</v>
      </c>
      <c r="CE245" s="40">
        <v>-945.44628099173542</v>
      </c>
      <c r="CF245" s="65"/>
      <c r="CG245" s="40">
        <v>-850.2462809917356</v>
      </c>
      <c r="CH245" s="40">
        <v>-1097.4462809917354</v>
      </c>
      <c r="CI245" s="40">
        <v>-1097.4462809917354</v>
      </c>
      <c r="CJ245" s="40">
        <v>-1015.4462809917354</v>
      </c>
      <c r="CK245" s="40">
        <v>-1015.4462809917354</v>
      </c>
    </row>
    <row r="246" spans="1:89" s="2" customFormat="1">
      <c r="A246" s="196" t="s">
        <v>946</v>
      </c>
      <c r="B246" s="211" t="s">
        <v>60</v>
      </c>
      <c r="C246" s="211" t="s">
        <v>538</v>
      </c>
      <c r="D246" s="41">
        <v>2727</v>
      </c>
      <c r="E246" s="41">
        <v>0</v>
      </c>
      <c r="F246" s="41" t="s">
        <v>924</v>
      </c>
      <c r="G246" s="413">
        <v>30</v>
      </c>
      <c r="H246" s="414">
        <v>2726.4462809917354</v>
      </c>
      <c r="I246" s="321"/>
      <c r="J246" s="40" t="s">
        <v>3</v>
      </c>
      <c r="K246" s="36" t="s">
        <v>3</v>
      </c>
      <c r="L246" s="37"/>
      <c r="M246" s="35">
        <v>939</v>
      </c>
      <c r="N246" s="136">
        <v>31.200000000000003</v>
      </c>
      <c r="O246" s="35">
        <v>569</v>
      </c>
      <c r="P246" s="136">
        <v>41.2</v>
      </c>
      <c r="Q246" s="37">
        <v>569</v>
      </c>
      <c r="R246" s="136">
        <v>40.400000000000006</v>
      </c>
      <c r="S246" s="37"/>
      <c r="T246" s="35">
        <v>69</v>
      </c>
      <c r="U246" s="136">
        <v>60.300000000000004</v>
      </c>
      <c r="V246" s="35">
        <v>69</v>
      </c>
      <c r="W246" s="136">
        <v>52</v>
      </c>
      <c r="X246" s="35">
        <v>69</v>
      </c>
      <c r="Y246" s="149">
        <v>52</v>
      </c>
      <c r="Z246" s="35">
        <v>79</v>
      </c>
      <c r="AA246" s="136">
        <v>54.400000000000006</v>
      </c>
      <c r="AB246" s="37">
        <v>79</v>
      </c>
      <c r="AC246" s="136">
        <v>54.400000000000006</v>
      </c>
      <c r="AD246" s="37"/>
      <c r="AE246" s="40">
        <v>1</v>
      </c>
      <c r="AF246" s="65"/>
      <c r="AG246" s="35">
        <v>0</v>
      </c>
      <c r="AH246" s="36">
        <v>0</v>
      </c>
      <c r="AI246" s="37"/>
      <c r="AJ246" s="35">
        <v>852</v>
      </c>
      <c r="AK246" s="36">
        <v>936.00000000000011</v>
      </c>
      <c r="AL246" s="35">
        <v>922</v>
      </c>
      <c r="AM246" s="36">
        <v>1236</v>
      </c>
      <c r="AN246" s="37">
        <v>946</v>
      </c>
      <c r="AO246" s="36">
        <v>1212.0000000000002</v>
      </c>
      <c r="AP246" s="37"/>
      <c r="AQ246" s="35">
        <v>849</v>
      </c>
      <c r="AR246" s="36">
        <v>1809.0000000000002</v>
      </c>
      <c r="AS246" s="35">
        <v>1098</v>
      </c>
      <c r="AT246" s="36">
        <v>1560</v>
      </c>
      <c r="AU246" s="37">
        <v>1098</v>
      </c>
      <c r="AV246" s="36">
        <v>1560</v>
      </c>
      <c r="AW246" s="37">
        <v>1016</v>
      </c>
      <c r="AX246" s="36">
        <v>1632.0000000000002</v>
      </c>
      <c r="AY246" s="37">
        <v>1016</v>
      </c>
      <c r="AZ246" s="36">
        <v>1632.0000000000002</v>
      </c>
      <c r="BB246" s="40">
        <v>0</v>
      </c>
      <c r="BC246" s="65"/>
      <c r="BD246" s="35">
        <v>0</v>
      </c>
      <c r="BE246" s="36">
        <v>0</v>
      </c>
      <c r="BF246" s="37"/>
      <c r="BG246" s="415">
        <v>370</v>
      </c>
      <c r="BH246" s="353">
        <v>-10.799999999999997</v>
      </c>
      <c r="BI246" s="415">
        <v>0</v>
      </c>
      <c r="BJ246" s="353">
        <v>0</v>
      </c>
      <c r="BK246" s="415">
        <v>0</v>
      </c>
      <c r="BL246" s="353">
        <v>0</v>
      </c>
      <c r="BM246" s="416"/>
      <c r="BN246" s="415">
        <v>0</v>
      </c>
      <c r="BO246" s="353">
        <v>0</v>
      </c>
      <c r="BP246" s="415">
        <v>0</v>
      </c>
      <c r="BQ246" s="353">
        <v>1.5</v>
      </c>
      <c r="BR246" s="415">
        <v>0</v>
      </c>
      <c r="BS246" s="353">
        <v>1.5</v>
      </c>
      <c r="BT246" s="415">
        <v>30</v>
      </c>
      <c r="BU246" s="353">
        <v>-3.1999999999999957</v>
      </c>
      <c r="BV246" s="415">
        <v>30</v>
      </c>
      <c r="BW246" s="353">
        <v>-3.1999999999999957</v>
      </c>
      <c r="BY246" s="80"/>
      <c r="BZ246" s="65"/>
      <c r="CA246" s="40" t="s">
        <v>3</v>
      </c>
      <c r="CB246" s="65"/>
      <c r="CC246" s="40">
        <v>-851.44628099173542</v>
      </c>
      <c r="CD246" s="40">
        <v>-921.44628099173542</v>
      </c>
      <c r="CE246" s="40">
        <v>-945.44628099173519</v>
      </c>
      <c r="CF246" s="65"/>
      <c r="CG246" s="40">
        <v>-848.44628099173519</v>
      </c>
      <c r="CH246" s="40">
        <v>-1097.4462809917354</v>
      </c>
      <c r="CI246" s="40">
        <v>-1097.4462809917354</v>
      </c>
      <c r="CJ246" s="40">
        <v>-1015.4462809917352</v>
      </c>
      <c r="CK246" s="40">
        <v>-1015.4462809917352</v>
      </c>
    </row>
    <row r="247" spans="1:89" s="2" customFormat="1">
      <c r="A247" s="196" t="s">
        <v>947</v>
      </c>
      <c r="B247" s="211" t="s">
        <v>60</v>
      </c>
      <c r="C247" s="211" t="s">
        <v>599</v>
      </c>
      <c r="D247" s="41">
        <v>1012</v>
      </c>
      <c r="E247" s="41">
        <v>0</v>
      </c>
      <c r="F247" s="22" t="s">
        <v>924</v>
      </c>
      <c r="G247" s="40">
        <v>24</v>
      </c>
      <c r="H247" s="388">
        <v>908.2644628099174</v>
      </c>
      <c r="I247" s="321"/>
      <c r="J247" s="40" t="s">
        <v>3</v>
      </c>
      <c r="K247" s="36" t="s">
        <v>3</v>
      </c>
      <c r="L247" s="37"/>
      <c r="M247" s="35">
        <v>359</v>
      </c>
      <c r="N247" s="136">
        <v>14.9</v>
      </c>
      <c r="O247" s="35">
        <v>219</v>
      </c>
      <c r="P247" s="136">
        <v>18</v>
      </c>
      <c r="Q247" s="37">
        <v>219</v>
      </c>
      <c r="R247" s="136">
        <v>17.2</v>
      </c>
      <c r="S247" s="37"/>
      <c r="T247" s="35">
        <v>29</v>
      </c>
      <c r="U247" s="136">
        <v>29</v>
      </c>
      <c r="V247" s="35">
        <v>29</v>
      </c>
      <c r="W247" s="136">
        <v>21.700000000000003</v>
      </c>
      <c r="X247" s="35">
        <v>29</v>
      </c>
      <c r="Y247" s="149">
        <v>21.700000000000003</v>
      </c>
      <c r="Z247" s="35">
        <v>29</v>
      </c>
      <c r="AA247" s="136">
        <v>21.700000000000003</v>
      </c>
      <c r="AB247" s="37">
        <v>29</v>
      </c>
      <c r="AC247" s="136">
        <v>21.700000000000003</v>
      </c>
      <c r="AD247" s="37"/>
      <c r="AE247" s="40">
        <v>104</v>
      </c>
      <c r="AF247" s="65"/>
      <c r="AG247" s="35">
        <v>0</v>
      </c>
      <c r="AH247" s="36">
        <v>0</v>
      </c>
      <c r="AI247" s="37"/>
      <c r="AJ247" s="35">
        <v>295</v>
      </c>
      <c r="AK247" s="36">
        <v>357.6</v>
      </c>
      <c r="AL247" s="35">
        <v>361</v>
      </c>
      <c r="AM247" s="36">
        <v>432</v>
      </c>
      <c r="AN247" s="35">
        <v>380</v>
      </c>
      <c r="AO247" s="36">
        <v>412.79999999999995</v>
      </c>
      <c r="AP247" s="37"/>
      <c r="AQ247" s="35">
        <v>287</v>
      </c>
      <c r="AR247" s="36">
        <v>696</v>
      </c>
      <c r="AS247" s="35">
        <v>462</v>
      </c>
      <c r="AT247" s="36">
        <v>520.80000000000007</v>
      </c>
      <c r="AU247" s="35">
        <v>462</v>
      </c>
      <c r="AV247" s="36">
        <v>520.80000000000007</v>
      </c>
      <c r="AW247" s="35">
        <v>462</v>
      </c>
      <c r="AX247" s="36">
        <v>520.80000000000007</v>
      </c>
      <c r="AY247" s="35">
        <v>462</v>
      </c>
      <c r="AZ247" s="36">
        <v>520.80000000000007</v>
      </c>
      <c r="BB247" s="40">
        <v>0</v>
      </c>
      <c r="BC247" s="65"/>
      <c r="BD247" s="35">
        <v>0</v>
      </c>
      <c r="BE247" s="36">
        <v>0</v>
      </c>
      <c r="BF247" s="37"/>
      <c r="BG247" s="415">
        <v>140</v>
      </c>
      <c r="BH247" s="353">
        <v>-4.2000000000000011</v>
      </c>
      <c r="BI247" s="415">
        <v>0</v>
      </c>
      <c r="BJ247" s="353">
        <v>0</v>
      </c>
      <c r="BK247" s="415">
        <v>0</v>
      </c>
      <c r="BL247" s="353">
        <v>0</v>
      </c>
      <c r="BM247" s="416"/>
      <c r="BN247" s="415">
        <v>0</v>
      </c>
      <c r="BO247" s="353">
        <v>0</v>
      </c>
      <c r="BP247" s="415">
        <v>0</v>
      </c>
      <c r="BQ247" s="353">
        <v>0</v>
      </c>
      <c r="BR247" s="415">
        <v>0</v>
      </c>
      <c r="BS247" s="353">
        <v>0</v>
      </c>
      <c r="BT247" s="415">
        <v>0</v>
      </c>
      <c r="BU247" s="353">
        <v>-9.9999999999997868E-2</v>
      </c>
      <c r="BV247" s="415">
        <v>0</v>
      </c>
      <c r="BW247" s="353">
        <v>-9.9999999999997868E-2</v>
      </c>
      <c r="BY247" s="80"/>
      <c r="BZ247" s="65"/>
      <c r="CA247" s="40" t="s">
        <v>3</v>
      </c>
      <c r="CB247" s="65"/>
      <c r="CC247" s="40">
        <v>-191.66446280991738</v>
      </c>
      <c r="CD247" s="40">
        <v>-257.2644628099174</v>
      </c>
      <c r="CE247" s="40">
        <v>-276.46446280991745</v>
      </c>
      <c r="CF247" s="65"/>
      <c r="CG247" s="40">
        <v>-183.2644628099174</v>
      </c>
      <c r="CH247" s="40">
        <v>-358.46446280991734</v>
      </c>
      <c r="CI247" s="40">
        <v>-358.46446280991734</v>
      </c>
      <c r="CJ247" s="40">
        <v>-358.46446280991734</v>
      </c>
      <c r="CK247" s="40">
        <v>-358.46446280991734</v>
      </c>
    </row>
    <row r="248" spans="1:89" s="2" customFormat="1">
      <c r="A248" s="196" t="s">
        <v>948</v>
      </c>
      <c r="B248" s="211" t="s">
        <v>60</v>
      </c>
      <c r="C248" s="211" t="s">
        <v>599</v>
      </c>
      <c r="D248" s="41">
        <v>1012</v>
      </c>
      <c r="E248" s="41">
        <v>0</v>
      </c>
      <c r="F248" s="41" t="s">
        <v>924</v>
      </c>
      <c r="G248" s="413">
        <v>30</v>
      </c>
      <c r="H248" s="414">
        <v>908.2644628099174</v>
      </c>
      <c r="I248" s="321"/>
      <c r="J248" s="40" t="s">
        <v>3</v>
      </c>
      <c r="K248" s="36" t="s">
        <v>3</v>
      </c>
      <c r="L248" s="37"/>
      <c r="M248" s="35">
        <v>359</v>
      </c>
      <c r="N248" s="136">
        <v>12</v>
      </c>
      <c r="O248" s="35">
        <v>219</v>
      </c>
      <c r="P248" s="136">
        <v>14.4</v>
      </c>
      <c r="Q248" s="37">
        <v>219</v>
      </c>
      <c r="R248" s="136">
        <v>13.8</v>
      </c>
      <c r="S248" s="37"/>
      <c r="T248" s="35">
        <v>29</v>
      </c>
      <c r="U248" s="136">
        <v>23.200000000000003</v>
      </c>
      <c r="V248" s="35">
        <v>29</v>
      </c>
      <c r="W248" s="136">
        <v>17.400000000000002</v>
      </c>
      <c r="X248" s="35">
        <v>29</v>
      </c>
      <c r="Y248" s="149">
        <v>17.400000000000002</v>
      </c>
      <c r="Z248" s="35">
        <v>29</v>
      </c>
      <c r="AA248" s="136">
        <v>17.400000000000002</v>
      </c>
      <c r="AB248" s="37">
        <v>29</v>
      </c>
      <c r="AC248" s="136">
        <v>17.400000000000002</v>
      </c>
      <c r="AD248" s="37"/>
      <c r="AE248" s="40">
        <v>104</v>
      </c>
      <c r="AF248" s="65"/>
      <c r="AG248" s="35">
        <v>0</v>
      </c>
      <c r="AH248" s="36">
        <v>0</v>
      </c>
      <c r="AI248" s="37"/>
      <c r="AJ248" s="35">
        <v>293</v>
      </c>
      <c r="AK248" s="36">
        <v>360</v>
      </c>
      <c r="AL248" s="35">
        <v>361</v>
      </c>
      <c r="AM248" s="36">
        <v>432</v>
      </c>
      <c r="AN248" s="37">
        <v>379</v>
      </c>
      <c r="AO248" s="36">
        <v>414</v>
      </c>
      <c r="AP248" s="37"/>
      <c r="AQ248" s="35">
        <v>287</v>
      </c>
      <c r="AR248" s="36">
        <v>696.00000000000011</v>
      </c>
      <c r="AS248" s="35">
        <v>461</v>
      </c>
      <c r="AT248" s="36">
        <v>522.00000000000011</v>
      </c>
      <c r="AU248" s="37">
        <v>461</v>
      </c>
      <c r="AV248" s="36">
        <v>522.00000000000011</v>
      </c>
      <c r="AW248" s="37">
        <v>461</v>
      </c>
      <c r="AX248" s="36">
        <v>522.00000000000011</v>
      </c>
      <c r="AY248" s="37">
        <v>461</v>
      </c>
      <c r="AZ248" s="36">
        <v>522.00000000000011</v>
      </c>
      <c r="BB248" s="40">
        <v>0</v>
      </c>
      <c r="BC248" s="65"/>
      <c r="BD248" s="35">
        <v>0</v>
      </c>
      <c r="BE248" s="36">
        <v>0</v>
      </c>
      <c r="BF248" s="37"/>
      <c r="BG248" s="415">
        <v>140</v>
      </c>
      <c r="BH248" s="353">
        <v>-3.3000000000000007</v>
      </c>
      <c r="BI248" s="415">
        <v>0</v>
      </c>
      <c r="BJ248" s="353">
        <v>0</v>
      </c>
      <c r="BK248" s="415">
        <v>0</v>
      </c>
      <c r="BL248" s="353">
        <v>0</v>
      </c>
      <c r="BM248" s="416"/>
      <c r="BN248" s="415">
        <v>0</v>
      </c>
      <c r="BO248" s="353">
        <v>0</v>
      </c>
      <c r="BP248" s="415">
        <v>0</v>
      </c>
      <c r="BQ248" s="353">
        <v>0</v>
      </c>
      <c r="BR248" s="415">
        <v>0</v>
      </c>
      <c r="BS248" s="353">
        <v>0</v>
      </c>
      <c r="BT248" s="415">
        <v>0</v>
      </c>
      <c r="BU248" s="353">
        <v>0</v>
      </c>
      <c r="BV248" s="415">
        <v>0</v>
      </c>
      <c r="BW248" s="353">
        <v>0</v>
      </c>
      <c r="BY248" s="80"/>
      <c r="BZ248" s="65"/>
      <c r="CA248" s="40" t="s">
        <v>3</v>
      </c>
      <c r="CB248" s="65"/>
      <c r="CC248" s="40">
        <v>-189.2644628099174</v>
      </c>
      <c r="CD248" s="40">
        <v>-257.2644628099174</v>
      </c>
      <c r="CE248" s="40">
        <v>-275.2644628099174</v>
      </c>
      <c r="CF248" s="65"/>
      <c r="CG248" s="40">
        <v>-183.26446280991729</v>
      </c>
      <c r="CH248" s="40">
        <v>-357.26446280991729</v>
      </c>
      <c r="CI248" s="40">
        <v>-357.26446280991729</v>
      </c>
      <c r="CJ248" s="40">
        <v>-357.26446280991729</v>
      </c>
      <c r="CK248" s="40">
        <v>-357.26446280991729</v>
      </c>
    </row>
    <row r="249" spans="1:89" s="141" customFormat="1">
      <c r="A249" s="196" t="s">
        <v>949</v>
      </c>
      <c r="B249" s="211" t="s">
        <v>673</v>
      </c>
      <c r="C249" s="211" t="s">
        <v>601</v>
      </c>
      <c r="D249" s="41">
        <v>159</v>
      </c>
      <c r="E249" s="41">
        <v>0</v>
      </c>
      <c r="F249" s="22" t="s">
        <v>924</v>
      </c>
      <c r="G249" s="40">
        <v>24</v>
      </c>
      <c r="H249" s="388">
        <v>147.93388429752068</v>
      </c>
      <c r="I249" s="321"/>
      <c r="J249" s="40" t="s">
        <v>3</v>
      </c>
      <c r="K249" s="36" t="s">
        <v>3</v>
      </c>
      <c r="L249" s="37"/>
      <c r="M249" s="35">
        <v>29</v>
      </c>
      <c r="N249" s="136">
        <v>4.2</v>
      </c>
      <c r="O249" s="35">
        <v>0</v>
      </c>
      <c r="P249" s="136">
        <v>2.3000000000000003</v>
      </c>
      <c r="Q249" s="37">
        <v>0</v>
      </c>
      <c r="R249" s="136">
        <v>1.5</v>
      </c>
      <c r="S249" s="37"/>
      <c r="T249" s="35">
        <v>0</v>
      </c>
      <c r="U249" s="136">
        <v>5.4</v>
      </c>
      <c r="V249" s="35">
        <v>0</v>
      </c>
      <c r="W249" s="136">
        <v>1.7000000000000002</v>
      </c>
      <c r="X249" s="35">
        <v>0</v>
      </c>
      <c r="Y249" s="149">
        <v>1</v>
      </c>
      <c r="Z249" s="35">
        <v>0</v>
      </c>
      <c r="AA249" s="136">
        <v>0.5</v>
      </c>
      <c r="AB249" s="37">
        <v>0</v>
      </c>
      <c r="AC249" s="136">
        <v>0.5</v>
      </c>
      <c r="AD249" s="37"/>
      <c r="AE249" s="40">
        <v>11</v>
      </c>
      <c r="AF249" s="65"/>
      <c r="AG249" s="35">
        <v>0</v>
      </c>
      <c r="AH249" s="36">
        <v>0</v>
      </c>
      <c r="AI249" s="37"/>
      <c r="AJ249" s="35">
        <v>29</v>
      </c>
      <c r="AK249" s="36">
        <v>100.80000000000001</v>
      </c>
      <c r="AL249" s="35">
        <v>104</v>
      </c>
      <c r="AM249" s="36">
        <v>55.2</v>
      </c>
      <c r="AN249" s="35">
        <v>123</v>
      </c>
      <c r="AO249" s="36">
        <v>36</v>
      </c>
      <c r="AP249" s="37"/>
      <c r="AQ249" s="35">
        <v>29</v>
      </c>
      <c r="AR249" s="36">
        <v>129.60000000000002</v>
      </c>
      <c r="AS249" s="35">
        <v>118</v>
      </c>
      <c r="AT249" s="36">
        <v>40.800000000000004</v>
      </c>
      <c r="AU249" s="35">
        <v>135</v>
      </c>
      <c r="AV249" s="36">
        <v>24</v>
      </c>
      <c r="AW249" s="35">
        <v>147</v>
      </c>
      <c r="AX249" s="36">
        <v>12</v>
      </c>
      <c r="AY249" s="35">
        <v>147</v>
      </c>
      <c r="AZ249" s="36">
        <v>12</v>
      </c>
      <c r="BA249" s="2"/>
      <c r="BB249" s="40">
        <v>0</v>
      </c>
      <c r="BC249" s="65"/>
      <c r="BD249" s="35">
        <v>0</v>
      </c>
      <c r="BE249" s="36">
        <v>0</v>
      </c>
      <c r="BF249" s="37"/>
      <c r="BG249" s="415">
        <v>29</v>
      </c>
      <c r="BH249" s="353">
        <v>0.79999999999999982</v>
      </c>
      <c r="BI249" s="415">
        <v>0</v>
      </c>
      <c r="BJ249" s="353">
        <v>0</v>
      </c>
      <c r="BK249" s="415">
        <v>0</v>
      </c>
      <c r="BL249" s="353">
        <v>0</v>
      </c>
      <c r="BM249" s="416"/>
      <c r="BN249" s="415">
        <v>0</v>
      </c>
      <c r="BO249" s="353">
        <v>0</v>
      </c>
      <c r="BP249" s="415">
        <v>0</v>
      </c>
      <c r="BQ249" s="353">
        <v>-1.7000000000000002</v>
      </c>
      <c r="BR249" s="415">
        <v>0</v>
      </c>
      <c r="BS249" s="353">
        <v>-2.4000000000000004</v>
      </c>
      <c r="BT249" s="415">
        <v>0</v>
      </c>
      <c r="BU249" s="353">
        <v>0</v>
      </c>
      <c r="BV249" s="415">
        <v>0</v>
      </c>
      <c r="BW249" s="353">
        <v>0</v>
      </c>
      <c r="BX249" s="2"/>
      <c r="BY249" s="80"/>
      <c r="BZ249" s="65"/>
      <c r="CA249" s="40" t="s">
        <v>3</v>
      </c>
      <c r="CB249" s="65"/>
      <c r="CC249" s="40">
        <v>-18.133884297520666</v>
      </c>
      <c r="CD249" s="40">
        <v>-92.733884297520675</v>
      </c>
      <c r="CE249" s="40">
        <v>-111.93388429752068</v>
      </c>
      <c r="CF249" s="65"/>
      <c r="CG249" s="40">
        <v>-18.333884297520655</v>
      </c>
      <c r="CH249" s="40">
        <v>-107.13388429752067</v>
      </c>
      <c r="CI249" s="40">
        <v>-123.93388429752068</v>
      </c>
      <c r="CJ249" s="40">
        <v>-135.93388429752068</v>
      </c>
      <c r="CK249" s="40">
        <v>-135.93388429752068</v>
      </c>
    </row>
    <row r="250" spans="1:89" s="141" customFormat="1">
      <c r="A250" s="196" t="s">
        <v>950</v>
      </c>
      <c r="B250" s="211" t="s">
        <v>673</v>
      </c>
      <c r="C250" s="211" t="s">
        <v>634</v>
      </c>
      <c r="D250" s="41">
        <v>315</v>
      </c>
      <c r="E250" s="41">
        <v>0</v>
      </c>
      <c r="F250" s="41" t="s">
        <v>924</v>
      </c>
      <c r="G250" s="413">
        <v>24</v>
      </c>
      <c r="H250" s="414">
        <v>288.42975206611573</v>
      </c>
      <c r="I250" s="321"/>
      <c r="J250" s="40" t="s">
        <v>3</v>
      </c>
      <c r="K250" s="36" t="s">
        <v>3</v>
      </c>
      <c r="L250" s="37"/>
      <c r="M250" s="35">
        <v>99</v>
      </c>
      <c r="N250" s="136">
        <v>5.2</v>
      </c>
      <c r="O250" s="35">
        <v>19</v>
      </c>
      <c r="P250" s="136">
        <v>5.2</v>
      </c>
      <c r="Q250" s="37">
        <v>19</v>
      </c>
      <c r="R250" s="136">
        <v>4.6000000000000005</v>
      </c>
      <c r="S250" s="37"/>
      <c r="T250" s="35">
        <v>0</v>
      </c>
      <c r="U250" s="136">
        <v>9.1</v>
      </c>
      <c r="V250" s="35">
        <v>0</v>
      </c>
      <c r="W250" s="136">
        <v>5.2</v>
      </c>
      <c r="X250" s="35">
        <v>0</v>
      </c>
      <c r="Y250" s="149">
        <v>4</v>
      </c>
      <c r="Z250" s="35">
        <v>0</v>
      </c>
      <c r="AA250" s="136">
        <v>5</v>
      </c>
      <c r="AB250" s="37">
        <v>0</v>
      </c>
      <c r="AC250" s="136">
        <v>5</v>
      </c>
      <c r="AD250" s="37"/>
      <c r="AE250" s="40">
        <v>27</v>
      </c>
      <c r="AF250" s="65"/>
      <c r="AG250" s="35">
        <v>0</v>
      </c>
      <c r="AH250" s="36">
        <v>0</v>
      </c>
      <c r="AI250" s="37"/>
      <c r="AJ250" s="35">
        <v>91</v>
      </c>
      <c r="AK250" s="36">
        <v>124.80000000000001</v>
      </c>
      <c r="AL250" s="35">
        <v>171</v>
      </c>
      <c r="AM250" s="36">
        <v>124.80000000000001</v>
      </c>
      <c r="AN250" s="37">
        <v>186</v>
      </c>
      <c r="AO250" s="36">
        <v>110.4</v>
      </c>
      <c r="AP250" s="37"/>
      <c r="AQ250" s="35">
        <v>97</v>
      </c>
      <c r="AR250" s="36">
        <v>218.39999999999998</v>
      </c>
      <c r="AS250" s="35">
        <v>190</v>
      </c>
      <c r="AT250" s="36">
        <v>124.80000000000001</v>
      </c>
      <c r="AU250" s="37">
        <v>219</v>
      </c>
      <c r="AV250" s="36">
        <v>96</v>
      </c>
      <c r="AW250" s="37">
        <v>195</v>
      </c>
      <c r="AX250" s="36">
        <v>120</v>
      </c>
      <c r="AY250" s="37">
        <v>195</v>
      </c>
      <c r="AZ250" s="36">
        <v>120</v>
      </c>
      <c r="BA250" s="2"/>
      <c r="BB250" s="40">
        <v>0</v>
      </c>
      <c r="BC250" s="65"/>
      <c r="BD250" s="35">
        <v>0</v>
      </c>
      <c r="BE250" s="36">
        <v>0</v>
      </c>
      <c r="BF250" s="37"/>
      <c r="BG250" s="415">
        <v>80</v>
      </c>
      <c r="BH250" s="353">
        <v>-1</v>
      </c>
      <c r="BI250" s="415">
        <v>0</v>
      </c>
      <c r="BJ250" s="353">
        <v>0</v>
      </c>
      <c r="BK250" s="415">
        <v>0</v>
      </c>
      <c r="BL250" s="353">
        <v>0</v>
      </c>
      <c r="BM250" s="416"/>
      <c r="BN250" s="415">
        <v>0</v>
      </c>
      <c r="BO250" s="353">
        <v>0</v>
      </c>
      <c r="BP250" s="415">
        <v>0</v>
      </c>
      <c r="BQ250" s="353">
        <v>0</v>
      </c>
      <c r="BR250" s="415">
        <v>0</v>
      </c>
      <c r="BS250" s="353">
        <v>-1.2000000000000002</v>
      </c>
      <c r="BT250" s="415">
        <v>0</v>
      </c>
      <c r="BU250" s="353">
        <v>0</v>
      </c>
      <c r="BV250" s="415">
        <v>0</v>
      </c>
      <c r="BW250" s="353">
        <v>0</v>
      </c>
      <c r="BX250" s="2"/>
      <c r="BY250" s="80"/>
      <c r="BZ250" s="65"/>
      <c r="CA250" s="40" t="s">
        <v>3</v>
      </c>
      <c r="CB250" s="65"/>
      <c r="CC250" s="40">
        <v>-64.629752066115714</v>
      </c>
      <c r="CD250" s="40">
        <v>-144.62975206611571</v>
      </c>
      <c r="CE250" s="40">
        <v>-159.02975206611572</v>
      </c>
      <c r="CF250" s="65"/>
      <c r="CG250" s="40">
        <v>-70.029752066115748</v>
      </c>
      <c r="CH250" s="40">
        <v>-163.62975206611571</v>
      </c>
      <c r="CI250" s="40">
        <v>-192.42975206611573</v>
      </c>
      <c r="CJ250" s="40">
        <v>-168.42975206611573</v>
      </c>
      <c r="CK250" s="40">
        <v>-168.42975206611573</v>
      </c>
    </row>
    <row r="251" spans="1:89" s="2" customFormat="1">
      <c r="A251" s="196" t="s">
        <v>951</v>
      </c>
      <c r="B251" s="211" t="s">
        <v>673</v>
      </c>
      <c r="C251" s="211" t="s">
        <v>634</v>
      </c>
      <c r="D251" s="41">
        <v>315</v>
      </c>
      <c r="E251" s="41">
        <v>0</v>
      </c>
      <c r="F251" s="22" t="s">
        <v>924</v>
      </c>
      <c r="G251" s="40">
        <v>30</v>
      </c>
      <c r="H251" s="388">
        <v>288.42975206611573</v>
      </c>
      <c r="I251" s="321"/>
      <c r="J251" s="40" t="s">
        <v>3</v>
      </c>
      <c r="K251" s="36" t="s">
        <v>3</v>
      </c>
      <c r="L251" s="37"/>
      <c r="M251" s="35">
        <v>99</v>
      </c>
      <c r="N251" s="136">
        <v>4.2</v>
      </c>
      <c r="O251" s="35">
        <v>19</v>
      </c>
      <c r="P251" s="136">
        <v>4.2</v>
      </c>
      <c r="Q251" s="37">
        <v>19</v>
      </c>
      <c r="R251" s="136">
        <v>3.7</v>
      </c>
      <c r="S251" s="37"/>
      <c r="T251" s="35">
        <v>0</v>
      </c>
      <c r="U251" s="136">
        <v>7.3000000000000007</v>
      </c>
      <c r="V251" s="35">
        <v>0</v>
      </c>
      <c r="W251" s="136">
        <v>4.2</v>
      </c>
      <c r="X251" s="35">
        <v>0</v>
      </c>
      <c r="Y251" s="149">
        <v>3.2</v>
      </c>
      <c r="Z251" s="35">
        <v>0</v>
      </c>
      <c r="AA251" s="136">
        <v>4</v>
      </c>
      <c r="AB251" s="37">
        <v>0</v>
      </c>
      <c r="AC251" s="136">
        <v>4</v>
      </c>
      <c r="AD251" s="37"/>
      <c r="AE251" s="40">
        <v>27</v>
      </c>
      <c r="AF251" s="65"/>
      <c r="AG251" s="35">
        <v>0</v>
      </c>
      <c r="AH251" s="36">
        <v>0</v>
      </c>
      <c r="AI251" s="37"/>
      <c r="AJ251" s="35">
        <v>90</v>
      </c>
      <c r="AK251" s="36">
        <v>126</v>
      </c>
      <c r="AL251" s="35">
        <v>170</v>
      </c>
      <c r="AM251" s="36">
        <v>126</v>
      </c>
      <c r="AN251" s="35">
        <v>185</v>
      </c>
      <c r="AO251" s="36">
        <v>111</v>
      </c>
      <c r="AP251" s="37"/>
      <c r="AQ251" s="35">
        <v>96</v>
      </c>
      <c r="AR251" s="36">
        <v>219.00000000000003</v>
      </c>
      <c r="AS251" s="35">
        <v>189</v>
      </c>
      <c r="AT251" s="36">
        <v>126</v>
      </c>
      <c r="AU251" s="35">
        <v>219</v>
      </c>
      <c r="AV251" s="36">
        <v>96</v>
      </c>
      <c r="AW251" s="35">
        <v>195</v>
      </c>
      <c r="AX251" s="36">
        <v>120</v>
      </c>
      <c r="AY251" s="35">
        <v>195</v>
      </c>
      <c r="AZ251" s="36">
        <v>120</v>
      </c>
      <c r="BB251" s="40">
        <v>0</v>
      </c>
      <c r="BC251" s="65"/>
      <c r="BD251" s="35">
        <v>0</v>
      </c>
      <c r="BE251" s="36">
        <v>0</v>
      </c>
      <c r="BF251" s="37"/>
      <c r="BG251" s="415">
        <v>80</v>
      </c>
      <c r="BH251" s="353">
        <v>-0.79999999999999982</v>
      </c>
      <c r="BI251" s="415">
        <v>0</v>
      </c>
      <c r="BJ251" s="353">
        <v>0</v>
      </c>
      <c r="BK251" s="415">
        <v>0</v>
      </c>
      <c r="BL251" s="353">
        <v>0</v>
      </c>
      <c r="BM251" s="416"/>
      <c r="BN251" s="415">
        <v>0</v>
      </c>
      <c r="BO251" s="353">
        <v>0</v>
      </c>
      <c r="BP251" s="415">
        <v>0</v>
      </c>
      <c r="BQ251" s="353">
        <v>0</v>
      </c>
      <c r="BR251" s="415">
        <v>0</v>
      </c>
      <c r="BS251" s="353">
        <v>-1</v>
      </c>
      <c r="BT251" s="415">
        <v>0</v>
      </c>
      <c r="BU251" s="353">
        <v>0</v>
      </c>
      <c r="BV251" s="415">
        <v>0</v>
      </c>
      <c r="BW251" s="353">
        <v>0</v>
      </c>
      <c r="BY251" s="80"/>
      <c r="BZ251" s="65"/>
      <c r="CA251" s="40" t="s">
        <v>3</v>
      </c>
      <c r="CB251" s="65"/>
      <c r="CC251" s="40">
        <v>-63.429752066115725</v>
      </c>
      <c r="CD251" s="40">
        <v>-143.42975206611573</v>
      </c>
      <c r="CE251" s="40">
        <v>-158.42975206611573</v>
      </c>
      <c r="CF251" s="65"/>
      <c r="CG251" s="40">
        <v>-69.429752066115697</v>
      </c>
      <c r="CH251" s="40">
        <v>-162.42975206611573</v>
      </c>
      <c r="CI251" s="40">
        <v>-192.42975206611573</v>
      </c>
      <c r="CJ251" s="40">
        <v>-168.42975206611573</v>
      </c>
      <c r="CK251" s="40">
        <v>-168.42975206611573</v>
      </c>
    </row>
    <row r="252" spans="1:89" s="2" customFormat="1">
      <c r="A252" s="196" t="s">
        <v>952</v>
      </c>
      <c r="B252" s="211" t="s">
        <v>673</v>
      </c>
      <c r="C252" s="211" t="s">
        <v>625</v>
      </c>
      <c r="D252" s="41">
        <v>421</v>
      </c>
      <c r="E252" s="41">
        <v>0</v>
      </c>
      <c r="F252" s="41" t="s">
        <v>924</v>
      </c>
      <c r="G252" s="413">
        <v>24</v>
      </c>
      <c r="H252" s="414">
        <v>412.39669421487605</v>
      </c>
      <c r="I252" s="321"/>
      <c r="J252" s="40" t="s">
        <v>3</v>
      </c>
      <c r="K252" s="36" t="s">
        <v>3</v>
      </c>
      <c r="L252" s="37"/>
      <c r="M252" s="35">
        <v>139</v>
      </c>
      <c r="N252" s="136">
        <v>8.3000000000000007</v>
      </c>
      <c r="O252" s="35">
        <v>19</v>
      </c>
      <c r="P252" s="136">
        <v>10.8</v>
      </c>
      <c r="Q252" s="37">
        <v>19</v>
      </c>
      <c r="R252" s="136">
        <v>9.8000000000000007</v>
      </c>
      <c r="S252" s="37"/>
      <c r="T252" s="35">
        <v>0</v>
      </c>
      <c r="U252" s="136">
        <v>14.5</v>
      </c>
      <c r="V252" s="35">
        <v>0</v>
      </c>
      <c r="W252" s="136">
        <v>9.3000000000000007</v>
      </c>
      <c r="X252" s="35">
        <v>0</v>
      </c>
      <c r="Y252" s="149">
        <v>7</v>
      </c>
      <c r="Z252" s="35">
        <v>0</v>
      </c>
      <c r="AA252" s="136">
        <v>10</v>
      </c>
      <c r="AB252" s="37">
        <v>0</v>
      </c>
      <c r="AC252" s="136">
        <v>10</v>
      </c>
      <c r="AD252" s="37"/>
      <c r="AE252" s="40">
        <v>9</v>
      </c>
      <c r="AF252" s="65"/>
      <c r="AG252" s="35">
        <v>0</v>
      </c>
      <c r="AH252" s="36">
        <v>0</v>
      </c>
      <c r="AI252" s="37"/>
      <c r="AJ252" s="35">
        <v>83</v>
      </c>
      <c r="AK252" s="36">
        <v>199.20000000000002</v>
      </c>
      <c r="AL252" s="35">
        <v>143</v>
      </c>
      <c r="AM252" s="36">
        <v>259.20000000000005</v>
      </c>
      <c r="AN252" s="37">
        <v>167</v>
      </c>
      <c r="AO252" s="36">
        <v>235.20000000000002</v>
      </c>
      <c r="AP252" s="37"/>
      <c r="AQ252" s="35">
        <v>73</v>
      </c>
      <c r="AR252" s="36">
        <v>348</v>
      </c>
      <c r="AS252" s="35">
        <v>198</v>
      </c>
      <c r="AT252" s="36">
        <v>223.20000000000002</v>
      </c>
      <c r="AU252" s="37">
        <v>253</v>
      </c>
      <c r="AV252" s="36">
        <v>168</v>
      </c>
      <c r="AW252" s="37">
        <v>181</v>
      </c>
      <c r="AX252" s="36">
        <v>240</v>
      </c>
      <c r="AY252" s="37">
        <v>181</v>
      </c>
      <c r="AZ252" s="36">
        <v>240</v>
      </c>
      <c r="BB252" s="40">
        <v>0</v>
      </c>
      <c r="BC252" s="65"/>
      <c r="BD252" s="35">
        <v>0</v>
      </c>
      <c r="BE252" s="36">
        <v>0</v>
      </c>
      <c r="BF252" s="37"/>
      <c r="BG252" s="415">
        <v>120</v>
      </c>
      <c r="BH252" s="353">
        <v>-3.5</v>
      </c>
      <c r="BI252" s="415">
        <v>0</v>
      </c>
      <c r="BJ252" s="353">
        <v>0</v>
      </c>
      <c r="BK252" s="415">
        <v>0</v>
      </c>
      <c r="BL252" s="353">
        <v>0</v>
      </c>
      <c r="BM252" s="416"/>
      <c r="BN252" s="415">
        <v>0</v>
      </c>
      <c r="BO252" s="353">
        <v>0</v>
      </c>
      <c r="BP252" s="415">
        <v>0</v>
      </c>
      <c r="BQ252" s="353">
        <v>0</v>
      </c>
      <c r="BR252" s="415">
        <v>0</v>
      </c>
      <c r="BS252" s="353">
        <v>-2.3000000000000007</v>
      </c>
      <c r="BT252" s="415">
        <v>0</v>
      </c>
      <c r="BU252" s="353">
        <v>0</v>
      </c>
      <c r="BV252" s="415">
        <v>0</v>
      </c>
      <c r="BW252" s="353">
        <v>0</v>
      </c>
      <c r="BY252" s="80"/>
      <c r="BZ252" s="65"/>
      <c r="CA252" s="40" t="s">
        <v>3</v>
      </c>
      <c r="CB252" s="65"/>
      <c r="CC252" s="40">
        <v>-74.196694214876004</v>
      </c>
      <c r="CD252" s="40">
        <v>-134.196694214876</v>
      </c>
      <c r="CE252" s="40">
        <v>-158.19669421487603</v>
      </c>
      <c r="CF252" s="65"/>
      <c r="CG252" s="40">
        <v>-64.39669421487605</v>
      </c>
      <c r="CH252" s="40">
        <v>-189.19669421487603</v>
      </c>
      <c r="CI252" s="40">
        <v>-244.39669421487605</v>
      </c>
      <c r="CJ252" s="40">
        <v>-172.39669421487605</v>
      </c>
      <c r="CK252" s="40">
        <v>-172.39669421487605</v>
      </c>
    </row>
    <row r="253" spans="1:89" s="2" customFormat="1">
      <c r="A253" s="196" t="s">
        <v>953</v>
      </c>
      <c r="B253" s="211" t="s">
        <v>673</v>
      </c>
      <c r="C253" s="211" t="s">
        <v>625</v>
      </c>
      <c r="D253" s="41">
        <v>421</v>
      </c>
      <c r="E253" s="41">
        <v>0</v>
      </c>
      <c r="F253" s="22" t="s">
        <v>924</v>
      </c>
      <c r="G253" s="40">
        <v>30</v>
      </c>
      <c r="H253" s="388">
        <v>412.39669421487605</v>
      </c>
      <c r="I253" s="321"/>
      <c r="J253" s="40" t="s">
        <v>3</v>
      </c>
      <c r="K253" s="36" t="s">
        <v>3</v>
      </c>
      <c r="L253" s="37"/>
      <c r="M253" s="35">
        <v>139</v>
      </c>
      <c r="N253" s="136">
        <v>6.7</v>
      </c>
      <c r="O253" s="35">
        <v>19</v>
      </c>
      <c r="P253" s="136">
        <v>8.7000000000000011</v>
      </c>
      <c r="Q253" s="37">
        <v>19</v>
      </c>
      <c r="R253" s="136">
        <v>7.9</v>
      </c>
      <c r="S253" s="37"/>
      <c r="T253" s="35">
        <v>0</v>
      </c>
      <c r="U253" s="136">
        <v>11.600000000000001</v>
      </c>
      <c r="V253" s="35">
        <v>0</v>
      </c>
      <c r="W253" s="136">
        <v>7.5</v>
      </c>
      <c r="X253" s="35">
        <v>0</v>
      </c>
      <c r="Y253" s="149">
        <v>5.6000000000000005</v>
      </c>
      <c r="Z253" s="35">
        <v>0</v>
      </c>
      <c r="AA253" s="136">
        <v>8</v>
      </c>
      <c r="AB253" s="37">
        <v>0</v>
      </c>
      <c r="AC253" s="136">
        <v>8</v>
      </c>
      <c r="AD253" s="37"/>
      <c r="AE253" s="40">
        <v>9</v>
      </c>
      <c r="AF253" s="65"/>
      <c r="AG253" s="35">
        <v>0</v>
      </c>
      <c r="AH253" s="36">
        <v>0</v>
      </c>
      <c r="AI253" s="37"/>
      <c r="AJ253" s="35">
        <v>81</v>
      </c>
      <c r="AK253" s="36">
        <v>201</v>
      </c>
      <c r="AL253" s="35">
        <v>141</v>
      </c>
      <c r="AM253" s="36">
        <v>261.00000000000006</v>
      </c>
      <c r="AN253" s="35">
        <v>165</v>
      </c>
      <c r="AO253" s="36">
        <v>237</v>
      </c>
      <c r="AP253" s="37"/>
      <c r="AQ253" s="35">
        <v>73</v>
      </c>
      <c r="AR253" s="36">
        <v>348.00000000000006</v>
      </c>
      <c r="AS253" s="35">
        <v>196</v>
      </c>
      <c r="AT253" s="36">
        <v>225</v>
      </c>
      <c r="AU253" s="35">
        <v>253</v>
      </c>
      <c r="AV253" s="36">
        <v>168.00000000000003</v>
      </c>
      <c r="AW253" s="35">
        <v>181</v>
      </c>
      <c r="AX253" s="36">
        <v>240</v>
      </c>
      <c r="AY253" s="35">
        <v>181</v>
      </c>
      <c r="AZ253" s="36">
        <v>240</v>
      </c>
      <c r="BB253" s="40">
        <v>0</v>
      </c>
      <c r="BC253" s="65"/>
      <c r="BD253" s="35">
        <v>0</v>
      </c>
      <c r="BE253" s="36">
        <v>0</v>
      </c>
      <c r="BF253" s="37"/>
      <c r="BG253" s="415">
        <v>120</v>
      </c>
      <c r="BH253" s="353">
        <v>-2.8</v>
      </c>
      <c r="BI253" s="415">
        <v>0</v>
      </c>
      <c r="BJ253" s="353">
        <v>0</v>
      </c>
      <c r="BK253" s="415">
        <v>0</v>
      </c>
      <c r="BL253" s="353">
        <v>0</v>
      </c>
      <c r="BM253" s="416"/>
      <c r="BN253" s="415">
        <v>0</v>
      </c>
      <c r="BO253" s="353">
        <v>0</v>
      </c>
      <c r="BP253" s="415">
        <v>0</v>
      </c>
      <c r="BQ253" s="353">
        <v>0</v>
      </c>
      <c r="BR253" s="415">
        <v>0</v>
      </c>
      <c r="BS253" s="353">
        <v>-1.8999999999999995</v>
      </c>
      <c r="BT253" s="415">
        <v>0</v>
      </c>
      <c r="BU253" s="353">
        <v>0</v>
      </c>
      <c r="BV253" s="415">
        <v>0</v>
      </c>
      <c r="BW253" s="353">
        <v>0</v>
      </c>
      <c r="BY253" s="80"/>
      <c r="BZ253" s="65"/>
      <c r="CA253" s="40" t="s">
        <v>3</v>
      </c>
      <c r="CB253" s="65"/>
      <c r="CC253" s="40">
        <v>-72.39669421487605</v>
      </c>
      <c r="CD253" s="40">
        <v>-132.39669421487599</v>
      </c>
      <c r="CE253" s="40">
        <v>-156.39669421487605</v>
      </c>
      <c r="CF253" s="65"/>
      <c r="CG253" s="40">
        <v>-64.396694214875993</v>
      </c>
      <c r="CH253" s="40">
        <v>-187.39669421487605</v>
      </c>
      <c r="CI253" s="40">
        <v>-244.39669421487602</v>
      </c>
      <c r="CJ253" s="40">
        <v>-172.39669421487605</v>
      </c>
      <c r="CK253" s="40">
        <v>-172.39669421487605</v>
      </c>
    </row>
    <row r="254" spans="1:89" s="2" customFormat="1">
      <c r="A254" s="196" t="s">
        <v>954</v>
      </c>
      <c r="B254" s="211" t="s">
        <v>673</v>
      </c>
      <c r="C254" s="211" t="s">
        <v>635</v>
      </c>
      <c r="D254" s="41">
        <v>467</v>
      </c>
      <c r="E254" s="41">
        <v>0</v>
      </c>
      <c r="F254" s="41" t="s">
        <v>924</v>
      </c>
      <c r="G254" s="413">
        <v>24</v>
      </c>
      <c r="H254" s="414">
        <v>453.71900826446284</v>
      </c>
      <c r="I254" s="321"/>
      <c r="J254" s="40" t="s">
        <v>3</v>
      </c>
      <c r="K254" s="36" t="s">
        <v>3</v>
      </c>
      <c r="L254" s="37"/>
      <c r="M254" s="35">
        <v>149</v>
      </c>
      <c r="N254" s="136">
        <v>9.1</v>
      </c>
      <c r="O254" s="35">
        <v>19</v>
      </c>
      <c r="P254" s="136">
        <v>11.8</v>
      </c>
      <c r="Q254" s="37">
        <v>19</v>
      </c>
      <c r="R254" s="136">
        <v>10.8</v>
      </c>
      <c r="S254" s="37"/>
      <c r="T254" s="35">
        <v>0</v>
      </c>
      <c r="U254" s="136">
        <v>15.5</v>
      </c>
      <c r="V254" s="35">
        <v>0</v>
      </c>
      <c r="W254" s="136">
        <v>10.4</v>
      </c>
      <c r="X254" s="35">
        <v>0</v>
      </c>
      <c r="Y254" s="149">
        <v>9</v>
      </c>
      <c r="Z254" s="35">
        <v>0</v>
      </c>
      <c r="AA254" s="136">
        <v>11.3</v>
      </c>
      <c r="AB254" s="37">
        <v>0</v>
      </c>
      <c r="AC254" s="136">
        <v>11.3</v>
      </c>
      <c r="AD254" s="37"/>
      <c r="AE254" s="40">
        <v>13</v>
      </c>
      <c r="AF254" s="65"/>
      <c r="AG254" s="35">
        <v>0</v>
      </c>
      <c r="AH254" s="36">
        <v>0</v>
      </c>
      <c r="AI254" s="37"/>
      <c r="AJ254" s="35">
        <v>100</v>
      </c>
      <c r="AK254" s="36">
        <v>218.39999999999998</v>
      </c>
      <c r="AL254" s="35">
        <v>165</v>
      </c>
      <c r="AM254" s="36">
        <v>283.20000000000005</v>
      </c>
      <c r="AN254" s="37">
        <v>189</v>
      </c>
      <c r="AO254" s="36">
        <v>259.20000000000005</v>
      </c>
      <c r="AP254" s="37"/>
      <c r="AQ254" s="35">
        <v>95</v>
      </c>
      <c r="AR254" s="36">
        <v>372</v>
      </c>
      <c r="AS254" s="35">
        <v>217</v>
      </c>
      <c r="AT254" s="36">
        <v>249.60000000000002</v>
      </c>
      <c r="AU254" s="37">
        <v>251</v>
      </c>
      <c r="AV254" s="36">
        <v>216</v>
      </c>
      <c r="AW254" s="37">
        <v>196</v>
      </c>
      <c r="AX254" s="36">
        <v>271.20000000000005</v>
      </c>
      <c r="AY254" s="37">
        <v>196</v>
      </c>
      <c r="AZ254" s="36">
        <v>271.20000000000005</v>
      </c>
      <c r="BB254" s="40">
        <v>0</v>
      </c>
      <c r="BC254" s="65"/>
      <c r="BD254" s="35">
        <v>0</v>
      </c>
      <c r="BE254" s="36">
        <v>0</v>
      </c>
      <c r="BF254" s="37"/>
      <c r="BG254" s="415">
        <v>130</v>
      </c>
      <c r="BH254" s="353">
        <v>-3.8000000000000007</v>
      </c>
      <c r="BI254" s="415">
        <v>0</v>
      </c>
      <c r="BJ254" s="353">
        <v>0</v>
      </c>
      <c r="BK254" s="415">
        <v>0</v>
      </c>
      <c r="BL254" s="353">
        <v>0</v>
      </c>
      <c r="BM254" s="416"/>
      <c r="BN254" s="415">
        <v>0</v>
      </c>
      <c r="BO254" s="353">
        <v>0</v>
      </c>
      <c r="BP254" s="415">
        <v>0</v>
      </c>
      <c r="BQ254" s="353">
        <v>0</v>
      </c>
      <c r="BR254" s="415">
        <v>0</v>
      </c>
      <c r="BS254" s="353">
        <v>-1.4000000000000004</v>
      </c>
      <c r="BT254" s="415">
        <v>0</v>
      </c>
      <c r="BU254" s="353">
        <v>0</v>
      </c>
      <c r="BV254" s="415">
        <v>0</v>
      </c>
      <c r="BW254" s="353">
        <v>0</v>
      </c>
      <c r="BY254" s="80"/>
      <c r="BZ254" s="65"/>
      <c r="CA254" s="40" t="s">
        <v>3</v>
      </c>
      <c r="CB254" s="65"/>
      <c r="CC254" s="40">
        <v>-86.319008264462866</v>
      </c>
      <c r="CD254" s="40">
        <v>-151.5190082644628</v>
      </c>
      <c r="CE254" s="40">
        <v>-175.5190082644628</v>
      </c>
      <c r="CF254" s="65"/>
      <c r="CG254" s="40">
        <v>-81.719008264462843</v>
      </c>
      <c r="CH254" s="40">
        <v>-204.11900826446282</v>
      </c>
      <c r="CI254" s="40">
        <v>-237.71900826446284</v>
      </c>
      <c r="CJ254" s="40">
        <v>-182.5190082644628</v>
      </c>
      <c r="CK254" s="40">
        <v>-182.5190082644628</v>
      </c>
    </row>
    <row r="255" spans="1:89" s="2" customFormat="1">
      <c r="A255" s="196" t="s">
        <v>955</v>
      </c>
      <c r="B255" s="211" t="s">
        <v>673</v>
      </c>
      <c r="C255" s="211" t="s">
        <v>635</v>
      </c>
      <c r="D255" s="41">
        <v>467</v>
      </c>
      <c r="E255" s="41">
        <v>0</v>
      </c>
      <c r="F255" s="22" t="s">
        <v>924</v>
      </c>
      <c r="G255" s="40">
        <v>30</v>
      </c>
      <c r="H255" s="388">
        <v>453.71900826446284</v>
      </c>
      <c r="I255" s="321"/>
      <c r="J255" s="40" t="s">
        <v>3</v>
      </c>
      <c r="K255" s="36" t="s">
        <v>3</v>
      </c>
      <c r="L255" s="37"/>
      <c r="M255" s="35">
        <v>149</v>
      </c>
      <c r="N255" s="136">
        <v>7.3000000000000007</v>
      </c>
      <c r="O255" s="35">
        <v>19</v>
      </c>
      <c r="P255" s="136">
        <v>9.5</v>
      </c>
      <c r="Q255" s="37">
        <v>19</v>
      </c>
      <c r="R255" s="136">
        <v>8.7000000000000011</v>
      </c>
      <c r="S255" s="37"/>
      <c r="T255" s="35">
        <v>0</v>
      </c>
      <c r="U255" s="136">
        <v>12.4</v>
      </c>
      <c r="V255" s="35">
        <v>0</v>
      </c>
      <c r="W255" s="136">
        <v>8.4</v>
      </c>
      <c r="X255" s="35">
        <v>0</v>
      </c>
      <c r="Y255" s="149">
        <v>7.2</v>
      </c>
      <c r="Z255" s="35">
        <v>0</v>
      </c>
      <c r="AA255" s="136">
        <v>9</v>
      </c>
      <c r="AB255" s="37">
        <v>0</v>
      </c>
      <c r="AC255" s="136">
        <v>9</v>
      </c>
      <c r="AD255" s="37"/>
      <c r="AE255" s="40">
        <v>13</v>
      </c>
      <c r="AF255" s="65"/>
      <c r="AG255" s="35">
        <v>0</v>
      </c>
      <c r="AH255" s="36">
        <v>0</v>
      </c>
      <c r="AI255" s="37"/>
      <c r="AJ255" s="35">
        <v>99</v>
      </c>
      <c r="AK255" s="36">
        <v>219.00000000000003</v>
      </c>
      <c r="AL255" s="35">
        <v>163</v>
      </c>
      <c r="AM255" s="36">
        <v>285</v>
      </c>
      <c r="AN255" s="35">
        <v>187</v>
      </c>
      <c r="AO255" s="36">
        <v>261.00000000000006</v>
      </c>
      <c r="AP255" s="37"/>
      <c r="AQ255" s="35">
        <v>95</v>
      </c>
      <c r="AR255" s="36">
        <v>372</v>
      </c>
      <c r="AS255" s="35">
        <v>215</v>
      </c>
      <c r="AT255" s="36">
        <v>252</v>
      </c>
      <c r="AU255" s="35">
        <v>251</v>
      </c>
      <c r="AV255" s="36">
        <v>216</v>
      </c>
      <c r="AW255" s="35">
        <v>197</v>
      </c>
      <c r="AX255" s="36">
        <v>270</v>
      </c>
      <c r="AY255" s="35">
        <v>197</v>
      </c>
      <c r="AZ255" s="36">
        <v>270</v>
      </c>
      <c r="BB255" s="40">
        <v>0</v>
      </c>
      <c r="BC255" s="65"/>
      <c r="BD255" s="35">
        <v>0</v>
      </c>
      <c r="BE255" s="36">
        <v>0</v>
      </c>
      <c r="BF255" s="37"/>
      <c r="BG255" s="415">
        <v>130</v>
      </c>
      <c r="BH255" s="353">
        <v>-3.0999999999999996</v>
      </c>
      <c r="BI255" s="415">
        <v>0</v>
      </c>
      <c r="BJ255" s="353">
        <v>0</v>
      </c>
      <c r="BK255" s="415">
        <v>0</v>
      </c>
      <c r="BL255" s="353">
        <v>0</v>
      </c>
      <c r="BM255" s="416"/>
      <c r="BN255" s="415">
        <v>0</v>
      </c>
      <c r="BO255" s="353">
        <v>0</v>
      </c>
      <c r="BP255" s="415">
        <v>0</v>
      </c>
      <c r="BQ255" s="353">
        <v>0</v>
      </c>
      <c r="BR255" s="415">
        <v>0</v>
      </c>
      <c r="BS255" s="353">
        <v>-1.2000000000000002</v>
      </c>
      <c r="BT255" s="415">
        <v>0</v>
      </c>
      <c r="BU255" s="353">
        <v>0</v>
      </c>
      <c r="BV255" s="415">
        <v>0</v>
      </c>
      <c r="BW255" s="353">
        <v>0</v>
      </c>
      <c r="BY255" s="80"/>
      <c r="BZ255" s="65"/>
      <c r="CA255" s="40" t="s">
        <v>3</v>
      </c>
      <c r="CB255" s="65"/>
      <c r="CC255" s="40">
        <v>-85.719008264462843</v>
      </c>
      <c r="CD255" s="40">
        <v>-149.71900826446284</v>
      </c>
      <c r="CE255" s="40">
        <v>-173.71900826446279</v>
      </c>
      <c r="CF255" s="65"/>
      <c r="CG255" s="40">
        <v>-81.719008264462843</v>
      </c>
      <c r="CH255" s="40">
        <v>-201.71900826446284</v>
      </c>
      <c r="CI255" s="40">
        <v>-237.71900826446284</v>
      </c>
      <c r="CJ255" s="40">
        <v>-183.71900826446284</v>
      </c>
      <c r="CK255" s="40">
        <v>-183.71900826446284</v>
      </c>
    </row>
    <row r="256" spans="1:89" s="2" customFormat="1">
      <c r="A256" s="196" t="s">
        <v>956</v>
      </c>
      <c r="B256" s="211" t="s">
        <v>673</v>
      </c>
      <c r="C256" s="211" t="s">
        <v>626</v>
      </c>
      <c r="D256" s="41">
        <v>567</v>
      </c>
      <c r="E256" s="41">
        <v>0</v>
      </c>
      <c r="F256" s="41" t="s">
        <v>924</v>
      </c>
      <c r="G256" s="413">
        <v>24</v>
      </c>
      <c r="H256" s="414">
        <v>536.36363636363637</v>
      </c>
      <c r="I256" s="321"/>
      <c r="J256" s="40" t="s">
        <v>3</v>
      </c>
      <c r="K256" s="36" t="s">
        <v>3</v>
      </c>
      <c r="L256" s="37"/>
      <c r="M256" s="35">
        <v>169</v>
      </c>
      <c r="N256" s="136">
        <v>10</v>
      </c>
      <c r="O256" s="35">
        <v>19</v>
      </c>
      <c r="P256" s="136">
        <v>13.3</v>
      </c>
      <c r="Q256" s="37">
        <v>19</v>
      </c>
      <c r="R256" s="136">
        <v>12.4</v>
      </c>
      <c r="S256" s="37"/>
      <c r="T256" s="35">
        <v>0</v>
      </c>
      <c r="U256" s="136">
        <v>17.2</v>
      </c>
      <c r="V256" s="35">
        <v>0</v>
      </c>
      <c r="W256" s="136">
        <v>12.4</v>
      </c>
      <c r="X256" s="35">
        <v>0</v>
      </c>
      <c r="Y256" s="149">
        <v>10</v>
      </c>
      <c r="Z256" s="35">
        <v>19</v>
      </c>
      <c r="AA256" s="136">
        <v>14.5</v>
      </c>
      <c r="AB256" s="37">
        <v>19</v>
      </c>
      <c r="AC256" s="136">
        <v>14.5</v>
      </c>
      <c r="AD256" s="37"/>
      <c r="AE256" s="40">
        <v>31</v>
      </c>
      <c r="AF256" s="65"/>
      <c r="AG256" s="35">
        <v>0</v>
      </c>
      <c r="AH256" s="36">
        <v>0</v>
      </c>
      <c r="AI256" s="37"/>
      <c r="AJ256" s="35">
        <v>158</v>
      </c>
      <c r="AK256" s="36">
        <v>240</v>
      </c>
      <c r="AL256" s="35">
        <v>229</v>
      </c>
      <c r="AM256" s="36">
        <v>319.20000000000005</v>
      </c>
      <c r="AN256" s="37">
        <v>250</v>
      </c>
      <c r="AO256" s="36">
        <v>297.60000000000002</v>
      </c>
      <c r="AP256" s="37"/>
      <c r="AQ256" s="35">
        <v>154</v>
      </c>
      <c r="AR256" s="36">
        <v>412.79999999999995</v>
      </c>
      <c r="AS256" s="35">
        <v>269</v>
      </c>
      <c r="AT256" s="36">
        <v>297.60000000000002</v>
      </c>
      <c r="AU256" s="37">
        <v>327</v>
      </c>
      <c r="AV256" s="36">
        <v>240</v>
      </c>
      <c r="AW256" s="37">
        <v>200</v>
      </c>
      <c r="AX256" s="36">
        <v>348</v>
      </c>
      <c r="AY256" s="37">
        <v>200</v>
      </c>
      <c r="AZ256" s="36">
        <v>348</v>
      </c>
      <c r="BB256" s="40">
        <v>0</v>
      </c>
      <c r="BC256" s="65"/>
      <c r="BD256" s="35">
        <v>0</v>
      </c>
      <c r="BE256" s="36">
        <v>0</v>
      </c>
      <c r="BF256" s="37"/>
      <c r="BG256" s="415">
        <v>150</v>
      </c>
      <c r="BH256" s="353">
        <v>-4.3000000000000007</v>
      </c>
      <c r="BI256" s="415">
        <v>0</v>
      </c>
      <c r="BJ256" s="353">
        <v>0</v>
      </c>
      <c r="BK256" s="415">
        <v>0</v>
      </c>
      <c r="BL256" s="353">
        <v>0</v>
      </c>
      <c r="BM256" s="416"/>
      <c r="BN256" s="415">
        <v>0</v>
      </c>
      <c r="BO256" s="353">
        <v>0</v>
      </c>
      <c r="BP256" s="415">
        <v>0</v>
      </c>
      <c r="BQ256" s="353">
        <v>0</v>
      </c>
      <c r="BR256" s="415">
        <v>0</v>
      </c>
      <c r="BS256" s="353">
        <v>-2.4000000000000004</v>
      </c>
      <c r="BT256" s="415">
        <v>10</v>
      </c>
      <c r="BU256" s="353">
        <v>2.0999999999999996</v>
      </c>
      <c r="BV256" s="415">
        <v>10</v>
      </c>
      <c r="BW256" s="353">
        <v>2.0999999999999996</v>
      </c>
      <c r="BY256" s="80"/>
      <c r="BZ256" s="65"/>
      <c r="CA256" s="40" t="s">
        <v>3</v>
      </c>
      <c r="CB256" s="65"/>
      <c r="CC256" s="40">
        <v>-127.36363636363637</v>
      </c>
      <c r="CD256" s="40">
        <v>-198.16363636363633</v>
      </c>
      <c r="CE256" s="40">
        <v>-219.76363636363635</v>
      </c>
      <c r="CF256" s="65"/>
      <c r="CG256" s="40">
        <v>-123.56363636363642</v>
      </c>
      <c r="CH256" s="40">
        <v>-238.76363636363635</v>
      </c>
      <c r="CI256" s="40">
        <v>-296.36363636363637</v>
      </c>
      <c r="CJ256" s="40">
        <v>-169.36363636363637</v>
      </c>
      <c r="CK256" s="40">
        <v>-169.36363636363637</v>
      </c>
    </row>
    <row r="257" spans="1:89" s="2" customFormat="1">
      <c r="A257" s="196" t="s">
        <v>957</v>
      </c>
      <c r="B257" s="211" t="s">
        <v>673</v>
      </c>
      <c r="C257" s="211" t="s">
        <v>626</v>
      </c>
      <c r="D257" s="41">
        <v>567</v>
      </c>
      <c r="E257" s="41">
        <v>0</v>
      </c>
      <c r="F257" s="22" t="s">
        <v>924</v>
      </c>
      <c r="G257" s="40">
        <v>30</v>
      </c>
      <c r="H257" s="388">
        <v>536.36363636363637</v>
      </c>
      <c r="I257" s="321"/>
      <c r="J257" s="40" t="s">
        <v>3</v>
      </c>
      <c r="K257" s="36" t="s">
        <v>3</v>
      </c>
      <c r="L257" s="37"/>
      <c r="M257" s="35">
        <v>169</v>
      </c>
      <c r="N257" s="136">
        <v>8</v>
      </c>
      <c r="O257" s="35">
        <v>19</v>
      </c>
      <c r="P257" s="136">
        <v>10.700000000000001</v>
      </c>
      <c r="Q257" s="37">
        <v>19</v>
      </c>
      <c r="R257" s="136">
        <v>10</v>
      </c>
      <c r="S257" s="37"/>
      <c r="T257" s="35">
        <v>0</v>
      </c>
      <c r="U257" s="136">
        <v>13.8</v>
      </c>
      <c r="V257" s="35">
        <v>0</v>
      </c>
      <c r="W257" s="136">
        <v>10</v>
      </c>
      <c r="X257" s="35">
        <v>0</v>
      </c>
      <c r="Y257" s="149">
        <v>8</v>
      </c>
      <c r="Z257" s="35">
        <v>19</v>
      </c>
      <c r="AA257" s="136">
        <v>11.600000000000001</v>
      </c>
      <c r="AB257" s="37">
        <v>19</v>
      </c>
      <c r="AC257" s="136">
        <v>11.600000000000001</v>
      </c>
      <c r="AD257" s="37"/>
      <c r="AE257" s="40">
        <v>31</v>
      </c>
      <c r="AF257" s="65"/>
      <c r="AG257" s="35">
        <v>0</v>
      </c>
      <c r="AH257" s="36">
        <v>0</v>
      </c>
      <c r="AI257" s="37"/>
      <c r="AJ257" s="35">
        <v>158</v>
      </c>
      <c r="AK257" s="36">
        <v>240</v>
      </c>
      <c r="AL257" s="35">
        <v>227</v>
      </c>
      <c r="AM257" s="36">
        <v>321.00000000000006</v>
      </c>
      <c r="AN257" s="35">
        <v>248</v>
      </c>
      <c r="AO257" s="36">
        <v>300</v>
      </c>
      <c r="AP257" s="37"/>
      <c r="AQ257" s="35">
        <v>153</v>
      </c>
      <c r="AR257" s="36">
        <v>414</v>
      </c>
      <c r="AS257" s="35">
        <v>267</v>
      </c>
      <c r="AT257" s="36">
        <v>300</v>
      </c>
      <c r="AU257" s="35">
        <v>327</v>
      </c>
      <c r="AV257" s="36">
        <v>240</v>
      </c>
      <c r="AW257" s="35">
        <v>200</v>
      </c>
      <c r="AX257" s="36">
        <v>348.00000000000006</v>
      </c>
      <c r="AY257" s="35">
        <v>200</v>
      </c>
      <c r="AZ257" s="36">
        <v>348.00000000000006</v>
      </c>
      <c r="BB257" s="40">
        <v>0</v>
      </c>
      <c r="BC257" s="65"/>
      <c r="BD257" s="35">
        <v>0</v>
      </c>
      <c r="BE257" s="36">
        <v>0</v>
      </c>
      <c r="BF257" s="37"/>
      <c r="BG257" s="415">
        <v>150</v>
      </c>
      <c r="BH257" s="353">
        <v>-3.5</v>
      </c>
      <c r="BI257" s="415">
        <v>0</v>
      </c>
      <c r="BJ257" s="353">
        <v>0</v>
      </c>
      <c r="BK257" s="415">
        <v>0</v>
      </c>
      <c r="BL257" s="353">
        <v>0</v>
      </c>
      <c r="BM257" s="416"/>
      <c r="BN257" s="415">
        <v>0</v>
      </c>
      <c r="BO257" s="353">
        <v>0</v>
      </c>
      <c r="BP257" s="415">
        <v>0</v>
      </c>
      <c r="BQ257" s="353">
        <v>0</v>
      </c>
      <c r="BR257" s="415">
        <v>0</v>
      </c>
      <c r="BS257" s="353">
        <v>-2</v>
      </c>
      <c r="BT257" s="415">
        <v>10</v>
      </c>
      <c r="BU257" s="353">
        <v>1.7000000000000011</v>
      </c>
      <c r="BV257" s="415">
        <v>10</v>
      </c>
      <c r="BW257" s="353">
        <v>1.7000000000000011</v>
      </c>
      <c r="BY257" s="80"/>
      <c r="BZ257" s="65"/>
      <c r="CA257" s="40" t="s">
        <v>3</v>
      </c>
      <c r="CB257" s="65"/>
      <c r="CC257" s="40">
        <v>-127.36363636363637</v>
      </c>
      <c r="CD257" s="40">
        <v>-196.36363636363632</v>
      </c>
      <c r="CE257" s="40">
        <v>-217.36363636363637</v>
      </c>
      <c r="CF257" s="65"/>
      <c r="CG257" s="40">
        <v>-122.36363636363637</v>
      </c>
      <c r="CH257" s="40">
        <v>-236.36363636363637</v>
      </c>
      <c r="CI257" s="40">
        <v>-296.36363636363637</v>
      </c>
      <c r="CJ257" s="40">
        <v>-169.36363636363632</v>
      </c>
      <c r="CK257" s="40">
        <v>-169.36363636363632</v>
      </c>
    </row>
    <row r="258" spans="1:89" s="2" customFormat="1">
      <c r="A258" s="196" t="s">
        <v>958</v>
      </c>
      <c r="B258" s="211" t="s">
        <v>664</v>
      </c>
      <c r="C258" s="211" t="s">
        <v>602</v>
      </c>
      <c r="D258" s="41">
        <v>298</v>
      </c>
      <c r="E258" s="41">
        <v>0</v>
      </c>
      <c r="F258" s="41" t="s">
        <v>924</v>
      </c>
      <c r="G258" s="413">
        <v>24</v>
      </c>
      <c r="H258" s="414">
        <v>247.10743801652893</v>
      </c>
      <c r="I258" s="321"/>
      <c r="J258" s="40" t="s">
        <v>3</v>
      </c>
      <c r="K258" s="36" t="s">
        <v>3</v>
      </c>
      <c r="L258" s="37"/>
      <c r="M258" s="35">
        <v>99</v>
      </c>
      <c r="N258" s="136">
        <v>5</v>
      </c>
      <c r="O258" s="35">
        <v>19</v>
      </c>
      <c r="P258" s="136">
        <v>5.2</v>
      </c>
      <c r="Q258" s="37">
        <v>19</v>
      </c>
      <c r="R258" s="136">
        <v>4.6000000000000005</v>
      </c>
      <c r="S258" s="37"/>
      <c r="T258" s="35">
        <v>0</v>
      </c>
      <c r="U258" s="136">
        <v>9.1</v>
      </c>
      <c r="V258" s="35">
        <v>0</v>
      </c>
      <c r="W258" s="136">
        <v>5.2</v>
      </c>
      <c r="X258" s="35">
        <v>0</v>
      </c>
      <c r="Y258" s="149">
        <v>4</v>
      </c>
      <c r="Z258" s="35">
        <v>0</v>
      </c>
      <c r="AA258" s="136">
        <v>5</v>
      </c>
      <c r="AB258" s="37">
        <v>0</v>
      </c>
      <c r="AC258" s="136">
        <v>5</v>
      </c>
      <c r="AD258" s="37"/>
      <c r="AE258" s="40">
        <v>51</v>
      </c>
      <c r="AF258" s="65"/>
      <c r="AG258" s="35">
        <v>0</v>
      </c>
      <c r="AH258" s="36">
        <v>0</v>
      </c>
      <c r="AI258" s="37"/>
      <c r="AJ258" s="35">
        <v>79</v>
      </c>
      <c r="AK258" s="36">
        <v>120</v>
      </c>
      <c r="AL258" s="35">
        <v>154</v>
      </c>
      <c r="AM258" s="36">
        <v>124.80000000000001</v>
      </c>
      <c r="AN258" s="37">
        <v>169</v>
      </c>
      <c r="AO258" s="36">
        <v>110.4</v>
      </c>
      <c r="AP258" s="37"/>
      <c r="AQ258" s="35">
        <v>80</v>
      </c>
      <c r="AR258" s="36">
        <v>218.39999999999998</v>
      </c>
      <c r="AS258" s="35">
        <v>173</v>
      </c>
      <c r="AT258" s="36">
        <v>124.80000000000001</v>
      </c>
      <c r="AU258" s="37">
        <v>202</v>
      </c>
      <c r="AV258" s="36">
        <v>96</v>
      </c>
      <c r="AW258" s="37">
        <v>178</v>
      </c>
      <c r="AX258" s="36">
        <v>120</v>
      </c>
      <c r="AY258" s="37">
        <v>178</v>
      </c>
      <c r="AZ258" s="36">
        <v>120</v>
      </c>
      <c r="BB258" s="40">
        <v>0</v>
      </c>
      <c r="BC258" s="65"/>
      <c r="BD258" s="35">
        <v>0</v>
      </c>
      <c r="BE258" s="36">
        <v>0</v>
      </c>
      <c r="BF258" s="37"/>
      <c r="BG258" s="415">
        <v>80</v>
      </c>
      <c r="BH258" s="353">
        <v>-1.2000000000000002</v>
      </c>
      <c r="BI258" s="415">
        <v>0</v>
      </c>
      <c r="BJ258" s="353">
        <v>0</v>
      </c>
      <c r="BK258" s="415">
        <v>0</v>
      </c>
      <c r="BL258" s="353">
        <v>0</v>
      </c>
      <c r="BM258" s="416"/>
      <c r="BN258" s="415">
        <v>0</v>
      </c>
      <c r="BO258" s="353">
        <v>0</v>
      </c>
      <c r="BP258" s="415">
        <v>0</v>
      </c>
      <c r="BQ258" s="353">
        <v>0</v>
      </c>
      <c r="BR258" s="415">
        <v>0</v>
      </c>
      <c r="BS258" s="353">
        <v>-1.2000000000000002</v>
      </c>
      <c r="BT258" s="415">
        <v>0</v>
      </c>
      <c r="BU258" s="353">
        <v>0</v>
      </c>
      <c r="BV258" s="415">
        <v>0</v>
      </c>
      <c r="BW258" s="353">
        <v>0</v>
      </c>
      <c r="BY258" s="80"/>
      <c r="BZ258" s="65"/>
      <c r="CA258" s="40" t="s">
        <v>3</v>
      </c>
      <c r="CB258" s="65"/>
      <c r="CC258" s="40">
        <v>-28.107438016528931</v>
      </c>
      <c r="CD258" s="40">
        <v>-103.30743801652892</v>
      </c>
      <c r="CE258" s="40">
        <v>-117.70743801652893</v>
      </c>
      <c r="CF258" s="65"/>
      <c r="CG258" s="40">
        <v>-28.707438016528954</v>
      </c>
      <c r="CH258" s="40">
        <v>-122.30743801652892</v>
      </c>
      <c r="CI258" s="40">
        <v>-151.10743801652893</v>
      </c>
      <c r="CJ258" s="40">
        <v>-127.10743801652893</v>
      </c>
      <c r="CK258" s="40">
        <v>-127.10743801652893</v>
      </c>
    </row>
    <row r="259" spans="1:89" s="2" customFormat="1">
      <c r="A259" s="196" t="s">
        <v>959</v>
      </c>
      <c r="B259" s="211" t="s">
        <v>664</v>
      </c>
      <c r="C259" s="211" t="s">
        <v>602</v>
      </c>
      <c r="D259" s="41">
        <v>298</v>
      </c>
      <c r="E259" s="41">
        <v>0</v>
      </c>
      <c r="F259" s="22" t="s">
        <v>924</v>
      </c>
      <c r="G259" s="40">
        <v>30</v>
      </c>
      <c r="H259" s="388">
        <v>247.10743801652893</v>
      </c>
      <c r="I259" s="321"/>
      <c r="J259" s="40" t="s">
        <v>3</v>
      </c>
      <c r="K259" s="36" t="s">
        <v>3</v>
      </c>
      <c r="L259" s="37"/>
      <c r="M259" s="35">
        <v>99</v>
      </c>
      <c r="N259" s="136">
        <v>4</v>
      </c>
      <c r="O259" s="35">
        <v>19</v>
      </c>
      <c r="P259" s="136">
        <v>4.2</v>
      </c>
      <c r="Q259" s="37">
        <v>19</v>
      </c>
      <c r="R259" s="136">
        <v>3.7</v>
      </c>
      <c r="S259" s="37"/>
      <c r="T259" s="35">
        <v>0</v>
      </c>
      <c r="U259" s="136">
        <v>7.3000000000000007</v>
      </c>
      <c r="V259" s="35">
        <v>0</v>
      </c>
      <c r="W259" s="136">
        <v>4.2</v>
      </c>
      <c r="X259" s="35">
        <v>0</v>
      </c>
      <c r="Y259" s="149">
        <v>3.2</v>
      </c>
      <c r="Z259" s="35">
        <v>0</v>
      </c>
      <c r="AA259" s="136">
        <v>4</v>
      </c>
      <c r="AB259" s="37">
        <v>0</v>
      </c>
      <c r="AC259" s="136">
        <v>4</v>
      </c>
      <c r="AD259" s="37"/>
      <c r="AE259" s="40">
        <v>51</v>
      </c>
      <c r="AF259" s="65"/>
      <c r="AG259" s="35">
        <v>0</v>
      </c>
      <c r="AH259" s="36">
        <v>0</v>
      </c>
      <c r="AI259" s="37"/>
      <c r="AJ259" s="35">
        <v>79</v>
      </c>
      <c r="AK259" s="36">
        <v>120</v>
      </c>
      <c r="AL259" s="35">
        <v>153</v>
      </c>
      <c r="AM259" s="36">
        <v>126</v>
      </c>
      <c r="AN259" s="35">
        <v>168</v>
      </c>
      <c r="AO259" s="36">
        <v>111</v>
      </c>
      <c r="AP259" s="37"/>
      <c r="AQ259" s="35">
        <v>79</v>
      </c>
      <c r="AR259" s="36">
        <v>219.00000000000003</v>
      </c>
      <c r="AS259" s="35">
        <v>172</v>
      </c>
      <c r="AT259" s="36">
        <v>126</v>
      </c>
      <c r="AU259" s="35">
        <v>202</v>
      </c>
      <c r="AV259" s="36">
        <v>96</v>
      </c>
      <c r="AW259" s="35">
        <v>178</v>
      </c>
      <c r="AX259" s="36">
        <v>120</v>
      </c>
      <c r="AY259" s="35">
        <v>178</v>
      </c>
      <c r="AZ259" s="36">
        <v>120</v>
      </c>
      <c r="BB259" s="40">
        <v>0</v>
      </c>
      <c r="BC259" s="65"/>
      <c r="BD259" s="35">
        <v>0</v>
      </c>
      <c r="BE259" s="36">
        <v>0</v>
      </c>
      <c r="BF259" s="37"/>
      <c r="BG259" s="415">
        <v>80</v>
      </c>
      <c r="BH259" s="353">
        <v>-1</v>
      </c>
      <c r="BI259" s="415">
        <v>0</v>
      </c>
      <c r="BJ259" s="353">
        <v>0</v>
      </c>
      <c r="BK259" s="415">
        <v>0</v>
      </c>
      <c r="BL259" s="353">
        <v>0</v>
      </c>
      <c r="BM259" s="416"/>
      <c r="BN259" s="415">
        <v>0</v>
      </c>
      <c r="BO259" s="353">
        <v>0</v>
      </c>
      <c r="BP259" s="415">
        <v>0</v>
      </c>
      <c r="BQ259" s="353">
        <v>0</v>
      </c>
      <c r="BR259" s="415">
        <v>0</v>
      </c>
      <c r="BS259" s="353">
        <v>-1</v>
      </c>
      <c r="BT259" s="415">
        <v>0</v>
      </c>
      <c r="BU259" s="353">
        <v>0</v>
      </c>
      <c r="BV259" s="415">
        <v>0</v>
      </c>
      <c r="BW259" s="353">
        <v>0</v>
      </c>
      <c r="BY259" s="80"/>
      <c r="BZ259" s="65"/>
      <c r="CA259" s="40" t="s">
        <v>3</v>
      </c>
      <c r="CB259" s="65"/>
      <c r="CC259" s="40">
        <v>-28.107438016528931</v>
      </c>
      <c r="CD259" s="40">
        <v>-102.10743801652893</v>
      </c>
      <c r="CE259" s="40">
        <v>-117.10743801652893</v>
      </c>
      <c r="CF259" s="65"/>
      <c r="CG259" s="40">
        <v>-28.107438016528903</v>
      </c>
      <c r="CH259" s="40">
        <v>-121.10743801652893</v>
      </c>
      <c r="CI259" s="40">
        <v>-151.10743801652893</v>
      </c>
      <c r="CJ259" s="40">
        <v>-127.10743801652893</v>
      </c>
      <c r="CK259" s="40">
        <v>-127.10743801652893</v>
      </c>
    </row>
    <row r="260" spans="1:89" s="2" customFormat="1">
      <c r="A260" s="196" t="s">
        <v>960</v>
      </c>
      <c r="B260" s="211" t="s">
        <v>664</v>
      </c>
      <c r="C260" s="211" t="s">
        <v>609</v>
      </c>
      <c r="D260" s="41">
        <v>445</v>
      </c>
      <c r="E260" s="41">
        <v>0</v>
      </c>
      <c r="F260" s="41" t="s">
        <v>924</v>
      </c>
      <c r="G260" s="413">
        <v>24</v>
      </c>
      <c r="H260" s="414">
        <v>371.07438016528926</v>
      </c>
      <c r="I260" s="321"/>
      <c r="J260" s="40" t="s">
        <v>3</v>
      </c>
      <c r="K260" s="36" t="s">
        <v>3</v>
      </c>
      <c r="L260" s="37"/>
      <c r="M260" s="35">
        <v>149</v>
      </c>
      <c r="N260" s="136">
        <v>9.1</v>
      </c>
      <c r="O260" s="35">
        <v>19</v>
      </c>
      <c r="P260" s="136">
        <v>11.8</v>
      </c>
      <c r="Q260" s="37">
        <v>19</v>
      </c>
      <c r="R260" s="136">
        <v>10.8</v>
      </c>
      <c r="S260" s="37"/>
      <c r="T260" s="35">
        <v>0</v>
      </c>
      <c r="U260" s="136">
        <v>15.3</v>
      </c>
      <c r="V260" s="35">
        <v>0</v>
      </c>
      <c r="W260" s="136">
        <v>10.4</v>
      </c>
      <c r="X260" s="35">
        <v>0</v>
      </c>
      <c r="Y260" s="149">
        <v>8</v>
      </c>
      <c r="Z260" s="35">
        <v>0</v>
      </c>
      <c r="AA260" s="136">
        <v>8</v>
      </c>
      <c r="AB260" s="37">
        <v>0</v>
      </c>
      <c r="AC260" s="136">
        <v>8</v>
      </c>
      <c r="AD260" s="37"/>
      <c r="AE260" s="40">
        <v>74</v>
      </c>
      <c r="AF260" s="65"/>
      <c r="AG260" s="35">
        <v>0</v>
      </c>
      <c r="AH260" s="36">
        <v>0</v>
      </c>
      <c r="AI260" s="37"/>
      <c r="AJ260" s="35">
        <v>78</v>
      </c>
      <c r="AK260" s="36">
        <v>218.39999999999998</v>
      </c>
      <c r="AL260" s="35">
        <v>143</v>
      </c>
      <c r="AM260" s="36">
        <v>283.20000000000005</v>
      </c>
      <c r="AN260" s="37">
        <v>167</v>
      </c>
      <c r="AO260" s="36">
        <v>259.20000000000005</v>
      </c>
      <c r="AP260" s="37"/>
      <c r="AQ260" s="35">
        <v>78</v>
      </c>
      <c r="AR260" s="36">
        <v>367.20000000000005</v>
      </c>
      <c r="AS260" s="35">
        <v>195</v>
      </c>
      <c r="AT260" s="36">
        <v>249.60000000000002</v>
      </c>
      <c r="AU260" s="37">
        <v>253</v>
      </c>
      <c r="AV260" s="36">
        <v>192</v>
      </c>
      <c r="AW260" s="37">
        <v>253</v>
      </c>
      <c r="AX260" s="36">
        <v>192</v>
      </c>
      <c r="AY260" s="37">
        <v>253</v>
      </c>
      <c r="AZ260" s="36">
        <v>192</v>
      </c>
      <c r="BB260" s="40">
        <v>0</v>
      </c>
      <c r="BC260" s="65"/>
      <c r="BD260" s="35">
        <v>0</v>
      </c>
      <c r="BE260" s="36">
        <v>0</v>
      </c>
      <c r="BF260" s="37"/>
      <c r="BG260" s="415">
        <v>130</v>
      </c>
      <c r="BH260" s="353">
        <v>-3.8000000000000007</v>
      </c>
      <c r="BI260" s="415">
        <v>0</v>
      </c>
      <c r="BJ260" s="353">
        <v>0</v>
      </c>
      <c r="BK260" s="415">
        <v>0</v>
      </c>
      <c r="BL260" s="353">
        <v>0</v>
      </c>
      <c r="BM260" s="416"/>
      <c r="BN260" s="415">
        <v>0</v>
      </c>
      <c r="BO260" s="353">
        <v>0</v>
      </c>
      <c r="BP260" s="415">
        <v>0</v>
      </c>
      <c r="BQ260" s="353">
        <v>0</v>
      </c>
      <c r="BR260" s="415">
        <v>0</v>
      </c>
      <c r="BS260" s="353">
        <v>-2.4000000000000004</v>
      </c>
      <c r="BT260" s="415">
        <v>0</v>
      </c>
      <c r="BU260" s="353">
        <v>-2.4000000000000004</v>
      </c>
      <c r="BV260" s="415">
        <v>0</v>
      </c>
      <c r="BW260" s="353">
        <v>-2.4000000000000004</v>
      </c>
      <c r="BY260" s="80"/>
      <c r="BZ260" s="65"/>
      <c r="CA260" s="40" t="s">
        <v>3</v>
      </c>
      <c r="CB260" s="65"/>
      <c r="CC260" s="40">
        <v>-3.6743801652892785</v>
      </c>
      <c r="CD260" s="40">
        <v>-68.87438016528921</v>
      </c>
      <c r="CE260" s="40">
        <v>-92.87438016528921</v>
      </c>
      <c r="CF260" s="65"/>
      <c r="CG260" s="40">
        <v>-3.8743801652892103</v>
      </c>
      <c r="CH260" s="40">
        <v>-121.47438016528923</v>
      </c>
      <c r="CI260" s="40">
        <v>-179.07438016528926</v>
      </c>
      <c r="CJ260" s="40">
        <v>-179.07438016528926</v>
      </c>
      <c r="CK260" s="40">
        <v>-179.07438016528926</v>
      </c>
    </row>
    <row r="261" spans="1:89" s="2" customFormat="1">
      <c r="A261" s="196" t="s">
        <v>961</v>
      </c>
      <c r="B261" s="211" t="s">
        <v>664</v>
      </c>
      <c r="C261" s="211" t="s">
        <v>609</v>
      </c>
      <c r="D261" s="41">
        <v>445</v>
      </c>
      <c r="E261" s="41">
        <v>0</v>
      </c>
      <c r="F261" s="22" t="s">
        <v>924</v>
      </c>
      <c r="G261" s="40">
        <v>30</v>
      </c>
      <c r="H261" s="388">
        <v>371.07438016528926</v>
      </c>
      <c r="I261" s="321"/>
      <c r="J261" s="40" t="s">
        <v>3</v>
      </c>
      <c r="K261" s="36" t="s">
        <v>3</v>
      </c>
      <c r="L261" s="37"/>
      <c r="M261" s="35">
        <v>149</v>
      </c>
      <c r="N261" s="136">
        <v>7.3000000000000007</v>
      </c>
      <c r="O261" s="35">
        <v>19</v>
      </c>
      <c r="P261" s="136">
        <v>9.5</v>
      </c>
      <c r="Q261" s="37">
        <v>19</v>
      </c>
      <c r="R261" s="136">
        <v>8.7000000000000011</v>
      </c>
      <c r="S261" s="37"/>
      <c r="T261" s="35">
        <v>0</v>
      </c>
      <c r="U261" s="136">
        <v>12.3</v>
      </c>
      <c r="V261" s="35">
        <v>0</v>
      </c>
      <c r="W261" s="136">
        <v>8.4</v>
      </c>
      <c r="X261" s="35">
        <v>0</v>
      </c>
      <c r="Y261" s="149">
        <v>6.4</v>
      </c>
      <c r="Z261" s="35">
        <v>0</v>
      </c>
      <c r="AA261" s="136">
        <v>6.4</v>
      </c>
      <c r="AB261" s="37">
        <v>0</v>
      </c>
      <c r="AC261" s="136">
        <v>6.4</v>
      </c>
      <c r="AD261" s="37"/>
      <c r="AE261" s="40">
        <v>74</v>
      </c>
      <c r="AF261" s="65"/>
      <c r="AG261" s="35">
        <v>0</v>
      </c>
      <c r="AH261" s="36">
        <v>0</v>
      </c>
      <c r="AI261" s="37"/>
      <c r="AJ261" s="35">
        <v>77</v>
      </c>
      <c r="AK261" s="36">
        <v>219.00000000000003</v>
      </c>
      <c r="AL261" s="35">
        <v>141</v>
      </c>
      <c r="AM261" s="36">
        <v>285</v>
      </c>
      <c r="AN261" s="35">
        <v>165</v>
      </c>
      <c r="AO261" s="36">
        <v>261.00000000000006</v>
      </c>
      <c r="AP261" s="37"/>
      <c r="AQ261" s="35">
        <v>76</v>
      </c>
      <c r="AR261" s="36">
        <v>369</v>
      </c>
      <c r="AS261" s="35">
        <v>193</v>
      </c>
      <c r="AT261" s="36">
        <v>252</v>
      </c>
      <c r="AU261" s="35">
        <v>253</v>
      </c>
      <c r="AV261" s="36">
        <v>192</v>
      </c>
      <c r="AW261" s="35">
        <v>253</v>
      </c>
      <c r="AX261" s="36">
        <v>192</v>
      </c>
      <c r="AY261" s="35">
        <v>253</v>
      </c>
      <c r="AZ261" s="36">
        <v>192</v>
      </c>
      <c r="BB261" s="40">
        <v>0</v>
      </c>
      <c r="BC261" s="65"/>
      <c r="BD261" s="35">
        <v>0</v>
      </c>
      <c r="BE261" s="36">
        <v>0</v>
      </c>
      <c r="BF261" s="37"/>
      <c r="BG261" s="415">
        <v>130</v>
      </c>
      <c r="BH261" s="353">
        <v>-3.0999999999999996</v>
      </c>
      <c r="BI261" s="415">
        <v>0</v>
      </c>
      <c r="BJ261" s="353">
        <v>0</v>
      </c>
      <c r="BK261" s="415">
        <v>0</v>
      </c>
      <c r="BL261" s="353">
        <v>0</v>
      </c>
      <c r="BM261" s="416"/>
      <c r="BN261" s="415">
        <v>0</v>
      </c>
      <c r="BO261" s="353">
        <v>0</v>
      </c>
      <c r="BP261" s="415">
        <v>0</v>
      </c>
      <c r="BQ261" s="353">
        <v>0</v>
      </c>
      <c r="BR261" s="415">
        <v>0</v>
      </c>
      <c r="BS261" s="353">
        <v>-2</v>
      </c>
      <c r="BT261" s="415">
        <v>0</v>
      </c>
      <c r="BU261" s="353">
        <v>-1.9000000000000004</v>
      </c>
      <c r="BV261" s="415">
        <v>0</v>
      </c>
      <c r="BW261" s="353">
        <v>-1.9000000000000004</v>
      </c>
      <c r="BY261" s="80"/>
      <c r="BZ261" s="65"/>
      <c r="CA261" s="40" t="s">
        <v>3</v>
      </c>
      <c r="CB261" s="65"/>
      <c r="CC261" s="40">
        <v>-3.0743801652892557</v>
      </c>
      <c r="CD261" s="40">
        <v>-67.074380165289256</v>
      </c>
      <c r="CE261" s="40">
        <v>-91.074380165289199</v>
      </c>
      <c r="CF261" s="65"/>
      <c r="CG261" s="40">
        <v>-2.0743801652892557</v>
      </c>
      <c r="CH261" s="40">
        <v>-119.07438016528926</v>
      </c>
      <c r="CI261" s="40">
        <v>-179.07438016528926</v>
      </c>
      <c r="CJ261" s="40">
        <v>-179.07438016528926</v>
      </c>
      <c r="CK261" s="40">
        <v>-179.07438016528926</v>
      </c>
    </row>
    <row r="262" spans="1:89" s="2" customFormat="1">
      <c r="A262" s="196" t="s">
        <v>962</v>
      </c>
      <c r="B262" s="211" t="s">
        <v>664</v>
      </c>
      <c r="C262" s="211" t="s">
        <v>603</v>
      </c>
      <c r="D262" s="41">
        <v>577</v>
      </c>
      <c r="E262" s="41">
        <v>0</v>
      </c>
      <c r="F262" s="41" t="s">
        <v>924</v>
      </c>
      <c r="G262" s="413">
        <v>24</v>
      </c>
      <c r="H262" s="414">
        <v>495.04132231404958</v>
      </c>
      <c r="I262" s="321"/>
      <c r="J262" s="40" t="s">
        <v>3</v>
      </c>
      <c r="K262" s="36" t="s">
        <v>3</v>
      </c>
      <c r="L262" s="37"/>
      <c r="M262" s="35">
        <v>219</v>
      </c>
      <c r="N262" s="136">
        <v>8.9</v>
      </c>
      <c r="O262" s="35">
        <v>139</v>
      </c>
      <c r="P262" s="136">
        <v>9.3000000000000007</v>
      </c>
      <c r="Q262" s="37">
        <v>139</v>
      </c>
      <c r="R262" s="136">
        <v>8.7000000000000011</v>
      </c>
      <c r="S262" s="37"/>
      <c r="T262" s="35">
        <v>19</v>
      </c>
      <c r="U262" s="136">
        <v>17.400000000000002</v>
      </c>
      <c r="V262" s="35">
        <v>19</v>
      </c>
      <c r="W262" s="136">
        <v>13</v>
      </c>
      <c r="X262" s="35">
        <v>0</v>
      </c>
      <c r="Y262" s="149">
        <v>13</v>
      </c>
      <c r="Z262" s="35">
        <v>0</v>
      </c>
      <c r="AA262" s="136">
        <v>13</v>
      </c>
      <c r="AB262" s="37">
        <v>0</v>
      </c>
      <c r="AC262" s="136">
        <v>13</v>
      </c>
      <c r="AD262" s="37"/>
      <c r="AE262" s="40">
        <v>82</v>
      </c>
      <c r="AF262" s="65"/>
      <c r="AG262" s="35">
        <v>0</v>
      </c>
      <c r="AH262" s="36">
        <v>0</v>
      </c>
      <c r="AI262" s="37"/>
      <c r="AJ262" s="35">
        <v>144</v>
      </c>
      <c r="AK262" s="36">
        <v>213.60000000000002</v>
      </c>
      <c r="AL262" s="35">
        <v>215</v>
      </c>
      <c r="AM262" s="36">
        <v>223.20000000000002</v>
      </c>
      <c r="AN262" s="37">
        <v>229</v>
      </c>
      <c r="AO262" s="36">
        <v>208.8</v>
      </c>
      <c r="AP262" s="37"/>
      <c r="AQ262" s="35">
        <v>140</v>
      </c>
      <c r="AR262" s="36">
        <v>417.6</v>
      </c>
      <c r="AS262" s="35">
        <v>246</v>
      </c>
      <c r="AT262" s="36">
        <v>312</v>
      </c>
      <c r="AU262" s="37">
        <v>265</v>
      </c>
      <c r="AV262" s="36">
        <v>312</v>
      </c>
      <c r="AW262" s="37">
        <v>265</v>
      </c>
      <c r="AX262" s="36">
        <v>312</v>
      </c>
      <c r="AY262" s="37">
        <v>265</v>
      </c>
      <c r="AZ262" s="36">
        <v>312</v>
      </c>
      <c r="BB262" s="40">
        <v>0</v>
      </c>
      <c r="BC262" s="65"/>
      <c r="BD262" s="35">
        <v>0</v>
      </c>
      <c r="BE262" s="36">
        <v>0</v>
      </c>
      <c r="BF262" s="37"/>
      <c r="BG262" s="415">
        <v>80</v>
      </c>
      <c r="BH262" s="353">
        <v>-1.5</v>
      </c>
      <c r="BI262" s="415">
        <v>0</v>
      </c>
      <c r="BJ262" s="353">
        <v>0</v>
      </c>
      <c r="BK262" s="415">
        <v>0</v>
      </c>
      <c r="BL262" s="353">
        <v>0</v>
      </c>
      <c r="BM262" s="416"/>
      <c r="BN262" s="415">
        <v>0</v>
      </c>
      <c r="BO262" s="353">
        <v>0</v>
      </c>
      <c r="BP262" s="415">
        <v>0</v>
      </c>
      <c r="BQ262" s="353">
        <v>0.59999999999999964</v>
      </c>
      <c r="BR262" s="415">
        <v>-19</v>
      </c>
      <c r="BS262" s="353">
        <v>0.59999999999999964</v>
      </c>
      <c r="BT262" s="415">
        <v>0</v>
      </c>
      <c r="BU262" s="353">
        <v>-0.80000000000000071</v>
      </c>
      <c r="BV262" s="415">
        <v>0</v>
      </c>
      <c r="BW262" s="353">
        <v>-0.80000000000000071</v>
      </c>
      <c r="BY262" s="80"/>
      <c r="BZ262" s="65"/>
      <c r="CA262" s="40" t="s">
        <v>3</v>
      </c>
      <c r="CB262" s="65"/>
      <c r="CC262" s="40">
        <v>-62.441322314049557</v>
      </c>
      <c r="CD262" s="40">
        <v>-132.84132231404953</v>
      </c>
      <c r="CE262" s="40">
        <v>-147.24132231404957</v>
      </c>
      <c r="CF262" s="65"/>
      <c r="CG262" s="40">
        <v>-58.441322314049557</v>
      </c>
      <c r="CH262" s="40">
        <v>-164.04132231404958</v>
      </c>
      <c r="CI262" s="40">
        <v>-183.04132231404958</v>
      </c>
      <c r="CJ262" s="40">
        <v>-183.04132231404958</v>
      </c>
      <c r="CK262" s="40">
        <v>-183.04132231404958</v>
      </c>
    </row>
    <row r="263" spans="1:89" s="2" customFormat="1">
      <c r="A263" s="196" t="s">
        <v>963</v>
      </c>
      <c r="B263" s="211" t="s">
        <v>664</v>
      </c>
      <c r="C263" s="211" t="s">
        <v>603</v>
      </c>
      <c r="D263" s="41">
        <v>577</v>
      </c>
      <c r="E263" s="41">
        <v>0</v>
      </c>
      <c r="F263" s="22" t="s">
        <v>924</v>
      </c>
      <c r="G263" s="40">
        <v>30</v>
      </c>
      <c r="H263" s="388">
        <v>495.04132231404958</v>
      </c>
      <c r="I263" s="321"/>
      <c r="J263" s="40" t="s">
        <v>3</v>
      </c>
      <c r="K263" s="36" t="s">
        <v>3</v>
      </c>
      <c r="L263" s="37"/>
      <c r="M263" s="35">
        <v>219</v>
      </c>
      <c r="N263" s="136">
        <v>7.2</v>
      </c>
      <c r="O263" s="35">
        <v>139</v>
      </c>
      <c r="P263" s="136">
        <v>7.5</v>
      </c>
      <c r="Q263" s="37">
        <v>139</v>
      </c>
      <c r="R263" s="136">
        <v>7</v>
      </c>
      <c r="S263" s="37"/>
      <c r="T263" s="35">
        <v>19</v>
      </c>
      <c r="U263" s="136">
        <v>14</v>
      </c>
      <c r="V263" s="35">
        <v>19</v>
      </c>
      <c r="W263" s="136">
        <v>10.4</v>
      </c>
      <c r="X263" s="35">
        <v>0</v>
      </c>
      <c r="Y263" s="149">
        <v>10.4</v>
      </c>
      <c r="Z263" s="35">
        <v>0</v>
      </c>
      <c r="AA263" s="136">
        <v>10.4</v>
      </c>
      <c r="AB263" s="37">
        <v>0</v>
      </c>
      <c r="AC263" s="136">
        <v>10.4</v>
      </c>
      <c r="AD263" s="37"/>
      <c r="AE263" s="40">
        <v>82</v>
      </c>
      <c r="AF263" s="65"/>
      <c r="AG263" s="35">
        <v>0</v>
      </c>
      <c r="AH263" s="36">
        <v>0</v>
      </c>
      <c r="AI263" s="37"/>
      <c r="AJ263" s="35">
        <v>142</v>
      </c>
      <c r="AK263" s="36">
        <v>216</v>
      </c>
      <c r="AL263" s="35">
        <v>213</v>
      </c>
      <c r="AM263" s="36">
        <v>225</v>
      </c>
      <c r="AN263" s="35">
        <v>228</v>
      </c>
      <c r="AO263" s="36">
        <v>210</v>
      </c>
      <c r="AP263" s="37"/>
      <c r="AQ263" s="35">
        <v>138</v>
      </c>
      <c r="AR263" s="36">
        <v>420</v>
      </c>
      <c r="AS263" s="35">
        <v>246</v>
      </c>
      <c r="AT263" s="36">
        <v>312</v>
      </c>
      <c r="AU263" s="35">
        <v>265</v>
      </c>
      <c r="AV263" s="36">
        <v>312</v>
      </c>
      <c r="AW263" s="35">
        <v>265</v>
      </c>
      <c r="AX263" s="36">
        <v>312</v>
      </c>
      <c r="AY263" s="35">
        <v>265</v>
      </c>
      <c r="AZ263" s="36">
        <v>312</v>
      </c>
      <c r="BB263" s="40">
        <v>0</v>
      </c>
      <c r="BC263" s="65"/>
      <c r="BD263" s="35">
        <v>0</v>
      </c>
      <c r="BE263" s="36">
        <v>0</v>
      </c>
      <c r="BF263" s="37"/>
      <c r="BG263" s="415">
        <v>80</v>
      </c>
      <c r="BH263" s="353">
        <v>-1.2000000000000002</v>
      </c>
      <c r="BI263" s="415">
        <v>0</v>
      </c>
      <c r="BJ263" s="353">
        <v>0</v>
      </c>
      <c r="BK263" s="415">
        <v>0</v>
      </c>
      <c r="BL263" s="353">
        <v>0</v>
      </c>
      <c r="BM263" s="416"/>
      <c r="BN263" s="415">
        <v>0</v>
      </c>
      <c r="BO263" s="353">
        <v>0</v>
      </c>
      <c r="BP263" s="415">
        <v>0</v>
      </c>
      <c r="BQ263" s="353">
        <v>0.40000000000000036</v>
      </c>
      <c r="BR263" s="415">
        <v>-19</v>
      </c>
      <c r="BS263" s="353">
        <v>0.40000000000000036</v>
      </c>
      <c r="BT263" s="415">
        <v>0</v>
      </c>
      <c r="BU263" s="353">
        <v>-0.59999999999999964</v>
      </c>
      <c r="BV263" s="415">
        <v>0</v>
      </c>
      <c r="BW263" s="353">
        <v>-0.59999999999999964</v>
      </c>
      <c r="BY263" s="80"/>
      <c r="BZ263" s="65"/>
      <c r="CA263" s="40" t="s">
        <v>3</v>
      </c>
      <c r="CB263" s="65"/>
      <c r="CC263" s="40">
        <v>-60.04132231404958</v>
      </c>
      <c r="CD263" s="40">
        <v>-131.04132231404958</v>
      </c>
      <c r="CE263" s="40">
        <v>-146.04132231404958</v>
      </c>
      <c r="CF263" s="65"/>
      <c r="CG263" s="40">
        <v>-56.04132231404958</v>
      </c>
      <c r="CH263" s="40">
        <v>-164.04132231404958</v>
      </c>
      <c r="CI263" s="40">
        <v>-183.04132231404958</v>
      </c>
      <c r="CJ263" s="40">
        <v>-183.04132231404958</v>
      </c>
      <c r="CK263" s="40">
        <v>-183.04132231404958</v>
      </c>
    </row>
    <row r="264" spans="1:89" s="2" customFormat="1">
      <c r="A264" s="196" t="s">
        <v>964</v>
      </c>
      <c r="B264" s="211" t="s">
        <v>664</v>
      </c>
      <c r="C264" s="211" t="s">
        <v>604</v>
      </c>
      <c r="D264" s="41">
        <v>165</v>
      </c>
      <c r="E264" s="41">
        <v>0</v>
      </c>
      <c r="F264" s="41" t="s">
        <v>924</v>
      </c>
      <c r="G264" s="413">
        <v>24</v>
      </c>
      <c r="H264" s="414">
        <v>139.6694214876033</v>
      </c>
      <c r="I264" s="321"/>
      <c r="J264" s="40" t="s">
        <v>3</v>
      </c>
      <c r="K264" s="36" t="s">
        <v>3</v>
      </c>
      <c r="L264" s="37"/>
      <c r="M264" s="35">
        <v>29</v>
      </c>
      <c r="N264" s="136">
        <v>4.2</v>
      </c>
      <c r="O264" s="35">
        <v>0</v>
      </c>
      <c r="P264" s="136">
        <v>2.3000000000000003</v>
      </c>
      <c r="Q264" s="37">
        <v>0</v>
      </c>
      <c r="R264" s="136">
        <v>1.3</v>
      </c>
      <c r="S264" s="37"/>
      <c r="T264" s="35">
        <v>0</v>
      </c>
      <c r="U264" s="136">
        <v>5.4</v>
      </c>
      <c r="V264" s="35">
        <v>0</v>
      </c>
      <c r="W264" s="136">
        <v>1</v>
      </c>
      <c r="X264" s="35">
        <v>0</v>
      </c>
      <c r="Y264" s="149">
        <v>1</v>
      </c>
      <c r="Z264" s="35">
        <v>0</v>
      </c>
      <c r="AA264" s="136">
        <v>0.5</v>
      </c>
      <c r="AB264" s="37">
        <v>0</v>
      </c>
      <c r="AC264" s="136">
        <v>0.5</v>
      </c>
      <c r="AD264" s="37"/>
      <c r="AE264" s="40">
        <v>25</v>
      </c>
      <c r="AF264" s="65"/>
      <c r="AG264" s="35">
        <v>0</v>
      </c>
      <c r="AH264" s="36">
        <v>0</v>
      </c>
      <c r="AI264" s="37"/>
      <c r="AJ264" s="35">
        <v>35</v>
      </c>
      <c r="AK264" s="36">
        <v>100.80000000000001</v>
      </c>
      <c r="AL264" s="35">
        <v>110</v>
      </c>
      <c r="AM264" s="36">
        <v>55.2</v>
      </c>
      <c r="AN264" s="37">
        <v>134</v>
      </c>
      <c r="AO264" s="36">
        <v>31.200000000000003</v>
      </c>
      <c r="AP264" s="37"/>
      <c r="AQ264" s="35">
        <v>35</v>
      </c>
      <c r="AR264" s="36">
        <v>129.60000000000002</v>
      </c>
      <c r="AS264" s="35">
        <v>141</v>
      </c>
      <c r="AT264" s="36">
        <v>24</v>
      </c>
      <c r="AU264" s="37">
        <v>141</v>
      </c>
      <c r="AV264" s="36">
        <v>24</v>
      </c>
      <c r="AW264" s="37">
        <v>153</v>
      </c>
      <c r="AX264" s="36">
        <v>12</v>
      </c>
      <c r="AY264" s="37">
        <v>153</v>
      </c>
      <c r="AZ264" s="36">
        <v>12</v>
      </c>
      <c r="BB264" s="40">
        <v>0</v>
      </c>
      <c r="BC264" s="65"/>
      <c r="BD264" s="35">
        <v>0</v>
      </c>
      <c r="BE264" s="36">
        <v>0</v>
      </c>
      <c r="BF264" s="37"/>
      <c r="BG264" s="415">
        <v>29</v>
      </c>
      <c r="BH264" s="353">
        <v>0.79999999999999982</v>
      </c>
      <c r="BI264" s="415">
        <v>0</v>
      </c>
      <c r="BJ264" s="353">
        <v>0</v>
      </c>
      <c r="BK264" s="415">
        <v>0</v>
      </c>
      <c r="BL264" s="353">
        <v>0</v>
      </c>
      <c r="BM264" s="416"/>
      <c r="BN264" s="415">
        <v>0</v>
      </c>
      <c r="BO264" s="353">
        <v>0</v>
      </c>
      <c r="BP264" s="415">
        <v>0</v>
      </c>
      <c r="BQ264" s="353">
        <v>-2.4000000000000004</v>
      </c>
      <c r="BR264" s="415">
        <v>0</v>
      </c>
      <c r="BS264" s="353">
        <v>-2.4000000000000004</v>
      </c>
      <c r="BT264" s="415">
        <v>0</v>
      </c>
      <c r="BU264" s="353">
        <v>0</v>
      </c>
      <c r="BV264" s="415">
        <v>0</v>
      </c>
      <c r="BW264" s="353">
        <v>0</v>
      </c>
      <c r="BY264" s="80"/>
      <c r="BZ264" s="65"/>
      <c r="CA264" s="40" t="s">
        <v>3</v>
      </c>
      <c r="CB264" s="65"/>
      <c r="CC264" s="40">
        <v>-9.8694214876032902</v>
      </c>
      <c r="CD264" s="40">
        <v>-84.469421487603299</v>
      </c>
      <c r="CE264" s="40">
        <v>-108.4694214876033</v>
      </c>
      <c r="CF264" s="65"/>
      <c r="CG264" s="40">
        <v>-10.069421487603279</v>
      </c>
      <c r="CH264" s="40">
        <v>-115.6694214876033</v>
      </c>
      <c r="CI264" s="40">
        <v>-115.6694214876033</v>
      </c>
      <c r="CJ264" s="40">
        <v>-127.6694214876033</v>
      </c>
      <c r="CK264" s="40">
        <v>-127.6694214876033</v>
      </c>
    </row>
    <row r="265" spans="1:89" s="2" customFormat="1">
      <c r="A265" s="196" t="s">
        <v>1040</v>
      </c>
      <c r="B265" s="211" t="s">
        <v>675</v>
      </c>
      <c r="C265" s="211" t="s">
        <v>452</v>
      </c>
      <c r="D265" s="41">
        <v>71</v>
      </c>
      <c r="E265" s="41">
        <v>0</v>
      </c>
      <c r="F265" s="22" t="s">
        <v>1041</v>
      </c>
      <c r="G265" s="40">
        <v>24</v>
      </c>
      <c r="H265" s="388">
        <v>53.719008264462815</v>
      </c>
      <c r="I265" s="321"/>
      <c r="J265" s="40" t="s">
        <v>3</v>
      </c>
      <c r="K265" s="36" t="s">
        <v>3</v>
      </c>
      <c r="L265" s="37"/>
      <c r="M265" s="35">
        <v>0</v>
      </c>
      <c r="N265" s="136">
        <v>1.3</v>
      </c>
      <c r="O265" s="35">
        <v>0</v>
      </c>
      <c r="P265" s="136">
        <v>1.3</v>
      </c>
      <c r="Q265" s="37">
        <v>0</v>
      </c>
      <c r="R265" s="136">
        <v>1.3</v>
      </c>
      <c r="S265" s="37"/>
      <c r="T265" s="35">
        <v>0</v>
      </c>
      <c r="U265" s="136">
        <v>0.9</v>
      </c>
      <c r="V265" s="35">
        <v>0</v>
      </c>
      <c r="W265" s="136">
        <v>0.9</v>
      </c>
      <c r="X265" s="35">
        <v>0</v>
      </c>
      <c r="Y265" s="149">
        <v>0</v>
      </c>
      <c r="Z265" s="35">
        <v>0</v>
      </c>
      <c r="AA265" s="136">
        <v>0</v>
      </c>
      <c r="AB265" s="37">
        <v>0</v>
      </c>
      <c r="AC265" s="136">
        <v>0</v>
      </c>
      <c r="AD265" s="37"/>
      <c r="AE265" s="40">
        <v>17</v>
      </c>
      <c r="AF265" s="65"/>
      <c r="AG265" s="35">
        <v>0</v>
      </c>
      <c r="AH265" s="36">
        <v>0</v>
      </c>
      <c r="AI265" s="37"/>
      <c r="AJ265" s="35">
        <v>40</v>
      </c>
      <c r="AK265" s="36">
        <v>31.200000000000003</v>
      </c>
      <c r="AL265" s="35">
        <v>40</v>
      </c>
      <c r="AM265" s="36">
        <v>31.200000000000003</v>
      </c>
      <c r="AN265" s="35">
        <v>40</v>
      </c>
      <c r="AO265" s="36">
        <v>31.200000000000003</v>
      </c>
      <c r="AP265" s="37"/>
      <c r="AQ265" s="35">
        <v>49</v>
      </c>
      <c r="AR265" s="36">
        <v>21.6</v>
      </c>
      <c r="AS265" s="35">
        <v>49</v>
      </c>
      <c r="AT265" s="36">
        <v>21.6</v>
      </c>
      <c r="AU265" s="35">
        <v>71</v>
      </c>
      <c r="AV265" s="36">
        <v>0</v>
      </c>
      <c r="AW265" s="35">
        <v>71</v>
      </c>
      <c r="AX265" s="36">
        <v>0</v>
      </c>
      <c r="AY265" s="35">
        <v>71</v>
      </c>
      <c r="AZ265" s="36">
        <v>0</v>
      </c>
      <c r="BB265" s="40">
        <v>0</v>
      </c>
      <c r="BC265" s="65"/>
      <c r="BD265" s="35">
        <v>0</v>
      </c>
      <c r="BE265" s="36">
        <v>0</v>
      </c>
      <c r="BF265" s="37"/>
      <c r="BG265" s="415">
        <v>0</v>
      </c>
      <c r="BH265" s="353">
        <v>0</v>
      </c>
      <c r="BI265" s="415">
        <v>0</v>
      </c>
      <c r="BJ265" s="353">
        <v>0</v>
      </c>
      <c r="BK265" s="415">
        <v>0</v>
      </c>
      <c r="BL265" s="353">
        <v>0</v>
      </c>
      <c r="BM265" s="416"/>
      <c r="BN265" s="415">
        <v>0</v>
      </c>
      <c r="BO265" s="353">
        <v>0</v>
      </c>
      <c r="BP265" s="415">
        <v>0</v>
      </c>
      <c r="BQ265" s="353">
        <v>0</v>
      </c>
      <c r="BR265" s="415">
        <v>0</v>
      </c>
      <c r="BS265" s="353">
        <v>0</v>
      </c>
      <c r="BT265" s="415">
        <v>0</v>
      </c>
      <c r="BU265" s="353">
        <v>0</v>
      </c>
      <c r="BV265" s="415">
        <v>0</v>
      </c>
      <c r="BW265" s="353">
        <v>0</v>
      </c>
      <c r="BY265" s="80"/>
      <c r="BZ265" s="65"/>
      <c r="CA265" s="40" t="s">
        <v>3</v>
      </c>
      <c r="CB265" s="65"/>
      <c r="CC265" s="40">
        <v>-22.519008264462812</v>
      </c>
      <c r="CD265" s="40">
        <v>-22.519008264462812</v>
      </c>
      <c r="CE265" s="40">
        <v>-22.519008264462812</v>
      </c>
      <c r="CF265" s="65"/>
      <c r="CG265" s="40">
        <v>-32.119008264462813</v>
      </c>
      <c r="CH265" s="40">
        <v>-32.119008264462813</v>
      </c>
      <c r="CI265" s="40">
        <v>-53.719008264462815</v>
      </c>
      <c r="CJ265" s="40">
        <v>-53.719008264462815</v>
      </c>
      <c r="CK265" s="40">
        <v>-53.719008264462815</v>
      </c>
    </row>
    <row r="266" spans="1:89" s="2" customFormat="1">
      <c r="A266" s="196" t="s">
        <v>1042</v>
      </c>
      <c r="B266" s="211" t="s">
        <v>675</v>
      </c>
      <c r="C266" s="211" t="s">
        <v>453</v>
      </c>
      <c r="D266" s="41">
        <v>49</v>
      </c>
      <c r="E266" s="41">
        <v>0</v>
      </c>
      <c r="F266" s="41" t="s">
        <v>1041</v>
      </c>
      <c r="G266" s="413">
        <v>24</v>
      </c>
      <c r="H266" s="414">
        <v>35.537190082644628</v>
      </c>
      <c r="I266" s="321"/>
      <c r="J266" s="40" t="s">
        <v>3</v>
      </c>
      <c r="K266" s="36" t="s">
        <v>3</v>
      </c>
      <c r="L266" s="37"/>
      <c r="M266" s="35">
        <v>0</v>
      </c>
      <c r="N266" s="136">
        <v>0.70000000000000007</v>
      </c>
      <c r="O266" s="35">
        <v>0</v>
      </c>
      <c r="P266" s="136">
        <v>0.70000000000000007</v>
      </c>
      <c r="Q266" s="37">
        <v>0</v>
      </c>
      <c r="R266" s="136">
        <v>0.70000000000000007</v>
      </c>
      <c r="S266" s="37"/>
      <c r="T266" s="35">
        <v>0</v>
      </c>
      <c r="U266" s="136">
        <v>0</v>
      </c>
      <c r="V266" s="35">
        <v>0</v>
      </c>
      <c r="W266" s="136">
        <v>0</v>
      </c>
      <c r="X266" s="35">
        <v>0</v>
      </c>
      <c r="Y266" s="149">
        <v>0</v>
      </c>
      <c r="Z266" s="35">
        <v>0</v>
      </c>
      <c r="AA266" s="136">
        <v>0</v>
      </c>
      <c r="AB266" s="37">
        <v>0</v>
      </c>
      <c r="AC266" s="136">
        <v>0</v>
      </c>
      <c r="AD266" s="37"/>
      <c r="AE266" s="40">
        <v>13</v>
      </c>
      <c r="AF266" s="65"/>
      <c r="AG266" s="35">
        <v>0</v>
      </c>
      <c r="AH266" s="36">
        <v>0</v>
      </c>
      <c r="AI266" s="37"/>
      <c r="AJ266" s="35">
        <v>32</v>
      </c>
      <c r="AK266" s="36">
        <v>16.8</v>
      </c>
      <c r="AL266" s="35">
        <v>32</v>
      </c>
      <c r="AM266" s="36">
        <v>16.8</v>
      </c>
      <c r="AN266" s="37">
        <v>32</v>
      </c>
      <c r="AO266" s="36">
        <v>16.8</v>
      </c>
      <c r="AP266" s="37"/>
      <c r="AQ266" s="35">
        <v>49</v>
      </c>
      <c r="AR266" s="36">
        <v>0</v>
      </c>
      <c r="AS266" s="35">
        <v>49</v>
      </c>
      <c r="AT266" s="36">
        <v>0</v>
      </c>
      <c r="AU266" s="37">
        <v>49</v>
      </c>
      <c r="AV266" s="36">
        <v>0</v>
      </c>
      <c r="AW266" s="37">
        <v>49</v>
      </c>
      <c r="AX266" s="36">
        <v>0</v>
      </c>
      <c r="AY266" s="37">
        <v>49</v>
      </c>
      <c r="AZ266" s="36">
        <v>0</v>
      </c>
      <c r="BB266" s="40">
        <v>0</v>
      </c>
      <c r="BC266" s="65"/>
      <c r="BD266" s="35">
        <v>0</v>
      </c>
      <c r="BE266" s="36">
        <v>0</v>
      </c>
      <c r="BF266" s="37"/>
      <c r="BG266" s="415">
        <v>0</v>
      </c>
      <c r="BH266" s="353">
        <v>0</v>
      </c>
      <c r="BI266" s="415">
        <v>0</v>
      </c>
      <c r="BJ266" s="353">
        <v>0</v>
      </c>
      <c r="BK266" s="415">
        <v>0</v>
      </c>
      <c r="BL266" s="353">
        <v>0</v>
      </c>
      <c r="BM266" s="416"/>
      <c r="BN266" s="415">
        <v>0</v>
      </c>
      <c r="BO266" s="353">
        <v>0</v>
      </c>
      <c r="BP266" s="415">
        <v>0</v>
      </c>
      <c r="BQ266" s="353">
        <v>0</v>
      </c>
      <c r="BR266" s="415">
        <v>0</v>
      </c>
      <c r="BS266" s="353">
        <v>0</v>
      </c>
      <c r="BT266" s="415">
        <v>0</v>
      </c>
      <c r="BU266" s="353">
        <v>0</v>
      </c>
      <c r="BV266" s="415">
        <v>0</v>
      </c>
      <c r="BW266" s="353">
        <v>0</v>
      </c>
      <c r="BY266" s="80"/>
      <c r="BZ266" s="65"/>
      <c r="CA266" s="40" t="s">
        <v>3</v>
      </c>
      <c r="CB266" s="65"/>
      <c r="CC266" s="40">
        <v>-18.737190082644627</v>
      </c>
      <c r="CD266" s="40">
        <v>-18.737190082644627</v>
      </c>
      <c r="CE266" s="40">
        <v>-18.737190082644627</v>
      </c>
      <c r="CF266" s="65"/>
      <c r="CG266" s="40">
        <v>-35.537190082644628</v>
      </c>
      <c r="CH266" s="40">
        <v>-35.537190082644628</v>
      </c>
      <c r="CI266" s="40">
        <v>-35.537190082644628</v>
      </c>
      <c r="CJ266" s="40">
        <v>-35.537190082644628</v>
      </c>
      <c r="CK266" s="40">
        <v>-35.537190082644628</v>
      </c>
    </row>
    <row r="267" spans="1:89" s="2" customFormat="1">
      <c r="A267" s="196" t="s">
        <v>1195</v>
      </c>
      <c r="B267" s="211" t="s">
        <v>55</v>
      </c>
      <c r="C267" s="211" t="s">
        <v>528</v>
      </c>
      <c r="D267" s="41">
        <v>44</v>
      </c>
      <c r="E267" s="41">
        <v>0</v>
      </c>
      <c r="F267" s="22" t="s">
        <v>1041</v>
      </c>
      <c r="G267" s="40">
        <v>24</v>
      </c>
      <c r="H267" s="388">
        <v>43.801652892561982</v>
      </c>
      <c r="I267" s="321"/>
      <c r="J267" s="40" t="s">
        <v>3</v>
      </c>
      <c r="K267" s="36" t="s">
        <v>3</v>
      </c>
      <c r="L267" s="37"/>
      <c r="M267" s="35" t="s">
        <v>3</v>
      </c>
      <c r="N267" s="136" t="s">
        <v>3</v>
      </c>
      <c r="O267" s="35" t="s">
        <v>3</v>
      </c>
      <c r="P267" s="136" t="s">
        <v>3</v>
      </c>
      <c r="Q267" s="37" t="s">
        <v>3</v>
      </c>
      <c r="R267" s="136" t="s">
        <v>3</v>
      </c>
      <c r="S267" s="37"/>
      <c r="T267" s="35">
        <v>0</v>
      </c>
      <c r="U267" s="136">
        <v>1</v>
      </c>
      <c r="V267" s="35">
        <v>0</v>
      </c>
      <c r="W267" s="136">
        <v>1</v>
      </c>
      <c r="X267" s="35">
        <v>0</v>
      </c>
      <c r="Y267" s="149">
        <v>0</v>
      </c>
      <c r="Z267" s="35">
        <v>0</v>
      </c>
      <c r="AA267" s="136">
        <v>0</v>
      </c>
      <c r="AB267" s="37">
        <v>0</v>
      </c>
      <c r="AC267" s="136">
        <v>0</v>
      </c>
      <c r="AD267" s="37"/>
      <c r="AE267" s="40">
        <v>0</v>
      </c>
      <c r="AF267" s="65"/>
      <c r="AG267" s="35">
        <v>0</v>
      </c>
      <c r="AH267" s="36">
        <v>0</v>
      </c>
      <c r="AI267" s="37"/>
      <c r="AJ267" s="35" t="s">
        <v>3</v>
      </c>
      <c r="AK267" s="36" t="s">
        <v>3</v>
      </c>
      <c r="AL267" s="35" t="s">
        <v>3</v>
      </c>
      <c r="AM267" s="36" t="s">
        <v>3</v>
      </c>
      <c r="AN267" s="35" t="s">
        <v>3</v>
      </c>
      <c r="AO267" s="36" t="s">
        <v>3</v>
      </c>
      <c r="AP267" s="37"/>
      <c r="AQ267" s="35">
        <v>20</v>
      </c>
      <c r="AR267" s="36">
        <v>24</v>
      </c>
      <c r="AS267" s="35">
        <v>20</v>
      </c>
      <c r="AT267" s="36">
        <v>24</v>
      </c>
      <c r="AU267" s="35">
        <v>44</v>
      </c>
      <c r="AV267" s="36">
        <v>0</v>
      </c>
      <c r="AW267" s="35">
        <v>44</v>
      </c>
      <c r="AX267" s="36">
        <v>0</v>
      </c>
      <c r="AY267" s="35">
        <v>44</v>
      </c>
      <c r="AZ267" s="36">
        <v>0</v>
      </c>
      <c r="BB267" s="40">
        <v>0</v>
      </c>
      <c r="BC267" s="65"/>
      <c r="BD267" s="35">
        <v>0</v>
      </c>
      <c r="BE267" s="36">
        <v>0</v>
      </c>
      <c r="BF267" s="37"/>
      <c r="BG267" s="415">
        <v>0</v>
      </c>
      <c r="BH267" s="353">
        <v>0</v>
      </c>
      <c r="BI267" s="415">
        <v>0</v>
      </c>
      <c r="BJ267" s="353">
        <v>0</v>
      </c>
      <c r="BK267" s="415">
        <v>0</v>
      </c>
      <c r="BL267" s="353">
        <v>0</v>
      </c>
      <c r="BM267" s="416"/>
      <c r="BN267" s="415">
        <v>0</v>
      </c>
      <c r="BO267" s="353">
        <v>0</v>
      </c>
      <c r="BP267" s="415">
        <v>0</v>
      </c>
      <c r="BQ267" s="353">
        <v>0</v>
      </c>
      <c r="BR267" s="415">
        <v>0</v>
      </c>
      <c r="BS267" s="353">
        <v>0</v>
      </c>
      <c r="BT267" s="415">
        <v>0</v>
      </c>
      <c r="BU267" s="353">
        <v>0</v>
      </c>
      <c r="BV267" s="415">
        <v>0</v>
      </c>
      <c r="BW267" s="353">
        <v>0</v>
      </c>
      <c r="BY267" s="80"/>
      <c r="BZ267" s="65"/>
      <c r="CA267" s="40" t="s">
        <v>3</v>
      </c>
      <c r="CB267" s="65"/>
      <c r="CC267" s="40" t="s">
        <v>3</v>
      </c>
      <c r="CD267" s="40" t="s">
        <v>3</v>
      </c>
      <c r="CE267" s="40" t="s">
        <v>3</v>
      </c>
      <c r="CF267" s="65"/>
      <c r="CG267" s="40">
        <v>-19.801652892561982</v>
      </c>
      <c r="CH267" s="40">
        <v>-19.801652892561982</v>
      </c>
      <c r="CI267" s="40">
        <v>-43.801652892561982</v>
      </c>
      <c r="CJ267" s="40">
        <v>-43.801652892561982</v>
      </c>
      <c r="CK267" s="40">
        <v>-43.801652892561982</v>
      </c>
    </row>
    <row r="268" spans="1:89" s="2" customFormat="1">
      <c r="A268" s="196" t="s">
        <v>1196</v>
      </c>
      <c r="B268" s="211" t="s">
        <v>55</v>
      </c>
      <c r="C268" s="211" t="s">
        <v>529</v>
      </c>
      <c r="D268" s="41">
        <v>77</v>
      </c>
      <c r="E268" s="41">
        <v>0</v>
      </c>
      <c r="F268" s="41" t="s">
        <v>1041</v>
      </c>
      <c r="G268" s="413">
        <v>24</v>
      </c>
      <c r="H268" s="414">
        <v>53.719008264462815</v>
      </c>
      <c r="I268" s="321"/>
      <c r="J268" s="40" t="s">
        <v>3</v>
      </c>
      <c r="K268" s="36" t="s">
        <v>3</v>
      </c>
      <c r="L268" s="37"/>
      <c r="M268" s="35" t="s">
        <v>3</v>
      </c>
      <c r="N268" s="136" t="s">
        <v>3</v>
      </c>
      <c r="O268" s="35" t="s">
        <v>3</v>
      </c>
      <c r="P268" s="136" t="s">
        <v>3</v>
      </c>
      <c r="Q268" s="37" t="s">
        <v>3</v>
      </c>
      <c r="R268" s="136" t="s">
        <v>3</v>
      </c>
      <c r="S268" s="37"/>
      <c r="T268" s="35">
        <v>0</v>
      </c>
      <c r="U268" s="136">
        <v>1.3</v>
      </c>
      <c r="V268" s="35">
        <v>0</v>
      </c>
      <c r="W268" s="136">
        <v>1.3</v>
      </c>
      <c r="X268" s="35">
        <v>0</v>
      </c>
      <c r="Y268" s="149">
        <v>0</v>
      </c>
      <c r="Z268" s="35">
        <v>0</v>
      </c>
      <c r="AA268" s="136">
        <v>0</v>
      </c>
      <c r="AB268" s="37">
        <v>0</v>
      </c>
      <c r="AC268" s="136">
        <v>0</v>
      </c>
      <c r="AD268" s="37"/>
      <c r="AE268" s="40">
        <v>23</v>
      </c>
      <c r="AF268" s="65"/>
      <c r="AG268" s="35">
        <v>0</v>
      </c>
      <c r="AH268" s="36">
        <v>0</v>
      </c>
      <c r="AI268" s="37"/>
      <c r="AJ268" s="35" t="s">
        <v>3</v>
      </c>
      <c r="AK268" s="36" t="s">
        <v>3</v>
      </c>
      <c r="AL268" s="35" t="s">
        <v>3</v>
      </c>
      <c r="AM268" s="36" t="s">
        <v>3</v>
      </c>
      <c r="AN268" s="37" t="s">
        <v>3</v>
      </c>
      <c r="AO268" s="36" t="s">
        <v>3</v>
      </c>
      <c r="AP268" s="37"/>
      <c r="AQ268" s="35">
        <v>46</v>
      </c>
      <c r="AR268" s="36">
        <v>31.200000000000003</v>
      </c>
      <c r="AS268" s="35">
        <v>46</v>
      </c>
      <c r="AT268" s="36">
        <v>31.200000000000003</v>
      </c>
      <c r="AU268" s="37">
        <v>77</v>
      </c>
      <c r="AV268" s="36">
        <v>0</v>
      </c>
      <c r="AW268" s="37">
        <v>77</v>
      </c>
      <c r="AX268" s="36">
        <v>0</v>
      </c>
      <c r="AY268" s="37">
        <v>77</v>
      </c>
      <c r="AZ268" s="36">
        <v>0</v>
      </c>
      <c r="BB268" s="40">
        <v>0</v>
      </c>
      <c r="BC268" s="65"/>
      <c r="BD268" s="35">
        <v>0</v>
      </c>
      <c r="BE268" s="36">
        <v>0</v>
      </c>
      <c r="BF268" s="37"/>
      <c r="BG268" s="415">
        <v>0</v>
      </c>
      <c r="BH268" s="353">
        <v>0</v>
      </c>
      <c r="BI268" s="415">
        <v>0</v>
      </c>
      <c r="BJ268" s="353">
        <v>0</v>
      </c>
      <c r="BK268" s="415">
        <v>0</v>
      </c>
      <c r="BL268" s="353">
        <v>0</v>
      </c>
      <c r="BM268" s="416"/>
      <c r="BN268" s="415">
        <v>0</v>
      </c>
      <c r="BO268" s="353">
        <v>0</v>
      </c>
      <c r="BP268" s="415">
        <v>0</v>
      </c>
      <c r="BQ268" s="353">
        <v>0</v>
      </c>
      <c r="BR268" s="415">
        <v>0</v>
      </c>
      <c r="BS268" s="353">
        <v>0</v>
      </c>
      <c r="BT268" s="415">
        <v>0</v>
      </c>
      <c r="BU268" s="353">
        <v>0</v>
      </c>
      <c r="BV268" s="415">
        <v>0</v>
      </c>
      <c r="BW268" s="353">
        <v>0</v>
      </c>
      <c r="BY268" s="80"/>
      <c r="BZ268" s="65"/>
      <c r="CA268" s="40" t="s">
        <v>3</v>
      </c>
      <c r="CB268" s="65"/>
      <c r="CC268" s="40" t="s">
        <v>3</v>
      </c>
      <c r="CD268" s="40" t="s">
        <v>3</v>
      </c>
      <c r="CE268" s="40" t="s">
        <v>3</v>
      </c>
      <c r="CF268" s="65"/>
      <c r="CG268" s="40">
        <v>-22.519008264462812</v>
      </c>
      <c r="CH268" s="40">
        <v>-22.519008264462812</v>
      </c>
      <c r="CI268" s="40">
        <v>-53.719008264462815</v>
      </c>
      <c r="CJ268" s="40">
        <v>-53.719008264462815</v>
      </c>
      <c r="CK268" s="40">
        <v>-53.719008264462815</v>
      </c>
    </row>
    <row r="269" spans="1:89" s="2" customFormat="1">
      <c r="A269" s="196" t="s">
        <v>1199</v>
      </c>
      <c r="B269" s="211" t="s">
        <v>1200</v>
      </c>
      <c r="C269" s="211" t="s">
        <v>756</v>
      </c>
      <c r="D269" s="41">
        <v>436</v>
      </c>
      <c r="E269" s="41">
        <v>0</v>
      </c>
      <c r="F269" s="139" t="s">
        <v>1214</v>
      </c>
      <c r="G269" s="40">
        <v>24</v>
      </c>
      <c r="H269" s="388">
        <v>435.53719008264466</v>
      </c>
      <c r="I269" s="321"/>
      <c r="J269" s="40" t="s">
        <v>3</v>
      </c>
      <c r="K269" s="36" t="s">
        <v>3</v>
      </c>
      <c r="L269" s="37"/>
      <c r="M269" s="35" t="s">
        <v>3</v>
      </c>
      <c r="N269" s="136" t="s">
        <v>3</v>
      </c>
      <c r="O269" s="35" t="s">
        <v>3</v>
      </c>
      <c r="P269" s="136" t="s">
        <v>3</v>
      </c>
      <c r="Q269" s="37" t="s">
        <v>3</v>
      </c>
      <c r="R269" s="136" t="s">
        <v>3</v>
      </c>
      <c r="S269" s="37"/>
      <c r="T269" s="35">
        <v>0</v>
      </c>
      <c r="U269" s="136">
        <v>15.8</v>
      </c>
      <c r="V269" s="35">
        <v>0</v>
      </c>
      <c r="W269" s="136">
        <v>14.700000000000001</v>
      </c>
      <c r="X269" s="35">
        <v>0</v>
      </c>
      <c r="Y269" s="149">
        <v>10</v>
      </c>
      <c r="Z269" s="35">
        <v>0</v>
      </c>
      <c r="AA269" s="136">
        <v>10</v>
      </c>
      <c r="AB269" s="37">
        <v>0</v>
      </c>
      <c r="AC269" s="136">
        <v>10</v>
      </c>
      <c r="AD269" s="37"/>
      <c r="AE269" s="40">
        <v>0</v>
      </c>
      <c r="AF269" s="65"/>
      <c r="AG269" s="35">
        <v>0</v>
      </c>
      <c r="AH269" s="36">
        <v>0</v>
      </c>
      <c r="AI269" s="37"/>
      <c r="AJ269" s="35" t="s">
        <v>3</v>
      </c>
      <c r="AK269" s="36" t="s">
        <v>3</v>
      </c>
      <c r="AL269" s="35" t="s">
        <v>3</v>
      </c>
      <c r="AM269" s="36" t="s">
        <v>3</v>
      </c>
      <c r="AN269" s="35" t="s">
        <v>3</v>
      </c>
      <c r="AO269" s="36" t="s">
        <v>3</v>
      </c>
      <c r="AP269" s="37"/>
      <c r="AQ269" s="35">
        <v>57</v>
      </c>
      <c r="AR269" s="36">
        <v>379.20000000000005</v>
      </c>
      <c r="AS269" s="35">
        <v>83</v>
      </c>
      <c r="AT269" s="36">
        <v>352.8</v>
      </c>
      <c r="AU269" s="35">
        <v>196</v>
      </c>
      <c r="AV269" s="36">
        <v>240</v>
      </c>
      <c r="AW269" s="35">
        <v>196</v>
      </c>
      <c r="AX269" s="36">
        <v>240</v>
      </c>
      <c r="AY269" s="35">
        <v>196</v>
      </c>
      <c r="AZ269" s="36">
        <v>240</v>
      </c>
      <c r="BB269" s="40">
        <v>0</v>
      </c>
      <c r="BC269" s="65"/>
      <c r="BD269" s="35">
        <v>0</v>
      </c>
      <c r="BE269" s="36">
        <v>0</v>
      </c>
      <c r="BF269" s="37"/>
      <c r="BG269" s="415">
        <v>0</v>
      </c>
      <c r="BH269" s="353">
        <v>0</v>
      </c>
      <c r="BI269" s="415">
        <v>0</v>
      </c>
      <c r="BJ269" s="353">
        <v>0</v>
      </c>
      <c r="BK269" s="415">
        <v>0</v>
      </c>
      <c r="BL269" s="353">
        <v>0</v>
      </c>
      <c r="BM269" s="416"/>
      <c r="BN269" s="415">
        <v>0</v>
      </c>
      <c r="BO269" s="353">
        <v>0</v>
      </c>
      <c r="BP269" s="415">
        <v>0</v>
      </c>
      <c r="BQ269" s="353">
        <v>0</v>
      </c>
      <c r="BR269" s="415">
        <v>0</v>
      </c>
      <c r="BS269" s="353">
        <v>0</v>
      </c>
      <c r="BT269" s="415">
        <v>0</v>
      </c>
      <c r="BU269" s="353">
        <v>0</v>
      </c>
      <c r="BV269" s="415">
        <v>0</v>
      </c>
      <c r="BW269" s="353">
        <v>0</v>
      </c>
      <c r="BY269" s="80"/>
      <c r="BZ269" s="65"/>
      <c r="CA269" s="40" t="s">
        <v>3</v>
      </c>
      <c r="CB269" s="65"/>
      <c r="CC269" s="40" t="s">
        <v>3</v>
      </c>
      <c r="CD269" s="40" t="s">
        <v>3</v>
      </c>
      <c r="CE269" s="40" t="s">
        <v>3</v>
      </c>
      <c r="CF269" s="65"/>
      <c r="CG269" s="40">
        <v>-56.337190082644611</v>
      </c>
      <c r="CH269" s="40">
        <v>-82.737190082644645</v>
      </c>
      <c r="CI269" s="40">
        <v>-195.53719008264466</v>
      </c>
      <c r="CJ269" s="40">
        <v>-195.53719008264466</v>
      </c>
      <c r="CK269" s="40">
        <v>-195.53719008264466</v>
      </c>
    </row>
    <row r="270" spans="1:89" s="2" customFormat="1">
      <c r="A270" s="196" t="s">
        <v>1201</v>
      </c>
      <c r="B270" s="211" t="s">
        <v>1200</v>
      </c>
      <c r="C270" s="211" t="s">
        <v>757</v>
      </c>
      <c r="D270" s="41">
        <v>43</v>
      </c>
      <c r="E270" s="41">
        <v>0</v>
      </c>
      <c r="F270" s="139" t="s">
        <v>1214</v>
      </c>
      <c r="G270" s="41">
        <v>24</v>
      </c>
      <c r="H270" s="414">
        <v>42.148760330578511</v>
      </c>
      <c r="I270" s="321"/>
      <c r="J270" s="40" t="s">
        <v>3</v>
      </c>
      <c r="K270" s="36" t="s">
        <v>3</v>
      </c>
      <c r="L270" s="37"/>
      <c r="M270" s="35" t="s">
        <v>3</v>
      </c>
      <c r="N270" s="136" t="s">
        <v>3</v>
      </c>
      <c r="O270" s="35" t="s">
        <v>3</v>
      </c>
      <c r="P270" s="136" t="s">
        <v>3</v>
      </c>
      <c r="Q270" s="37" t="s">
        <v>3</v>
      </c>
      <c r="R270" s="136" t="s">
        <v>3</v>
      </c>
      <c r="S270" s="37"/>
      <c r="T270" s="35">
        <v>0</v>
      </c>
      <c r="U270" s="136">
        <v>1</v>
      </c>
      <c r="V270" s="35">
        <v>0</v>
      </c>
      <c r="W270" s="136">
        <v>1</v>
      </c>
      <c r="X270" s="35">
        <v>0</v>
      </c>
      <c r="Y270" s="149">
        <v>0.5</v>
      </c>
      <c r="Z270" s="35">
        <v>0</v>
      </c>
      <c r="AA270" s="136">
        <v>0.5</v>
      </c>
      <c r="AB270" s="37">
        <v>0</v>
      </c>
      <c r="AC270" s="136">
        <v>0.5</v>
      </c>
      <c r="AD270" s="37"/>
      <c r="AE270" s="40">
        <v>1</v>
      </c>
      <c r="AF270" s="65"/>
      <c r="AG270" s="35">
        <v>0</v>
      </c>
      <c r="AH270" s="36">
        <v>0</v>
      </c>
      <c r="AI270" s="37"/>
      <c r="AJ270" s="35" t="s">
        <v>3</v>
      </c>
      <c r="AK270" s="36" t="s">
        <v>3</v>
      </c>
      <c r="AL270" s="35" t="s">
        <v>3</v>
      </c>
      <c r="AM270" s="36" t="s">
        <v>3</v>
      </c>
      <c r="AN270" s="37" t="s">
        <v>3</v>
      </c>
      <c r="AO270" s="36" t="s">
        <v>3</v>
      </c>
      <c r="AP270" s="37"/>
      <c r="AQ270" s="35">
        <v>19</v>
      </c>
      <c r="AR270" s="36">
        <v>24</v>
      </c>
      <c r="AS270" s="35">
        <v>19</v>
      </c>
      <c r="AT270" s="36">
        <v>24</v>
      </c>
      <c r="AU270" s="37">
        <v>31</v>
      </c>
      <c r="AV270" s="36">
        <v>12</v>
      </c>
      <c r="AW270" s="37">
        <v>31</v>
      </c>
      <c r="AX270" s="36">
        <v>12</v>
      </c>
      <c r="AY270" s="37">
        <v>31</v>
      </c>
      <c r="AZ270" s="36">
        <v>12</v>
      </c>
      <c r="BB270" s="40">
        <v>0</v>
      </c>
      <c r="BC270" s="65"/>
      <c r="BD270" s="35">
        <v>0</v>
      </c>
      <c r="BE270" s="36">
        <v>0</v>
      </c>
      <c r="BF270" s="37"/>
      <c r="BG270" s="415">
        <v>0</v>
      </c>
      <c r="BH270" s="353">
        <v>0</v>
      </c>
      <c r="BI270" s="415">
        <v>0</v>
      </c>
      <c r="BJ270" s="353">
        <v>0</v>
      </c>
      <c r="BK270" s="415">
        <v>0</v>
      </c>
      <c r="BL270" s="353">
        <v>0</v>
      </c>
      <c r="BM270" s="416"/>
      <c r="BN270" s="415">
        <v>0</v>
      </c>
      <c r="BO270" s="353">
        <v>0</v>
      </c>
      <c r="BP270" s="415">
        <v>0</v>
      </c>
      <c r="BQ270" s="353">
        <v>0</v>
      </c>
      <c r="BR270" s="415">
        <v>0</v>
      </c>
      <c r="BS270" s="353">
        <v>0</v>
      </c>
      <c r="BT270" s="415">
        <v>0</v>
      </c>
      <c r="BU270" s="353">
        <v>0</v>
      </c>
      <c r="BV270" s="415">
        <v>0</v>
      </c>
      <c r="BW270" s="353">
        <v>0</v>
      </c>
      <c r="BY270" s="80"/>
      <c r="BZ270" s="65"/>
      <c r="CA270" s="40" t="s">
        <v>3</v>
      </c>
      <c r="CB270" s="65"/>
      <c r="CC270" s="40" t="s">
        <v>3</v>
      </c>
      <c r="CD270" s="40" t="s">
        <v>3</v>
      </c>
      <c r="CE270" s="40" t="s">
        <v>3</v>
      </c>
      <c r="CF270" s="65"/>
      <c r="CG270" s="40">
        <v>-18.148760330578511</v>
      </c>
      <c r="CH270" s="40">
        <v>-18.148760330578511</v>
      </c>
      <c r="CI270" s="40">
        <v>-30.148760330578511</v>
      </c>
      <c r="CJ270" s="40">
        <v>-30.148760330578511</v>
      </c>
      <c r="CK270" s="40">
        <v>-30.148760330578511</v>
      </c>
    </row>
    <row r="271" spans="1:89" s="2" customFormat="1">
      <c r="A271" s="196" t="s">
        <v>1202</v>
      </c>
      <c r="B271" s="211" t="s">
        <v>1200</v>
      </c>
      <c r="C271" s="211" t="s">
        <v>767</v>
      </c>
      <c r="D271" s="41">
        <v>115</v>
      </c>
      <c r="E271" s="41">
        <v>5.25</v>
      </c>
      <c r="F271" s="139" t="s">
        <v>1214</v>
      </c>
      <c r="G271" s="22">
        <v>24</v>
      </c>
      <c r="H271" s="388">
        <v>114.04958677685951</v>
      </c>
      <c r="I271" s="321"/>
      <c r="J271" s="40" t="s">
        <v>3</v>
      </c>
      <c r="K271" s="36" t="s">
        <v>3</v>
      </c>
      <c r="L271" s="37"/>
      <c r="M271" s="35" t="s">
        <v>3</v>
      </c>
      <c r="N271" s="136" t="s">
        <v>3</v>
      </c>
      <c r="O271" s="35" t="s">
        <v>3</v>
      </c>
      <c r="P271" s="136" t="s">
        <v>3</v>
      </c>
      <c r="Q271" s="37" t="s">
        <v>3</v>
      </c>
      <c r="R271" s="136" t="s">
        <v>3</v>
      </c>
      <c r="S271" s="37"/>
      <c r="T271" s="35">
        <v>0</v>
      </c>
      <c r="U271" s="136">
        <v>4.6000000000000005</v>
      </c>
      <c r="V271" s="35">
        <v>0</v>
      </c>
      <c r="W271" s="136">
        <v>3.8000000000000003</v>
      </c>
      <c r="X271" s="35">
        <v>0</v>
      </c>
      <c r="Y271" s="149">
        <v>1</v>
      </c>
      <c r="Z271" s="35">
        <v>0</v>
      </c>
      <c r="AA271" s="136">
        <v>1</v>
      </c>
      <c r="AB271" s="37">
        <v>0</v>
      </c>
      <c r="AC271" s="136">
        <v>1</v>
      </c>
      <c r="AD271" s="37"/>
      <c r="AE271" s="40">
        <v>1</v>
      </c>
      <c r="AF271" s="65"/>
      <c r="AG271" s="35">
        <v>0</v>
      </c>
      <c r="AH271" s="36">
        <v>0</v>
      </c>
      <c r="AI271" s="37"/>
      <c r="AJ271" s="35" t="s">
        <v>3</v>
      </c>
      <c r="AK271" s="36" t="s">
        <v>3</v>
      </c>
      <c r="AL271" s="35" t="s">
        <v>3</v>
      </c>
      <c r="AM271" s="36" t="s">
        <v>3</v>
      </c>
      <c r="AN271" s="35" t="s">
        <v>3</v>
      </c>
      <c r="AO271" s="36" t="s">
        <v>3</v>
      </c>
      <c r="AP271" s="37"/>
      <c r="AQ271" s="35">
        <v>5</v>
      </c>
      <c r="AR271" s="36">
        <v>110.4</v>
      </c>
      <c r="AS271" s="35">
        <v>24</v>
      </c>
      <c r="AT271" s="36">
        <v>91.2</v>
      </c>
      <c r="AU271" s="35">
        <v>91</v>
      </c>
      <c r="AV271" s="36">
        <v>24</v>
      </c>
      <c r="AW271" s="35">
        <v>91</v>
      </c>
      <c r="AX271" s="36">
        <v>24</v>
      </c>
      <c r="AY271" s="35">
        <v>91</v>
      </c>
      <c r="AZ271" s="36">
        <v>24</v>
      </c>
      <c r="BB271" s="40">
        <v>0</v>
      </c>
      <c r="BC271" s="65"/>
      <c r="BD271" s="35">
        <v>0</v>
      </c>
      <c r="BE271" s="36">
        <v>0</v>
      </c>
      <c r="BF271" s="37"/>
      <c r="BG271" s="415">
        <v>0</v>
      </c>
      <c r="BH271" s="353">
        <v>0</v>
      </c>
      <c r="BI271" s="415">
        <v>0</v>
      </c>
      <c r="BJ271" s="353">
        <v>0</v>
      </c>
      <c r="BK271" s="415">
        <v>0</v>
      </c>
      <c r="BL271" s="353">
        <v>0</v>
      </c>
      <c r="BM271" s="416"/>
      <c r="BN271" s="415">
        <v>0</v>
      </c>
      <c r="BO271" s="353">
        <v>0</v>
      </c>
      <c r="BP271" s="415">
        <v>0</v>
      </c>
      <c r="BQ271" s="353">
        <v>0</v>
      </c>
      <c r="BR271" s="415">
        <v>0</v>
      </c>
      <c r="BS271" s="353">
        <v>0</v>
      </c>
      <c r="BT271" s="415">
        <v>0</v>
      </c>
      <c r="BU271" s="353">
        <v>0</v>
      </c>
      <c r="BV271" s="415">
        <v>0</v>
      </c>
      <c r="BW271" s="353">
        <v>0</v>
      </c>
      <c r="BY271" s="80"/>
      <c r="BZ271" s="65"/>
      <c r="CA271" s="40" t="s">
        <v>3</v>
      </c>
      <c r="CB271" s="65"/>
      <c r="CC271" s="40" t="s">
        <v>3</v>
      </c>
      <c r="CD271" s="40" t="s">
        <v>3</v>
      </c>
      <c r="CE271" s="40" t="s">
        <v>3</v>
      </c>
      <c r="CF271" s="65"/>
      <c r="CG271" s="40">
        <v>-3.6495867768595076</v>
      </c>
      <c r="CH271" s="40">
        <v>-22.84958677685951</v>
      </c>
      <c r="CI271" s="40">
        <v>-90.049586776859513</v>
      </c>
      <c r="CJ271" s="40">
        <v>-90.049586776859513</v>
      </c>
      <c r="CK271" s="40">
        <v>-90.049586776859513</v>
      </c>
    </row>
    <row r="272" spans="1:89" s="2" customFormat="1">
      <c r="A272" s="196" t="s">
        <v>1204</v>
      </c>
      <c r="B272" s="211" t="s">
        <v>1200</v>
      </c>
      <c r="C272" s="211" t="s">
        <v>771</v>
      </c>
      <c r="D272" s="41">
        <v>126</v>
      </c>
      <c r="E272" s="41">
        <v>0</v>
      </c>
      <c r="F272" s="139" t="s">
        <v>1214</v>
      </c>
      <c r="G272" s="22">
        <v>24</v>
      </c>
      <c r="H272" s="388">
        <v>109.91735537190083</v>
      </c>
      <c r="I272" s="321"/>
      <c r="J272" s="40" t="s">
        <v>3</v>
      </c>
      <c r="K272" s="36" t="s">
        <v>3</v>
      </c>
      <c r="L272" s="37"/>
      <c r="M272" s="35" t="s">
        <v>3</v>
      </c>
      <c r="N272" s="136" t="s">
        <v>3</v>
      </c>
      <c r="O272" s="35" t="s">
        <v>3</v>
      </c>
      <c r="P272" s="136" t="s">
        <v>3</v>
      </c>
      <c r="Q272" s="37" t="s">
        <v>3</v>
      </c>
      <c r="R272" s="136" t="s">
        <v>3</v>
      </c>
      <c r="S272" s="37"/>
      <c r="T272" s="35">
        <v>0</v>
      </c>
      <c r="U272" s="136">
        <v>4.2</v>
      </c>
      <c r="V272" s="35">
        <v>0</v>
      </c>
      <c r="W272" s="136">
        <v>3.4000000000000004</v>
      </c>
      <c r="X272" s="35">
        <v>0</v>
      </c>
      <c r="Y272" s="149">
        <v>1</v>
      </c>
      <c r="Z272" s="35">
        <v>0</v>
      </c>
      <c r="AA272" s="136">
        <v>1</v>
      </c>
      <c r="AB272" s="37">
        <v>0</v>
      </c>
      <c r="AC272" s="136">
        <v>1</v>
      </c>
      <c r="AD272" s="37"/>
      <c r="AE272" s="40">
        <v>16</v>
      </c>
      <c r="AF272" s="65"/>
      <c r="AG272" s="35">
        <v>0</v>
      </c>
      <c r="AH272" s="36">
        <v>0</v>
      </c>
      <c r="AI272" s="37"/>
      <c r="AJ272" s="35" t="s">
        <v>3</v>
      </c>
      <c r="AK272" s="36" t="s">
        <v>3</v>
      </c>
      <c r="AL272" s="35" t="s">
        <v>3</v>
      </c>
      <c r="AM272" s="36" t="s">
        <v>3</v>
      </c>
      <c r="AN272" s="37" t="s">
        <v>3</v>
      </c>
      <c r="AO272" s="36" t="s">
        <v>3</v>
      </c>
      <c r="AP272" s="37"/>
      <c r="AQ272" s="35">
        <v>25</v>
      </c>
      <c r="AR272" s="36">
        <v>100.80000000000001</v>
      </c>
      <c r="AS272" s="35">
        <v>44</v>
      </c>
      <c r="AT272" s="36">
        <v>81.600000000000009</v>
      </c>
      <c r="AU272" s="37">
        <v>102</v>
      </c>
      <c r="AV272" s="36">
        <v>24</v>
      </c>
      <c r="AW272" s="37">
        <v>102</v>
      </c>
      <c r="AX272" s="36">
        <v>24</v>
      </c>
      <c r="AY272" s="37">
        <v>102</v>
      </c>
      <c r="AZ272" s="36">
        <v>24</v>
      </c>
      <c r="BB272" s="40">
        <v>0</v>
      </c>
      <c r="BC272" s="65"/>
      <c r="BD272" s="35">
        <v>0</v>
      </c>
      <c r="BE272" s="36">
        <v>0</v>
      </c>
      <c r="BF272" s="37"/>
      <c r="BG272" s="415">
        <v>0</v>
      </c>
      <c r="BH272" s="353">
        <v>0</v>
      </c>
      <c r="BI272" s="415">
        <v>0</v>
      </c>
      <c r="BJ272" s="353">
        <v>0</v>
      </c>
      <c r="BK272" s="415">
        <v>0</v>
      </c>
      <c r="BL272" s="353">
        <v>0</v>
      </c>
      <c r="BM272" s="416"/>
      <c r="BN272" s="415">
        <v>0</v>
      </c>
      <c r="BO272" s="353">
        <v>0</v>
      </c>
      <c r="BP272" s="415">
        <v>0</v>
      </c>
      <c r="BQ272" s="353">
        <v>0</v>
      </c>
      <c r="BR272" s="415">
        <v>0</v>
      </c>
      <c r="BS272" s="353">
        <v>0</v>
      </c>
      <c r="BT272" s="415">
        <v>0</v>
      </c>
      <c r="BU272" s="353">
        <v>0</v>
      </c>
      <c r="BV272" s="415">
        <v>0</v>
      </c>
      <c r="BW272" s="353">
        <v>0</v>
      </c>
      <c r="BY272" s="80"/>
      <c r="BZ272" s="65"/>
      <c r="CA272" s="40" t="s">
        <v>3</v>
      </c>
      <c r="CB272" s="65"/>
      <c r="CC272" s="40" t="s">
        <v>3</v>
      </c>
      <c r="CD272" s="40" t="s">
        <v>3</v>
      </c>
      <c r="CE272" s="40" t="s">
        <v>3</v>
      </c>
      <c r="CF272" s="65"/>
      <c r="CG272" s="40">
        <v>-9.117355371900814</v>
      </c>
      <c r="CH272" s="40">
        <v>-28.317355371900817</v>
      </c>
      <c r="CI272" s="40">
        <v>-85.917355371900825</v>
      </c>
      <c r="CJ272" s="40">
        <v>-85.917355371900825</v>
      </c>
      <c r="CK272" s="40">
        <v>-85.917355371900825</v>
      </c>
    </row>
    <row r="273" spans="1:89" s="2" customFormat="1">
      <c r="A273" s="196" t="s">
        <v>1203</v>
      </c>
      <c r="B273" s="211" t="s">
        <v>1200</v>
      </c>
      <c r="C273" s="211" t="s">
        <v>783</v>
      </c>
      <c r="D273" s="41">
        <v>441</v>
      </c>
      <c r="E273" s="41">
        <v>0</v>
      </c>
      <c r="F273" s="139" t="s">
        <v>1214</v>
      </c>
      <c r="G273" s="41">
        <v>24</v>
      </c>
      <c r="H273" s="414">
        <v>440.49586776859508</v>
      </c>
      <c r="I273" s="321"/>
      <c r="J273" s="40" t="s">
        <v>3</v>
      </c>
      <c r="K273" s="36" t="s">
        <v>3</v>
      </c>
      <c r="L273" s="37"/>
      <c r="M273" s="35" t="s">
        <v>3</v>
      </c>
      <c r="N273" s="136" t="s">
        <v>3</v>
      </c>
      <c r="O273" s="35" t="s">
        <v>3</v>
      </c>
      <c r="P273" s="136" t="s">
        <v>3</v>
      </c>
      <c r="Q273" s="37" t="s">
        <v>3</v>
      </c>
      <c r="R273" s="136" t="s">
        <v>3</v>
      </c>
      <c r="S273" s="37"/>
      <c r="T273" s="35">
        <v>0</v>
      </c>
      <c r="U273" s="136">
        <v>16</v>
      </c>
      <c r="V273" s="35">
        <v>0</v>
      </c>
      <c r="W273" s="136">
        <v>14.9</v>
      </c>
      <c r="X273" s="35">
        <v>0</v>
      </c>
      <c r="Y273" s="149">
        <v>10</v>
      </c>
      <c r="Z273" s="35">
        <v>0</v>
      </c>
      <c r="AA273" s="136">
        <v>10</v>
      </c>
      <c r="AB273" s="37">
        <v>0</v>
      </c>
      <c r="AC273" s="136">
        <v>10</v>
      </c>
      <c r="AD273" s="37"/>
      <c r="AE273" s="40">
        <v>1</v>
      </c>
      <c r="AF273" s="65"/>
      <c r="AG273" s="35">
        <v>0</v>
      </c>
      <c r="AH273" s="36">
        <v>0</v>
      </c>
      <c r="AI273" s="37"/>
      <c r="AJ273" s="35" t="s">
        <v>3</v>
      </c>
      <c r="AK273" s="36" t="s">
        <v>3</v>
      </c>
      <c r="AL273" s="35" t="s">
        <v>3</v>
      </c>
      <c r="AM273" s="36" t="s">
        <v>3</v>
      </c>
      <c r="AN273" s="35" t="s">
        <v>3</v>
      </c>
      <c r="AO273" s="36" t="s">
        <v>3</v>
      </c>
      <c r="AP273" s="37"/>
      <c r="AQ273" s="35">
        <v>57</v>
      </c>
      <c r="AR273" s="36">
        <v>384</v>
      </c>
      <c r="AS273" s="35">
        <v>83</v>
      </c>
      <c r="AT273" s="36">
        <v>357.6</v>
      </c>
      <c r="AU273" s="35">
        <v>201</v>
      </c>
      <c r="AV273" s="36">
        <v>240</v>
      </c>
      <c r="AW273" s="35">
        <v>201</v>
      </c>
      <c r="AX273" s="36">
        <v>240</v>
      </c>
      <c r="AY273" s="35">
        <v>201</v>
      </c>
      <c r="AZ273" s="36">
        <v>240</v>
      </c>
      <c r="BB273" s="40">
        <v>0</v>
      </c>
      <c r="BC273" s="65"/>
      <c r="BD273" s="35">
        <v>0</v>
      </c>
      <c r="BE273" s="36">
        <v>0</v>
      </c>
      <c r="BF273" s="37"/>
      <c r="BG273" s="415">
        <v>0</v>
      </c>
      <c r="BH273" s="353">
        <v>0</v>
      </c>
      <c r="BI273" s="415">
        <v>0</v>
      </c>
      <c r="BJ273" s="353">
        <v>0</v>
      </c>
      <c r="BK273" s="415">
        <v>0</v>
      </c>
      <c r="BL273" s="353">
        <v>0</v>
      </c>
      <c r="BM273" s="416"/>
      <c r="BN273" s="415">
        <v>0</v>
      </c>
      <c r="BO273" s="353">
        <v>0</v>
      </c>
      <c r="BP273" s="415">
        <v>0</v>
      </c>
      <c r="BQ273" s="353">
        <v>0</v>
      </c>
      <c r="BR273" s="415">
        <v>0</v>
      </c>
      <c r="BS273" s="353">
        <v>0</v>
      </c>
      <c r="BT273" s="415">
        <v>0</v>
      </c>
      <c r="BU273" s="353">
        <v>0</v>
      </c>
      <c r="BV273" s="415">
        <v>0</v>
      </c>
      <c r="BW273" s="353">
        <v>0</v>
      </c>
      <c r="BY273" s="80"/>
      <c r="BZ273" s="65"/>
      <c r="CA273" s="40" t="s">
        <v>3</v>
      </c>
      <c r="CB273" s="65"/>
      <c r="CC273" s="40" t="s">
        <v>3</v>
      </c>
      <c r="CD273" s="40" t="s">
        <v>3</v>
      </c>
      <c r="CE273" s="40" t="s">
        <v>3</v>
      </c>
      <c r="CF273" s="65"/>
      <c r="CG273" s="40">
        <v>-56.495867768595076</v>
      </c>
      <c r="CH273" s="40">
        <v>-82.895867768595053</v>
      </c>
      <c r="CI273" s="40">
        <v>-200.49586776859508</v>
      </c>
      <c r="CJ273" s="40">
        <v>-200.49586776859508</v>
      </c>
      <c r="CK273" s="40">
        <v>-200.49586776859508</v>
      </c>
    </row>
    <row r="274" spans="1:89" s="2" customFormat="1">
      <c r="A274" s="196" t="s">
        <v>1035</v>
      </c>
      <c r="B274" s="211" t="s">
        <v>59</v>
      </c>
      <c r="C274" s="211" t="s">
        <v>739</v>
      </c>
      <c r="D274" s="41">
        <v>66</v>
      </c>
      <c r="E274" s="41">
        <v>0</v>
      </c>
      <c r="F274" s="22" t="s">
        <v>1034</v>
      </c>
      <c r="G274" s="40">
        <v>24</v>
      </c>
      <c r="H274" s="388">
        <v>56.198347107438018</v>
      </c>
      <c r="I274" s="321"/>
      <c r="J274" s="40" t="s">
        <v>3</v>
      </c>
      <c r="K274" s="36" t="s">
        <v>3</v>
      </c>
      <c r="L274" s="37"/>
      <c r="M274" s="35">
        <v>0</v>
      </c>
      <c r="N274" s="136">
        <v>1.4000000000000001</v>
      </c>
      <c r="O274" s="35">
        <v>0</v>
      </c>
      <c r="P274" s="136">
        <v>1.4000000000000001</v>
      </c>
      <c r="Q274" s="37">
        <v>0</v>
      </c>
      <c r="R274" s="136">
        <v>1.4000000000000001</v>
      </c>
      <c r="S274" s="37"/>
      <c r="T274" s="35">
        <v>0</v>
      </c>
      <c r="U274" s="136">
        <v>0</v>
      </c>
      <c r="V274" s="35">
        <v>0</v>
      </c>
      <c r="W274" s="136">
        <v>0</v>
      </c>
      <c r="X274" s="35">
        <v>0</v>
      </c>
      <c r="Y274" s="149">
        <v>0</v>
      </c>
      <c r="Z274" s="35">
        <v>0</v>
      </c>
      <c r="AA274" s="136">
        <v>0</v>
      </c>
      <c r="AB274" s="37">
        <v>0</v>
      </c>
      <c r="AC274" s="136">
        <v>0</v>
      </c>
      <c r="AD274" s="37"/>
      <c r="AE274" s="40">
        <v>10</v>
      </c>
      <c r="AF274" s="65"/>
      <c r="AG274" s="35">
        <v>0</v>
      </c>
      <c r="AH274" s="36">
        <v>0</v>
      </c>
      <c r="AI274" s="37"/>
      <c r="AJ274" s="35">
        <v>32</v>
      </c>
      <c r="AK274" s="36">
        <v>33.6</v>
      </c>
      <c r="AL274" s="35">
        <v>32</v>
      </c>
      <c r="AM274" s="36">
        <v>33.6</v>
      </c>
      <c r="AN274" s="37">
        <v>32</v>
      </c>
      <c r="AO274" s="36">
        <v>33.6</v>
      </c>
      <c r="AP274" s="37"/>
      <c r="AQ274" s="35">
        <v>66</v>
      </c>
      <c r="AR274" s="36">
        <v>0</v>
      </c>
      <c r="AS274" s="35">
        <v>66</v>
      </c>
      <c r="AT274" s="36">
        <v>0</v>
      </c>
      <c r="AU274" s="37">
        <v>66</v>
      </c>
      <c r="AV274" s="36">
        <v>0</v>
      </c>
      <c r="AW274" s="37">
        <v>66</v>
      </c>
      <c r="AX274" s="36">
        <v>0</v>
      </c>
      <c r="AY274" s="37">
        <v>66</v>
      </c>
      <c r="AZ274" s="36">
        <v>0</v>
      </c>
      <c r="BB274" s="40">
        <v>0</v>
      </c>
      <c r="BC274" s="65"/>
      <c r="BD274" s="35">
        <v>0</v>
      </c>
      <c r="BE274" s="36">
        <v>0</v>
      </c>
      <c r="BF274" s="37"/>
      <c r="BG274" s="415">
        <v>0</v>
      </c>
      <c r="BH274" s="353">
        <v>0</v>
      </c>
      <c r="BI274" s="415">
        <v>0</v>
      </c>
      <c r="BJ274" s="353">
        <v>0</v>
      </c>
      <c r="BK274" s="415">
        <v>0</v>
      </c>
      <c r="BL274" s="353">
        <v>0</v>
      </c>
      <c r="BM274" s="416"/>
      <c r="BN274" s="415">
        <v>0</v>
      </c>
      <c r="BO274" s="353">
        <v>0</v>
      </c>
      <c r="BP274" s="415">
        <v>0</v>
      </c>
      <c r="BQ274" s="353">
        <v>0</v>
      </c>
      <c r="BR274" s="415">
        <v>0</v>
      </c>
      <c r="BS274" s="353">
        <v>0</v>
      </c>
      <c r="BT274" s="415">
        <v>0</v>
      </c>
      <c r="BU274" s="353">
        <v>0</v>
      </c>
      <c r="BV274" s="415">
        <v>0</v>
      </c>
      <c r="BW274" s="353">
        <v>0</v>
      </c>
      <c r="BY274" s="80"/>
      <c r="BZ274" s="65"/>
      <c r="CA274" s="40" t="s">
        <v>3</v>
      </c>
      <c r="CB274" s="65"/>
      <c r="CC274" s="40">
        <v>-22.598347107438016</v>
      </c>
      <c r="CD274" s="40">
        <v>-22.598347107438016</v>
      </c>
      <c r="CE274" s="40">
        <v>-22.598347107438016</v>
      </c>
      <c r="CF274" s="65"/>
      <c r="CG274" s="40">
        <v>-56.198347107438018</v>
      </c>
      <c r="CH274" s="40">
        <v>-56.198347107438018</v>
      </c>
      <c r="CI274" s="40">
        <v>-56.198347107438018</v>
      </c>
      <c r="CJ274" s="40">
        <v>-56.198347107438018</v>
      </c>
      <c r="CK274" s="40">
        <v>-56.198347107438018</v>
      </c>
    </row>
    <row r="275" spans="1:89" s="2" customFormat="1">
      <c r="A275" s="196" t="s">
        <v>1036</v>
      </c>
      <c r="B275" s="211" t="s">
        <v>59</v>
      </c>
      <c r="C275" s="435" t="s">
        <v>527</v>
      </c>
      <c r="D275" s="41">
        <v>107</v>
      </c>
      <c r="E275" s="41">
        <v>0</v>
      </c>
      <c r="F275" s="41" t="s">
        <v>1034</v>
      </c>
      <c r="G275" s="413">
        <v>24</v>
      </c>
      <c r="H275" s="414">
        <v>93.388429752066116</v>
      </c>
      <c r="I275" s="321"/>
      <c r="J275" s="40" t="s">
        <v>3</v>
      </c>
      <c r="K275" s="36" t="s">
        <v>3</v>
      </c>
      <c r="L275" s="37"/>
      <c r="M275" s="35">
        <v>0</v>
      </c>
      <c r="N275" s="136">
        <v>3.4000000000000004</v>
      </c>
      <c r="O275" s="35">
        <v>0</v>
      </c>
      <c r="P275" s="136">
        <v>0.5</v>
      </c>
      <c r="Q275" s="37">
        <v>0</v>
      </c>
      <c r="R275" s="136">
        <v>0.30000000000000004</v>
      </c>
      <c r="S275" s="37"/>
      <c r="T275" s="35">
        <v>0</v>
      </c>
      <c r="U275" s="136">
        <v>0.9</v>
      </c>
      <c r="V275" s="35">
        <v>0</v>
      </c>
      <c r="W275" s="136">
        <v>0.9</v>
      </c>
      <c r="X275" s="35">
        <v>0</v>
      </c>
      <c r="Y275" s="149">
        <v>0.9</v>
      </c>
      <c r="Z275" s="35">
        <v>0</v>
      </c>
      <c r="AA275" s="136">
        <v>0.8</v>
      </c>
      <c r="AB275" s="37">
        <v>0</v>
      </c>
      <c r="AC275" s="136">
        <v>0.8</v>
      </c>
      <c r="AD275" s="37"/>
      <c r="AE275" s="40">
        <v>14</v>
      </c>
      <c r="AF275" s="65"/>
      <c r="AG275" s="35">
        <v>0</v>
      </c>
      <c r="AH275" s="36">
        <v>0</v>
      </c>
      <c r="AI275" s="37"/>
      <c r="AJ275" s="35">
        <v>25</v>
      </c>
      <c r="AK275" s="36">
        <v>81.600000000000009</v>
      </c>
      <c r="AL275" s="35">
        <v>95</v>
      </c>
      <c r="AM275" s="36">
        <v>12</v>
      </c>
      <c r="AN275" s="35">
        <v>100</v>
      </c>
      <c r="AO275" s="36">
        <v>7.2000000000000011</v>
      </c>
      <c r="AP275" s="37"/>
      <c r="AQ275" s="35">
        <v>85</v>
      </c>
      <c r="AR275" s="36">
        <v>21.6</v>
      </c>
      <c r="AS275" s="35">
        <v>85</v>
      </c>
      <c r="AT275" s="36">
        <v>21.6</v>
      </c>
      <c r="AU275" s="35">
        <v>85</v>
      </c>
      <c r="AV275" s="36">
        <v>21.6</v>
      </c>
      <c r="AW275" s="35">
        <v>88</v>
      </c>
      <c r="AX275" s="36">
        <v>19.200000000000003</v>
      </c>
      <c r="AY275" s="35">
        <v>88</v>
      </c>
      <c r="AZ275" s="36">
        <v>19.200000000000003</v>
      </c>
      <c r="BB275" s="40">
        <v>0</v>
      </c>
      <c r="BC275" s="65"/>
      <c r="BD275" s="35">
        <v>0</v>
      </c>
      <c r="BE275" s="36">
        <v>0</v>
      </c>
      <c r="BF275" s="37"/>
      <c r="BG275" s="415">
        <v>0</v>
      </c>
      <c r="BH275" s="353">
        <v>0</v>
      </c>
      <c r="BI275" s="415">
        <v>0</v>
      </c>
      <c r="BJ275" s="353">
        <v>0</v>
      </c>
      <c r="BK275" s="415">
        <v>0</v>
      </c>
      <c r="BL275" s="353">
        <v>0</v>
      </c>
      <c r="BM275" s="416"/>
      <c r="BN275" s="415">
        <v>0</v>
      </c>
      <c r="BO275" s="353">
        <v>0</v>
      </c>
      <c r="BP275" s="415">
        <v>0</v>
      </c>
      <c r="BQ275" s="353">
        <v>0</v>
      </c>
      <c r="BR275" s="415">
        <v>0</v>
      </c>
      <c r="BS275" s="353">
        <v>0</v>
      </c>
      <c r="BT275" s="415">
        <v>0</v>
      </c>
      <c r="BU275" s="353">
        <v>0</v>
      </c>
      <c r="BV275" s="415">
        <v>0</v>
      </c>
      <c r="BW275" s="353">
        <v>0</v>
      </c>
      <c r="BY275" s="80"/>
      <c r="BZ275" s="65"/>
      <c r="CA275" s="40" t="s">
        <v>3</v>
      </c>
      <c r="CB275" s="65"/>
      <c r="CC275" s="40">
        <v>-11.788429752066108</v>
      </c>
      <c r="CD275" s="40">
        <v>-81.388429752066116</v>
      </c>
      <c r="CE275" s="40">
        <v>-86.188429752066114</v>
      </c>
      <c r="CF275" s="65"/>
      <c r="CG275" s="40">
        <v>-71.788429752066122</v>
      </c>
      <c r="CH275" s="40">
        <v>-71.788429752066122</v>
      </c>
      <c r="CI275" s="40">
        <v>-71.788429752066122</v>
      </c>
      <c r="CJ275" s="40">
        <v>-74.188429752066114</v>
      </c>
      <c r="CK275" s="40">
        <v>-74.188429752066114</v>
      </c>
    </row>
    <row r="276" spans="1:89" s="2" customFormat="1">
      <c r="A276" s="196" t="s">
        <v>1033</v>
      </c>
      <c r="B276" s="211" t="s">
        <v>672</v>
      </c>
      <c r="C276" s="211" t="s">
        <v>740</v>
      </c>
      <c r="D276" s="41">
        <v>204</v>
      </c>
      <c r="E276" s="41">
        <v>0</v>
      </c>
      <c r="F276" s="41" t="s">
        <v>1034</v>
      </c>
      <c r="G276" s="413">
        <v>24</v>
      </c>
      <c r="H276" s="414">
        <v>183.47107438016531</v>
      </c>
      <c r="I276" s="321"/>
      <c r="J276" s="40" t="s">
        <v>3</v>
      </c>
      <c r="K276" s="36" t="s">
        <v>3</v>
      </c>
      <c r="L276" s="37"/>
      <c r="M276" s="35">
        <v>29</v>
      </c>
      <c r="N276" s="136">
        <v>5.2</v>
      </c>
      <c r="O276" s="35">
        <v>0</v>
      </c>
      <c r="P276" s="136">
        <v>3.4000000000000004</v>
      </c>
      <c r="Q276" s="37">
        <v>0</v>
      </c>
      <c r="R276" s="136">
        <v>2.5</v>
      </c>
      <c r="S276" s="37"/>
      <c r="T276" s="35">
        <v>0</v>
      </c>
      <c r="U276" s="136">
        <v>6.5</v>
      </c>
      <c r="V276" s="35">
        <v>0</v>
      </c>
      <c r="W276" s="136">
        <v>4.2</v>
      </c>
      <c r="X276" s="35">
        <v>0</v>
      </c>
      <c r="Y276" s="149">
        <v>4.2</v>
      </c>
      <c r="Z276" s="35">
        <v>0</v>
      </c>
      <c r="AA276" s="136">
        <v>4.1000000000000005</v>
      </c>
      <c r="AB276" s="37">
        <v>0</v>
      </c>
      <c r="AC276" s="136">
        <v>4.1000000000000005</v>
      </c>
      <c r="AD276" s="37"/>
      <c r="AE276" s="40">
        <v>21</v>
      </c>
      <c r="AF276" s="65"/>
      <c r="AG276" s="35">
        <v>0</v>
      </c>
      <c r="AH276" s="36">
        <v>0</v>
      </c>
      <c r="AI276" s="37"/>
      <c r="AJ276" s="35">
        <v>50</v>
      </c>
      <c r="AK276" s="36">
        <v>124.80000000000001</v>
      </c>
      <c r="AL276" s="35">
        <v>122</v>
      </c>
      <c r="AM276" s="36">
        <v>81.600000000000009</v>
      </c>
      <c r="AN276" s="37">
        <v>144</v>
      </c>
      <c r="AO276" s="36">
        <v>60</v>
      </c>
      <c r="AP276" s="37"/>
      <c r="AQ276" s="35">
        <v>48</v>
      </c>
      <c r="AR276" s="36">
        <v>156</v>
      </c>
      <c r="AS276" s="35">
        <v>103</v>
      </c>
      <c r="AT276" s="36">
        <v>100.80000000000001</v>
      </c>
      <c r="AU276" s="37">
        <v>103</v>
      </c>
      <c r="AV276" s="36">
        <v>100.80000000000001</v>
      </c>
      <c r="AW276" s="37">
        <v>106</v>
      </c>
      <c r="AX276" s="36">
        <v>98.4</v>
      </c>
      <c r="AY276" s="37">
        <v>106</v>
      </c>
      <c r="AZ276" s="36">
        <v>98.4</v>
      </c>
      <c r="BB276" s="40">
        <v>0</v>
      </c>
      <c r="BC276" s="65"/>
      <c r="BD276" s="35">
        <v>0</v>
      </c>
      <c r="BE276" s="36">
        <v>0</v>
      </c>
      <c r="BF276" s="37"/>
      <c r="BG276" s="415">
        <v>0</v>
      </c>
      <c r="BH276" s="353">
        <v>0</v>
      </c>
      <c r="BI276" s="415">
        <v>0</v>
      </c>
      <c r="BJ276" s="353">
        <v>0</v>
      </c>
      <c r="BK276" s="415">
        <v>0</v>
      </c>
      <c r="BL276" s="353">
        <v>0</v>
      </c>
      <c r="BM276" s="416"/>
      <c r="BN276" s="415">
        <v>0</v>
      </c>
      <c r="BO276" s="353">
        <v>0</v>
      </c>
      <c r="BP276" s="415">
        <v>0</v>
      </c>
      <c r="BQ276" s="353">
        <v>0</v>
      </c>
      <c r="BR276" s="415">
        <v>0</v>
      </c>
      <c r="BS276" s="353">
        <v>0</v>
      </c>
      <c r="BT276" s="415">
        <v>0</v>
      </c>
      <c r="BU276" s="353">
        <v>0</v>
      </c>
      <c r="BV276" s="415">
        <v>0</v>
      </c>
      <c r="BW276" s="353">
        <v>0</v>
      </c>
      <c r="BY276" s="80"/>
      <c r="BZ276" s="65"/>
      <c r="CA276" s="40" t="s">
        <v>3</v>
      </c>
      <c r="CB276" s="65"/>
      <c r="CC276" s="40">
        <v>-29.671074380165294</v>
      </c>
      <c r="CD276" s="40">
        <v>-101.8710743801653</v>
      </c>
      <c r="CE276" s="40">
        <v>-123.47107438016531</v>
      </c>
      <c r="CF276" s="65"/>
      <c r="CG276" s="40">
        <v>-27.471074380165305</v>
      </c>
      <c r="CH276" s="40">
        <v>-82.671074380165294</v>
      </c>
      <c r="CI276" s="40">
        <v>-82.671074380165294</v>
      </c>
      <c r="CJ276" s="40">
        <v>-85.0710743801653</v>
      </c>
      <c r="CK276" s="40">
        <v>-85.0710743801653</v>
      </c>
    </row>
    <row r="277" spans="1:89" s="2" customFormat="1">
      <c r="A277" s="196" t="s">
        <v>1156</v>
      </c>
      <c r="B277" s="211" t="s">
        <v>672</v>
      </c>
      <c r="C277" s="211" t="s">
        <v>542</v>
      </c>
      <c r="D277" s="41">
        <v>75</v>
      </c>
      <c r="E277" s="41">
        <v>0</v>
      </c>
      <c r="F277" s="41" t="s">
        <v>1140</v>
      </c>
      <c r="G277" s="413">
        <v>24</v>
      </c>
      <c r="H277" s="414">
        <v>74.380165289256198</v>
      </c>
      <c r="I277" s="321"/>
      <c r="J277" s="40" t="s">
        <v>3</v>
      </c>
      <c r="K277" s="36" t="s">
        <v>3</v>
      </c>
      <c r="L277" s="37"/>
      <c r="M277" s="35">
        <v>0</v>
      </c>
      <c r="N277" s="136">
        <v>2.1</v>
      </c>
      <c r="O277" s="35">
        <v>0</v>
      </c>
      <c r="P277" s="136">
        <v>2.1</v>
      </c>
      <c r="Q277" s="37">
        <v>0</v>
      </c>
      <c r="R277" s="136">
        <v>2.1</v>
      </c>
      <c r="S277" s="37"/>
      <c r="T277" s="35">
        <v>0</v>
      </c>
      <c r="U277" s="136">
        <v>0.5</v>
      </c>
      <c r="V277" s="35">
        <v>0</v>
      </c>
      <c r="W277" s="136">
        <v>0.5</v>
      </c>
      <c r="X277" s="35">
        <v>0</v>
      </c>
      <c r="Y277" s="149">
        <v>0.5</v>
      </c>
      <c r="Z277" s="35">
        <v>0</v>
      </c>
      <c r="AA277" s="136">
        <v>0.4</v>
      </c>
      <c r="AB277" s="37">
        <v>0</v>
      </c>
      <c r="AC277" s="136">
        <v>0.4</v>
      </c>
      <c r="AD277" s="37"/>
      <c r="AE277" s="40">
        <v>1</v>
      </c>
      <c r="AF277" s="65"/>
      <c r="AG277" s="35">
        <v>0</v>
      </c>
      <c r="AH277" s="36">
        <v>0</v>
      </c>
      <c r="AI277" s="37"/>
      <c r="AJ277" s="35">
        <v>25</v>
      </c>
      <c r="AK277" s="36">
        <v>50.400000000000006</v>
      </c>
      <c r="AL277" s="35">
        <v>25</v>
      </c>
      <c r="AM277" s="36">
        <v>50.400000000000006</v>
      </c>
      <c r="AN277" s="35">
        <v>25</v>
      </c>
      <c r="AO277" s="36">
        <v>50.400000000000006</v>
      </c>
      <c r="AP277" s="37"/>
      <c r="AQ277" s="35">
        <v>63</v>
      </c>
      <c r="AR277" s="36">
        <v>12</v>
      </c>
      <c r="AS277" s="35">
        <v>63</v>
      </c>
      <c r="AT277" s="36">
        <v>12</v>
      </c>
      <c r="AU277" s="35">
        <v>63</v>
      </c>
      <c r="AV277" s="36">
        <v>12</v>
      </c>
      <c r="AW277" s="35">
        <v>65</v>
      </c>
      <c r="AX277" s="36">
        <v>9.6000000000000014</v>
      </c>
      <c r="AY277" s="35">
        <v>65</v>
      </c>
      <c r="AZ277" s="36">
        <v>9.6000000000000014</v>
      </c>
      <c r="BB277" s="40">
        <v>0</v>
      </c>
      <c r="BC277" s="65"/>
      <c r="BD277" s="35">
        <v>0</v>
      </c>
      <c r="BE277" s="36">
        <v>0</v>
      </c>
      <c r="BF277" s="37"/>
      <c r="BG277" s="415">
        <v>0</v>
      </c>
      <c r="BH277" s="353">
        <v>0</v>
      </c>
      <c r="BI277" s="415">
        <v>0</v>
      </c>
      <c r="BJ277" s="353">
        <v>0</v>
      </c>
      <c r="BK277" s="415">
        <v>0</v>
      </c>
      <c r="BL277" s="353">
        <v>0</v>
      </c>
      <c r="BM277" s="416"/>
      <c r="BN277" s="415">
        <v>0</v>
      </c>
      <c r="BO277" s="353">
        <v>0</v>
      </c>
      <c r="BP277" s="415">
        <v>0</v>
      </c>
      <c r="BQ277" s="353">
        <v>0</v>
      </c>
      <c r="BR277" s="415">
        <v>0</v>
      </c>
      <c r="BS277" s="353">
        <v>0</v>
      </c>
      <c r="BT277" s="415">
        <v>0</v>
      </c>
      <c r="BU277" s="353">
        <v>0</v>
      </c>
      <c r="BV277" s="415">
        <v>0</v>
      </c>
      <c r="BW277" s="353">
        <v>0</v>
      </c>
      <c r="BY277" s="80"/>
      <c r="BZ277" s="65"/>
      <c r="CA277" s="40" t="s">
        <v>3</v>
      </c>
      <c r="CB277" s="65"/>
      <c r="CC277" s="40">
        <v>-23.980165289256192</v>
      </c>
      <c r="CD277" s="40">
        <v>-23.980165289256192</v>
      </c>
      <c r="CE277" s="40">
        <v>-23.980165289256192</v>
      </c>
      <c r="CF277" s="65"/>
      <c r="CG277" s="40">
        <v>-62.380165289256198</v>
      </c>
      <c r="CH277" s="40">
        <v>-62.380165289256198</v>
      </c>
      <c r="CI277" s="40">
        <v>-62.380165289256198</v>
      </c>
      <c r="CJ277" s="40">
        <v>-64.780165289256189</v>
      </c>
      <c r="CK277" s="40">
        <v>-64.780165289256189</v>
      </c>
    </row>
    <row r="278" spans="1:89" s="2" customFormat="1">
      <c r="A278" s="196" t="s">
        <v>1043</v>
      </c>
      <c r="B278" s="211" t="s">
        <v>58</v>
      </c>
      <c r="C278" s="211" t="s">
        <v>372</v>
      </c>
      <c r="D278" s="41">
        <v>223</v>
      </c>
      <c r="E278" s="41">
        <v>0</v>
      </c>
      <c r="F278" s="22" t="s">
        <v>1041</v>
      </c>
      <c r="G278" s="40">
        <v>24</v>
      </c>
      <c r="H278" s="388">
        <v>136.36363636363637</v>
      </c>
      <c r="I278" s="321"/>
      <c r="J278" s="40" t="s">
        <v>3</v>
      </c>
      <c r="K278" s="36" t="s">
        <v>3</v>
      </c>
      <c r="L278" s="37"/>
      <c r="M278" s="35">
        <v>19</v>
      </c>
      <c r="N278" s="136">
        <v>4</v>
      </c>
      <c r="O278" s="35">
        <v>0</v>
      </c>
      <c r="P278" s="136">
        <v>1.9000000000000001</v>
      </c>
      <c r="Q278" s="37">
        <v>0</v>
      </c>
      <c r="R278" s="136">
        <v>0.9</v>
      </c>
      <c r="S278" s="37"/>
      <c r="T278" s="35">
        <v>0</v>
      </c>
      <c r="U278" s="136">
        <v>5</v>
      </c>
      <c r="V278" s="35">
        <v>0</v>
      </c>
      <c r="W278" s="136">
        <v>2.1</v>
      </c>
      <c r="X278" s="35">
        <v>0</v>
      </c>
      <c r="Y278" s="149">
        <v>2.1</v>
      </c>
      <c r="Z278" s="35">
        <v>0</v>
      </c>
      <c r="AA278" s="136">
        <v>2.1</v>
      </c>
      <c r="AB278" s="37">
        <v>0</v>
      </c>
      <c r="AC278" s="136">
        <v>2.1</v>
      </c>
      <c r="AD278" s="37"/>
      <c r="AE278" s="40">
        <v>87</v>
      </c>
      <c r="AF278" s="65"/>
      <c r="AG278" s="35">
        <v>0</v>
      </c>
      <c r="AH278" s="36">
        <v>0</v>
      </c>
      <c r="AI278" s="37"/>
      <c r="AJ278" s="35">
        <v>108</v>
      </c>
      <c r="AK278" s="36">
        <v>96</v>
      </c>
      <c r="AL278" s="35">
        <v>177</v>
      </c>
      <c r="AM278" s="36">
        <v>45.6</v>
      </c>
      <c r="AN278" s="37">
        <v>201</v>
      </c>
      <c r="AO278" s="36">
        <v>21.6</v>
      </c>
      <c r="AP278" s="37"/>
      <c r="AQ278" s="35">
        <v>103</v>
      </c>
      <c r="AR278" s="36">
        <v>120</v>
      </c>
      <c r="AS278" s="35">
        <v>173</v>
      </c>
      <c r="AT278" s="36">
        <v>50.400000000000006</v>
      </c>
      <c r="AU278" s="37">
        <v>173</v>
      </c>
      <c r="AV278" s="36">
        <v>50.400000000000006</v>
      </c>
      <c r="AW278" s="37">
        <v>173</v>
      </c>
      <c r="AX278" s="36">
        <v>50.400000000000006</v>
      </c>
      <c r="AY278" s="37">
        <v>173</v>
      </c>
      <c r="AZ278" s="36">
        <v>50.400000000000006</v>
      </c>
      <c r="BB278" s="40">
        <v>0</v>
      </c>
      <c r="BC278" s="65"/>
      <c r="BD278" s="35">
        <v>0</v>
      </c>
      <c r="BE278" s="36">
        <v>0</v>
      </c>
      <c r="BF278" s="37"/>
      <c r="BG278" s="415">
        <v>0</v>
      </c>
      <c r="BH278" s="353">
        <v>0</v>
      </c>
      <c r="BI278" s="415">
        <v>0</v>
      </c>
      <c r="BJ278" s="353">
        <v>0</v>
      </c>
      <c r="BK278" s="415">
        <v>0</v>
      </c>
      <c r="BL278" s="353">
        <v>0</v>
      </c>
      <c r="BM278" s="416"/>
      <c r="BN278" s="415">
        <v>0</v>
      </c>
      <c r="BO278" s="353">
        <v>0</v>
      </c>
      <c r="BP278" s="415">
        <v>0</v>
      </c>
      <c r="BQ278" s="353">
        <v>0</v>
      </c>
      <c r="BR278" s="415">
        <v>0</v>
      </c>
      <c r="BS278" s="353">
        <v>0</v>
      </c>
      <c r="BT278" s="415">
        <v>0</v>
      </c>
      <c r="BU278" s="353">
        <v>0</v>
      </c>
      <c r="BV278" s="415">
        <v>0</v>
      </c>
      <c r="BW278" s="353">
        <v>0</v>
      </c>
      <c r="BY278" s="80"/>
      <c r="BZ278" s="65"/>
      <c r="CA278" s="40" t="s">
        <v>3</v>
      </c>
      <c r="CB278" s="65"/>
      <c r="CC278" s="40">
        <v>-21.363636363636374</v>
      </c>
      <c r="CD278" s="40">
        <v>-90.76363636363638</v>
      </c>
      <c r="CE278" s="40">
        <v>-114.76363636363638</v>
      </c>
      <c r="CF278" s="65"/>
      <c r="CG278" s="40">
        <v>-16.363636363636374</v>
      </c>
      <c r="CH278" s="40">
        <v>-85.963636363636368</v>
      </c>
      <c r="CI278" s="40">
        <v>-85.963636363636368</v>
      </c>
      <c r="CJ278" s="40">
        <v>-85.963636363636368</v>
      </c>
      <c r="CK278" s="40">
        <v>-85.963636363636368</v>
      </c>
    </row>
    <row r="279" spans="1:89" s="2" customFormat="1">
      <c r="A279" s="196" t="s">
        <v>1044</v>
      </c>
      <c r="B279" s="211" t="s">
        <v>58</v>
      </c>
      <c r="C279" s="211" t="s">
        <v>372</v>
      </c>
      <c r="D279" s="41">
        <v>223</v>
      </c>
      <c r="E279" s="41">
        <v>0</v>
      </c>
      <c r="F279" s="41" t="s">
        <v>1041</v>
      </c>
      <c r="G279" s="413">
        <v>30</v>
      </c>
      <c r="H279" s="414">
        <v>136.36363636363637</v>
      </c>
      <c r="I279" s="321"/>
      <c r="J279" s="40" t="s">
        <v>3</v>
      </c>
      <c r="K279" s="36" t="s">
        <v>3</v>
      </c>
      <c r="L279" s="37"/>
      <c r="M279" s="35">
        <v>19</v>
      </c>
      <c r="N279" s="136">
        <v>3.2</v>
      </c>
      <c r="O279" s="35">
        <v>0</v>
      </c>
      <c r="P279" s="136">
        <v>1.6</v>
      </c>
      <c r="Q279" s="37">
        <v>0</v>
      </c>
      <c r="R279" s="136">
        <v>0.8</v>
      </c>
      <c r="S279" s="37"/>
      <c r="T279" s="35">
        <v>0</v>
      </c>
      <c r="U279" s="136">
        <v>4</v>
      </c>
      <c r="V279" s="35">
        <v>0</v>
      </c>
      <c r="W279" s="136">
        <v>1.7000000000000002</v>
      </c>
      <c r="X279" s="35">
        <v>0</v>
      </c>
      <c r="Y279" s="149">
        <v>1.7000000000000002</v>
      </c>
      <c r="Z279" s="35">
        <v>0</v>
      </c>
      <c r="AA279" s="136">
        <v>1.7000000000000002</v>
      </c>
      <c r="AB279" s="37">
        <v>0</v>
      </c>
      <c r="AC279" s="136">
        <v>1.7000000000000002</v>
      </c>
      <c r="AD279" s="37"/>
      <c r="AE279" s="40">
        <v>87</v>
      </c>
      <c r="AF279" s="65"/>
      <c r="AG279" s="35">
        <v>0</v>
      </c>
      <c r="AH279" s="36">
        <v>0</v>
      </c>
      <c r="AI279" s="37"/>
      <c r="AJ279" s="35">
        <v>108</v>
      </c>
      <c r="AK279" s="36">
        <v>96</v>
      </c>
      <c r="AL279" s="35">
        <v>175</v>
      </c>
      <c r="AM279" s="36">
        <v>48</v>
      </c>
      <c r="AN279" s="35">
        <v>199</v>
      </c>
      <c r="AO279" s="36">
        <v>24</v>
      </c>
      <c r="AP279" s="37"/>
      <c r="AQ279" s="35">
        <v>103</v>
      </c>
      <c r="AR279" s="36">
        <v>120</v>
      </c>
      <c r="AS279" s="35">
        <v>172</v>
      </c>
      <c r="AT279" s="36">
        <v>51.000000000000007</v>
      </c>
      <c r="AU279" s="35">
        <v>172</v>
      </c>
      <c r="AV279" s="36">
        <v>51.000000000000007</v>
      </c>
      <c r="AW279" s="35">
        <v>172</v>
      </c>
      <c r="AX279" s="36">
        <v>51.000000000000007</v>
      </c>
      <c r="AY279" s="35">
        <v>172</v>
      </c>
      <c r="AZ279" s="36">
        <v>51.000000000000007</v>
      </c>
      <c r="BB279" s="40">
        <v>0</v>
      </c>
      <c r="BC279" s="65"/>
      <c r="BD279" s="35">
        <v>0</v>
      </c>
      <c r="BE279" s="36">
        <v>0</v>
      </c>
      <c r="BF279" s="37"/>
      <c r="BG279" s="415">
        <v>0</v>
      </c>
      <c r="BH279" s="353">
        <v>0</v>
      </c>
      <c r="BI279" s="415">
        <v>0</v>
      </c>
      <c r="BJ279" s="353">
        <v>0</v>
      </c>
      <c r="BK279" s="415">
        <v>0</v>
      </c>
      <c r="BL279" s="353">
        <v>0</v>
      </c>
      <c r="BM279" s="416"/>
      <c r="BN279" s="415">
        <v>0</v>
      </c>
      <c r="BO279" s="353">
        <v>0</v>
      </c>
      <c r="BP279" s="415">
        <v>0</v>
      </c>
      <c r="BQ279" s="353">
        <v>0</v>
      </c>
      <c r="BR279" s="415">
        <v>0</v>
      </c>
      <c r="BS279" s="353">
        <v>0</v>
      </c>
      <c r="BT279" s="415">
        <v>0</v>
      </c>
      <c r="BU279" s="353">
        <v>0</v>
      </c>
      <c r="BV279" s="415">
        <v>0</v>
      </c>
      <c r="BW279" s="353">
        <v>0</v>
      </c>
      <c r="BY279" s="80"/>
      <c r="BZ279" s="65"/>
      <c r="CA279" s="40" t="s">
        <v>3</v>
      </c>
      <c r="CB279" s="65"/>
      <c r="CC279" s="40">
        <v>-21.363636363636374</v>
      </c>
      <c r="CD279" s="40">
        <v>-88.363636363636374</v>
      </c>
      <c r="CE279" s="40">
        <v>-112.36363636363637</v>
      </c>
      <c r="CF279" s="65"/>
      <c r="CG279" s="40">
        <v>-16.363636363636374</v>
      </c>
      <c r="CH279" s="40">
        <v>-85.363636363636374</v>
      </c>
      <c r="CI279" s="40">
        <v>-85.363636363636374</v>
      </c>
      <c r="CJ279" s="40">
        <v>-85.363636363636374</v>
      </c>
      <c r="CK279" s="40">
        <v>-85.363636363636374</v>
      </c>
    </row>
    <row r="280" spans="1:89" s="2" customFormat="1">
      <c r="A280" s="196" t="s">
        <v>1045</v>
      </c>
      <c r="B280" s="211" t="s">
        <v>58</v>
      </c>
      <c r="C280" s="211" t="s">
        <v>741</v>
      </c>
      <c r="D280" s="41">
        <v>137</v>
      </c>
      <c r="E280" s="41">
        <v>0</v>
      </c>
      <c r="F280" s="22" t="s">
        <v>1041</v>
      </c>
      <c r="G280" s="40">
        <v>24</v>
      </c>
      <c r="H280" s="388">
        <v>136.36363636363637</v>
      </c>
      <c r="I280" s="321"/>
      <c r="J280" s="40" t="s">
        <v>3</v>
      </c>
      <c r="K280" s="36" t="s">
        <v>3</v>
      </c>
      <c r="L280" s="37"/>
      <c r="M280" s="35">
        <v>19</v>
      </c>
      <c r="N280" s="136">
        <v>4</v>
      </c>
      <c r="O280" s="35">
        <v>0</v>
      </c>
      <c r="P280" s="136">
        <v>1.9000000000000001</v>
      </c>
      <c r="Q280" s="37">
        <v>0</v>
      </c>
      <c r="R280" s="136">
        <v>0.9</v>
      </c>
      <c r="S280" s="37"/>
      <c r="T280" s="35">
        <v>0</v>
      </c>
      <c r="U280" s="136">
        <v>5</v>
      </c>
      <c r="V280" s="35">
        <v>0</v>
      </c>
      <c r="W280" s="136">
        <v>2.1</v>
      </c>
      <c r="X280" s="35">
        <v>0</v>
      </c>
      <c r="Y280" s="149">
        <v>2.1</v>
      </c>
      <c r="Z280" s="35">
        <v>0</v>
      </c>
      <c r="AA280" s="136">
        <v>2.1</v>
      </c>
      <c r="AB280" s="37">
        <v>0</v>
      </c>
      <c r="AC280" s="136">
        <v>2.1</v>
      </c>
      <c r="AD280" s="37"/>
      <c r="AE280" s="40">
        <v>1</v>
      </c>
      <c r="AF280" s="65"/>
      <c r="AG280" s="35">
        <v>0</v>
      </c>
      <c r="AH280" s="36">
        <v>0</v>
      </c>
      <c r="AI280" s="37"/>
      <c r="AJ280" s="35">
        <v>22</v>
      </c>
      <c r="AK280" s="36">
        <v>96</v>
      </c>
      <c r="AL280" s="35">
        <v>91</v>
      </c>
      <c r="AM280" s="36">
        <v>45.6</v>
      </c>
      <c r="AN280" s="37">
        <v>115</v>
      </c>
      <c r="AO280" s="36">
        <v>21.6</v>
      </c>
      <c r="AP280" s="37"/>
      <c r="AQ280" s="35">
        <v>17</v>
      </c>
      <c r="AR280" s="36">
        <v>120</v>
      </c>
      <c r="AS280" s="35">
        <v>87</v>
      </c>
      <c r="AT280" s="36">
        <v>50.400000000000006</v>
      </c>
      <c r="AU280" s="37">
        <v>87</v>
      </c>
      <c r="AV280" s="36">
        <v>50.400000000000006</v>
      </c>
      <c r="AW280" s="37">
        <v>87</v>
      </c>
      <c r="AX280" s="36">
        <v>50.400000000000006</v>
      </c>
      <c r="AY280" s="37">
        <v>87</v>
      </c>
      <c r="AZ280" s="36">
        <v>50.400000000000006</v>
      </c>
      <c r="BB280" s="40">
        <v>0</v>
      </c>
      <c r="BC280" s="65"/>
      <c r="BD280" s="35">
        <v>0</v>
      </c>
      <c r="BE280" s="36">
        <v>0</v>
      </c>
      <c r="BF280" s="37"/>
      <c r="BG280" s="415">
        <v>0</v>
      </c>
      <c r="BH280" s="353">
        <v>0</v>
      </c>
      <c r="BI280" s="415">
        <v>0</v>
      </c>
      <c r="BJ280" s="353">
        <v>0</v>
      </c>
      <c r="BK280" s="415">
        <v>0</v>
      </c>
      <c r="BL280" s="353">
        <v>0</v>
      </c>
      <c r="BM280" s="416"/>
      <c r="BN280" s="415">
        <v>0</v>
      </c>
      <c r="BO280" s="353">
        <v>0</v>
      </c>
      <c r="BP280" s="415">
        <v>0</v>
      </c>
      <c r="BQ280" s="353">
        <v>0</v>
      </c>
      <c r="BR280" s="415">
        <v>0</v>
      </c>
      <c r="BS280" s="353">
        <v>0</v>
      </c>
      <c r="BT280" s="415">
        <v>0</v>
      </c>
      <c r="BU280" s="353">
        <v>0</v>
      </c>
      <c r="BV280" s="415">
        <v>0</v>
      </c>
      <c r="BW280" s="353">
        <v>0</v>
      </c>
      <c r="BY280" s="80"/>
      <c r="BZ280" s="65"/>
      <c r="CA280" s="40" t="s">
        <v>3</v>
      </c>
      <c r="CB280" s="65"/>
      <c r="CC280" s="40">
        <v>-21.363636363636374</v>
      </c>
      <c r="CD280" s="40">
        <v>-90.76363636363638</v>
      </c>
      <c r="CE280" s="40">
        <v>-114.76363636363638</v>
      </c>
      <c r="CF280" s="65"/>
      <c r="CG280" s="40">
        <v>-16.363636363636374</v>
      </c>
      <c r="CH280" s="40">
        <v>-85.963636363636368</v>
      </c>
      <c r="CI280" s="40">
        <v>-85.963636363636368</v>
      </c>
      <c r="CJ280" s="40">
        <v>-85.963636363636368</v>
      </c>
      <c r="CK280" s="40">
        <v>-85.963636363636368</v>
      </c>
    </row>
    <row r="281" spans="1:89" s="2" customFormat="1">
      <c r="A281" s="196" t="s">
        <v>1046</v>
      </c>
      <c r="B281" s="211" t="s">
        <v>58</v>
      </c>
      <c r="C281" s="211" t="s">
        <v>741</v>
      </c>
      <c r="D281" s="41">
        <v>137</v>
      </c>
      <c r="E281" s="41">
        <v>0</v>
      </c>
      <c r="F281" s="41" t="s">
        <v>1041</v>
      </c>
      <c r="G281" s="413">
        <v>30</v>
      </c>
      <c r="H281" s="414">
        <v>136.36363636363637</v>
      </c>
      <c r="I281" s="321"/>
      <c r="J281" s="40" t="s">
        <v>3</v>
      </c>
      <c r="K281" s="36" t="s">
        <v>3</v>
      </c>
      <c r="L281" s="37"/>
      <c r="M281" s="35">
        <v>19</v>
      </c>
      <c r="N281" s="136">
        <v>3.2</v>
      </c>
      <c r="O281" s="35">
        <v>0</v>
      </c>
      <c r="P281" s="136">
        <v>1.6</v>
      </c>
      <c r="Q281" s="37">
        <v>0</v>
      </c>
      <c r="R281" s="136">
        <v>0.8</v>
      </c>
      <c r="S281" s="37"/>
      <c r="T281" s="35">
        <v>0</v>
      </c>
      <c r="U281" s="136">
        <v>4</v>
      </c>
      <c r="V281" s="35">
        <v>0</v>
      </c>
      <c r="W281" s="136">
        <v>1.7000000000000002</v>
      </c>
      <c r="X281" s="35">
        <v>0</v>
      </c>
      <c r="Y281" s="149">
        <v>1.7000000000000002</v>
      </c>
      <c r="Z281" s="35">
        <v>0</v>
      </c>
      <c r="AA281" s="136">
        <v>1.7000000000000002</v>
      </c>
      <c r="AB281" s="37">
        <v>0</v>
      </c>
      <c r="AC281" s="136">
        <v>1.7000000000000002</v>
      </c>
      <c r="AD281" s="37"/>
      <c r="AE281" s="40">
        <v>1</v>
      </c>
      <c r="AF281" s="65"/>
      <c r="AG281" s="35">
        <v>0</v>
      </c>
      <c r="AH281" s="36">
        <v>0</v>
      </c>
      <c r="AI281" s="37"/>
      <c r="AJ281" s="35">
        <v>22</v>
      </c>
      <c r="AK281" s="36">
        <v>96</v>
      </c>
      <c r="AL281" s="35">
        <v>89</v>
      </c>
      <c r="AM281" s="36">
        <v>48</v>
      </c>
      <c r="AN281" s="35">
        <v>113</v>
      </c>
      <c r="AO281" s="36">
        <v>24</v>
      </c>
      <c r="AP281" s="37"/>
      <c r="AQ281" s="35">
        <v>17</v>
      </c>
      <c r="AR281" s="36">
        <v>120</v>
      </c>
      <c r="AS281" s="35">
        <v>86</v>
      </c>
      <c r="AT281" s="36">
        <v>51.000000000000007</v>
      </c>
      <c r="AU281" s="35">
        <v>86</v>
      </c>
      <c r="AV281" s="36">
        <v>51.000000000000007</v>
      </c>
      <c r="AW281" s="35">
        <v>86</v>
      </c>
      <c r="AX281" s="36">
        <v>51.000000000000007</v>
      </c>
      <c r="AY281" s="35">
        <v>86</v>
      </c>
      <c r="AZ281" s="36">
        <v>51.000000000000007</v>
      </c>
      <c r="BB281" s="40">
        <v>0</v>
      </c>
      <c r="BC281" s="65"/>
      <c r="BD281" s="35">
        <v>0</v>
      </c>
      <c r="BE281" s="36">
        <v>0</v>
      </c>
      <c r="BF281" s="37"/>
      <c r="BG281" s="415">
        <v>0</v>
      </c>
      <c r="BH281" s="353">
        <v>0</v>
      </c>
      <c r="BI281" s="415">
        <v>0</v>
      </c>
      <c r="BJ281" s="353">
        <v>0</v>
      </c>
      <c r="BK281" s="415">
        <v>0</v>
      </c>
      <c r="BL281" s="353">
        <v>0</v>
      </c>
      <c r="BM281" s="416"/>
      <c r="BN281" s="415">
        <v>0</v>
      </c>
      <c r="BO281" s="353">
        <v>0</v>
      </c>
      <c r="BP281" s="415">
        <v>0</v>
      </c>
      <c r="BQ281" s="353">
        <v>0</v>
      </c>
      <c r="BR281" s="415">
        <v>0</v>
      </c>
      <c r="BS281" s="353">
        <v>0</v>
      </c>
      <c r="BT281" s="415">
        <v>0</v>
      </c>
      <c r="BU281" s="353">
        <v>0</v>
      </c>
      <c r="BV281" s="415">
        <v>0</v>
      </c>
      <c r="BW281" s="353">
        <v>0</v>
      </c>
      <c r="BY281" s="80"/>
      <c r="BZ281" s="65"/>
      <c r="CA281" s="40" t="s">
        <v>3</v>
      </c>
      <c r="CB281" s="65"/>
      <c r="CC281" s="40">
        <v>-21.363636363636374</v>
      </c>
      <c r="CD281" s="40">
        <v>-88.363636363636374</v>
      </c>
      <c r="CE281" s="40">
        <v>-112.36363636363637</v>
      </c>
      <c r="CF281" s="65"/>
      <c r="CG281" s="40">
        <v>-16.363636363636374</v>
      </c>
      <c r="CH281" s="40">
        <v>-85.363636363636374</v>
      </c>
      <c r="CI281" s="40">
        <v>-85.363636363636374</v>
      </c>
      <c r="CJ281" s="40">
        <v>-85.363636363636374</v>
      </c>
      <c r="CK281" s="40">
        <v>-85.363636363636374</v>
      </c>
    </row>
    <row r="282" spans="1:89" s="2" customFormat="1">
      <c r="A282" s="196" t="s">
        <v>1047</v>
      </c>
      <c r="B282" s="211" t="s">
        <v>58</v>
      </c>
      <c r="C282" s="211" t="s">
        <v>742</v>
      </c>
      <c r="D282" s="41">
        <v>184</v>
      </c>
      <c r="E282" s="41">
        <v>0</v>
      </c>
      <c r="F282" s="22" t="s">
        <v>1041</v>
      </c>
      <c r="G282" s="40">
        <v>24</v>
      </c>
      <c r="H282" s="388">
        <v>183.47107438016531</v>
      </c>
      <c r="I282" s="321"/>
      <c r="J282" s="40" t="s">
        <v>3</v>
      </c>
      <c r="K282" s="36" t="s">
        <v>3</v>
      </c>
      <c r="L282" s="37"/>
      <c r="M282" s="35">
        <v>29</v>
      </c>
      <c r="N282" s="136">
        <v>5.2</v>
      </c>
      <c r="O282" s="35">
        <v>0</v>
      </c>
      <c r="P282" s="136">
        <v>3.6</v>
      </c>
      <c r="Q282" s="37">
        <v>0</v>
      </c>
      <c r="R282" s="136">
        <v>2.5</v>
      </c>
      <c r="S282" s="37"/>
      <c r="T282" s="35">
        <v>0</v>
      </c>
      <c r="U282" s="136">
        <v>6.7</v>
      </c>
      <c r="V282" s="35">
        <v>0</v>
      </c>
      <c r="W282" s="136">
        <v>4.2</v>
      </c>
      <c r="X282" s="35">
        <v>0</v>
      </c>
      <c r="Y282" s="149">
        <v>4.2</v>
      </c>
      <c r="Z282" s="35">
        <v>0</v>
      </c>
      <c r="AA282" s="136">
        <v>4.1000000000000005</v>
      </c>
      <c r="AB282" s="37">
        <v>0</v>
      </c>
      <c r="AC282" s="136">
        <v>4.1000000000000005</v>
      </c>
      <c r="AD282" s="37"/>
      <c r="AE282" s="40">
        <v>1</v>
      </c>
      <c r="AF282" s="65"/>
      <c r="AG282" s="35">
        <v>0</v>
      </c>
      <c r="AH282" s="36">
        <v>0</v>
      </c>
      <c r="AI282" s="37"/>
      <c r="AJ282" s="35">
        <v>30</v>
      </c>
      <c r="AK282" s="36">
        <v>124.80000000000001</v>
      </c>
      <c r="AL282" s="35">
        <v>98</v>
      </c>
      <c r="AM282" s="36">
        <v>86.4</v>
      </c>
      <c r="AN282" s="37">
        <v>124</v>
      </c>
      <c r="AO282" s="36">
        <v>60</v>
      </c>
      <c r="AP282" s="37"/>
      <c r="AQ282" s="35">
        <v>23</v>
      </c>
      <c r="AR282" s="36">
        <v>160.80000000000001</v>
      </c>
      <c r="AS282" s="35">
        <v>83</v>
      </c>
      <c r="AT282" s="36">
        <v>100.80000000000001</v>
      </c>
      <c r="AU282" s="37">
        <v>83</v>
      </c>
      <c r="AV282" s="36">
        <v>100.80000000000001</v>
      </c>
      <c r="AW282" s="37">
        <v>86</v>
      </c>
      <c r="AX282" s="36">
        <v>98.4</v>
      </c>
      <c r="AY282" s="37">
        <v>86</v>
      </c>
      <c r="AZ282" s="36">
        <v>98.4</v>
      </c>
      <c r="BB282" s="40">
        <v>0</v>
      </c>
      <c r="BC282" s="65"/>
      <c r="BD282" s="35">
        <v>0</v>
      </c>
      <c r="BE282" s="36">
        <v>0</v>
      </c>
      <c r="BF282" s="37"/>
      <c r="BG282" s="415">
        <v>0</v>
      </c>
      <c r="BH282" s="353">
        <v>0</v>
      </c>
      <c r="BI282" s="415">
        <v>0</v>
      </c>
      <c r="BJ282" s="353">
        <v>0</v>
      </c>
      <c r="BK282" s="415">
        <v>0</v>
      </c>
      <c r="BL282" s="353">
        <v>0</v>
      </c>
      <c r="BM282" s="416"/>
      <c r="BN282" s="415">
        <v>0</v>
      </c>
      <c r="BO282" s="353">
        <v>0</v>
      </c>
      <c r="BP282" s="415">
        <v>0</v>
      </c>
      <c r="BQ282" s="353">
        <v>0</v>
      </c>
      <c r="BR282" s="415">
        <v>0</v>
      </c>
      <c r="BS282" s="353">
        <v>0</v>
      </c>
      <c r="BT282" s="415">
        <v>0</v>
      </c>
      <c r="BU282" s="353">
        <v>0</v>
      </c>
      <c r="BV282" s="415">
        <v>0</v>
      </c>
      <c r="BW282" s="353">
        <v>0</v>
      </c>
      <c r="BY282" s="80"/>
      <c r="BZ282" s="65"/>
      <c r="CA282" s="40" t="s">
        <v>3</v>
      </c>
      <c r="CB282" s="65"/>
      <c r="CC282" s="40">
        <v>-29.671074380165294</v>
      </c>
      <c r="CD282" s="40">
        <v>-97.0710743801653</v>
      </c>
      <c r="CE282" s="40">
        <v>-123.47107438016531</v>
      </c>
      <c r="CF282" s="65"/>
      <c r="CG282" s="40">
        <v>-22.671074380165294</v>
      </c>
      <c r="CH282" s="40">
        <v>-82.671074380165294</v>
      </c>
      <c r="CI282" s="40">
        <v>-82.671074380165294</v>
      </c>
      <c r="CJ282" s="40">
        <v>-85.0710743801653</v>
      </c>
      <c r="CK282" s="40">
        <v>-85.0710743801653</v>
      </c>
    </row>
    <row r="283" spans="1:89" s="2" customFormat="1">
      <c r="A283" s="196" t="s">
        <v>1048</v>
      </c>
      <c r="B283" s="211" t="s">
        <v>58</v>
      </c>
      <c r="C283" s="211" t="s">
        <v>742</v>
      </c>
      <c r="D283" s="41">
        <v>184</v>
      </c>
      <c r="E283" s="41">
        <v>0</v>
      </c>
      <c r="F283" s="41" t="s">
        <v>1041</v>
      </c>
      <c r="G283" s="413">
        <v>30</v>
      </c>
      <c r="H283" s="414">
        <v>183.47107438016531</v>
      </c>
      <c r="I283" s="321"/>
      <c r="J283" s="40" t="s">
        <v>3</v>
      </c>
      <c r="K283" s="36" t="s">
        <v>3</v>
      </c>
      <c r="L283" s="37"/>
      <c r="M283" s="35">
        <v>29</v>
      </c>
      <c r="N283" s="136">
        <v>4.2</v>
      </c>
      <c r="O283" s="35">
        <v>0</v>
      </c>
      <c r="P283" s="136">
        <v>2.9000000000000004</v>
      </c>
      <c r="Q283" s="37">
        <v>0</v>
      </c>
      <c r="R283" s="136">
        <v>2</v>
      </c>
      <c r="S283" s="37"/>
      <c r="T283" s="35">
        <v>0</v>
      </c>
      <c r="U283" s="136">
        <v>5.4</v>
      </c>
      <c r="V283" s="35">
        <v>0</v>
      </c>
      <c r="W283" s="136">
        <v>3.4000000000000004</v>
      </c>
      <c r="X283" s="35">
        <v>0</v>
      </c>
      <c r="Y283" s="149">
        <v>3.4000000000000004</v>
      </c>
      <c r="Z283" s="35">
        <v>0</v>
      </c>
      <c r="AA283" s="136">
        <v>3.3000000000000003</v>
      </c>
      <c r="AB283" s="37">
        <v>0</v>
      </c>
      <c r="AC283" s="136">
        <v>3.3000000000000003</v>
      </c>
      <c r="AD283" s="37"/>
      <c r="AE283" s="40">
        <v>1</v>
      </c>
      <c r="AF283" s="65"/>
      <c r="AG283" s="35">
        <v>0</v>
      </c>
      <c r="AH283" s="36">
        <v>0</v>
      </c>
      <c r="AI283" s="37"/>
      <c r="AJ283" s="35">
        <v>29</v>
      </c>
      <c r="AK283" s="36">
        <v>126</v>
      </c>
      <c r="AL283" s="35">
        <v>97</v>
      </c>
      <c r="AM283" s="36">
        <v>87.000000000000014</v>
      </c>
      <c r="AN283" s="35">
        <v>124</v>
      </c>
      <c r="AO283" s="36">
        <v>60</v>
      </c>
      <c r="AP283" s="37"/>
      <c r="AQ283" s="35">
        <v>22</v>
      </c>
      <c r="AR283" s="36">
        <v>162</v>
      </c>
      <c r="AS283" s="35">
        <v>82</v>
      </c>
      <c r="AT283" s="36">
        <v>102.00000000000001</v>
      </c>
      <c r="AU283" s="35">
        <v>82</v>
      </c>
      <c r="AV283" s="36">
        <v>102.00000000000001</v>
      </c>
      <c r="AW283" s="35">
        <v>85</v>
      </c>
      <c r="AX283" s="36">
        <v>99.000000000000014</v>
      </c>
      <c r="AY283" s="35">
        <v>85</v>
      </c>
      <c r="AZ283" s="36">
        <v>99.000000000000014</v>
      </c>
      <c r="BB283" s="40">
        <v>0</v>
      </c>
      <c r="BC283" s="65"/>
      <c r="BD283" s="35">
        <v>0</v>
      </c>
      <c r="BE283" s="36">
        <v>0</v>
      </c>
      <c r="BF283" s="37"/>
      <c r="BG283" s="415">
        <v>0</v>
      </c>
      <c r="BH283" s="353">
        <v>0</v>
      </c>
      <c r="BI283" s="415">
        <v>0</v>
      </c>
      <c r="BJ283" s="353">
        <v>0</v>
      </c>
      <c r="BK283" s="415">
        <v>0</v>
      </c>
      <c r="BL283" s="353">
        <v>0</v>
      </c>
      <c r="BM283" s="416"/>
      <c r="BN283" s="415">
        <v>0</v>
      </c>
      <c r="BO283" s="353">
        <v>0</v>
      </c>
      <c r="BP283" s="415">
        <v>0</v>
      </c>
      <c r="BQ283" s="353">
        <v>0</v>
      </c>
      <c r="BR283" s="415">
        <v>0</v>
      </c>
      <c r="BS283" s="353">
        <v>0</v>
      </c>
      <c r="BT283" s="415">
        <v>0</v>
      </c>
      <c r="BU283" s="353">
        <v>0</v>
      </c>
      <c r="BV283" s="415">
        <v>0</v>
      </c>
      <c r="BW283" s="353">
        <v>0</v>
      </c>
      <c r="BY283" s="80"/>
      <c r="BZ283" s="65"/>
      <c r="CA283" s="40" t="s">
        <v>3</v>
      </c>
      <c r="CB283" s="65"/>
      <c r="CC283" s="40">
        <v>-28.471074380165305</v>
      </c>
      <c r="CD283" s="40">
        <v>-96.471074380165291</v>
      </c>
      <c r="CE283" s="40">
        <v>-123.47107438016531</v>
      </c>
      <c r="CF283" s="65"/>
      <c r="CG283" s="40">
        <v>-21.471074380165305</v>
      </c>
      <c r="CH283" s="40">
        <v>-81.471074380165291</v>
      </c>
      <c r="CI283" s="40">
        <v>-81.471074380165291</v>
      </c>
      <c r="CJ283" s="40">
        <v>-84.471074380165291</v>
      </c>
      <c r="CK283" s="40">
        <v>-84.471074380165291</v>
      </c>
    </row>
    <row r="284" spans="1:89" s="2" customFormat="1">
      <c r="A284" s="196" t="s">
        <v>1049</v>
      </c>
      <c r="B284" s="211" t="s">
        <v>58</v>
      </c>
      <c r="C284" s="211" t="s">
        <v>552</v>
      </c>
      <c r="D284" s="41">
        <v>279</v>
      </c>
      <c r="E284" s="41">
        <v>0</v>
      </c>
      <c r="F284" s="22" t="s">
        <v>1041</v>
      </c>
      <c r="G284" s="40">
        <v>24</v>
      </c>
      <c r="H284" s="388">
        <v>277.68595041322317</v>
      </c>
      <c r="I284" s="321"/>
      <c r="J284" s="40" t="s">
        <v>3</v>
      </c>
      <c r="K284" s="36" t="s">
        <v>3</v>
      </c>
      <c r="L284" s="37"/>
      <c r="M284" s="35">
        <v>39</v>
      </c>
      <c r="N284" s="136">
        <v>7.3000000000000007</v>
      </c>
      <c r="O284" s="35">
        <v>0</v>
      </c>
      <c r="P284" s="136">
        <v>5.8000000000000007</v>
      </c>
      <c r="Q284" s="37">
        <v>0</v>
      </c>
      <c r="R284" s="136">
        <v>5</v>
      </c>
      <c r="S284" s="37"/>
      <c r="T284" s="35">
        <v>0</v>
      </c>
      <c r="U284" s="136">
        <v>8.9</v>
      </c>
      <c r="V284" s="35">
        <v>0</v>
      </c>
      <c r="W284" s="136">
        <v>6.2</v>
      </c>
      <c r="X284" s="35">
        <v>0</v>
      </c>
      <c r="Y284" s="149">
        <v>6.2</v>
      </c>
      <c r="Z284" s="35">
        <v>0</v>
      </c>
      <c r="AA284" s="136">
        <v>6.2</v>
      </c>
      <c r="AB284" s="37">
        <v>0</v>
      </c>
      <c r="AC284" s="136">
        <v>6.2</v>
      </c>
      <c r="AD284" s="37"/>
      <c r="AE284" s="40">
        <v>1</v>
      </c>
      <c r="AF284" s="65"/>
      <c r="AG284" s="35">
        <v>0</v>
      </c>
      <c r="AH284" s="36">
        <v>0</v>
      </c>
      <c r="AI284" s="37"/>
      <c r="AJ284" s="35">
        <v>65</v>
      </c>
      <c r="AK284" s="36">
        <v>175.20000000000002</v>
      </c>
      <c r="AL284" s="35">
        <v>140</v>
      </c>
      <c r="AM284" s="36">
        <v>139.20000000000002</v>
      </c>
      <c r="AN284" s="37">
        <v>159</v>
      </c>
      <c r="AO284" s="36">
        <v>120</v>
      </c>
      <c r="AP284" s="37"/>
      <c r="AQ284" s="35">
        <v>65</v>
      </c>
      <c r="AR284" s="36">
        <v>213.60000000000002</v>
      </c>
      <c r="AS284" s="35">
        <v>130</v>
      </c>
      <c r="AT284" s="36">
        <v>148.80000000000001</v>
      </c>
      <c r="AU284" s="37">
        <v>130</v>
      </c>
      <c r="AV284" s="36">
        <v>148.80000000000001</v>
      </c>
      <c r="AW284" s="37">
        <v>130</v>
      </c>
      <c r="AX284" s="36">
        <v>148.80000000000001</v>
      </c>
      <c r="AY284" s="37">
        <v>130</v>
      </c>
      <c r="AZ284" s="36">
        <v>148.80000000000001</v>
      </c>
      <c r="BB284" s="40">
        <v>0</v>
      </c>
      <c r="BC284" s="65"/>
      <c r="BD284" s="35">
        <v>0</v>
      </c>
      <c r="BE284" s="36">
        <v>0</v>
      </c>
      <c r="BF284" s="37"/>
      <c r="BG284" s="415">
        <v>0</v>
      </c>
      <c r="BH284" s="353">
        <v>0</v>
      </c>
      <c r="BI284" s="415">
        <v>0</v>
      </c>
      <c r="BJ284" s="353">
        <v>0</v>
      </c>
      <c r="BK284" s="415">
        <v>0</v>
      </c>
      <c r="BL284" s="353">
        <v>0</v>
      </c>
      <c r="BM284" s="416"/>
      <c r="BN284" s="415">
        <v>0</v>
      </c>
      <c r="BO284" s="353">
        <v>0</v>
      </c>
      <c r="BP284" s="415">
        <v>0</v>
      </c>
      <c r="BQ284" s="353">
        <v>0</v>
      </c>
      <c r="BR284" s="415">
        <v>0</v>
      </c>
      <c r="BS284" s="353">
        <v>0</v>
      </c>
      <c r="BT284" s="415">
        <v>0</v>
      </c>
      <c r="BU284" s="353">
        <v>-0.10000000000000053</v>
      </c>
      <c r="BV284" s="415">
        <v>0</v>
      </c>
      <c r="BW284" s="353">
        <v>-0.10000000000000053</v>
      </c>
      <c r="BY284" s="80"/>
      <c r="BZ284" s="65"/>
      <c r="CA284" s="40" t="s">
        <v>3</v>
      </c>
      <c r="CB284" s="65"/>
      <c r="CC284" s="40">
        <v>-63.485950413223151</v>
      </c>
      <c r="CD284" s="40">
        <v>-138.48595041322315</v>
      </c>
      <c r="CE284" s="40">
        <v>-157.68595041322317</v>
      </c>
      <c r="CF284" s="65"/>
      <c r="CG284" s="40">
        <v>-64.085950413223145</v>
      </c>
      <c r="CH284" s="40">
        <v>-128.88595041322316</v>
      </c>
      <c r="CI284" s="40">
        <v>-128.88595041322316</v>
      </c>
      <c r="CJ284" s="40">
        <v>-128.88595041322316</v>
      </c>
      <c r="CK284" s="40">
        <v>-128.88595041322316</v>
      </c>
    </row>
    <row r="285" spans="1:89" s="2" customFormat="1">
      <c r="A285" s="196" t="s">
        <v>1050</v>
      </c>
      <c r="B285" s="211" t="s">
        <v>58</v>
      </c>
      <c r="C285" s="211" t="s">
        <v>552</v>
      </c>
      <c r="D285" s="41">
        <v>279</v>
      </c>
      <c r="E285" s="41">
        <v>0</v>
      </c>
      <c r="F285" s="41" t="s">
        <v>1041</v>
      </c>
      <c r="G285" s="413">
        <v>30</v>
      </c>
      <c r="H285" s="414">
        <v>277.68595041322317</v>
      </c>
      <c r="I285" s="321"/>
      <c r="J285" s="40" t="s">
        <v>3</v>
      </c>
      <c r="K285" s="36" t="s">
        <v>3</v>
      </c>
      <c r="L285" s="37"/>
      <c r="M285" s="35">
        <v>39</v>
      </c>
      <c r="N285" s="136">
        <v>5.9</v>
      </c>
      <c r="O285" s="35">
        <v>0</v>
      </c>
      <c r="P285" s="136">
        <v>4.7</v>
      </c>
      <c r="Q285" s="37">
        <v>0</v>
      </c>
      <c r="R285" s="136">
        <v>4</v>
      </c>
      <c r="S285" s="37"/>
      <c r="T285" s="35">
        <v>0</v>
      </c>
      <c r="U285" s="136">
        <v>7.2</v>
      </c>
      <c r="V285" s="35">
        <v>0</v>
      </c>
      <c r="W285" s="136">
        <v>5</v>
      </c>
      <c r="X285" s="35">
        <v>0</v>
      </c>
      <c r="Y285" s="149">
        <v>5</v>
      </c>
      <c r="Z285" s="35">
        <v>0</v>
      </c>
      <c r="AA285" s="136">
        <v>5</v>
      </c>
      <c r="AB285" s="37">
        <v>0</v>
      </c>
      <c r="AC285" s="136">
        <v>5</v>
      </c>
      <c r="AD285" s="37"/>
      <c r="AE285" s="40">
        <v>1</v>
      </c>
      <c r="AF285" s="65"/>
      <c r="AG285" s="35">
        <v>0</v>
      </c>
      <c r="AH285" s="36">
        <v>0</v>
      </c>
      <c r="AI285" s="37"/>
      <c r="AJ285" s="35">
        <v>63</v>
      </c>
      <c r="AK285" s="36">
        <v>177</v>
      </c>
      <c r="AL285" s="35">
        <v>138</v>
      </c>
      <c r="AM285" s="36">
        <v>141</v>
      </c>
      <c r="AN285" s="35">
        <v>159</v>
      </c>
      <c r="AO285" s="36">
        <v>120</v>
      </c>
      <c r="AP285" s="37"/>
      <c r="AQ285" s="35">
        <v>63</v>
      </c>
      <c r="AR285" s="36">
        <v>216</v>
      </c>
      <c r="AS285" s="35">
        <v>129</v>
      </c>
      <c r="AT285" s="36">
        <v>150</v>
      </c>
      <c r="AU285" s="35">
        <v>129</v>
      </c>
      <c r="AV285" s="36">
        <v>150</v>
      </c>
      <c r="AW285" s="35">
        <v>129</v>
      </c>
      <c r="AX285" s="36">
        <v>150</v>
      </c>
      <c r="AY285" s="35">
        <v>129</v>
      </c>
      <c r="AZ285" s="36">
        <v>150</v>
      </c>
      <c r="BB285" s="40">
        <v>0</v>
      </c>
      <c r="BC285" s="65"/>
      <c r="BD285" s="35">
        <v>0</v>
      </c>
      <c r="BE285" s="36">
        <v>0</v>
      </c>
      <c r="BF285" s="37"/>
      <c r="BG285" s="415">
        <v>0</v>
      </c>
      <c r="BH285" s="353">
        <v>0</v>
      </c>
      <c r="BI285" s="415">
        <v>0</v>
      </c>
      <c r="BJ285" s="353">
        <v>0</v>
      </c>
      <c r="BK285" s="415">
        <v>0</v>
      </c>
      <c r="BL285" s="353">
        <v>0</v>
      </c>
      <c r="BM285" s="416"/>
      <c r="BN285" s="415">
        <v>0</v>
      </c>
      <c r="BO285" s="353">
        <v>0</v>
      </c>
      <c r="BP285" s="415">
        <v>0</v>
      </c>
      <c r="BQ285" s="353">
        <v>0</v>
      </c>
      <c r="BR285" s="415">
        <v>0</v>
      </c>
      <c r="BS285" s="353">
        <v>0</v>
      </c>
      <c r="BT285" s="415">
        <v>0</v>
      </c>
      <c r="BU285" s="353">
        <v>0</v>
      </c>
      <c r="BV285" s="415">
        <v>0</v>
      </c>
      <c r="BW285" s="353">
        <v>0</v>
      </c>
      <c r="BY285" s="80"/>
      <c r="BZ285" s="65"/>
      <c r="CA285" s="40" t="s">
        <v>3</v>
      </c>
      <c r="CB285" s="65"/>
      <c r="CC285" s="40">
        <v>-61.685950413223168</v>
      </c>
      <c r="CD285" s="40">
        <v>-136.68595041322317</v>
      </c>
      <c r="CE285" s="40">
        <v>-157.68595041322317</v>
      </c>
      <c r="CF285" s="65"/>
      <c r="CG285" s="40">
        <v>-61.685950413223168</v>
      </c>
      <c r="CH285" s="40">
        <v>-127.68595041322317</v>
      </c>
      <c r="CI285" s="40">
        <v>-127.68595041322317</v>
      </c>
      <c r="CJ285" s="40">
        <v>-127.68595041322317</v>
      </c>
      <c r="CK285" s="40">
        <v>-127.68595041322317</v>
      </c>
    </row>
    <row r="286" spans="1:89" s="2" customFormat="1">
      <c r="A286" s="196" t="s">
        <v>1139</v>
      </c>
      <c r="B286" s="211" t="s">
        <v>58</v>
      </c>
      <c r="C286" s="211" t="s">
        <v>743</v>
      </c>
      <c r="D286" s="41">
        <v>532</v>
      </c>
      <c r="E286" s="41">
        <v>2.5</v>
      </c>
      <c r="F286" s="41" t="s">
        <v>1140</v>
      </c>
      <c r="G286" s="413">
        <v>24</v>
      </c>
      <c r="H286" s="414">
        <v>531.40495867768595</v>
      </c>
      <c r="I286" s="321"/>
      <c r="J286" s="40" t="s">
        <v>3</v>
      </c>
      <c r="K286" s="36" t="s">
        <v>3</v>
      </c>
      <c r="L286" s="37"/>
      <c r="M286" s="35">
        <v>169</v>
      </c>
      <c r="N286" s="136">
        <v>11.200000000000001</v>
      </c>
      <c r="O286" s="35">
        <v>0</v>
      </c>
      <c r="P286" s="136">
        <v>17</v>
      </c>
      <c r="Q286" s="37">
        <v>0</v>
      </c>
      <c r="R286" s="136">
        <v>17</v>
      </c>
      <c r="S286" s="37"/>
      <c r="T286" s="35">
        <v>0</v>
      </c>
      <c r="U286" s="136">
        <v>17</v>
      </c>
      <c r="V286" s="35">
        <v>0</v>
      </c>
      <c r="W286" s="136">
        <v>17</v>
      </c>
      <c r="X286" s="35">
        <v>0</v>
      </c>
      <c r="Y286" s="149">
        <v>17</v>
      </c>
      <c r="Z286" s="35">
        <v>0</v>
      </c>
      <c r="AA286" s="136">
        <v>16.900000000000002</v>
      </c>
      <c r="AB286" s="37">
        <v>0</v>
      </c>
      <c r="AC286" s="136">
        <v>16.900000000000002</v>
      </c>
      <c r="AD286" s="37"/>
      <c r="AE286" s="40">
        <v>1</v>
      </c>
      <c r="AF286" s="65"/>
      <c r="AG286" s="35">
        <v>0</v>
      </c>
      <c r="AH286" s="36">
        <v>0</v>
      </c>
      <c r="AI286" s="37"/>
      <c r="AJ286" s="35">
        <v>94</v>
      </c>
      <c r="AK286" s="36">
        <v>268.8</v>
      </c>
      <c r="AL286" s="35">
        <v>124</v>
      </c>
      <c r="AM286" s="36">
        <v>408</v>
      </c>
      <c r="AN286" s="37">
        <v>124</v>
      </c>
      <c r="AO286" s="36">
        <v>408</v>
      </c>
      <c r="AP286" s="37"/>
      <c r="AQ286" s="35">
        <v>124</v>
      </c>
      <c r="AR286" s="36">
        <v>408</v>
      </c>
      <c r="AS286" s="35">
        <v>124</v>
      </c>
      <c r="AT286" s="36">
        <v>408</v>
      </c>
      <c r="AU286" s="37">
        <v>124</v>
      </c>
      <c r="AV286" s="36">
        <v>408</v>
      </c>
      <c r="AW286" s="37">
        <v>126</v>
      </c>
      <c r="AX286" s="36">
        <v>405.6</v>
      </c>
      <c r="AY286" s="37">
        <v>126</v>
      </c>
      <c r="AZ286" s="36">
        <v>405.6</v>
      </c>
      <c r="BB286" s="40">
        <v>0</v>
      </c>
      <c r="BC286" s="65"/>
      <c r="BD286" s="35">
        <v>0</v>
      </c>
      <c r="BE286" s="36">
        <v>0</v>
      </c>
      <c r="BF286" s="37"/>
      <c r="BG286" s="415">
        <v>0</v>
      </c>
      <c r="BH286" s="353">
        <v>0</v>
      </c>
      <c r="BI286" s="415">
        <v>0</v>
      </c>
      <c r="BJ286" s="353">
        <v>0</v>
      </c>
      <c r="BK286" s="415">
        <v>0</v>
      </c>
      <c r="BL286" s="353">
        <v>0</v>
      </c>
      <c r="BM286" s="416"/>
      <c r="BN286" s="415">
        <v>0</v>
      </c>
      <c r="BO286" s="353">
        <v>0</v>
      </c>
      <c r="BP286" s="415">
        <v>0</v>
      </c>
      <c r="BQ286" s="353">
        <v>0</v>
      </c>
      <c r="BR286" s="415">
        <v>0</v>
      </c>
      <c r="BS286" s="353">
        <v>0</v>
      </c>
      <c r="BT286" s="415">
        <v>0</v>
      </c>
      <c r="BU286" s="353">
        <v>-9.9999999999997868E-2</v>
      </c>
      <c r="BV286" s="415">
        <v>0</v>
      </c>
      <c r="BW286" s="353">
        <v>-9.9999999999997868E-2</v>
      </c>
      <c r="BY286" s="80"/>
      <c r="BZ286" s="65"/>
      <c r="CA286" s="40" t="s">
        <v>3</v>
      </c>
      <c r="CB286" s="65"/>
      <c r="CC286" s="40">
        <v>-93.604958677685943</v>
      </c>
      <c r="CD286" s="40">
        <v>-123.40495867768595</v>
      </c>
      <c r="CE286" s="40">
        <v>-123.40495867768595</v>
      </c>
      <c r="CF286" s="65"/>
      <c r="CG286" s="40">
        <v>-123.40495867768595</v>
      </c>
      <c r="CH286" s="40">
        <v>-123.40495867768595</v>
      </c>
      <c r="CI286" s="40">
        <v>-123.40495867768595</v>
      </c>
      <c r="CJ286" s="40">
        <v>-125.80495867768593</v>
      </c>
      <c r="CK286" s="40">
        <v>-125.80495867768593</v>
      </c>
    </row>
    <row r="287" spans="1:89" s="2" customFormat="1">
      <c r="A287" s="196" t="s">
        <v>1141</v>
      </c>
      <c r="B287" s="211" t="s">
        <v>58</v>
      </c>
      <c r="C287" s="211" t="s">
        <v>743</v>
      </c>
      <c r="D287" s="41">
        <v>532</v>
      </c>
      <c r="E287" s="41">
        <v>2.5</v>
      </c>
      <c r="F287" s="22" t="s">
        <v>1140</v>
      </c>
      <c r="G287" s="40">
        <v>30</v>
      </c>
      <c r="H287" s="388">
        <v>531.40495867768595</v>
      </c>
      <c r="I287" s="321"/>
      <c r="J287" s="40" t="s">
        <v>3</v>
      </c>
      <c r="K287" s="36" t="s">
        <v>3</v>
      </c>
      <c r="L287" s="37"/>
      <c r="M287" s="35">
        <v>169</v>
      </c>
      <c r="N287" s="136">
        <v>9</v>
      </c>
      <c r="O287" s="35">
        <v>0</v>
      </c>
      <c r="P287" s="136">
        <v>13.600000000000001</v>
      </c>
      <c r="Q287" s="37">
        <v>0</v>
      </c>
      <c r="R287" s="136">
        <v>13.600000000000001</v>
      </c>
      <c r="S287" s="37"/>
      <c r="T287" s="35">
        <v>0</v>
      </c>
      <c r="U287" s="136">
        <v>13.600000000000001</v>
      </c>
      <c r="V287" s="35">
        <v>0</v>
      </c>
      <c r="W287" s="136">
        <v>13.600000000000001</v>
      </c>
      <c r="X287" s="35">
        <v>0</v>
      </c>
      <c r="Y287" s="149">
        <v>13.600000000000001</v>
      </c>
      <c r="Z287" s="35">
        <v>0</v>
      </c>
      <c r="AA287" s="136">
        <v>13.5</v>
      </c>
      <c r="AB287" s="37">
        <v>0</v>
      </c>
      <c r="AC287" s="136">
        <v>13.5</v>
      </c>
      <c r="AD287" s="37"/>
      <c r="AE287" s="40">
        <v>1</v>
      </c>
      <c r="AF287" s="65"/>
      <c r="AG287" s="35">
        <v>0</v>
      </c>
      <c r="AH287" s="36">
        <v>0</v>
      </c>
      <c r="AI287" s="37"/>
      <c r="AJ287" s="35">
        <v>93</v>
      </c>
      <c r="AK287" s="36">
        <v>270</v>
      </c>
      <c r="AL287" s="35">
        <v>124</v>
      </c>
      <c r="AM287" s="36">
        <v>408.00000000000006</v>
      </c>
      <c r="AN287" s="35">
        <v>124</v>
      </c>
      <c r="AO287" s="36">
        <v>408.00000000000006</v>
      </c>
      <c r="AP287" s="37"/>
      <c r="AQ287" s="35">
        <v>124</v>
      </c>
      <c r="AR287" s="36">
        <v>408.00000000000006</v>
      </c>
      <c r="AS287" s="35">
        <v>124</v>
      </c>
      <c r="AT287" s="36">
        <v>408.00000000000006</v>
      </c>
      <c r="AU287" s="35">
        <v>124</v>
      </c>
      <c r="AV287" s="36">
        <v>408.00000000000006</v>
      </c>
      <c r="AW287" s="35">
        <v>127</v>
      </c>
      <c r="AX287" s="36">
        <v>405</v>
      </c>
      <c r="AY287" s="35">
        <v>127</v>
      </c>
      <c r="AZ287" s="36">
        <v>405</v>
      </c>
      <c r="BB287" s="40">
        <v>0</v>
      </c>
      <c r="BC287" s="65"/>
      <c r="BD287" s="35">
        <v>0</v>
      </c>
      <c r="BE287" s="36">
        <v>0</v>
      </c>
      <c r="BF287" s="37"/>
      <c r="BG287" s="415">
        <v>0</v>
      </c>
      <c r="BH287" s="353">
        <v>0</v>
      </c>
      <c r="BI287" s="415">
        <v>0</v>
      </c>
      <c r="BJ287" s="353">
        <v>0</v>
      </c>
      <c r="BK287" s="415">
        <v>0</v>
      </c>
      <c r="BL287" s="353">
        <v>0</v>
      </c>
      <c r="BM287" s="416"/>
      <c r="BN287" s="415">
        <v>0</v>
      </c>
      <c r="BO287" s="353">
        <v>0</v>
      </c>
      <c r="BP287" s="415">
        <v>0</v>
      </c>
      <c r="BQ287" s="353">
        <v>0</v>
      </c>
      <c r="BR287" s="415">
        <v>0</v>
      </c>
      <c r="BS287" s="353">
        <v>0</v>
      </c>
      <c r="BT287" s="415">
        <v>0</v>
      </c>
      <c r="BU287" s="353">
        <v>-0.10000000000000142</v>
      </c>
      <c r="BV287" s="415">
        <v>0</v>
      </c>
      <c r="BW287" s="353">
        <v>-0.10000000000000142</v>
      </c>
      <c r="BY287" s="80"/>
      <c r="BZ287" s="65"/>
      <c r="CA287" s="40" t="s">
        <v>3</v>
      </c>
      <c r="CB287" s="65"/>
      <c r="CC287" s="40">
        <v>-92.404958677685954</v>
      </c>
      <c r="CD287" s="40">
        <v>-123.4049586776859</v>
      </c>
      <c r="CE287" s="40">
        <v>-123.4049586776859</v>
      </c>
      <c r="CF287" s="65"/>
      <c r="CG287" s="40">
        <v>-123.4049586776859</v>
      </c>
      <c r="CH287" s="40">
        <v>-123.4049586776859</v>
      </c>
      <c r="CI287" s="40">
        <v>-123.4049586776859</v>
      </c>
      <c r="CJ287" s="40">
        <v>-126.40495867768595</v>
      </c>
      <c r="CK287" s="40">
        <v>-126.40495867768595</v>
      </c>
    </row>
    <row r="288" spans="1:89" s="2" customFormat="1">
      <c r="A288" s="196" t="s">
        <v>1142</v>
      </c>
      <c r="B288" s="211" t="s">
        <v>58</v>
      </c>
      <c r="C288" s="211" t="s">
        <v>744</v>
      </c>
      <c r="D288" s="41">
        <v>555</v>
      </c>
      <c r="E288" s="41">
        <v>2.5</v>
      </c>
      <c r="F288" s="41" t="s">
        <v>1140</v>
      </c>
      <c r="G288" s="413">
        <v>24</v>
      </c>
      <c r="H288" s="414">
        <v>554.54545454545462</v>
      </c>
      <c r="I288" s="321"/>
      <c r="J288" s="40" t="s">
        <v>3</v>
      </c>
      <c r="K288" s="36" t="s">
        <v>3</v>
      </c>
      <c r="L288" s="37"/>
      <c r="M288" s="35">
        <v>169</v>
      </c>
      <c r="N288" s="136">
        <v>12</v>
      </c>
      <c r="O288" s="35">
        <v>0</v>
      </c>
      <c r="P288" s="136">
        <v>18</v>
      </c>
      <c r="Q288" s="37">
        <v>0</v>
      </c>
      <c r="R288" s="136">
        <v>18</v>
      </c>
      <c r="S288" s="37"/>
      <c r="T288" s="35">
        <v>0</v>
      </c>
      <c r="U288" s="136">
        <v>18</v>
      </c>
      <c r="V288" s="35">
        <v>0</v>
      </c>
      <c r="W288" s="136">
        <v>18</v>
      </c>
      <c r="X288" s="35">
        <v>0</v>
      </c>
      <c r="Y288" s="149">
        <v>18</v>
      </c>
      <c r="Z288" s="35">
        <v>0</v>
      </c>
      <c r="AA288" s="136">
        <v>18</v>
      </c>
      <c r="AB288" s="37">
        <v>0</v>
      </c>
      <c r="AC288" s="136">
        <v>18</v>
      </c>
      <c r="AD288" s="37"/>
      <c r="AE288" s="40">
        <v>0</v>
      </c>
      <c r="AF288" s="65"/>
      <c r="AG288" s="35">
        <v>0</v>
      </c>
      <c r="AH288" s="36">
        <v>0</v>
      </c>
      <c r="AI288" s="37"/>
      <c r="AJ288" s="35">
        <v>98</v>
      </c>
      <c r="AK288" s="36">
        <v>288</v>
      </c>
      <c r="AL288" s="35">
        <v>123</v>
      </c>
      <c r="AM288" s="36">
        <v>432</v>
      </c>
      <c r="AN288" s="37">
        <v>123</v>
      </c>
      <c r="AO288" s="36">
        <v>432</v>
      </c>
      <c r="AP288" s="37"/>
      <c r="AQ288" s="35">
        <v>123</v>
      </c>
      <c r="AR288" s="36">
        <v>432</v>
      </c>
      <c r="AS288" s="35">
        <v>123</v>
      </c>
      <c r="AT288" s="36">
        <v>432</v>
      </c>
      <c r="AU288" s="37">
        <v>123</v>
      </c>
      <c r="AV288" s="36">
        <v>432</v>
      </c>
      <c r="AW288" s="37">
        <v>123</v>
      </c>
      <c r="AX288" s="36">
        <v>432</v>
      </c>
      <c r="AY288" s="37">
        <v>123</v>
      </c>
      <c r="AZ288" s="36">
        <v>432</v>
      </c>
      <c r="BB288" s="40">
        <v>0</v>
      </c>
      <c r="BC288" s="65"/>
      <c r="BD288" s="35">
        <v>0</v>
      </c>
      <c r="BE288" s="36">
        <v>0</v>
      </c>
      <c r="BF288" s="37"/>
      <c r="BG288" s="415">
        <v>0</v>
      </c>
      <c r="BH288" s="353">
        <v>0</v>
      </c>
      <c r="BI288" s="415">
        <v>0</v>
      </c>
      <c r="BJ288" s="353">
        <v>0</v>
      </c>
      <c r="BK288" s="415">
        <v>0</v>
      </c>
      <c r="BL288" s="353">
        <v>0</v>
      </c>
      <c r="BM288" s="416"/>
      <c r="BN288" s="415">
        <v>0</v>
      </c>
      <c r="BO288" s="353">
        <v>0</v>
      </c>
      <c r="BP288" s="415">
        <v>0</v>
      </c>
      <c r="BQ288" s="353">
        <v>0</v>
      </c>
      <c r="BR288" s="415">
        <v>0</v>
      </c>
      <c r="BS288" s="353">
        <v>0</v>
      </c>
      <c r="BT288" s="415">
        <v>0</v>
      </c>
      <c r="BU288" s="353">
        <v>0</v>
      </c>
      <c r="BV288" s="415">
        <v>0</v>
      </c>
      <c r="BW288" s="353">
        <v>0</v>
      </c>
      <c r="BY288" s="80"/>
      <c r="BZ288" s="65"/>
      <c r="CA288" s="40" t="s">
        <v>3</v>
      </c>
      <c r="CB288" s="65"/>
      <c r="CC288" s="40">
        <v>-97.545454545454618</v>
      </c>
      <c r="CD288" s="40">
        <v>-122.54545454545462</v>
      </c>
      <c r="CE288" s="40">
        <v>-122.54545454545462</v>
      </c>
      <c r="CF288" s="65"/>
      <c r="CG288" s="40">
        <v>-122.54545454545462</v>
      </c>
      <c r="CH288" s="40">
        <v>-122.54545454545462</v>
      </c>
      <c r="CI288" s="40">
        <v>-122.54545454545462</v>
      </c>
      <c r="CJ288" s="40">
        <v>-122.54545454545462</v>
      </c>
      <c r="CK288" s="40">
        <v>-122.54545454545462</v>
      </c>
    </row>
    <row r="289" spans="1:89" s="2" customFormat="1">
      <c r="A289" s="196" t="s">
        <v>1143</v>
      </c>
      <c r="B289" s="211" t="s">
        <v>58</v>
      </c>
      <c r="C289" s="211" t="s">
        <v>744</v>
      </c>
      <c r="D289" s="41">
        <v>555</v>
      </c>
      <c r="E289" s="41">
        <v>2.5</v>
      </c>
      <c r="F289" s="22" t="s">
        <v>1140</v>
      </c>
      <c r="G289" s="40">
        <v>30</v>
      </c>
      <c r="H289" s="388">
        <v>554.54545454545462</v>
      </c>
      <c r="I289" s="321"/>
      <c r="J289" s="40" t="s">
        <v>3</v>
      </c>
      <c r="K289" s="36" t="s">
        <v>3</v>
      </c>
      <c r="L289" s="37"/>
      <c r="M289" s="35">
        <v>169</v>
      </c>
      <c r="N289" s="136">
        <v>9.6000000000000014</v>
      </c>
      <c r="O289" s="35">
        <v>0</v>
      </c>
      <c r="P289" s="136">
        <v>14.4</v>
      </c>
      <c r="Q289" s="37">
        <v>0</v>
      </c>
      <c r="R289" s="136">
        <v>14.4</v>
      </c>
      <c r="S289" s="37"/>
      <c r="T289" s="35">
        <v>0</v>
      </c>
      <c r="U289" s="136">
        <v>14.4</v>
      </c>
      <c r="V289" s="35">
        <v>0</v>
      </c>
      <c r="W289" s="136">
        <v>14.4</v>
      </c>
      <c r="X289" s="35">
        <v>0</v>
      </c>
      <c r="Y289" s="149">
        <v>14.4</v>
      </c>
      <c r="Z289" s="35">
        <v>0</v>
      </c>
      <c r="AA289" s="136">
        <v>14.4</v>
      </c>
      <c r="AB289" s="37">
        <v>0</v>
      </c>
      <c r="AC289" s="136">
        <v>14.4</v>
      </c>
      <c r="AD289" s="37"/>
      <c r="AE289" s="40">
        <v>0</v>
      </c>
      <c r="AF289" s="65"/>
      <c r="AG289" s="35">
        <v>0</v>
      </c>
      <c r="AH289" s="36">
        <v>0</v>
      </c>
      <c r="AI289" s="37"/>
      <c r="AJ289" s="35">
        <v>98</v>
      </c>
      <c r="AK289" s="36">
        <v>288.00000000000006</v>
      </c>
      <c r="AL289" s="35">
        <v>123</v>
      </c>
      <c r="AM289" s="36">
        <v>432</v>
      </c>
      <c r="AN289" s="35">
        <v>123</v>
      </c>
      <c r="AO289" s="36">
        <v>432</v>
      </c>
      <c r="AP289" s="37"/>
      <c r="AQ289" s="35">
        <v>123</v>
      </c>
      <c r="AR289" s="36">
        <v>432</v>
      </c>
      <c r="AS289" s="35">
        <v>123</v>
      </c>
      <c r="AT289" s="36">
        <v>432</v>
      </c>
      <c r="AU289" s="35">
        <v>123</v>
      </c>
      <c r="AV289" s="36">
        <v>432</v>
      </c>
      <c r="AW289" s="35">
        <v>123</v>
      </c>
      <c r="AX289" s="36">
        <v>432</v>
      </c>
      <c r="AY289" s="35">
        <v>123</v>
      </c>
      <c r="AZ289" s="36">
        <v>432</v>
      </c>
      <c r="BB289" s="40">
        <v>0</v>
      </c>
      <c r="BC289" s="65"/>
      <c r="BD289" s="35">
        <v>0</v>
      </c>
      <c r="BE289" s="36">
        <v>0</v>
      </c>
      <c r="BF289" s="37"/>
      <c r="BG289" s="415">
        <v>0</v>
      </c>
      <c r="BH289" s="353">
        <v>0</v>
      </c>
      <c r="BI289" s="415">
        <v>0</v>
      </c>
      <c r="BJ289" s="353">
        <v>0</v>
      </c>
      <c r="BK289" s="415">
        <v>0</v>
      </c>
      <c r="BL289" s="353">
        <v>0</v>
      </c>
      <c r="BM289" s="416"/>
      <c r="BN289" s="415">
        <v>0</v>
      </c>
      <c r="BO289" s="353">
        <v>0</v>
      </c>
      <c r="BP289" s="415">
        <v>0</v>
      </c>
      <c r="BQ289" s="353">
        <v>0</v>
      </c>
      <c r="BR289" s="415">
        <v>0</v>
      </c>
      <c r="BS289" s="353">
        <v>0</v>
      </c>
      <c r="BT289" s="415">
        <v>0</v>
      </c>
      <c r="BU289" s="353">
        <v>0</v>
      </c>
      <c r="BV289" s="415">
        <v>0</v>
      </c>
      <c r="BW289" s="353">
        <v>0</v>
      </c>
      <c r="BY289" s="80"/>
      <c r="BZ289" s="65"/>
      <c r="CA289" s="40" t="s">
        <v>3</v>
      </c>
      <c r="CB289" s="65"/>
      <c r="CC289" s="40">
        <v>-97.545454545454561</v>
      </c>
      <c r="CD289" s="40">
        <v>-122.54545454545462</v>
      </c>
      <c r="CE289" s="40">
        <v>-122.54545454545462</v>
      </c>
      <c r="CF289" s="65"/>
      <c r="CG289" s="40">
        <v>-122.54545454545462</v>
      </c>
      <c r="CH289" s="40">
        <v>-122.54545454545462</v>
      </c>
      <c r="CI289" s="40">
        <v>-122.54545454545462</v>
      </c>
      <c r="CJ289" s="40">
        <v>-122.54545454545462</v>
      </c>
      <c r="CK289" s="40">
        <v>-122.54545454545462</v>
      </c>
    </row>
    <row r="290" spans="1:89" s="2" customFormat="1">
      <c r="A290" s="196" t="s">
        <v>1144</v>
      </c>
      <c r="B290" s="211" t="s">
        <v>58</v>
      </c>
      <c r="C290" s="211" t="s">
        <v>745</v>
      </c>
      <c r="D290" s="41">
        <v>423</v>
      </c>
      <c r="E290" s="41">
        <v>2.5</v>
      </c>
      <c r="F290" s="41" t="s">
        <v>1140</v>
      </c>
      <c r="G290" s="413">
        <v>24</v>
      </c>
      <c r="H290" s="414">
        <v>422.31404958677689</v>
      </c>
      <c r="I290" s="321"/>
      <c r="J290" s="40" t="s">
        <v>3</v>
      </c>
      <c r="K290" s="36" t="s">
        <v>3</v>
      </c>
      <c r="L290" s="37"/>
      <c r="M290" s="35">
        <v>139</v>
      </c>
      <c r="N290" s="136">
        <v>8.3000000000000007</v>
      </c>
      <c r="O290" s="35">
        <v>0</v>
      </c>
      <c r="P290" s="136">
        <v>13.3</v>
      </c>
      <c r="Q290" s="37">
        <v>0</v>
      </c>
      <c r="R290" s="136">
        <v>13.3</v>
      </c>
      <c r="S290" s="37"/>
      <c r="T290" s="35">
        <v>0</v>
      </c>
      <c r="U290" s="136">
        <v>13.3</v>
      </c>
      <c r="V290" s="35">
        <v>0</v>
      </c>
      <c r="W290" s="136">
        <v>13.3</v>
      </c>
      <c r="X290" s="35">
        <v>0</v>
      </c>
      <c r="Y290" s="149">
        <v>13.3</v>
      </c>
      <c r="Z290" s="35">
        <v>0</v>
      </c>
      <c r="AA290" s="136">
        <v>13.200000000000001</v>
      </c>
      <c r="AB290" s="37">
        <v>0</v>
      </c>
      <c r="AC290" s="136">
        <v>13.200000000000001</v>
      </c>
      <c r="AD290" s="37"/>
      <c r="AE290" s="40">
        <v>1</v>
      </c>
      <c r="AF290" s="65"/>
      <c r="AG290" s="35">
        <v>0</v>
      </c>
      <c r="AH290" s="36">
        <v>0</v>
      </c>
      <c r="AI290" s="37"/>
      <c r="AJ290" s="35">
        <v>85</v>
      </c>
      <c r="AK290" s="36">
        <v>199.20000000000002</v>
      </c>
      <c r="AL290" s="35">
        <v>104</v>
      </c>
      <c r="AM290" s="36">
        <v>319.20000000000005</v>
      </c>
      <c r="AN290" s="37">
        <v>104</v>
      </c>
      <c r="AO290" s="36">
        <v>319.20000000000005</v>
      </c>
      <c r="AP290" s="37"/>
      <c r="AQ290" s="35">
        <v>104</v>
      </c>
      <c r="AR290" s="36">
        <v>319.20000000000005</v>
      </c>
      <c r="AS290" s="35">
        <v>104</v>
      </c>
      <c r="AT290" s="36">
        <v>319.20000000000005</v>
      </c>
      <c r="AU290" s="37">
        <v>104</v>
      </c>
      <c r="AV290" s="36">
        <v>319.20000000000005</v>
      </c>
      <c r="AW290" s="37">
        <v>106</v>
      </c>
      <c r="AX290" s="36">
        <v>316.8</v>
      </c>
      <c r="AY290" s="37">
        <v>106</v>
      </c>
      <c r="AZ290" s="36">
        <v>316.8</v>
      </c>
      <c r="BB290" s="40">
        <v>0</v>
      </c>
      <c r="BC290" s="65"/>
      <c r="BD290" s="35">
        <v>0</v>
      </c>
      <c r="BE290" s="36">
        <v>0</v>
      </c>
      <c r="BF290" s="37"/>
      <c r="BG290" s="415">
        <v>0</v>
      </c>
      <c r="BH290" s="353">
        <v>0</v>
      </c>
      <c r="BI290" s="415">
        <v>0</v>
      </c>
      <c r="BJ290" s="353">
        <v>0</v>
      </c>
      <c r="BK290" s="415">
        <v>0</v>
      </c>
      <c r="BL290" s="353">
        <v>0</v>
      </c>
      <c r="BM290" s="416"/>
      <c r="BN290" s="415">
        <v>0</v>
      </c>
      <c r="BO290" s="353">
        <v>0</v>
      </c>
      <c r="BP290" s="415">
        <v>0</v>
      </c>
      <c r="BQ290" s="353">
        <v>0</v>
      </c>
      <c r="BR290" s="415">
        <v>0</v>
      </c>
      <c r="BS290" s="353">
        <v>0</v>
      </c>
      <c r="BT290" s="415">
        <v>0</v>
      </c>
      <c r="BU290" s="353">
        <v>-9.9999999999999645E-2</v>
      </c>
      <c r="BV290" s="415">
        <v>0</v>
      </c>
      <c r="BW290" s="353">
        <v>-9.9999999999999645E-2</v>
      </c>
      <c r="BY290" s="80"/>
      <c r="BZ290" s="65"/>
      <c r="CA290" s="40" t="s">
        <v>3</v>
      </c>
      <c r="CB290" s="65"/>
      <c r="CC290" s="40">
        <v>-84.114049586776844</v>
      </c>
      <c r="CD290" s="40">
        <v>-103.11404958677684</v>
      </c>
      <c r="CE290" s="40">
        <v>-103.11404958677684</v>
      </c>
      <c r="CF290" s="65"/>
      <c r="CG290" s="40">
        <v>-103.11404958677684</v>
      </c>
      <c r="CH290" s="40">
        <v>-103.11404958677684</v>
      </c>
      <c r="CI290" s="40">
        <v>-103.11404958677684</v>
      </c>
      <c r="CJ290" s="40">
        <v>-105.51404958677688</v>
      </c>
      <c r="CK290" s="40">
        <v>-105.51404958677688</v>
      </c>
    </row>
    <row r="291" spans="1:89" s="2" customFormat="1">
      <c r="A291" s="196" t="s">
        <v>1145</v>
      </c>
      <c r="B291" s="211" t="s">
        <v>58</v>
      </c>
      <c r="C291" s="211" t="s">
        <v>745</v>
      </c>
      <c r="D291" s="41">
        <v>423</v>
      </c>
      <c r="E291" s="41">
        <v>2.5</v>
      </c>
      <c r="F291" s="22" t="s">
        <v>1140</v>
      </c>
      <c r="G291" s="40">
        <v>30</v>
      </c>
      <c r="H291" s="388">
        <v>422.31404958677689</v>
      </c>
      <c r="I291" s="321"/>
      <c r="J291" s="40" t="s">
        <v>3</v>
      </c>
      <c r="K291" s="36" t="s">
        <v>3</v>
      </c>
      <c r="L291" s="37"/>
      <c r="M291" s="35">
        <v>139</v>
      </c>
      <c r="N291" s="136">
        <v>6.7</v>
      </c>
      <c r="O291" s="35">
        <v>0</v>
      </c>
      <c r="P291" s="136">
        <v>10.700000000000001</v>
      </c>
      <c r="Q291" s="37">
        <v>0</v>
      </c>
      <c r="R291" s="136">
        <v>10.700000000000001</v>
      </c>
      <c r="S291" s="37"/>
      <c r="T291" s="35">
        <v>0</v>
      </c>
      <c r="U291" s="136">
        <v>10.700000000000001</v>
      </c>
      <c r="V291" s="35">
        <v>0</v>
      </c>
      <c r="W291" s="136">
        <v>10.700000000000001</v>
      </c>
      <c r="X291" s="35">
        <v>0</v>
      </c>
      <c r="Y291" s="149">
        <v>10.700000000000001</v>
      </c>
      <c r="Z291" s="35">
        <v>0</v>
      </c>
      <c r="AA291" s="136">
        <v>10.600000000000001</v>
      </c>
      <c r="AB291" s="37">
        <v>0</v>
      </c>
      <c r="AC291" s="136">
        <v>10.600000000000001</v>
      </c>
      <c r="AD291" s="37"/>
      <c r="AE291" s="40">
        <v>1</v>
      </c>
      <c r="AF291" s="65"/>
      <c r="AG291" s="35">
        <v>0</v>
      </c>
      <c r="AH291" s="36">
        <v>0</v>
      </c>
      <c r="AI291" s="37"/>
      <c r="AJ291" s="35">
        <v>83</v>
      </c>
      <c r="AK291" s="36">
        <v>201</v>
      </c>
      <c r="AL291" s="35">
        <v>102</v>
      </c>
      <c r="AM291" s="36">
        <v>321.00000000000006</v>
      </c>
      <c r="AN291" s="35">
        <v>102</v>
      </c>
      <c r="AO291" s="36">
        <v>321.00000000000006</v>
      </c>
      <c r="AP291" s="37"/>
      <c r="AQ291" s="35">
        <v>102</v>
      </c>
      <c r="AR291" s="36">
        <v>321.00000000000006</v>
      </c>
      <c r="AS291" s="35">
        <v>102</v>
      </c>
      <c r="AT291" s="36">
        <v>321.00000000000006</v>
      </c>
      <c r="AU291" s="35">
        <v>102</v>
      </c>
      <c r="AV291" s="36">
        <v>321.00000000000006</v>
      </c>
      <c r="AW291" s="35">
        <v>105</v>
      </c>
      <c r="AX291" s="36">
        <v>318.00000000000006</v>
      </c>
      <c r="AY291" s="35">
        <v>105</v>
      </c>
      <c r="AZ291" s="36">
        <v>318.00000000000006</v>
      </c>
      <c r="BB291" s="40">
        <v>0</v>
      </c>
      <c r="BC291" s="65"/>
      <c r="BD291" s="35">
        <v>0</v>
      </c>
      <c r="BE291" s="36">
        <v>0</v>
      </c>
      <c r="BF291" s="37"/>
      <c r="BG291" s="415">
        <v>0</v>
      </c>
      <c r="BH291" s="353">
        <v>0</v>
      </c>
      <c r="BI291" s="415">
        <v>0</v>
      </c>
      <c r="BJ291" s="353">
        <v>0</v>
      </c>
      <c r="BK291" s="415">
        <v>0</v>
      </c>
      <c r="BL291" s="353">
        <v>0</v>
      </c>
      <c r="BM291" s="416"/>
      <c r="BN291" s="415">
        <v>0</v>
      </c>
      <c r="BO291" s="353">
        <v>0</v>
      </c>
      <c r="BP291" s="415">
        <v>0</v>
      </c>
      <c r="BQ291" s="353">
        <v>0</v>
      </c>
      <c r="BR291" s="415">
        <v>0</v>
      </c>
      <c r="BS291" s="353">
        <v>0</v>
      </c>
      <c r="BT291" s="415">
        <v>0</v>
      </c>
      <c r="BU291" s="353">
        <v>0</v>
      </c>
      <c r="BV291" s="415">
        <v>0</v>
      </c>
      <c r="BW291" s="353">
        <v>0</v>
      </c>
      <c r="BY291" s="80"/>
      <c r="BZ291" s="65"/>
      <c r="CA291" s="40" t="s">
        <v>3</v>
      </c>
      <c r="CB291" s="65"/>
      <c r="CC291" s="40">
        <v>-82.314049586776889</v>
      </c>
      <c r="CD291" s="40">
        <v>-101.31404958677683</v>
      </c>
      <c r="CE291" s="40">
        <v>-101.31404958677683</v>
      </c>
      <c r="CF291" s="65"/>
      <c r="CG291" s="40">
        <v>-101.31404958677683</v>
      </c>
      <c r="CH291" s="40">
        <v>-101.31404958677683</v>
      </c>
      <c r="CI291" s="40">
        <v>-101.31404958677683</v>
      </c>
      <c r="CJ291" s="40">
        <v>-104.31404958677683</v>
      </c>
      <c r="CK291" s="40">
        <v>-104.31404958677683</v>
      </c>
    </row>
    <row r="292" spans="1:89" s="2" customFormat="1">
      <c r="A292" s="196" t="s">
        <v>1146</v>
      </c>
      <c r="B292" s="211" t="s">
        <v>58</v>
      </c>
      <c r="C292" s="211" t="s">
        <v>746</v>
      </c>
      <c r="D292" s="41">
        <v>445</v>
      </c>
      <c r="E292" s="41">
        <v>2.5</v>
      </c>
      <c r="F292" s="41" t="s">
        <v>1140</v>
      </c>
      <c r="G292" s="413">
        <v>24</v>
      </c>
      <c r="H292" s="414">
        <v>444.62809917355372</v>
      </c>
      <c r="I292" s="321"/>
      <c r="J292" s="40" t="s">
        <v>3</v>
      </c>
      <c r="K292" s="36" t="s">
        <v>3</v>
      </c>
      <c r="L292" s="37"/>
      <c r="M292" s="35">
        <v>149</v>
      </c>
      <c r="N292" s="136">
        <v>8.9</v>
      </c>
      <c r="O292" s="35">
        <v>0</v>
      </c>
      <c r="P292" s="136">
        <v>14.100000000000001</v>
      </c>
      <c r="Q292" s="37">
        <v>0</v>
      </c>
      <c r="R292" s="136">
        <v>14.100000000000001</v>
      </c>
      <c r="S292" s="37"/>
      <c r="T292" s="35">
        <v>0</v>
      </c>
      <c r="U292" s="136">
        <v>14.100000000000001</v>
      </c>
      <c r="V292" s="35">
        <v>0</v>
      </c>
      <c r="W292" s="136">
        <v>14.100000000000001</v>
      </c>
      <c r="X292" s="35">
        <v>0</v>
      </c>
      <c r="Y292" s="149">
        <v>14.100000000000001</v>
      </c>
      <c r="Z292" s="35">
        <v>0</v>
      </c>
      <c r="AA292" s="136">
        <v>14</v>
      </c>
      <c r="AB292" s="37">
        <v>0</v>
      </c>
      <c r="AC292" s="136">
        <v>14</v>
      </c>
      <c r="AD292" s="37"/>
      <c r="AE292" s="40">
        <v>0</v>
      </c>
      <c r="AF292" s="65"/>
      <c r="AG292" s="35">
        <v>0</v>
      </c>
      <c r="AH292" s="36">
        <v>0</v>
      </c>
      <c r="AI292" s="37"/>
      <c r="AJ292" s="35">
        <v>82</v>
      </c>
      <c r="AK292" s="36">
        <v>213.60000000000002</v>
      </c>
      <c r="AL292" s="35">
        <v>107</v>
      </c>
      <c r="AM292" s="36">
        <v>338.40000000000003</v>
      </c>
      <c r="AN292" s="37">
        <v>107</v>
      </c>
      <c r="AO292" s="36">
        <v>338.40000000000003</v>
      </c>
      <c r="AP292" s="37"/>
      <c r="AQ292" s="35">
        <v>107</v>
      </c>
      <c r="AR292" s="36">
        <v>338.40000000000003</v>
      </c>
      <c r="AS292" s="35">
        <v>107</v>
      </c>
      <c r="AT292" s="36">
        <v>338.40000000000003</v>
      </c>
      <c r="AU292" s="37">
        <v>107</v>
      </c>
      <c r="AV292" s="36">
        <v>338.40000000000003</v>
      </c>
      <c r="AW292" s="37">
        <v>109</v>
      </c>
      <c r="AX292" s="36">
        <v>336</v>
      </c>
      <c r="AY292" s="37">
        <v>109</v>
      </c>
      <c r="AZ292" s="36">
        <v>336</v>
      </c>
      <c r="BB292" s="40">
        <v>0</v>
      </c>
      <c r="BC292" s="65"/>
      <c r="BD292" s="35">
        <v>0</v>
      </c>
      <c r="BE292" s="36">
        <v>0</v>
      </c>
      <c r="BF292" s="37"/>
      <c r="BG292" s="415">
        <v>0</v>
      </c>
      <c r="BH292" s="353">
        <v>0</v>
      </c>
      <c r="BI292" s="415">
        <v>0</v>
      </c>
      <c r="BJ292" s="353">
        <v>0</v>
      </c>
      <c r="BK292" s="415">
        <v>0</v>
      </c>
      <c r="BL292" s="353">
        <v>0</v>
      </c>
      <c r="BM292" s="416"/>
      <c r="BN292" s="415">
        <v>0</v>
      </c>
      <c r="BO292" s="353">
        <v>0</v>
      </c>
      <c r="BP292" s="415">
        <v>0</v>
      </c>
      <c r="BQ292" s="353">
        <v>0</v>
      </c>
      <c r="BR292" s="415">
        <v>0</v>
      </c>
      <c r="BS292" s="353">
        <v>0</v>
      </c>
      <c r="BT292" s="415">
        <v>0</v>
      </c>
      <c r="BU292" s="353">
        <v>0</v>
      </c>
      <c r="BV292" s="415">
        <v>0</v>
      </c>
      <c r="BW292" s="353">
        <v>0</v>
      </c>
      <c r="BY292" s="80"/>
      <c r="BZ292" s="65"/>
      <c r="CA292" s="40" t="s">
        <v>3</v>
      </c>
      <c r="CB292" s="65"/>
      <c r="CC292" s="40">
        <v>-82.028099173553699</v>
      </c>
      <c r="CD292" s="40">
        <v>-106.22809917355369</v>
      </c>
      <c r="CE292" s="40">
        <v>-106.22809917355369</v>
      </c>
      <c r="CF292" s="65"/>
      <c r="CG292" s="40">
        <v>-106.22809917355369</v>
      </c>
      <c r="CH292" s="40">
        <v>-106.22809917355369</v>
      </c>
      <c r="CI292" s="40">
        <v>-106.22809917355369</v>
      </c>
      <c r="CJ292" s="40">
        <v>-108.62809917355372</v>
      </c>
      <c r="CK292" s="40">
        <v>-108.62809917355372</v>
      </c>
    </row>
    <row r="293" spans="1:89" s="2" customFormat="1">
      <c r="A293" s="196" t="s">
        <v>1147</v>
      </c>
      <c r="B293" s="211" t="s">
        <v>58</v>
      </c>
      <c r="C293" s="211" t="s">
        <v>746</v>
      </c>
      <c r="D293" s="41">
        <v>445</v>
      </c>
      <c r="E293" s="41">
        <v>2.5</v>
      </c>
      <c r="F293" s="22" t="s">
        <v>1140</v>
      </c>
      <c r="G293" s="40">
        <v>30</v>
      </c>
      <c r="H293" s="388">
        <v>444.62809917355372</v>
      </c>
      <c r="I293" s="321"/>
      <c r="J293" s="40" t="s">
        <v>3</v>
      </c>
      <c r="K293" s="36" t="s">
        <v>3</v>
      </c>
      <c r="L293" s="37"/>
      <c r="M293" s="35">
        <v>149</v>
      </c>
      <c r="N293" s="136">
        <v>7.2</v>
      </c>
      <c r="O293" s="35">
        <v>0</v>
      </c>
      <c r="P293" s="136">
        <v>11.3</v>
      </c>
      <c r="Q293" s="37">
        <v>0</v>
      </c>
      <c r="R293" s="136">
        <v>11.3</v>
      </c>
      <c r="S293" s="37"/>
      <c r="T293" s="35">
        <v>0</v>
      </c>
      <c r="U293" s="136">
        <v>11.3</v>
      </c>
      <c r="V293" s="35">
        <v>0</v>
      </c>
      <c r="W293" s="136">
        <v>11.3</v>
      </c>
      <c r="X293" s="35">
        <v>0</v>
      </c>
      <c r="Y293" s="149">
        <v>11.3</v>
      </c>
      <c r="Z293" s="35">
        <v>0</v>
      </c>
      <c r="AA293" s="136">
        <v>11.200000000000001</v>
      </c>
      <c r="AB293" s="37">
        <v>0</v>
      </c>
      <c r="AC293" s="136">
        <v>11.200000000000001</v>
      </c>
      <c r="AD293" s="37"/>
      <c r="AE293" s="40">
        <v>0</v>
      </c>
      <c r="AF293" s="65"/>
      <c r="AG293" s="35">
        <v>0</v>
      </c>
      <c r="AH293" s="36">
        <v>0</v>
      </c>
      <c r="AI293" s="37"/>
      <c r="AJ293" s="35">
        <v>80</v>
      </c>
      <c r="AK293" s="36">
        <v>216</v>
      </c>
      <c r="AL293" s="35">
        <v>106</v>
      </c>
      <c r="AM293" s="36">
        <v>339</v>
      </c>
      <c r="AN293" s="35">
        <v>106</v>
      </c>
      <c r="AO293" s="36">
        <v>339</v>
      </c>
      <c r="AP293" s="37"/>
      <c r="AQ293" s="35">
        <v>106</v>
      </c>
      <c r="AR293" s="36">
        <v>339</v>
      </c>
      <c r="AS293" s="35">
        <v>106</v>
      </c>
      <c r="AT293" s="36">
        <v>339</v>
      </c>
      <c r="AU293" s="35">
        <v>106</v>
      </c>
      <c r="AV293" s="36">
        <v>339</v>
      </c>
      <c r="AW293" s="35">
        <v>109</v>
      </c>
      <c r="AX293" s="36">
        <v>336.00000000000006</v>
      </c>
      <c r="AY293" s="35">
        <v>109</v>
      </c>
      <c r="AZ293" s="36">
        <v>336.00000000000006</v>
      </c>
      <c r="BB293" s="40">
        <v>0</v>
      </c>
      <c r="BC293" s="65"/>
      <c r="BD293" s="35">
        <v>0</v>
      </c>
      <c r="BE293" s="36">
        <v>0</v>
      </c>
      <c r="BF293" s="37"/>
      <c r="BG293" s="415">
        <v>0</v>
      </c>
      <c r="BH293" s="353">
        <v>0</v>
      </c>
      <c r="BI293" s="415">
        <v>0</v>
      </c>
      <c r="BJ293" s="353">
        <v>0</v>
      </c>
      <c r="BK293" s="415">
        <v>0</v>
      </c>
      <c r="BL293" s="353">
        <v>0</v>
      </c>
      <c r="BM293" s="416"/>
      <c r="BN293" s="415">
        <v>0</v>
      </c>
      <c r="BO293" s="353">
        <v>0</v>
      </c>
      <c r="BP293" s="415">
        <v>0</v>
      </c>
      <c r="BQ293" s="353">
        <v>0</v>
      </c>
      <c r="BR293" s="415">
        <v>0</v>
      </c>
      <c r="BS293" s="353">
        <v>0</v>
      </c>
      <c r="BT293" s="415">
        <v>0</v>
      </c>
      <c r="BU293" s="353">
        <v>0</v>
      </c>
      <c r="BV293" s="415">
        <v>0</v>
      </c>
      <c r="BW293" s="353">
        <v>0</v>
      </c>
      <c r="BY293" s="80"/>
      <c r="BZ293" s="65"/>
      <c r="CA293" s="40" t="s">
        <v>3</v>
      </c>
      <c r="CB293" s="65"/>
      <c r="CC293" s="40">
        <v>-79.628099173553721</v>
      </c>
      <c r="CD293" s="40">
        <v>-105.62809917355372</v>
      </c>
      <c r="CE293" s="40">
        <v>-105.62809917355372</v>
      </c>
      <c r="CF293" s="65"/>
      <c r="CG293" s="40">
        <v>-105.62809917355372</v>
      </c>
      <c r="CH293" s="40">
        <v>-105.62809917355372</v>
      </c>
      <c r="CI293" s="40">
        <v>-105.62809917355372</v>
      </c>
      <c r="CJ293" s="40">
        <v>-108.62809917355366</v>
      </c>
      <c r="CK293" s="40">
        <v>-108.62809917355366</v>
      </c>
    </row>
    <row r="294" spans="1:89" s="2" customFormat="1">
      <c r="A294" s="196" t="s">
        <v>1148</v>
      </c>
      <c r="B294" s="211" t="s">
        <v>58</v>
      </c>
      <c r="C294" s="211" t="s">
        <v>553</v>
      </c>
      <c r="D294" s="41">
        <v>555</v>
      </c>
      <c r="E294" s="41">
        <v>2.5</v>
      </c>
      <c r="F294" s="41" t="s">
        <v>1140</v>
      </c>
      <c r="G294" s="413">
        <v>24</v>
      </c>
      <c r="H294" s="414">
        <v>554.54545454545462</v>
      </c>
      <c r="I294" s="321"/>
      <c r="J294" s="40" t="s">
        <v>3</v>
      </c>
      <c r="K294" s="36" t="s">
        <v>3</v>
      </c>
      <c r="L294" s="37"/>
      <c r="M294" s="35">
        <v>169</v>
      </c>
      <c r="N294" s="136">
        <v>12</v>
      </c>
      <c r="O294" s="35">
        <v>0</v>
      </c>
      <c r="P294" s="136">
        <v>19.100000000000001</v>
      </c>
      <c r="Q294" s="37">
        <v>0</v>
      </c>
      <c r="R294" s="136">
        <v>17.600000000000001</v>
      </c>
      <c r="S294" s="37"/>
      <c r="T294" s="35">
        <v>0</v>
      </c>
      <c r="U294" s="136">
        <v>18.2</v>
      </c>
      <c r="V294" s="35">
        <v>0</v>
      </c>
      <c r="W294" s="136">
        <v>17.400000000000002</v>
      </c>
      <c r="X294" s="35">
        <v>0</v>
      </c>
      <c r="Y294" s="149">
        <v>17.400000000000002</v>
      </c>
      <c r="Z294" s="35">
        <v>0</v>
      </c>
      <c r="AA294" s="136">
        <v>17.400000000000002</v>
      </c>
      <c r="AB294" s="37">
        <v>0</v>
      </c>
      <c r="AC294" s="136">
        <v>17.400000000000002</v>
      </c>
      <c r="AD294" s="37"/>
      <c r="AE294" s="40">
        <v>0</v>
      </c>
      <c r="AF294" s="65"/>
      <c r="AG294" s="35">
        <v>0</v>
      </c>
      <c r="AH294" s="36">
        <v>0</v>
      </c>
      <c r="AI294" s="37"/>
      <c r="AJ294" s="35">
        <v>98</v>
      </c>
      <c r="AK294" s="36">
        <v>288</v>
      </c>
      <c r="AL294" s="35">
        <v>97</v>
      </c>
      <c r="AM294" s="36">
        <v>458.40000000000003</v>
      </c>
      <c r="AN294" s="37">
        <v>133</v>
      </c>
      <c r="AO294" s="36">
        <v>422.40000000000003</v>
      </c>
      <c r="AP294" s="37"/>
      <c r="AQ294" s="35">
        <v>118</v>
      </c>
      <c r="AR294" s="36">
        <v>436.79999999999995</v>
      </c>
      <c r="AS294" s="35">
        <v>137</v>
      </c>
      <c r="AT294" s="36">
        <v>417.6</v>
      </c>
      <c r="AU294" s="37">
        <v>137</v>
      </c>
      <c r="AV294" s="36">
        <v>417.6</v>
      </c>
      <c r="AW294" s="37">
        <v>137</v>
      </c>
      <c r="AX294" s="36">
        <v>417.6</v>
      </c>
      <c r="AY294" s="37">
        <v>137</v>
      </c>
      <c r="AZ294" s="36">
        <v>417.6</v>
      </c>
      <c r="BB294" s="40">
        <v>0</v>
      </c>
      <c r="BC294" s="65"/>
      <c r="BD294" s="35">
        <v>0</v>
      </c>
      <c r="BE294" s="36">
        <v>0</v>
      </c>
      <c r="BF294" s="37"/>
      <c r="BG294" s="415">
        <v>0</v>
      </c>
      <c r="BH294" s="353">
        <v>0</v>
      </c>
      <c r="BI294" s="415">
        <v>0</v>
      </c>
      <c r="BJ294" s="353">
        <v>0</v>
      </c>
      <c r="BK294" s="415">
        <v>0</v>
      </c>
      <c r="BL294" s="353">
        <v>0</v>
      </c>
      <c r="BM294" s="416"/>
      <c r="BN294" s="415">
        <v>0</v>
      </c>
      <c r="BO294" s="353">
        <v>0</v>
      </c>
      <c r="BP294" s="415">
        <v>0</v>
      </c>
      <c r="BQ294" s="353">
        <v>0</v>
      </c>
      <c r="BR294" s="415">
        <v>0</v>
      </c>
      <c r="BS294" s="353">
        <v>0</v>
      </c>
      <c r="BT294" s="415">
        <v>0</v>
      </c>
      <c r="BU294" s="353">
        <v>0</v>
      </c>
      <c r="BV294" s="415">
        <v>0</v>
      </c>
      <c r="BW294" s="353">
        <v>0</v>
      </c>
      <c r="BY294" s="80"/>
      <c r="BZ294" s="65"/>
      <c r="CA294" s="40" t="s">
        <v>3</v>
      </c>
      <c r="CB294" s="65"/>
      <c r="CC294" s="40">
        <v>-97.545454545454618</v>
      </c>
      <c r="CD294" s="40">
        <v>-96.145454545454584</v>
      </c>
      <c r="CE294" s="40">
        <v>-132.14545454545458</v>
      </c>
      <c r="CF294" s="65"/>
      <c r="CG294" s="40">
        <v>-117.74545454545466</v>
      </c>
      <c r="CH294" s="40">
        <v>-136.9454545454546</v>
      </c>
      <c r="CI294" s="40">
        <v>-136.9454545454546</v>
      </c>
      <c r="CJ294" s="40">
        <v>-136.9454545454546</v>
      </c>
      <c r="CK294" s="40">
        <v>-136.9454545454546</v>
      </c>
    </row>
    <row r="295" spans="1:89" s="2" customFormat="1">
      <c r="A295" s="196" t="s">
        <v>1149</v>
      </c>
      <c r="B295" s="211" t="s">
        <v>58</v>
      </c>
      <c r="C295" s="211" t="s">
        <v>553</v>
      </c>
      <c r="D295" s="41">
        <v>555</v>
      </c>
      <c r="E295" s="41">
        <v>2.5</v>
      </c>
      <c r="F295" s="22" t="s">
        <v>1140</v>
      </c>
      <c r="G295" s="40">
        <v>30</v>
      </c>
      <c r="H295" s="388">
        <v>554.54545454545462</v>
      </c>
      <c r="I295" s="321"/>
      <c r="J295" s="40" t="s">
        <v>3</v>
      </c>
      <c r="K295" s="36" t="s">
        <v>3</v>
      </c>
      <c r="L295" s="37"/>
      <c r="M295" s="35">
        <v>169</v>
      </c>
      <c r="N295" s="136">
        <v>9.6000000000000014</v>
      </c>
      <c r="O295" s="35">
        <v>0</v>
      </c>
      <c r="P295" s="136">
        <v>15.3</v>
      </c>
      <c r="Q295" s="37">
        <v>0</v>
      </c>
      <c r="R295" s="136">
        <v>14.100000000000001</v>
      </c>
      <c r="S295" s="37"/>
      <c r="T295" s="35">
        <v>0</v>
      </c>
      <c r="U295" s="136">
        <v>14.600000000000001</v>
      </c>
      <c r="V295" s="35">
        <v>0</v>
      </c>
      <c r="W295" s="136">
        <v>14</v>
      </c>
      <c r="X295" s="35">
        <v>0</v>
      </c>
      <c r="Y295" s="149">
        <v>14</v>
      </c>
      <c r="Z295" s="35">
        <v>0</v>
      </c>
      <c r="AA295" s="136">
        <v>13.9</v>
      </c>
      <c r="AB295" s="37">
        <v>0</v>
      </c>
      <c r="AC295" s="136">
        <v>13.9</v>
      </c>
      <c r="AD295" s="37"/>
      <c r="AE295" s="40">
        <v>0</v>
      </c>
      <c r="AF295" s="65"/>
      <c r="AG295" s="35">
        <v>0</v>
      </c>
      <c r="AH295" s="36">
        <v>0</v>
      </c>
      <c r="AI295" s="37"/>
      <c r="AJ295" s="35">
        <v>98</v>
      </c>
      <c r="AK295" s="36">
        <v>288.00000000000006</v>
      </c>
      <c r="AL295" s="35">
        <v>96</v>
      </c>
      <c r="AM295" s="36">
        <v>459</v>
      </c>
      <c r="AN295" s="35">
        <v>132</v>
      </c>
      <c r="AO295" s="36">
        <v>423.00000000000006</v>
      </c>
      <c r="AP295" s="37"/>
      <c r="AQ295" s="35">
        <v>117</v>
      </c>
      <c r="AR295" s="36">
        <v>438.00000000000006</v>
      </c>
      <c r="AS295" s="35">
        <v>135</v>
      </c>
      <c r="AT295" s="36">
        <v>420</v>
      </c>
      <c r="AU295" s="35">
        <v>135</v>
      </c>
      <c r="AV295" s="36">
        <v>420</v>
      </c>
      <c r="AW295" s="35">
        <v>138</v>
      </c>
      <c r="AX295" s="36">
        <v>417</v>
      </c>
      <c r="AY295" s="35">
        <v>138</v>
      </c>
      <c r="AZ295" s="36">
        <v>417</v>
      </c>
      <c r="BB295" s="40">
        <v>0</v>
      </c>
      <c r="BC295" s="65"/>
      <c r="BD295" s="35">
        <v>0</v>
      </c>
      <c r="BE295" s="36">
        <v>0</v>
      </c>
      <c r="BF295" s="37"/>
      <c r="BG295" s="415">
        <v>0</v>
      </c>
      <c r="BH295" s="353">
        <v>0</v>
      </c>
      <c r="BI295" s="415">
        <v>0</v>
      </c>
      <c r="BJ295" s="353">
        <v>0</v>
      </c>
      <c r="BK295" s="415">
        <v>0</v>
      </c>
      <c r="BL295" s="353">
        <v>0</v>
      </c>
      <c r="BM295" s="416"/>
      <c r="BN295" s="415">
        <v>0</v>
      </c>
      <c r="BO295" s="353">
        <v>0</v>
      </c>
      <c r="BP295" s="415">
        <v>0</v>
      </c>
      <c r="BQ295" s="353">
        <v>0</v>
      </c>
      <c r="BR295" s="415">
        <v>0</v>
      </c>
      <c r="BS295" s="353">
        <v>0</v>
      </c>
      <c r="BT295" s="415">
        <v>0</v>
      </c>
      <c r="BU295" s="353">
        <v>0</v>
      </c>
      <c r="BV295" s="415">
        <v>0</v>
      </c>
      <c r="BW295" s="353">
        <v>0</v>
      </c>
      <c r="BY295" s="80"/>
      <c r="BZ295" s="65"/>
      <c r="CA295" s="40" t="s">
        <v>3</v>
      </c>
      <c r="CB295" s="65"/>
      <c r="CC295" s="40">
        <v>-97.545454545454561</v>
      </c>
      <c r="CD295" s="40">
        <v>-95.545454545454618</v>
      </c>
      <c r="CE295" s="40">
        <v>-131.54545454545456</v>
      </c>
      <c r="CF295" s="65"/>
      <c r="CG295" s="40">
        <v>-116.54545454545456</v>
      </c>
      <c r="CH295" s="40">
        <v>-134.54545454545462</v>
      </c>
      <c r="CI295" s="40">
        <v>-134.54545454545462</v>
      </c>
      <c r="CJ295" s="40">
        <v>-137.54545454545462</v>
      </c>
      <c r="CK295" s="40">
        <v>-137.54545454545462</v>
      </c>
    </row>
    <row r="296" spans="1:89" s="2" customFormat="1">
      <c r="A296" s="196" t="s">
        <v>1150</v>
      </c>
      <c r="B296" s="211" t="s">
        <v>58</v>
      </c>
      <c r="C296" s="211" t="s">
        <v>747</v>
      </c>
      <c r="D296" s="41">
        <v>300</v>
      </c>
      <c r="E296" s="41">
        <v>2.5</v>
      </c>
      <c r="F296" s="41" t="s">
        <v>1140</v>
      </c>
      <c r="G296" s="413">
        <v>24</v>
      </c>
      <c r="H296" s="414">
        <v>299.17355371900828</v>
      </c>
      <c r="I296" s="321"/>
      <c r="J296" s="40" t="s">
        <v>3</v>
      </c>
      <c r="K296" s="36" t="s">
        <v>3</v>
      </c>
      <c r="L296" s="37"/>
      <c r="M296" s="35">
        <v>99</v>
      </c>
      <c r="N296" s="136">
        <v>5.8000000000000007</v>
      </c>
      <c r="O296" s="35">
        <v>0</v>
      </c>
      <c r="P296" s="136">
        <v>8.7000000000000011</v>
      </c>
      <c r="Q296" s="37">
        <v>0</v>
      </c>
      <c r="R296" s="136">
        <v>8.7000000000000011</v>
      </c>
      <c r="S296" s="37"/>
      <c r="T296" s="35">
        <v>0</v>
      </c>
      <c r="U296" s="136">
        <v>8.7000000000000011</v>
      </c>
      <c r="V296" s="35">
        <v>0</v>
      </c>
      <c r="W296" s="136">
        <v>8.7000000000000011</v>
      </c>
      <c r="X296" s="35">
        <v>0</v>
      </c>
      <c r="Y296" s="149">
        <v>8.7000000000000011</v>
      </c>
      <c r="Z296" s="35">
        <v>0</v>
      </c>
      <c r="AA296" s="136">
        <v>8.7000000000000011</v>
      </c>
      <c r="AB296" s="37">
        <v>0</v>
      </c>
      <c r="AC296" s="136">
        <v>8.7000000000000011</v>
      </c>
      <c r="AD296" s="37"/>
      <c r="AE296" s="40">
        <v>1</v>
      </c>
      <c r="AF296" s="65"/>
      <c r="AG296" s="35">
        <v>0</v>
      </c>
      <c r="AH296" s="36">
        <v>0</v>
      </c>
      <c r="AI296" s="37"/>
      <c r="AJ296" s="35">
        <v>62</v>
      </c>
      <c r="AK296" s="36">
        <v>139.20000000000002</v>
      </c>
      <c r="AL296" s="35">
        <v>91</v>
      </c>
      <c r="AM296" s="36">
        <v>208.8</v>
      </c>
      <c r="AN296" s="37">
        <v>91</v>
      </c>
      <c r="AO296" s="36">
        <v>208.8</v>
      </c>
      <c r="AP296" s="37"/>
      <c r="AQ296" s="35">
        <v>91</v>
      </c>
      <c r="AR296" s="36">
        <v>208.8</v>
      </c>
      <c r="AS296" s="35">
        <v>91</v>
      </c>
      <c r="AT296" s="36">
        <v>208.8</v>
      </c>
      <c r="AU296" s="37">
        <v>91</v>
      </c>
      <c r="AV296" s="36">
        <v>208.8</v>
      </c>
      <c r="AW296" s="37">
        <v>91</v>
      </c>
      <c r="AX296" s="36">
        <v>208.8</v>
      </c>
      <c r="AY296" s="37">
        <v>91</v>
      </c>
      <c r="AZ296" s="36">
        <v>208.8</v>
      </c>
      <c r="BB296" s="40">
        <v>0</v>
      </c>
      <c r="BC296" s="65"/>
      <c r="BD296" s="35">
        <v>0</v>
      </c>
      <c r="BE296" s="36">
        <v>0</v>
      </c>
      <c r="BF296" s="37"/>
      <c r="BG296" s="415">
        <v>0</v>
      </c>
      <c r="BH296" s="353">
        <v>0</v>
      </c>
      <c r="BI296" s="415">
        <v>0</v>
      </c>
      <c r="BJ296" s="353">
        <v>0</v>
      </c>
      <c r="BK296" s="415">
        <v>0</v>
      </c>
      <c r="BL296" s="353">
        <v>0</v>
      </c>
      <c r="BM296" s="416"/>
      <c r="BN296" s="415">
        <v>0</v>
      </c>
      <c r="BO296" s="353">
        <v>0</v>
      </c>
      <c r="BP296" s="415">
        <v>0</v>
      </c>
      <c r="BQ296" s="353">
        <v>0</v>
      </c>
      <c r="BR296" s="415">
        <v>0</v>
      </c>
      <c r="BS296" s="353">
        <v>0</v>
      </c>
      <c r="BT296" s="415">
        <v>0</v>
      </c>
      <c r="BU296" s="353">
        <v>0.10000000000000142</v>
      </c>
      <c r="BV296" s="415">
        <v>0</v>
      </c>
      <c r="BW296" s="353">
        <v>0.10000000000000142</v>
      </c>
      <c r="BY296" s="80"/>
      <c r="BZ296" s="65"/>
      <c r="CA296" s="40" t="s">
        <v>3</v>
      </c>
      <c r="CB296" s="65"/>
      <c r="CC296" s="40">
        <v>-60.973553719008265</v>
      </c>
      <c r="CD296" s="40">
        <v>-90.373553719008271</v>
      </c>
      <c r="CE296" s="40">
        <v>-90.373553719008271</v>
      </c>
      <c r="CF296" s="65"/>
      <c r="CG296" s="40">
        <v>-90.373553719008271</v>
      </c>
      <c r="CH296" s="40">
        <v>-90.373553719008271</v>
      </c>
      <c r="CI296" s="40">
        <v>-90.373553719008271</v>
      </c>
      <c r="CJ296" s="40">
        <v>-90.373553719008271</v>
      </c>
      <c r="CK296" s="40">
        <v>-90.373553719008271</v>
      </c>
    </row>
    <row r="297" spans="1:89" s="2" customFormat="1">
      <c r="A297" s="196" t="s">
        <v>1151</v>
      </c>
      <c r="B297" s="211" t="s">
        <v>58</v>
      </c>
      <c r="C297" s="211" t="s">
        <v>747</v>
      </c>
      <c r="D297" s="41">
        <v>300</v>
      </c>
      <c r="E297" s="41">
        <v>2.5</v>
      </c>
      <c r="F297" s="22" t="s">
        <v>1140</v>
      </c>
      <c r="G297" s="40">
        <v>30</v>
      </c>
      <c r="H297" s="388">
        <v>299.17355371900828</v>
      </c>
      <c r="I297" s="321"/>
      <c r="J297" s="40" t="s">
        <v>3</v>
      </c>
      <c r="K297" s="36" t="s">
        <v>3</v>
      </c>
      <c r="L297" s="37"/>
      <c r="M297" s="35">
        <v>99</v>
      </c>
      <c r="N297" s="136">
        <v>4.7</v>
      </c>
      <c r="O297" s="35">
        <v>0</v>
      </c>
      <c r="P297" s="136">
        <v>7</v>
      </c>
      <c r="Q297" s="37">
        <v>0</v>
      </c>
      <c r="R297" s="136">
        <v>7</v>
      </c>
      <c r="S297" s="37"/>
      <c r="T297" s="35">
        <v>0</v>
      </c>
      <c r="U297" s="136">
        <v>7</v>
      </c>
      <c r="V297" s="35">
        <v>0</v>
      </c>
      <c r="W297" s="136">
        <v>7</v>
      </c>
      <c r="X297" s="35">
        <v>0</v>
      </c>
      <c r="Y297" s="149">
        <v>7</v>
      </c>
      <c r="Z297" s="35">
        <v>0</v>
      </c>
      <c r="AA297" s="136">
        <v>7</v>
      </c>
      <c r="AB297" s="37">
        <v>0</v>
      </c>
      <c r="AC297" s="136">
        <v>7</v>
      </c>
      <c r="AD297" s="37"/>
      <c r="AE297" s="40">
        <v>1</v>
      </c>
      <c r="AF297" s="65"/>
      <c r="AG297" s="35">
        <v>0</v>
      </c>
      <c r="AH297" s="36">
        <v>0</v>
      </c>
      <c r="AI297" s="37"/>
      <c r="AJ297" s="35">
        <v>60</v>
      </c>
      <c r="AK297" s="36">
        <v>141</v>
      </c>
      <c r="AL297" s="35">
        <v>90</v>
      </c>
      <c r="AM297" s="36">
        <v>210</v>
      </c>
      <c r="AN297" s="35">
        <v>90</v>
      </c>
      <c r="AO297" s="36">
        <v>210</v>
      </c>
      <c r="AP297" s="37"/>
      <c r="AQ297" s="35">
        <v>90</v>
      </c>
      <c r="AR297" s="36">
        <v>210</v>
      </c>
      <c r="AS297" s="35">
        <v>90</v>
      </c>
      <c r="AT297" s="36">
        <v>210</v>
      </c>
      <c r="AU297" s="35">
        <v>90</v>
      </c>
      <c r="AV297" s="36">
        <v>210</v>
      </c>
      <c r="AW297" s="35">
        <v>90</v>
      </c>
      <c r="AX297" s="36">
        <v>210</v>
      </c>
      <c r="AY297" s="35">
        <v>90</v>
      </c>
      <c r="AZ297" s="36">
        <v>210</v>
      </c>
      <c r="BB297" s="40">
        <v>0</v>
      </c>
      <c r="BC297" s="65"/>
      <c r="BD297" s="35">
        <v>0</v>
      </c>
      <c r="BE297" s="36">
        <v>0</v>
      </c>
      <c r="BF297" s="37"/>
      <c r="BG297" s="415">
        <v>0</v>
      </c>
      <c r="BH297" s="353">
        <v>0</v>
      </c>
      <c r="BI297" s="415">
        <v>0</v>
      </c>
      <c r="BJ297" s="353">
        <v>0</v>
      </c>
      <c r="BK297" s="415">
        <v>0</v>
      </c>
      <c r="BL297" s="353">
        <v>0</v>
      </c>
      <c r="BM297" s="416"/>
      <c r="BN297" s="415">
        <v>0</v>
      </c>
      <c r="BO297" s="353">
        <v>0</v>
      </c>
      <c r="BP297" s="415">
        <v>0</v>
      </c>
      <c r="BQ297" s="353">
        <v>0</v>
      </c>
      <c r="BR297" s="415">
        <v>0</v>
      </c>
      <c r="BS297" s="353">
        <v>0</v>
      </c>
      <c r="BT297" s="415">
        <v>0</v>
      </c>
      <c r="BU297" s="353">
        <v>9.9999999999999645E-2</v>
      </c>
      <c r="BV297" s="415">
        <v>0</v>
      </c>
      <c r="BW297" s="353">
        <v>9.9999999999999645E-2</v>
      </c>
      <c r="BY297" s="80"/>
      <c r="BZ297" s="65"/>
      <c r="CA297" s="40" t="s">
        <v>3</v>
      </c>
      <c r="CB297" s="65"/>
      <c r="CC297" s="40">
        <v>-59.173553719008282</v>
      </c>
      <c r="CD297" s="40">
        <v>-89.173553719008282</v>
      </c>
      <c r="CE297" s="40">
        <v>-89.173553719008282</v>
      </c>
      <c r="CF297" s="65"/>
      <c r="CG297" s="40">
        <v>-89.173553719008282</v>
      </c>
      <c r="CH297" s="40">
        <v>-89.173553719008282</v>
      </c>
      <c r="CI297" s="40">
        <v>-89.173553719008282</v>
      </c>
      <c r="CJ297" s="40">
        <v>-89.173553719008282</v>
      </c>
      <c r="CK297" s="40">
        <v>-89.173553719008282</v>
      </c>
    </row>
    <row r="298" spans="1:89" s="2" customFormat="1">
      <c r="A298" s="196" t="s">
        <v>1152</v>
      </c>
      <c r="B298" s="211" t="s">
        <v>58</v>
      </c>
      <c r="C298" s="211" t="s">
        <v>748</v>
      </c>
      <c r="D298" s="41">
        <v>322</v>
      </c>
      <c r="E298" s="41">
        <v>2.5</v>
      </c>
      <c r="F298" s="41" t="s">
        <v>1140</v>
      </c>
      <c r="G298" s="413">
        <v>24</v>
      </c>
      <c r="H298" s="414">
        <v>321.48760330578511</v>
      </c>
      <c r="I298" s="321"/>
      <c r="J298" s="40" t="s">
        <v>3</v>
      </c>
      <c r="K298" s="36" t="s">
        <v>3</v>
      </c>
      <c r="L298" s="37"/>
      <c r="M298" s="35">
        <v>99</v>
      </c>
      <c r="N298" s="136">
        <v>6.2</v>
      </c>
      <c r="O298" s="35">
        <v>0</v>
      </c>
      <c r="P298" s="136">
        <v>9.3000000000000007</v>
      </c>
      <c r="Q298" s="37">
        <v>0</v>
      </c>
      <c r="R298" s="136">
        <v>9.3000000000000007</v>
      </c>
      <c r="S298" s="37"/>
      <c r="T298" s="35">
        <v>0</v>
      </c>
      <c r="U298" s="136">
        <v>9.3000000000000007</v>
      </c>
      <c r="V298" s="35">
        <v>0</v>
      </c>
      <c r="W298" s="136">
        <v>9.3000000000000007</v>
      </c>
      <c r="X298" s="35">
        <v>0</v>
      </c>
      <c r="Y298" s="149">
        <v>9.3000000000000007</v>
      </c>
      <c r="Z298" s="35">
        <v>0</v>
      </c>
      <c r="AA298" s="136">
        <v>9.3000000000000007</v>
      </c>
      <c r="AB298" s="37">
        <v>0</v>
      </c>
      <c r="AC298" s="136">
        <v>9.3000000000000007</v>
      </c>
      <c r="AD298" s="37"/>
      <c r="AE298" s="40">
        <v>1</v>
      </c>
      <c r="AF298" s="65"/>
      <c r="AG298" s="35">
        <v>0</v>
      </c>
      <c r="AH298" s="36">
        <v>0</v>
      </c>
      <c r="AI298" s="37"/>
      <c r="AJ298" s="35">
        <v>74</v>
      </c>
      <c r="AK298" s="36">
        <v>148.80000000000001</v>
      </c>
      <c r="AL298" s="35">
        <v>99</v>
      </c>
      <c r="AM298" s="36">
        <v>223.20000000000002</v>
      </c>
      <c r="AN298" s="37">
        <v>99</v>
      </c>
      <c r="AO298" s="36">
        <v>223.20000000000002</v>
      </c>
      <c r="AP298" s="37"/>
      <c r="AQ298" s="35">
        <v>99</v>
      </c>
      <c r="AR298" s="36">
        <v>223.20000000000002</v>
      </c>
      <c r="AS298" s="35">
        <v>99</v>
      </c>
      <c r="AT298" s="36">
        <v>223.20000000000002</v>
      </c>
      <c r="AU298" s="37">
        <v>99</v>
      </c>
      <c r="AV298" s="36">
        <v>223.20000000000002</v>
      </c>
      <c r="AW298" s="37">
        <v>99</v>
      </c>
      <c r="AX298" s="36">
        <v>223.20000000000002</v>
      </c>
      <c r="AY298" s="37">
        <v>99</v>
      </c>
      <c r="AZ298" s="36">
        <v>223.20000000000002</v>
      </c>
      <c r="BB298" s="40">
        <v>0</v>
      </c>
      <c r="BC298" s="65"/>
      <c r="BD298" s="35">
        <v>0</v>
      </c>
      <c r="BE298" s="36">
        <v>0</v>
      </c>
      <c r="BF298" s="37"/>
      <c r="BG298" s="415">
        <v>0</v>
      </c>
      <c r="BH298" s="353">
        <v>0</v>
      </c>
      <c r="BI298" s="415">
        <v>0</v>
      </c>
      <c r="BJ298" s="353">
        <v>0</v>
      </c>
      <c r="BK298" s="415">
        <v>0</v>
      </c>
      <c r="BL298" s="353">
        <v>0</v>
      </c>
      <c r="BM298" s="416"/>
      <c r="BN298" s="415">
        <v>0</v>
      </c>
      <c r="BO298" s="353">
        <v>0</v>
      </c>
      <c r="BP298" s="415">
        <v>0</v>
      </c>
      <c r="BQ298" s="353">
        <v>0</v>
      </c>
      <c r="BR298" s="415">
        <v>0</v>
      </c>
      <c r="BS298" s="353">
        <v>0</v>
      </c>
      <c r="BT298" s="415">
        <v>0</v>
      </c>
      <c r="BU298" s="353">
        <v>0</v>
      </c>
      <c r="BV298" s="415">
        <v>0</v>
      </c>
      <c r="BW298" s="353">
        <v>0</v>
      </c>
      <c r="BY298" s="80"/>
      <c r="BZ298" s="65"/>
      <c r="CA298" s="40" t="s">
        <v>3</v>
      </c>
      <c r="CB298" s="65"/>
      <c r="CC298" s="40">
        <v>-73.687603305785103</v>
      </c>
      <c r="CD298" s="40">
        <v>-98.287603305785098</v>
      </c>
      <c r="CE298" s="40">
        <v>-98.287603305785098</v>
      </c>
      <c r="CF298" s="65"/>
      <c r="CG298" s="40">
        <v>-98.287603305785098</v>
      </c>
      <c r="CH298" s="40">
        <v>-98.287603305785098</v>
      </c>
      <c r="CI298" s="40">
        <v>-98.287603305785098</v>
      </c>
      <c r="CJ298" s="40">
        <v>-98.287603305785098</v>
      </c>
      <c r="CK298" s="40">
        <v>-98.287603305785098</v>
      </c>
    </row>
    <row r="299" spans="1:89" s="2" customFormat="1">
      <c r="A299" s="196" t="s">
        <v>1153</v>
      </c>
      <c r="B299" s="211" t="s">
        <v>58</v>
      </c>
      <c r="C299" s="211" t="s">
        <v>748</v>
      </c>
      <c r="D299" s="41">
        <v>322</v>
      </c>
      <c r="E299" s="41">
        <v>2.5</v>
      </c>
      <c r="F299" s="22" t="s">
        <v>1140</v>
      </c>
      <c r="G299" s="40">
        <v>30</v>
      </c>
      <c r="H299" s="388">
        <v>321.48760330578511</v>
      </c>
      <c r="I299" s="321"/>
      <c r="J299" s="40" t="s">
        <v>3</v>
      </c>
      <c r="K299" s="36" t="s">
        <v>3</v>
      </c>
      <c r="L299" s="37"/>
      <c r="M299" s="35">
        <v>99</v>
      </c>
      <c r="N299" s="136">
        <v>5</v>
      </c>
      <c r="O299" s="35">
        <v>0</v>
      </c>
      <c r="P299" s="136">
        <v>7.5</v>
      </c>
      <c r="Q299" s="37">
        <v>0</v>
      </c>
      <c r="R299" s="136">
        <v>7.5</v>
      </c>
      <c r="S299" s="37"/>
      <c r="T299" s="35">
        <v>0</v>
      </c>
      <c r="U299" s="136">
        <v>7.5</v>
      </c>
      <c r="V299" s="35">
        <v>0</v>
      </c>
      <c r="W299" s="136">
        <v>7.5</v>
      </c>
      <c r="X299" s="35">
        <v>0</v>
      </c>
      <c r="Y299" s="149">
        <v>7.5</v>
      </c>
      <c r="Z299" s="35">
        <v>0</v>
      </c>
      <c r="AA299" s="136">
        <v>7.4</v>
      </c>
      <c r="AB299" s="37">
        <v>0</v>
      </c>
      <c r="AC299" s="136">
        <v>7.4</v>
      </c>
      <c r="AD299" s="37"/>
      <c r="AE299" s="40">
        <v>1</v>
      </c>
      <c r="AF299" s="65"/>
      <c r="AG299" s="35">
        <v>0</v>
      </c>
      <c r="AH299" s="36">
        <v>0</v>
      </c>
      <c r="AI299" s="37"/>
      <c r="AJ299" s="35">
        <v>73</v>
      </c>
      <c r="AK299" s="36">
        <v>150</v>
      </c>
      <c r="AL299" s="35">
        <v>97</v>
      </c>
      <c r="AM299" s="36">
        <v>225</v>
      </c>
      <c r="AN299" s="35">
        <v>97</v>
      </c>
      <c r="AO299" s="36">
        <v>225</v>
      </c>
      <c r="AP299" s="37"/>
      <c r="AQ299" s="35">
        <v>97</v>
      </c>
      <c r="AR299" s="36">
        <v>225</v>
      </c>
      <c r="AS299" s="35">
        <v>97</v>
      </c>
      <c r="AT299" s="36">
        <v>225</v>
      </c>
      <c r="AU299" s="35">
        <v>97</v>
      </c>
      <c r="AV299" s="36">
        <v>225</v>
      </c>
      <c r="AW299" s="35">
        <v>100</v>
      </c>
      <c r="AX299" s="36">
        <v>222</v>
      </c>
      <c r="AY299" s="35">
        <v>100</v>
      </c>
      <c r="AZ299" s="36">
        <v>222</v>
      </c>
      <c r="BB299" s="40">
        <v>0</v>
      </c>
      <c r="BC299" s="65"/>
      <c r="BD299" s="35">
        <v>0</v>
      </c>
      <c r="BE299" s="36">
        <v>0</v>
      </c>
      <c r="BF299" s="37"/>
      <c r="BG299" s="415">
        <v>0</v>
      </c>
      <c r="BH299" s="353">
        <v>0</v>
      </c>
      <c r="BI299" s="415">
        <v>0</v>
      </c>
      <c r="BJ299" s="353">
        <v>0</v>
      </c>
      <c r="BK299" s="415">
        <v>0</v>
      </c>
      <c r="BL299" s="353">
        <v>0</v>
      </c>
      <c r="BM299" s="416"/>
      <c r="BN299" s="415">
        <v>0</v>
      </c>
      <c r="BO299" s="353">
        <v>0</v>
      </c>
      <c r="BP299" s="415">
        <v>0</v>
      </c>
      <c r="BQ299" s="353">
        <v>0</v>
      </c>
      <c r="BR299" s="415">
        <v>0</v>
      </c>
      <c r="BS299" s="353">
        <v>0</v>
      </c>
      <c r="BT299" s="415">
        <v>0</v>
      </c>
      <c r="BU299" s="353">
        <v>0</v>
      </c>
      <c r="BV299" s="415">
        <v>0</v>
      </c>
      <c r="BW299" s="353">
        <v>0</v>
      </c>
      <c r="BY299" s="80"/>
      <c r="BZ299" s="65"/>
      <c r="CA299" s="40" t="s">
        <v>3</v>
      </c>
      <c r="CB299" s="65"/>
      <c r="CC299" s="40">
        <v>-72.487603305785115</v>
      </c>
      <c r="CD299" s="40">
        <v>-96.487603305785115</v>
      </c>
      <c r="CE299" s="40">
        <v>-96.487603305785115</v>
      </c>
      <c r="CF299" s="65"/>
      <c r="CG299" s="40">
        <v>-96.487603305785115</v>
      </c>
      <c r="CH299" s="40">
        <v>-96.487603305785115</v>
      </c>
      <c r="CI299" s="40">
        <v>-96.487603305785115</v>
      </c>
      <c r="CJ299" s="40">
        <v>-99.487603305785115</v>
      </c>
      <c r="CK299" s="40">
        <v>-99.487603305785115</v>
      </c>
    </row>
    <row r="300" spans="1:89" s="2" customFormat="1">
      <c r="A300" s="196" t="s">
        <v>1154</v>
      </c>
      <c r="B300" s="211" t="s">
        <v>58</v>
      </c>
      <c r="C300" s="435" t="s">
        <v>554</v>
      </c>
      <c r="D300" s="41">
        <v>782</v>
      </c>
      <c r="E300" s="41">
        <v>2.5</v>
      </c>
      <c r="F300" s="41" t="s">
        <v>1140</v>
      </c>
      <c r="G300" s="413">
        <v>24</v>
      </c>
      <c r="H300" s="414">
        <v>781.81818181818187</v>
      </c>
      <c r="I300" s="321"/>
      <c r="J300" s="40" t="s">
        <v>3</v>
      </c>
      <c r="K300" s="36" t="s">
        <v>3</v>
      </c>
      <c r="L300" s="37"/>
      <c r="M300" s="35">
        <v>169</v>
      </c>
      <c r="N300" s="136">
        <v>20.100000000000001</v>
      </c>
      <c r="O300" s="35">
        <v>0</v>
      </c>
      <c r="P300" s="136">
        <v>26.700000000000003</v>
      </c>
      <c r="Q300" s="37">
        <v>0</v>
      </c>
      <c r="R300" s="136">
        <v>25.5</v>
      </c>
      <c r="S300" s="37"/>
      <c r="T300" s="35">
        <v>0</v>
      </c>
      <c r="U300" s="136">
        <v>25.900000000000002</v>
      </c>
      <c r="V300" s="35">
        <v>0</v>
      </c>
      <c r="W300" s="136">
        <v>25.3</v>
      </c>
      <c r="X300" s="35">
        <v>0</v>
      </c>
      <c r="Y300" s="149">
        <v>25.3</v>
      </c>
      <c r="Z300" s="35">
        <v>0</v>
      </c>
      <c r="AA300" s="136">
        <v>25.200000000000003</v>
      </c>
      <c r="AB300" s="37">
        <v>0</v>
      </c>
      <c r="AC300" s="136">
        <v>25.200000000000003</v>
      </c>
      <c r="AD300" s="37"/>
      <c r="AE300" s="40">
        <v>0</v>
      </c>
      <c r="AF300" s="65"/>
      <c r="AG300" s="35">
        <v>0</v>
      </c>
      <c r="AH300" s="36">
        <v>0</v>
      </c>
      <c r="AI300" s="37"/>
      <c r="AJ300" s="35">
        <v>131</v>
      </c>
      <c r="AK300" s="36">
        <v>482.40000000000003</v>
      </c>
      <c r="AL300" s="35">
        <v>141</v>
      </c>
      <c r="AM300" s="36">
        <v>640.80000000000007</v>
      </c>
      <c r="AN300" s="37">
        <v>170</v>
      </c>
      <c r="AO300" s="36">
        <v>612</v>
      </c>
      <c r="AP300" s="37"/>
      <c r="AQ300" s="35">
        <v>160</v>
      </c>
      <c r="AR300" s="36">
        <v>621.6</v>
      </c>
      <c r="AS300" s="35">
        <v>175</v>
      </c>
      <c r="AT300" s="36">
        <v>607.20000000000005</v>
      </c>
      <c r="AU300" s="37">
        <v>175</v>
      </c>
      <c r="AV300" s="36">
        <v>607.20000000000005</v>
      </c>
      <c r="AW300" s="37">
        <v>177</v>
      </c>
      <c r="AX300" s="36">
        <v>604.80000000000007</v>
      </c>
      <c r="AY300" s="37">
        <v>177</v>
      </c>
      <c r="AZ300" s="36">
        <v>604.80000000000007</v>
      </c>
      <c r="BB300" s="40">
        <v>0</v>
      </c>
      <c r="BC300" s="65"/>
      <c r="BD300" s="35">
        <v>0</v>
      </c>
      <c r="BE300" s="36">
        <v>0</v>
      </c>
      <c r="BF300" s="37"/>
      <c r="BG300" s="415">
        <v>0</v>
      </c>
      <c r="BH300" s="353">
        <v>0</v>
      </c>
      <c r="BI300" s="415">
        <v>0</v>
      </c>
      <c r="BJ300" s="353">
        <v>0</v>
      </c>
      <c r="BK300" s="415">
        <v>0</v>
      </c>
      <c r="BL300" s="353">
        <v>0</v>
      </c>
      <c r="BM300" s="416"/>
      <c r="BN300" s="415">
        <v>0</v>
      </c>
      <c r="BO300" s="353">
        <v>0</v>
      </c>
      <c r="BP300" s="415">
        <v>0</v>
      </c>
      <c r="BQ300" s="353">
        <v>0</v>
      </c>
      <c r="BR300" s="415">
        <v>0</v>
      </c>
      <c r="BS300" s="353">
        <v>0</v>
      </c>
      <c r="BT300" s="415">
        <v>0</v>
      </c>
      <c r="BU300" s="353">
        <v>0</v>
      </c>
      <c r="BV300" s="415">
        <v>0</v>
      </c>
      <c r="BW300" s="353">
        <v>0</v>
      </c>
      <c r="BY300" s="80"/>
      <c r="BZ300" s="65"/>
      <c r="CA300" s="40" t="s">
        <v>3</v>
      </c>
      <c r="CB300" s="65"/>
      <c r="CC300" s="40">
        <v>-130.41818181818178</v>
      </c>
      <c r="CD300" s="40">
        <v>-141.0181818181818</v>
      </c>
      <c r="CE300" s="40">
        <v>-169.81818181818187</v>
      </c>
      <c r="CF300" s="65"/>
      <c r="CG300" s="40">
        <v>-160.21818181818185</v>
      </c>
      <c r="CH300" s="40">
        <v>-174.61818181818182</v>
      </c>
      <c r="CI300" s="40">
        <v>-174.61818181818182</v>
      </c>
      <c r="CJ300" s="40">
        <v>-177.0181818181818</v>
      </c>
      <c r="CK300" s="40">
        <v>-177.0181818181818</v>
      </c>
    </row>
    <row r="301" spans="1:89" s="2" customFormat="1">
      <c r="A301" s="196" t="s">
        <v>1155</v>
      </c>
      <c r="B301" s="211" t="s">
        <v>58</v>
      </c>
      <c r="C301" s="435" t="s">
        <v>554</v>
      </c>
      <c r="D301" s="41">
        <v>782</v>
      </c>
      <c r="E301" s="41">
        <v>2.5</v>
      </c>
      <c r="F301" s="22" t="s">
        <v>1140</v>
      </c>
      <c r="G301" s="40">
        <v>30</v>
      </c>
      <c r="H301" s="388">
        <v>781.81818181818187</v>
      </c>
      <c r="I301" s="321"/>
      <c r="J301" s="40" t="s">
        <v>3</v>
      </c>
      <c r="K301" s="36" t="s">
        <v>3</v>
      </c>
      <c r="L301" s="37"/>
      <c r="M301" s="35">
        <v>169</v>
      </c>
      <c r="N301" s="136">
        <v>16.100000000000001</v>
      </c>
      <c r="O301" s="35">
        <v>0</v>
      </c>
      <c r="P301" s="136">
        <v>21.400000000000002</v>
      </c>
      <c r="Q301" s="37">
        <v>0</v>
      </c>
      <c r="R301" s="136">
        <v>20.400000000000002</v>
      </c>
      <c r="S301" s="37"/>
      <c r="T301" s="35">
        <v>0</v>
      </c>
      <c r="U301" s="136">
        <v>20.8</v>
      </c>
      <c r="V301" s="35">
        <v>0</v>
      </c>
      <c r="W301" s="136">
        <v>20.3</v>
      </c>
      <c r="X301" s="35">
        <v>0</v>
      </c>
      <c r="Y301" s="149">
        <v>20.3</v>
      </c>
      <c r="Z301" s="35">
        <v>0</v>
      </c>
      <c r="AA301" s="136">
        <v>20.200000000000003</v>
      </c>
      <c r="AB301" s="37">
        <v>0</v>
      </c>
      <c r="AC301" s="136">
        <v>20.200000000000003</v>
      </c>
      <c r="AD301" s="37"/>
      <c r="AE301" s="40">
        <v>0</v>
      </c>
      <c r="AF301" s="65"/>
      <c r="AG301" s="35">
        <v>0</v>
      </c>
      <c r="AH301" s="36">
        <v>0</v>
      </c>
      <c r="AI301" s="37"/>
      <c r="AJ301" s="35">
        <v>130</v>
      </c>
      <c r="AK301" s="36">
        <v>483.00000000000006</v>
      </c>
      <c r="AL301" s="35">
        <v>140</v>
      </c>
      <c r="AM301" s="36">
        <v>642.00000000000011</v>
      </c>
      <c r="AN301" s="35">
        <v>170</v>
      </c>
      <c r="AO301" s="36">
        <v>612.00000000000011</v>
      </c>
      <c r="AP301" s="37"/>
      <c r="AQ301" s="35">
        <v>158</v>
      </c>
      <c r="AR301" s="36">
        <v>624</v>
      </c>
      <c r="AS301" s="35">
        <v>173</v>
      </c>
      <c r="AT301" s="36">
        <v>609</v>
      </c>
      <c r="AU301" s="35">
        <v>173</v>
      </c>
      <c r="AV301" s="36">
        <v>609</v>
      </c>
      <c r="AW301" s="35">
        <v>176</v>
      </c>
      <c r="AX301" s="36">
        <v>606.00000000000011</v>
      </c>
      <c r="AY301" s="35">
        <v>176</v>
      </c>
      <c r="AZ301" s="36">
        <v>606.00000000000011</v>
      </c>
      <c r="BB301" s="40">
        <v>0</v>
      </c>
      <c r="BC301" s="65"/>
      <c r="BD301" s="35">
        <v>0</v>
      </c>
      <c r="BE301" s="36">
        <v>0</v>
      </c>
      <c r="BF301" s="37"/>
      <c r="BG301" s="415">
        <v>0</v>
      </c>
      <c r="BH301" s="353">
        <v>0</v>
      </c>
      <c r="BI301" s="415">
        <v>0</v>
      </c>
      <c r="BJ301" s="353">
        <v>0</v>
      </c>
      <c r="BK301" s="415">
        <v>0</v>
      </c>
      <c r="BL301" s="353">
        <v>0</v>
      </c>
      <c r="BM301" s="416"/>
      <c r="BN301" s="415">
        <v>0</v>
      </c>
      <c r="BO301" s="353">
        <v>0</v>
      </c>
      <c r="BP301" s="415">
        <v>0</v>
      </c>
      <c r="BQ301" s="353">
        <v>0</v>
      </c>
      <c r="BR301" s="415">
        <v>0</v>
      </c>
      <c r="BS301" s="353">
        <v>0</v>
      </c>
      <c r="BT301" s="415">
        <v>0</v>
      </c>
      <c r="BU301" s="353">
        <v>0</v>
      </c>
      <c r="BV301" s="415">
        <v>0</v>
      </c>
      <c r="BW301" s="353">
        <v>0</v>
      </c>
      <c r="BY301" s="80"/>
      <c r="BZ301" s="65"/>
      <c r="CA301" s="40" t="s">
        <v>3</v>
      </c>
      <c r="CB301" s="65"/>
      <c r="CC301" s="40">
        <v>-129.81818181818187</v>
      </c>
      <c r="CD301" s="40">
        <v>-139.81818181818176</v>
      </c>
      <c r="CE301" s="40">
        <v>-169.81818181818176</v>
      </c>
      <c r="CF301" s="65"/>
      <c r="CG301" s="40">
        <v>-157.81818181818187</v>
      </c>
      <c r="CH301" s="40">
        <v>-172.81818181818187</v>
      </c>
      <c r="CI301" s="40">
        <v>-172.81818181818187</v>
      </c>
      <c r="CJ301" s="40">
        <v>-175.81818181818176</v>
      </c>
      <c r="CK301" s="40">
        <v>-175.81818181818176</v>
      </c>
    </row>
    <row r="302" spans="1:89" s="2" customFormat="1">
      <c r="A302" s="196" t="s">
        <v>1103</v>
      </c>
      <c r="B302" s="211" t="s">
        <v>1104</v>
      </c>
      <c r="C302" s="211" t="s">
        <v>749</v>
      </c>
      <c r="D302" s="41">
        <v>781</v>
      </c>
      <c r="E302" s="41">
        <v>0</v>
      </c>
      <c r="F302" s="41" t="s">
        <v>1105</v>
      </c>
      <c r="G302" s="413">
        <v>24</v>
      </c>
      <c r="H302" s="414">
        <v>620.6611570247934</v>
      </c>
      <c r="I302" s="321"/>
      <c r="J302" s="40" t="s">
        <v>3</v>
      </c>
      <c r="K302" s="36" t="s">
        <v>3</v>
      </c>
      <c r="L302" s="37"/>
      <c r="M302" s="35">
        <v>269</v>
      </c>
      <c r="N302" s="136">
        <v>10.8</v>
      </c>
      <c r="O302" s="35">
        <v>159</v>
      </c>
      <c r="P302" s="136">
        <v>12.200000000000001</v>
      </c>
      <c r="Q302" s="37">
        <v>159</v>
      </c>
      <c r="R302" s="136">
        <v>11.4</v>
      </c>
      <c r="S302" s="37"/>
      <c r="T302" s="35">
        <v>0</v>
      </c>
      <c r="U302" s="136">
        <v>22.200000000000003</v>
      </c>
      <c r="V302" s="35">
        <v>0</v>
      </c>
      <c r="W302" s="136">
        <v>19.5</v>
      </c>
      <c r="X302" s="35">
        <v>0</v>
      </c>
      <c r="Y302" s="149">
        <v>19.5</v>
      </c>
      <c r="Z302" s="35">
        <v>0</v>
      </c>
      <c r="AA302" s="136">
        <v>19.5</v>
      </c>
      <c r="AB302" s="37">
        <v>0</v>
      </c>
      <c r="AC302" s="136">
        <v>19.5</v>
      </c>
      <c r="AD302" s="37"/>
      <c r="AE302" s="40">
        <v>160</v>
      </c>
      <c r="AF302" s="65"/>
      <c r="AG302" s="35">
        <v>0</v>
      </c>
      <c r="AH302" s="36">
        <v>0</v>
      </c>
      <c r="AI302" s="37"/>
      <c r="AJ302" s="35">
        <v>253</v>
      </c>
      <c r="AK302" s="36">
        <v>259.20000000000005</v>
      </c>
      <c r="AL302" s="35">
        <v>329</v>
      </c>
      <c r="AM302" s="36">
        <v>292.8</v>
      </c>
      <c r="AN302" s="37">
        <v>348</v>
      </c>
      <c r="AO302" s="36">
        <v>273.60000000000002</v>
      </c>
      <c r="AP302" s="37"/>
      <c r="AQ302" s="35">
        <v>248</v>
      </c>
      <c r="AR302" s="36">
        <v>532.80000000000007</v>
      </c>
      <c r="AS302" s="35">
        <v>313</v>
      </c>
      <c r="AT302" s="36">
        <v>468</v>
      </c>
      <c r="AU302" s="37">
        <v>313</v>
      </c>
      <c r="AV302" s="36">
        <v>468</v>
      </c>
      <c r="AW302" s="37">
        <v>313</v>
      </c>
      <c r="AX302" s="36">
        <v>468</v>
      </c>
      <c r="AY302" s="37">
        <v>313</v>
      </c>
      <c r="AZ302" s="36">
        <v>468</v>
      </c>
      <c r="BB302" s="40">
        <v>0</v>
      </c>
      <c r="BC302" s="65"/>
      <c r="BD302" s="35">
        <v>0</v>
      </c>
      <c r="BE302" s="36">
        <v>0</v>
      </c>
      <c r="BF302" s="37"/>
      <c r="BG302" s="415">
        <v>0</v>
      </c>
      <c r="BH302" s="353">
        <v>0</v>
      </c>
      <c r="BI302" s="415">
        <v>0</v>
      </c>
      <c r="BJ302" s="353">
        <v>0</v>
      </c>
      <c r="BK302" s="415">
        <v>0</v>
      </c>
      <c r="BL302" s="353">
        <v>0</v>
      </c>
      <c r="BM302" s="416"/>
      <c r="BN302" s="415">
        <v>0</v>
      </c>
      <c r="BO302" s="353">
        <v>0</v>
      </c>
      <c r="BP302" s="415">
        <v>0</v>
      </c>
      <c r="BQ302" s="353">
        <v>0</v>
      </c>
      <c r="BR302" s="415">
        <v>0</v>
      </c>
      <c r="BS302" s="353">
        <v>0</v>
      </c>
      <c r="BT302" s="415">
        <v>0</v>
      </c>
      <c r="BU302" s="353">
        <v>0</v>
      </c>
      <c r="BV302" s="415">
        <v>0</v>
      </c>
      <c r="BW302" s="353">
        <v>0</v>
      </c>
      <c r="BY302" s="80"/>
      <c r="BZ302" s="65"/>
      <c r="CA302" s="40" t="s">
        <v>3</v>
      </c>
      <c r="CB302" s="65"/>
      <c r="CC302" s="40">
        <v>-92.461157024793351</v>
      </c>
      <c r="CD302" s="40">
        <v>-168.86115702479339</v>
      </c>
      <c r="CE302" s="40">
        <v>-188.06115702479337</v>
      </c>
      <c r="CF302" s="65"/>
      <c r="CG302" s="40">
        <v>-87.861157024793329</v>
      </c>
      <c r="CH302" s="40">
        <v>-152.6611570247934</v>
      </c>
      <c r="CI302" s="40">
        <v>-152.6611570247934</v>
      </c>
      <c r="CJ302" s="40">
        <v>-152.6611570247934</v>
      </c>
      <c r="CK302" s="40">
        <v>-152.6611570247934</v>
      </c>
    </row>
    <row r="303" spans="1:89" s="417" customFormat="1">
      <c r="A303" s="196" t="s">
        <v>1106</v>
      </c>
      <c r="B303" s="211" t="s">
        <v>1104</v>
      </c>
      <c r="C303" s="211" t="s">
        <v>749</v>
      </c>
      <c r="D303" s="41">
        <v>781</v>
      </c>
      <c r="E303" s="41">
        <v>0</v>
      </c>
      <c r="F303" s="22" t="s">
        <v>1105</v>
      </c>
      <c r="G303" s="40">
        <v>30</v>
      </c>
      <c r="H303" s="388">
        <v>620.6611570247934</v>
      </c>
      <c r="I303" s="321"/>
      <c r="J303" s="40" t="s">
        <v>3</v>
      </c>
      <c r="K303" s="36" t="s">
        <v>3</v>
      </c>
      <c r="L303" s="37"/>
      <c r="M303" s="35">
        <v>269</v>
      </c>
      <c r="N303" s="136">
        <v>8.7000000000000011</v>
      </c>
      <c r="O303" s="35">
        <v>159</v>
      </c>
      <c r="P303" s="136">
        <v>9.8000000000000007</v>
      </c>
      <c r="Q303" s="37">
        <v>159</v>
      </c>
      <c r="R303" s="136">
        <v>9.2000000000000011</v>
      </c>
      <c r="S303" s="37"/>
      <c r="T303" s="35">
        <v>0</v>
      </c>
      <c r="U303" s="136">
        <v>17.8</v>
      </c>
      <c r="V303" s="35">
        <v>0</v>
      </c>
      <c r="W303" s="136">
        <v>15.600000000000001</v>
      </c>
      <c r="X303" s="35">
        <v>0</v>
      </c>
      <c r="Y303" s="149">
        <v>15.600000000000001</v>
      </c>
      <c r="Z303" s="35">
        <v>0</v>
      </c>
      <c r="AA303" s="136">
        <v>15.600000000000001</v>
      </c>
      <c r="AB303" s="37">
        <v>0</v>
      </c>
      <c r="AC303" s="136">
        <v>15.600000000000001</v>
      </c>
      <c r="AD303" s="37"/>
      <c r="AE303" s="40">
        <v>160</v>
      </c>
      <c r="AF303" s="65"/>
      <c r="AG303" s="35">
        <v>0</v>
      </c>
      <c r="AH303" s="36">
        <v>0</v>
      </c>
      <c r="AI303" s="37"/>
      <c r="AJ303" s="35">
        <v>251</v>
      </c>
      <c r="AK303" s="36">
        <v>261.00000000000006</v>
      </c>
      <c r="AL303" s="35">
        <v>328</v>
      </c>
      <c r="AM303" s="36">
        <v>294</v>
      </c>
      <c r="AN303" s="35">
        <v>346</v>
      </c>
      <c r="AO303" s="36">
        <v>276.00000000000006</v>
      </c>
      <c r="AP303" s="37"/>
      <c r="AQ303" s="35">
        <v>247</v>
      </c>
      <c r="AR303" s="36">
        <v>534</v>
      </c>
      <c r="AS303" s="35">
        <v>313</v>
      </c>
      <c r="AT303" s="36">
        <v>468.00000000000006</v>
      </c>
      <c r="AU303" s="35">
        <v>313</v>
      </c>
      <c r="AV303" s="36">
        <v>468.00000000000006</v>
      </c>
      <c r="AW303" s="35">
        <v>313</v>
      </c>
      <c r="AX303" s="36">
        <v>468.00000000000006</v>
      </c>
      <c r="AY303" s="35">
        <v>313</v>
      </c>
      <c r="AZ303" s="36">
        <v>468.00000000000006</v>
      </c>
      <c r="BA303" s="2"/>
      <c r="BB303" s="40">
        <v>0</v>
      </c>
      <c r="BC303" s="65"/>
      <c r="BD303" s="35">
        <v>0</v>
      </c>
      <c r="BE303" s="36">
        <v>0</v>
      </c>
      <c r="BF303" s="37"/>
      <c r="BG303" s="415">
        <v>0</v>
      </c>
      <c r="BH303" s="353">
        <v>0</v>
      </c>
      <c r="BI303" s="415">
        <v>0</v>
      </c>
      <c r="BJ303" s="353">
        <v>0</v>
      </c>
      <c r="BK303" s="415">
        <v>0</v>
      </c>
      <c r="BL303" s="353">
        <v>0</v>
      </c>
      <c r="BM303" s="416"/>
      <c r="BN303" s="415">
        <v>0</v>
      </c>
      <c r="BO303" s="353">
        <v>0</v>
      </c>
      <c r="BP303" s="415">
        <v>0</v>
      </c>
      <c r="BQ303" s="353">
        <v>0</v>
      </c>
      <c r="BR303" s="415">
        <v>0</v>
      </c>
      <c r="BS303" s="353">
        <v>0</v>
      </c>
      <c r="BT303" s="415">
        <v>0</v>
      </c>
      <c r="BU303" s="353">
        <v>1.7763568394002505E-15</v>
      </c>
      <c r="BV303" s="415">
        <v>0</v>
      </c>
      <c r="BW303" s="353">
        <v>1.7763568394002505E-15</v>
      </c>
      <c r="BX303" s="2"/>
      <c r="BY303" s="80"/>
      <c r="BZ303" s="65"/>
      <c r="CA303" s="40" t="s">
        <v>3</v>
      </c>
      <c r="CB303" s="65"/>
      <c r="CC303" s="40">
        <v>-90.661157024793397</v>
      </c>
      <c r="CD303" s="40">
        <v>-167.6611570247934</v>
      </c>
      <c r="CE303" s="40">
        <v>-185.66115702479334</v>
      </c>
      <c r="CF303" s="65"/>
      <c r="CG303" s="40">
        <v>-86.661157024793397</v>
      </c>
      <c r="CH303" s="40">
        <v>-152.66115702479334</v>
      </c>
      <c r="CI303" s="40">
        <v>-152.66115702479334</v>
      </c>
      <c r="CJ303" s="40">
        <v>-152.66115702479334</v>
      </c>
      <c r="CK303" s="40">
        <v>-152.66115702479334</v>
      </c>
    </row>
    <row r="304" spans="1:89" s="2" customFormat="1">
      <c r="A304" s="196" t="s">
        <v>1051</v>
      </c>
      <c r="B304" s="211" t="s">
        <v>672</v>
      </c>
      <c r="C304" s="211" t="s">
        <v>750</v>
      </c>
      <c r="D304" s="41">
        <v>168</v>
      </c>
      <c r="E304" s="41">
        <v>0</v>
      </c>
      <c r="F304" s="22" t="s">
        <v>1041</v>
      </c>
      <c r="G304" s="40">
        <v>24</v>
      </c>
      <c r="H304" s="388">
        <v>157.85123966942149</v>
      </c>
      <c r="I304" s="321"/>
      <c r="J304" s="40" t="s">
        <v>3</v>
      </c>
      <c r="K304" s="36" t="s">
        <v>3</v>
      </c>
      <c r="L304" s="37"/>
      <c r="M304" s="35">
        <v>29</v>
      </c>
      <c r="N304" s="136">
        <v>4.2</v>
      </c>
      <c r="O304" s="35">
        <v>0</v>
      </c>
      <c r="P304" s="136">
        <v>2.1</v>
      </c>
      <c r="Q304" s="37">
        <v>0</v>
      </c>
      <c r="R304" s="136">
        <v>1.3</v>
      </c>
      <c r="S304" s="37"/>
      <c r="T304" s="35">
        <v>0</v>
      </c>
      <c r="U304" s="136">
        <v>5.4</v>
      </c>
      <c r="V304" s="35">
        <v>0</v>
      </c>
      <c r="W304" s="136">
        <v>1.7000000000000002</v>
      </c>
      <c r="X304" s="35">
        <v>0</v>
      </c>
      <c r="Y304" s="149">
        <v>1.7000000000000002</v>
      </c>
      <c r="Z304" s="35">
        <v>0</v>
      </c>
      <c r="AA304" s="136">
        <v>1.7000000000000002</v>
      </c>
      <c r="AB304" s="37">
        <v>0</v>
      </c>
      <c r="AC304" s="136">
        <v>1.7000000000000002</v>
      </c>
      <c r="AD304" s="37"/>
      <c r="AE304" s="40">
        <v>10</v>
      </c>
      <c r="AF304" s="65"/>
      <c r="AG304" s="35">
        <v>0</v>
      </c>
      <c r="AH304" s="36">
        <v>0</v>
      </c>
      <c r="AI304" s="37"/>
      <c r="AJ304" s="35">
        <v>38</v>
      </c>
      <c r="AK304" s="36">
        <v>100.80000000000001</v>
      </c>
      <c r="AL304" s="35">
        <v>118</v>
      </c>
      <c r="AM304" s="36">
        <v>50.400000000000006</v>
      </c>
      <c r="AN304" s="37">
        <v>137</v>
      </c>
      <c r="AO304" s="36">
        <v>31.200000000000003</v>
      </c>
      <c r="AP304" s="37"/>
      <c r="AQ304" s="35">
        <v>38</v>
      </c>
      <c r="AR304" s="36">
        <v>129.60000000000002</v>
      </c>
      <c r="AS304" s="35">
        <v>127</v>
      </c>
      <c r="AT304" s="36">
        <v>40.800000000000004</v>
      </c>
      <c r="AU304" s="37">
        <v>127</v>
      </c>
      <c r="AV304" s="36">
        <v>40.800000000000004</v>
      </c>
      <c r="AW304" s="37">
        <v>127</v>
      </c>
      <c r="AX304" s="36">
        <v>40.800000000000004</v>
      </c>
      <c r="AY304" s="37">
        <v>127</v>
      </c>
      <c r="AZ304" s="36">
        <v>40.800000000000004</v>
      </c>
      <c r="BB304" s="40">
        <v>0</v>
      </c>
      <c r="BC304" s="65"/>
      <c r="BD304" s="35">
        <v>0</v>
      </c>
      <c r="BE304" s="36">
        <v>0</v>
      </c>
      <c r="BF304" s="37"/>
      <c r="BG304" s="415">
        <v>0</v>
      </c>
      <c r="BH304" s="353">
        <v>0</v>
      </c>
      <c r="BI304" s="415">
        <v>0</v>
      </c>
      <c r="BJ304" s="353">
        <v>0</v>
      </c>
      <c r="BK304" s="415">
        <v>0</v>
      </c>
      <c r="BL304" s="353">
        <v>0</v>
      </c>
      <c r="BM304" s="416"/>
      <c r="BN304" s="415">
        <v>0</v>
      </c>
      <c r="BO304" s="353">
        <v>0</v>
      </c>
      <c r="BP304" s="415">
        <v>0</v>
      </c>
      <c r="BQ304" s="353">
        <v>0</v>
      </c>
      <c r="BR304" s="415">
        <v>0</v>
      </c>
      <c r="BS304" s="353">
        <v>0</v>
      </c>
      <c r="BT304" s="415">
        <v>0</v>
      </c>
      <c r="BU304" s="353">
        <v>0</v>
      </c>
      <c r="BV304" s="415">
        <v>0</v>
      </c>
      <c r="BW304" s="353">
        <v>0</v>
      </c>
      <c r="BY304" s="80"/>
      <c r="BZ304" s="65"/>
      <c r="CA304" s="40" t="s">
        <v>3</v>
      </c>
      <c r="CB304" s="65"/>
      <c r="CC304" s="40">
        <v>-28.051239669421477</v>
      </c>
      <c r="CD304" s="40">
        <v>-107.45123966942148</v>
      </c>
      <c r="CE304" s="40">
        <v>-126.65123966942149</v>
      </c>
      <c r="CF304" s="65"/>
      <c r="CG304" s="40">
        <v>-28.251239669421466</v>
      </c>
      <c r="CH304" s="40">
        <v>-117.05123966942148</v>
      </c>
      <c r="CI304" s="40">
        <v>-117.05123966942148</v>
      </c>
      <c r="CJ304" s="40">
        <v>-117.05123966942148</v>
      </c>
      <c r="CK304" s="40">
        <v>-117.05123966942148</v>
      </c>
    </row>
    <row r="305" spans="1:89" s="2" customFormat="1">
      <c r="A305" s="196" t="s">
        <v>1052</v>
      </c>
      <c r="B305" s="211" t="s">
        <v>106</v>
      </c>
      <c r="C305" s="211" t="s">
        <v>751</v>
      </c>
      <c r="D305" s="41">
        <v>204</v>
      </c>
      <c r="E305" s="41">
        <v>0</v>
      </c>
      <c r="F305" s="41" t="s">
        <v>1041</v>
      </c>
      <c r="G305" s="413">
        <v>24</v>
      </c>
      <c r="H305" s="414">
        <v>195.04132231404958</v>
      </c>
      <c r="I305" s="321"/>
      <c r="J305" s="40" t="s">
        <v>3</v>
      </c>
      <c r="K305" s="36" t="s">
        <v>3</v>
      </c>
      <c r="L305" s="37"/>
      <c r="M305" s="35">
        <v>29</v>
      </c>
      <c r="N305" s="136">
        <v>5.6000000000000005</v>
      </c>
      <c r="O305" s="35">
        <v>0</v>
      </c>
      <c r="P305" s="136">
        <v>3.8000000000000003</v>
      </c>
      <c r="Q305" s="37">
        <v>0</v>
      </c>
      <c r="R305" s="136">
        <v>2.9000000000000004</v>
      </c>
      <c r="S305" s="37"/>
      <c r="T305" s="35">
        <v>0</v>
      </c>
      <c r="U305" s="136">
        <v>6.9</v>
      </c>
      <c r="V305" s="35">
        <v>0</v>
      </c>
      <c r="W305" s="136">
        <v>2.5</v>
      </c>
      <c r="X305" s="35">
        <v>0</v>
      </c>
      <c r="Y305" s="149">
        <v>2.5</v>
      </c>
      <c r="Z305" s="35">
        <v>0</v>
      </c>
      <c r="AA305" s="136">
        <v>3</v>
      </c>
      <c r="AB305" s="37">
        <v>0</v>
      </c>
      <c r="AC305" s="136">
        <v>3</v>
      </c>
      <c r="AD305" s="37"/>
      <c r="AE305" s="40">
        <v>9</v>
      </c>
      <c r="AF305" s="65"/>
      <c r="AG305" s="35">
        <v>0</v>
      </c>
      <c r="AH305" s="36">
        <v>0</v>
      </c>
      <c r="AI305" s="37"/>
      <c r="AJ305" s="35">
        <v>41</v>
      </c>
      <c r="AK305" s="36">
        <v>134.4</v>
      </c>
      <c r="AL305" s="35">
        <v>113</v>
      </c>
      <c r="AM305" s="36">
        <v>91.2</v>
      </c>
      <c r="AN305" s="35">
        <v>134</v>
      </c>
      <c r="AO305" s="36">
        <v>69.600000000000009</v>
      </c>
      <c r="AP305" s="37"/>
      <c r="AQ305" s="35">
        <v>38</v>
      </c>
      <c r="AR305" s="36">
        <v>165.60000000000002</v>
      </c>
      <c r="AS305" s="35">
        <v>144</v>
      </c>
      <c r="AT305" s="36">
        <v>60</v>
      </c>
      <c r="AU305" s="35">
        <v>144</v>
      </c>
      <c r="AV305" s="36">
        <v>60</v>
      </c>
      <c r="AW305" s="35">
        <v>132</v>
      </c>
      <c r="AX305" s="36">
        <v>72</v>
      </c>
      <c r="AY305" s="35">
        <v>132</v>
      </c>
      <c r="AZ305" s="36">
        <v>72</v>
      </c>
      <c r="BB305" s="40">
        <v>0</v>
      </c>
      <c r="BC305" s="65"/>
      <c r="BD305" s="35">
        <v>0</v>
      </c>
      <c r="BE305" s="36">
        <v>0</v>
      </c>
      <c r="BF305" s="37"/>
      <c r="BG305" s="415">
        <v>0</v>
      </c>
      <c r="BH305" s="353">
        <v>0</v>
      </c>
      <c r="BI305" s="415">
        <v>0</v>
      </c>
      <c r="BJ305" s="353">
        <v>0</v>
      </c>
      <c r="BK305" s="415">
        <v>0</v>
      </c>
      <c r="BL305" s="353">
        <v>0</v>
      </c>
      <c r="BM305" s="416"/>
      <c r="BN305" s="415">
        <v>0</v>
      </c>
      <c r="BO305" s="353">
        <v>0</v>
      </c>
      <c r="BP305" s="415">
        <v>0</v>
      </c>
      <c r="BQ305" s="353">
        <v>0</v>
      </c>
      <c r="BR305" s="415">
        <v>0</v>
      </c>
      <c r="BS305" s="353">
        <v>0</v>
      </c>
      <c r="BT305" s="415">
        <v>0</v>
      </c>
      <c r="BU305" s="353">
        <v>0</v>
      </c>
      <c r="BV305" s="415">
        <v>0</v>
      </c>
      <c r="BW305" s="353">
        <v>0</v>
      </c>
      <c r="BY305" s="80"/>
      <c r="BZ305" s="65"/>
      <c r="CA305" s="40" t="s">
        <v>3</v>
      </c>
      <c r="CB305" s="65"/>
      <c r="CC305" s="40">
        <v>-31.641322314049575</v>
      </c>
      <c r="CD305" s="40">
        <v>-103.84132231404958</v>
      </c>
      <c r="CE305" s="40">
        <v>-125.44132231404957</v>
      </c>
      <c r="CF305" s="65"/>
      <c r="CG305" s="40">
        <v>-29.441322314049557</v>
      </c>
      <c r="CH305" s="40">
        <v>-135.04132231404958</v>
      </c>
      <c r="CI305" s="40">
        <v>-135.04132231404958</v>
      </c>
      <c r="CJ305" s="40">
        <v>-123.04132231404958</v>
      </c>
      <c r="CK305" s="40">
        <v>-123.04132231404958</v>
      </c>
    </row>
    <row r="306" spans="1:89" s="2" customFormat="1">
      <c r="A306" s="196" t="s">
        <v>1053</v>
      </c>
      <c r="B306" s="211" t="s">
        <v>670</v>
      </c>
      <c r="C306" s="211" t="s">
        <v>588</v>
      </c>
      <c r="D306" s="41">
        <v>47</v>
      </c>
      <c r="E306" s="41">
        <v>0</v>
      </c>
      <c r="F306" s="22" t="s">
        <v>1041</v>
      </c>
      <c r="G306" s="40">
        <v>24</v>
      </c>
      <c r="H306" s="388">
        <v>46.280991735537192</v>
      </c>
      <c r="I306" s="321"/>
      <c r="J306" s="40" t="s">
        <v>3</v>
      </c>
      <c r="K306" s="36" t="s">
        <v>3</v>
      </c>
      <c r="L306" s="37"/>
      <c r="M306" s="35">
        <v>0</v>
      </c>
      <c r="N306" s="136">
        <v>1.1000000000000001</v>
      </c>
      <c r="O306" s="35">
        <v>0</v>
      </c>
      <c r="P306" s="136">
        <v>1.1000000000000001</v>
      </c>
      <c r="Q306" s="37">
        <v>0</v>
      </c>
      <c r="R306" s="136">
        <v>1.1000000000000001</v>
      </c>
      <c r="S306" s="37"/>
      <c r="T306" s="35">
        <v>0</v>
      </c>
      <c r="U306" s="136">
        <v>0.5</v>
      </c>
      <c r="V306" s="35">
        <v>0</v>
      </c>
      <c r="W306" s="136">
        <v>0.5</v>
      </c>
      <c r="X306" s="35">
        <v>0</v>
      </c>
      <c r="Y306" s="149">
        <v>0.5</v>
      </c>
      <c r="Z306" s="35">
        <v>0</v>
      </c>
      <c r="AA306" s="136">
        <v>0.4</v>
      </c>
      <c r="AB306" s="37">
        <v>0</v>
      </c>
      <c r="AC306" s="136">
        <v>0.4</v>
      </c>
      <c r="AD306" s="37"/>
      <c r="AE306" s="40">
        <v>1</v>
      </c>
      <c r="AF306" s="65"/>
      <c r="AG306" s="35">
        <v>0</v>
      </c>
      <c r="AH306" s="36">
        <v>0</v>
      </c>
      <c r="AI306" s="37"/>
      <c r="AJ306" s="35">
        <v>21</v>
      </c>
      <c r="AK306" s="36">
        <v>26.400000000000002</v>
      </c>
      <c r="AL306" s="35">
        <v>21</v>
      </c>
      <c r="AM306" s="36">
        <v>26.400000000000002</v>
      </c>
      <c r="AN306" s="37">
        <v>21</v>
      </c>
      <c r="AO306" s="36">
        <v>26.400000000000002</v>
      </c>
      <c r="AP306" s="37"/>
      <c r="AQ306" s="35">
        <v>35</v>
      </c>
      <c r="AR306" s="36">
        <v>12</v>
      </c>
      <c r="AS306" s="35">
        <v>35</v>
      </c>
      <c r="AT306" s="36">
        <v>12</v>
      </c>
      <c r="AU306" s="37">
        <v>35</v>
      </c>
      <c r="AV306" s="36">
        <v>12</v>
      </c>
      <c r="AW306" s="37">
        <v>37</v>
      </c>
      <c r="AX306" s="36">
        <v>9.6000000000000014</v>
      </c>
      <c r="AY306" s="37">
        <v>37</v>
      </c>
      <c r="AZ306" s="36">
        <v>9.6000000000000014</v>
      </c>
      <c r="BB306" s="40">
        <v>0</v>
      </c>
      <c r="BC306" s="65"/>
      <c r="BD306" s="35">
        <v>0</v>
      </c>
      <c r="BE306" s="36">
        <v>0</v>
      </c>
      <c r="BF306" s="37"/>
      <c r="BG306" s="415">
        <v>0</v>
      </c>
      <c r="BH306" s="353">
        <v>0</v>
      </c>
      <c r="BI306" s="415">
        <v>0</v>
      </c>
      <c r="BJ306" s="353">
        <v>0</v>
      </c>
      <c r="BK306" s="415">
        <v>0</v>
      </c>
      <c r="BL306" s="353">
        <v>0</v>
      </c>
      <c r="BM306" s="416"/>
      <c r="BN306" s="415">
        <v>0</v>
      </c>
      <c r="BO306" s="353">
        <v>0</v>
      </c>
      <c r="BP306" s="415">
        <v>0</v>
      </c>
      <c r="BQ306" s="353">
        <v>0</v>
      </c>
      <c r="BR306" s="415">
        <v>0</v>
      </c>
      <c r="BS306" s="353">
        <v>0</v>
      </c>
      <c r="BT306" s="415">
        <v>0</v>
      </c>
      <c r="BU306" s="353">
        <v>0</v>
      </c>
      <c r="BV306" s="415">
        <v>0</v>
      </c>
      <c r="BW306" s="353">
        <v>0</v>
      </c>
      <c r="BY306" s="80"/>
      <c r="BZ306" s="65"/>
      <c r="CA306" s="40" t="s">
        <v>3</v>
      </c>
      <c r="CB306" s="65"/>
      <c r="CC306" s="40">
        <v>-19.88099173553719</v>
      </c>
      <c r="CD306" s="40">
        <v>-19.88099173553719</v>
      </c>
      <c r="CE306" s="40">
        <v>-19.88099173553719</v>
      </c>
      <c r="CF306" s="65"/>
      <c r="CG306" s="40">
        <v>-34.280991735537192</v>
      </c>
      <c r="CH306" s="40">
        <v>-34.280991735537192</v>
      </c>
      <c r="CI306" s="40">
        <v>-34.280991735537192</v>
      </c>
      <c r="CJ306" s="40">
        <v>-36.680991735537191</v>
      </c>
      <c r="CK306" s="40">
        <v>-36.680991735537191</v>
      </c>
    </row>
    <row r="307" spans="1:89" s="2" customFormat="1">
      <c r="A307" s="196" t="s">
        <v>1054</v>
      </c>
      <c r="B307" s="211" t="s">
        <v>57</v>
      </c>
      <c r="C307" s="211" t="s">
        <v>639</v>
      </c>
      <c r="D307" s="41">
        <v>94</v>
      </c>
      <c r="E307" s="41">
        <v>0</v>
      </c>
      <c r="F307" s="41" t="s">
        <v>1041</v>
      </c>
      <c r="G307" s="413">
        <v>24</v>
      </c>
      <c r="H307" s="414">
        <v>73.553719008264466</v>
      </c>
      <c r="I307" s="321"/>
      <c r="J307" s="40" t="s">
        <v>3</v>
      </c>
      <c r="K307" s="36" t="s">
        <v>3</v>
      </c>
      <c r="L307" s="37"/>
      <c r="M307" s="35">
        <v>0</v>
      </c>
      <c r="N307" s="136">
        <v>2</v>
      </c>
      <c r="O307" s="35">
        <v>0</v>
      </c>
      <c r="P307" s="136">
        <v>2</v>
      </c>
      <c r="Q307" s="37">
        <v>0</v>
      </c>
      <c r="R307" s="136">
        <v>2</v>
      </c>
      <c r="S307" s="37"/>
      <c r="T307" s="35">
        <v>0</v>
      </c>
      <c r="U307" s="136">
        <v>0.9</v>
      </c>
      <c r="V307" s="35">
        <v>0</v>
      </c>
      <c r="W307" s="136">
        <v>0.9</v>
      </c>
      <c r="X307" s="35">
        <v>0</v>
      </c>
      <c r="Y307" s="149">
        <v>0.9</v>
      </c>
      <c r="Z307" s="35">
        <v>0</v>
      </c>
      <c r="AA307" s="136">
        <v>0.8</v>
      </c>
      <c r="AB307" s="37">
        <v>0</v>
      </c>
      <c r="AC307" s="136">
        <v>0.8</v>
      </c>
      <c r="AD307" s="37"/>
      <c r="AE307" s="40">
        <v>20</v>
      </c>
      <c r="AF307" s="65"/>
      <c r="AG307" s="35">
        <v>0</v>
      </c>
      <c r="AH307" s="36">
        <v>0</v>
      </c>
      <c r="AI307" s="37"/>
      <c r="AJ307" s="35">
        <v>46</v>
      </c>
      <c r="AK307" s="36">
        <v>48</v>
      </c>
      <c r="AL307" s="35">
        <v>46</v>
      </c>
      <c r="AM307" s="36">
        <v>48</v>
      </c>
      <c r="AN307" s="35">
        <v>46</v>
      </c>
      <c r="AO307" s="36">
        <v>48</v>
      </c>
      <c r="AP307" s="37"/>
      <c r="AQ307" s="35">
        <v>72</v>
      </c>
      <c r="AR307" s="36">
        <v>21.6</v>
      </c>
      <c r="AS307" s="35">
        <v>72</v>
      </c>
      <c r="AT307" s="36">
        <v>21.6</v>
      </c>
      <c r="AU307" s="35">
        <v>72</v>
      </c>
      <c r="AV307" s="36">
        <v>21.6</v>
      </c>
      <c r="AW307" s="35">
        <v>75</v>
      </c>
      <c r="AX307" s="36">
        <v>19.200000000000003</v>
      </c>
      <c r="AY307" s="35">
        <v>75</v>
      </c>
      <c r="AZ307" s="36">
        <v>19.200000000000003</v>
      </c>
      <c r="BB307" s="40">
        <v>0</v>
      </c>
      <c r="BC307" s="65"/>
      <c r="BD307" s="35">
        <v>0</v>
      </c>
      <c r="BE307" s="36">
        <v>0</v>
      </c>
      <c r="BF307" s="37"/>
      <c r="BG307" s="415">
        <v>0</v>
      </c>
      <c r="BH307" s="353">
        <v>0</v>
      </c>
      <c r="BI307" s="415">
        <v>0</v>
      </c>
      <c r="BJ307" s="353">
        <v>0</v>
      </c>
      <c r="BK307" s="415">
        <v>0</v>
      </c>
      <c r="BL307" s="353">
        <v>0</v>
      </c>
      <c r="BM307" s="416"/>
      <c r="BN307" s="415">
        <v>0</v>
      </c>
      <c r="BO307" s="353">
        <v>0</v>
      </c>
      <c r="BP307" s="415">
        <v>0</v>
      </c>
      <c r="BQ307" s="353">
        <v>0</v>
      </c>
      <c r="BR307" s="415">
        <v>0</v>
      </c>
      <c r="BS307" s="353">
        <v>0</v>
      </c>
      <c r="BT307" s="415">
        <v>0</v>
      </c>
      <c r="BU307" s="353">
        <v>0</v>
      </c>
      <c r="BV307" s="415">
        <v>0</v>
      </c>
      <c r="BW307" s="353">
        <v>0</v>
      </c>
      <c r="BY307" s="80"/>
      <c r="BZ307" s="65"/>
      <c r="CA307" s="40" t="s">
        <v>3</v>
      </c>
      <c r="CB307" s="65"/>
      <c r="CC307" s="40">
        <v>-25.553719008264466</v>
      </c>
      <c r="CD307" s="40">
        <v>-25.553719008264466</v>
      </c>
      <c r="CE307" s="40">
        <v>-25.553719008264466</v>
      </c>
      <c r="CF307" s="65"/>
      <c r="CG307" s="40">
        <v>-51.953719008264464</v>
      </c>
      <c r="CH307" s="40">
        <v>-51.953719008264464</v>
      </c>
      <c r="CI307" s="40">
        <v>-51.953719008264464</v>
      </c>
      <c r="CJ307" s="40">
        <v>-54.353719008264463</v>
      </c>
      <c r="CK307" s="40">
        <v>-54.353719008264463</v>
      </c>
    </row>
    <row r="308" spans="1:89" s="2" customFormat="1">
      <c r="A308" s="196" t="s">
        <v>1055</v>
      </c>
      <c r="B308" s="211" t="s">
        <v>57</v>
      </c>
      <c r="C308" s="211" t="s">
        <v>565</v>
      </c>
      <c r="D308" s="41">
        <v>41</v>
      </c>
      <c r="E308" s="41">
        <v>0</v>
      </c>
      <c r="F308" s="22" t="s">
        <v>1041</v>
      </c>
      <c r="G308" s="40">
        <v>24</v>
      </c>
      <c r="H308" s="388">
        <v>38.84297520661157</v>
      </c>
      <c r="I308" s="321"/>
      <c r="J308" s="40" t="s">
        <v>3</v>
      </c>
      <c r="K308" s="36" t="s">
        <v>3</v>
      </c>
      <c r="L308" s="37"/>
      <c r="M308" s="35">
        <v>0</v>
      </c>
      <c r="N308" s="136">
        <v>0.8</v>
      </c>
      <c r="O308" s="35">
        <v>0</v>
      </c>
      <c r="P308" s="136">
        <v>0.8</v>
      </c>
      <c r="Q308" s="37">
        <v>0</v>
      </c>
      <c r="R308" s="136">
        <v>0.8</v>
      </c>
      <c r="S308" s="37"/>
      <c r="T308" s="35">
        <v>0</v>
      </c>
      <c r="U308" s="136">
        <v>0</v>
      </c>
      <c r="V308" s="35">
        <v>0</v>
      </c>
      <c r="W308" s="136">
        <v>0</v>
      </c>
      <c r="X308" s="35">
        <v>0</v>
      </c>
      <c r="Y308" s="149">
        <v>0</v>
      </c>
      <c r="Z308" s="35">
        <v>0</v>
      </c>
      <c r="AA308" s="136">
        <v>0</v>
      </c>
      <c r="AB308" s="37">
        <v>0</v>
      </c>
      <c r="AC308" s="136">
        <v>0</v>
      </c>
      <c r="AD308" s="37"/>
      <c r="AE308" s="40">
        <v>2</v>
      </c>
      <c r="AF308" s="65"/>
      <c r="AG308" s="35">
        <v>0</v>
      </c>
      <c r="AH308" s="36">
        <v>0</v>
      </c>
      <c r="AI308" s="37"/>
      <c r="AJ308" s="35">
        <v>22</v>
      </c>
      <c r="AK308" s="36">
        <v>19.200000000000003</v>
      </c>
      <c r="AL308" s="35">
        <v>22</v>
      </c>
      <c r="AM308" s="36">
        <v>19.200000000000003</v>
      </c>
      <c r="AN308" s="37">
        <v>22</v>
      </c>
      <c r="AO308" s="36">
        <v>19.200000000000003</v>
      </c>
      <c r="AP308" s="37"/>
      <c r="AQ308" s="35">
        <v>41</v>
      </c>
      <c r="AR308" s="36">
        <v>0</v>
      </c>
      <c r="AS308" s="35">
        <v>41</v>
      </c>
      <c r="AT308" s="36">
        <v>0</v>
      </c>
      <c r="AU308" s="37">
        <v>41</v>
      </c>
      <c r="AV308" s="36">
        <v>0</v>
      </c>
      <c r="AW308" s="37">
        <v>41</v>
      </c>
      <c r="AX308" s="36">
        <v>0</v>
      </c>
      <c r="AY308" s="37">
        <v>41</v>
      </c>
      <c r="AZ308" s="36">
        <v>0</v>
      </c>
      <c r="BB308" s="40">
        <v>0</v>
      </c>
      <c r="BC308" s="65"/>
      <c r="BD308" s="35">
        <v>0</v>
      </c>
      <c r="BE308" s="36">
        <v>0</v>
      </c>
      <c r="BF308" s="37"/>
      <c r="BG308" s="415">
        <v>0</v>
      </c>
      <c r="BH308" s="353">
        <v>0</v>
      </c>
      <c r="BI308" s="415">
        <v>0</v>
      </c>
      <c r="BJ308" s="353">
        <v>0</v>
      </c>
      <c r="BK308" s="415">
        <v>0</v>
      </c>
      <c r="BL308" s="353">
        <v>0</v>
      </c>
      <c r="BM308" s="416"/>
      <c r="BN308" s="415">
        <v>0</v>
      </c>
      <c r="BO308" s="353">
        <v>0</v>
      </c>
      <c r="BP308" s="415">
        <v>0</v>
      </c>
      <c r="BQ308" s="353">
        <v>0</v>
      </c>
      <c r="BR308" s="415">
        <v>0</v>
      </c>
      <c r="BS308" s="353">
        <v>0</v>
      </c>
      <c r="BT308" s="415">
        <v>0</v>
      </c>
      <c r="BU308" s="353">
        <v>0</v>
      </c>
      <c r="BV308" s="415">
        <v>0</v>
      </c>
      <c r="BW308" s="353">
        <v>0</v>
      </c>
      <c r="BY308" s="80"/>
      <c r="BZ308" s="65"/>
      <c r="CA308" s="40" t="s">
        <v>3</v>
      </c>
      <c r="CB308" s="65"/>
      <c r="CC308" s="40">
        <v>-19.642975206611567</v>
      </c>
      <c r="CD308" s="40">
        <v>-19.642975206611567</v>
      </c>
      <c r="CE308" s="40">
        <v>-19.642975206611567</v>
      </c>
      <c r="CF308" s="65"/>
      <c r="CG308" s="40">
        <v>-38.84297520661157</v>
      </c>
      <c r="CH308" s="40">
        <v>-38.84297520661157</v>
      </c>
      <c r="CI308" s="40">
        <v>-38.84297520661157</v>
      </c>
      <c r="CJ308" s="40">
        <v>-38.84297520661157</v>
      </c>
      <c r="CK308" s="40">
        <v>-38.84297520661157</v>
      </c>
    </row>
    <row r="309" spans="1:89" s="2" customFormat="1">
      <c r="A309" s="196" t="s">
        <v>1056</v>
      </c>
      <c r="B309" s="211" t="s">
        <v>57</v>
      </c>
      <c r="C309" s="211" t="s">
        <v>621</v>
      </c>
      <c r="D309" s="41">
        <v>188</v>
      </c>
      <c r="E309" s="41">
        <v>0</v>
      </c>
      <c r="F309" s="41" t="s">
        <v>1041</v>
      </c>
      <c r="G309" s="413">
        <v>24</v>
      </c>
      <c r="H309" s="414">
        <v>133.05785123966942</v>
      </c>
      <c r="I309" s="321"/>
      <c r="J309" s="40" t="s">
        <v>3</v>
      </c>
      <c r="K309" s="36" t="s">
        <v>3</v>
      </c>
      <c r="L309" s="37"/>
      <c r="M309" s="35">
        <v>19</v>
      </c>
      <c r="N309" s="136">
        <v>4</v>
      </c>
      <c r="O309" s="35">
        <v>0</v>
      </c>
      <c r="P309" s="136">
        <v>1.7000000000000002</v>
      </c>
      <c r="Q309" s="37">
        <v>0</v>
      </c>
      <c r="R309" s="136">
        <v>0.9</v>
      </c>
      <c r="S309" s="37"/>
      <c r="T309" s="35">
        <v>0</v>
      </c>
      <c r="U309" s="136">
        <v>4.8000000000000007</v>
      </c>
      <c r="V309" s="35">
        <v>0</v>
      </c>
      <c r="W309" s="136">
        <v>1.7000000000000002</v>
      </c>
      <c r="X309" s="35">
        <v>0</v>
      </c>
      <c r="Y309" s="149">
        <v>1.7000000000000002</v>
      </c>
      <c r="Z309" s="35">
        <v>0</v>
      </c>
      <c r="AA309" s="136">
        <v>1.7000000000000002</v>
      </c>
      <c r="AB309" s="37">
        <v>0</v>
      </c>
      <c r="AC309" s="136">
        <v>1.7000000000000002</v>
      </c>
      <c r="AD309" s="37"/>
      <c r="AE309" s="40">
        <v>55</v>
      </c>
      <c r="AF309" s="65"/>
      <c r="AG309" s="35">
        <v>0</v>
      </c>
      <c r="AH309" s="36">
        <v>0</v>
      </c>
      <c r="AI309" s="37"/>
      <c r="AJ309" s="35">
        <v>73</v>
      </c>
      <c r="AK309" s="36">
        <v>96</v>
      </c>
      <c r="AL309" s="35">
        <v>147</v>
      </c>
      <c r="AM309" s="36">
        <v>40.800000000000004</v>
      </c>
      <c r="AN309" s="35">
        <v>166</v>
      </c>
      <c r="AO309" s="36">
        <v>21.6</v>
      </c>
      <c r="AP309" s="37"/>
      <c r="AQ309" s="35">
        <v>73</v>
      </c>
      <c r="AR309" s="36">
        <v>115.20000000000002</v>
      </c>
      <c r="AS309" s="35">
        <v>147</v>
      </c>
      <c r="AT309" s="36">
        <v>40.800000000000004</v>
      </c>
      <c r="AU309" s="35">
        <v>147</v>
      </c>
      <c r="AV309" s="36">
        <v>40.800000000000004</v>
      </c>
      <c r="AW309" s="35">
        <v>147</v>
      </c>
      <c r="AX309" s="36">
        <v>40.800000000000004</v>
      </c>
      <c r="AY309" s="35">
        <v>147</v>
      </c>
      <c r="AZ309" s="36">
        <v>40.800000000000004</v>
      </c>
      <c r="BB309" s="40">
        <v>0</v>
      </c>
      <c r="BC309" s="65"/>
      <c r="BD309" s="35">
        <v>0</v>
      </c>
      <c r="BE309" s="36">
        <v>0</v>
      </c>
      <c r="BF309" s="37"/>
      <c r="BG309" s="415">
        <v>0</v>
      </c>
      <c r="BH309" s="353">
        <v>0</v>
      </c>
      <c r="BI309" s="415">
        <v>0</v>
      </c>
      <c r="BJ309" s="353">
        <v>0</v>
      </c>
      <c r="BK309" s="415">
        <v>0</v>
      </c>
      <c r="BL309" s="353">
        <v>0</v>
      </c>
      <c r="BM309" s="416"/>
      <c r="BN309" s="415">
        <v>0</v>
      </c>
      <c r="BO309" s="353">
        <v>0</v>
      </c>
      <c r="BP309" s="415">
        <v>0</v>
      </c>
      <c r="BQ309" s="353">
        <v>0</v>
      </c>
      <c r="BR309" s="415">
        <v>0</v>
      </c>
      <c r="BS309" s="353">
        <v>0</v>
      </c>
      <c r="BT309" s="415">
        <v>0</v>
      </c>
      <c r="BU309" s="353">
        <v>0</v>
      </c>
      <c r="BV309" s="415">
        <v>0</v>
      </c>
      <c r="BW309" s="353">
        <v>0</v>
      </c>
      <c r="BY309" s="80"/>
      <c r="BZ309" s="65"/>
      <c r="CA309" s="40" t="s">
        <v>3</v>
      </c>
      <c r="CB309" s="65"/>
      <c r="CC309" s="40">
        <v>-18.057851239669418</v>
      </c>
      <c r="CD309" s="40">
        <v>-92.257851239669407</v>
      </c>
      <c r="CE309" s="40">
        <v>-111.45785123966942</v>
      </c>
      <c r="CF309" s="65"/>
      <c r="CG309" s="40">
        <v>-17.857851239669401</v>
      </c>
      <c r="CH309" s="40">
        <v>-92.257851239669407</v>
      </c>
      <c r="CI309" s="40">
        <v>-92.257851239669407</v>
      </c>
      <c r="CJ309" s="40">
        <v>-92.257851239669407</v>
      </c>
      <c r="CK309" s="40">
        <v>-92.257851239669407</v>
      </c>
    </row>
    <row r="310" spans="1:89" s="2" customFormat="1">
      <c r="A310" s="196" t="s">
        <v>1057</v>
      </c>
      <c r="B310" s="211" t="s">
        <v>110</v>
      </c>
      <c r="C310" s="211" t="s">
        <v>610</v>
      </c>
      <c r="D310" s="41">
        <v>65</v>
      </c>
      <c r="E310" s="41">
        <v>0</v>
      </c>
      <c r="F310" s="22" t="s">
        <v>1041</v>
      </c>
      <c r="G310" s="40">
        <v>24</v>
      </c>
      <c r="H310" s="388">
        <v>42.97520661157025</v>
      </c>
      <c r="I310" s="321"/>
      <c r="J310" s="40" t="s">
        <v>3</v>
      </c>
      <c r="K310" s="36" t="s">
        <v>3</v>
      </c>
      <c r="L310" s="37"/>
      <c r="M310" s="35">
        <v>0</v>
      </c>
      <c r="N310" s="136">
        <v>1</v>
      </c>
      <c r="O310" s="35">
        <v>0</v>
      </c>
      <c r="P310" s="136">
        <v>1</v>
      </c>
      <c r="Q310" s="37">
        <v>0</v>
      </c>
      <c r="R310" s="136">
        <v>1</v>
      </c>
      <c r="S310" s="37"/>
      <c r="T310" s="35">
        <v>0</v>
      </c>
      <c r="U310" s="136">
        <v>0</v>
      </c>
      <c r="V310" s="35">
        <v>0</v>
      </c>
      <c r="W310" s="136">
        <v>0</v>
      </c>
      <c r="X310" s="35">
        <v>0</v>
      </c>
      <c r="Y310" s="149">
        <v>0</v>
      </c>
      <c r="Z310" s="35">
        <v>0</v>
      </c>
      <c r="AA310" s="136">
        <v>0</v>
      </c>
      <c r="AB310" s="37">
        <v>0</v>
      </c>
      <c r="AC310" s="136">
        <v>0</v>
      </c>
      <c r="AD310" s="37"/>
      <c r="AE310" s="40">
        <v>22</v>
      </c>
      <c r="AF310" s="65"/>
      <c r="AG310" s="35">
        <v>0</v>
      </c>
      <c r="AH310" s="36">
        <v>0</v>
      </c>
      <c r="AI310" s="37"/>
      <c r="AJ310" s="35">
        <v>41</v>
      </c>
      <c r="AK310" s="36">
        <v>24</v>
      </c>
      <c r="AL310" s="35">
        <v>41</v>
      </c>
      <c r="AM310" s="36">
        <v>24</v>
      </c>
      <c r="AN310" s="37">
        <v>41</v>
      </c>
      <c r="AO310" s="36">
        <v>24</v>
      </c>
      <c r="AP310" s="37"/>
      <c r="AQ310" s="35">
        <v>65</v>
      </c>
      <c r="AR310" s="36">
        <v>0</v>
      </c>
      <c r="AS310" s="35">
        <v>65</v>
      </c>
      <c r="AT310" s="36">
        <v>0</v>
      </c>
      <c r="AU310" s="37">
        <v>65</v>
      </c>
      <c r="AV310" s="36">
        <v>0</v>
      </c>
      <c r="AW310" s="37">
        <v>65</v>
      </c>
      <c r="AX310" s="36">
        <v>0</v>
      </c>
      <c r="AY310" s="37">
        <v>65</v>
      </c>
      <c r="AZ310" s="36">
        <v>0</v>
      </c>
      <c r="BB310" s="40">
        <v>0</v>
      </c>
      <c r="BC310" s="65"/>
      <c r="BD310" s="35">
        <v>0</v>
      </c>
      <c r="BE310" s="36">
        <v>0</v>
      </c>
      <c r="BF310" s="37"/>
      <c r="BG310" s="415">
        <v>0</v>
      </c>
      <c r="BH310" s="353">
        <v>0</v>
      </c>
      <c r="BI310" s="415">
        <v>0</v>
      </c>
      <c r="BJ310" s="353">
        <v>0</v>
      </c>
      <c r="BK310" s="415">
        <v>0</v>
      </c>
      <c r="BL310" s="353">
        <v>0</v>
      </c>
      <c r="BM310" s="416"/>
      <c r="BN310" s="415">
        <v>0</v>
      </c>
      <c r="BO310" s="353">
        <v>0</v>
      </c>
      <c r="BP310" s="415">
        <v>0</v>
      </c>
      <c r="BQ310" s="353">
        <v>0</v>
      </c>
      <c r="BR310" s="415">
        <v>0</v>
      </c>
      <c r="BS310" s="353">
        <v>0</v>
      </c>
      <c r="BT310" s="415">
        <v>0</v>
      </c>
      <c r="BU310" s="353">
        <v>0</v>
      </c>
      <c r="BV310" s="415">
        <v>0</v>
      </c>
      <c r="BW310" s="353">
        <v>0</v>
      </c>
      <c r="BY310" s="80"/>
      <c r="BZ310" s="65"/>
      <c r="CA310" s="40" t="s">
        <v>3</v>
      </c>
      <c r="CB310" s="65"/>
      <c r="CC310" s="40">
        <v>-18.97520661157025</v>
      </c>
      <c r="CD310" s="40">
        <v>-18.97520661157025</v>
      </c>
      <c r="CE310" s="40">
        <v>-18.97520661157025</v>
      </c>
      <c r="CF310" s="65"/>
      <c r="CG310" s="40">
        <v>-42.97520661157025</v>
      </c>
      <c r="CH310" s="40">
        <v>-42.97520661157025</v>
      </c>
      <c r="CI310" s="40">
        <v>-42.97520661157025</v>
      </c>
      <c r="CJ310" s="40">
        <v>-42.97520661157025</v>
      </c>
      <c r="CK310" s="40">
        <v>-42.97520661157025</v>
      </c>
    </row>
    <row r="311" spans="1:89" s="2" customFormat="1">
      <c r="A311" s="196" t="s">
        <v>1058</v>
      </c>
      <c r="B311" s="211" t="s">
        <v>667</v>
      </c>
      <c r="C311" s="211" t="s">
        <v>582</v>
      </c>
      <c r="D311" s="41">
        <v>53</v>
      </c>
      <c r="E311" s="41">
        <v>0</v>
      </c>
      <c r="F311" s="41" t="s">
        <v>1041</v>
      </c>
      <c r="G311" s="413">
        <v>24</v>
      </c>
      <c r="H311" s="414">
        <v>36.363636363636367</v>
      </c>
      <c r="I311" s="321"/>
      <c r="J311" s="40" t="s">
        <v>3</v>
      </c>
      <c r="K311" s="36" t="s">
        <v>3</v>
      </c>
      <c r="L311" s="37"/>
      <c r="M311" s="35">
        <v>0</v>
      </c>
      <c r="N311" s="136">
        <v>0.8</v>
      </c>
      <c r="O311" s="35">
        <v>0</v>
      </c>
      <c r="P311" s="136">
        <v>0.8</v>
      </c>
      <c r="Q311" s="37">
        <v>0</v>
      </c>
      <c r="R311" s="136">
        <v>0.8</v>
      </c>
      <c r="S311" s="37"/>
      <c r="T311" s="35">
        <v>0</v>
      </c>
      <c r="U311" s="136">
        <v>0</v>
      </c>
      <c r="V311" s="35">
        <v>0</v>
      </c>
      <c r="W311" s="136">
        <v>0</v>
      </c>
      <c r="X311" s="35">
        <v>0</v>
      </c>
      <c r="Y311" s="149">
        <v>0</v>
      </c>
      <c r="Z311" s="35">
        <v>0</v>
      </c>
      <c r="AA311" s="136">
        <v>0</v>
      </c>
      <c r="AB311" s="37">
        <v>0</v>
      </c>
      <c r="AC311" s="136">
        <v>0</v>
      </c>
      <c r="AD311" s="37"/>
      <c r="AE311" s="40">
        <v>17</v>
      </c>
      <c r="AF311" s="65"/>
      <c r="AG311" s="35">
        <v>0</v>
      </c>
      <c r="AH311" s="36">
        <v>0</v>
      </c>
      <c r="AI311" s="37"/>
      <c r="AJ311" s="35">
        <v>34</v>
      </c>
      <c r="AK311" s="36">
        <v>19.200000000000003</v>
      </c>
      <c r="AL311" s="35">
        <v>34</v>
      </c>
      <c r="AM311" s="36">
        <v>19.200000000000003</v>
      </c>
      <c r="AN311" s="35">
        <v>34</v>
      </c>
      <c r="AO311" s="36">
        <v>19.200000000000003</v>
      </c>
      <c r="AP311" s="37"/>
      <c r="AQ311" s="35">
        <v>53</v>
      </c>
      <c r="AR311" s="36">
        <v>0</v>
      </c>
      <c r="AS311" s="35">
        <v>53</v>
      </c>
      <c r="AT311" s="36">
        <v>0</v>
      </c>
      <c r="AU311" s="35">
        <v>53</v>
      </c>
      <c r="AV311" s="36">
        <v>0</v>
      </c>
      <c r="AW311" s="35">
        <v>53</v>
      </c>
      <c r="AX311" s="36">
        <v>0</v>
      </c>
      <c r="AY311" s="35">
        <v>53</v>
      </c>
      <c r="AZ311" s="36">
        <v>0</v>
      </c>
      <c r="BB311" s="40">
        <v>0</v>
      </c>
      <c r="BC311" s="65"/>
      <c r="BD311" s="35">
        <v>0</v>
      </c>
      <c r="BE311" s="36">
        <v>0</v>
      </c>
      <c r="BF311" s="37"/>
      <c r="BG311" s="415">
        <v>0</v>
      </c>
      <c r="BH311" s="353">
        <v>0</v>
      </c>
      <c r="BI311" s="415">
        <v>0</v>
      </c>
      <c r="BJ311" s="353">
        <v>0</v>
      </c>
      <c r="BK311" s="415">
        <v>0</v>
      </c>
      <c r="BL311" s="353">
        <v>0</v>
      </c>
      <c r="BM311" s="416"/>
      <c r="BN311" s="415">
        <v>0</v>
      </c>
      <c r="BO311" s="353">
        <v>0</v>
      </c>
      <c r="BP311" s="415">
        <v>0</v>
      </c>
      <c r="BQ311" s="353">
        <v>0</v>
      </c>
      <c r="BR311" s="415">
        <v>0</v>
      </c>
      <c r="BS311" s="353">
        <v>0</v>
      </c>
      <c r="BT311" s="415">
        <v>0</v>
      </c>
      <c r="BU311" s="353">
        <v>0</v>
      </c>
      <c r="BV311" s="415">
        <v>0</v>
      </c>
      <c r="BW311" s="353">
        <v>0</v>
      </c>
      <c r="BY311" s="80"/>
      <c r="BZ311" s="65"/>
      <c r="CA311" s="40" t="s">
        <v>3</v>
      </c>
      <c r="CB311" s="65"/>
      <c r="CC311" s="40">
        <v>-17.163636363636364</v>
      </c>
      <c r="CD311" s="40">
        <v>-17.163636363636364</v>
      </c>
      <c r="CE311" s="40">
        <v>-17.163636363636364</v>
      </c>
      <c r="CF311" s="65"/>
      <c r="CG311" s="40">
        <v>-36.363636363636367</v>
      </c>
      <c r="CH311" s="40">
        <v>-36.363636363636367</v>
      </c>
      <c r="CI311" s="40">
        <v>-36.363636363636367</v>
      </c>
      <c r="CJ311" s="40">
        <v>-36.363636363636367</v>
      </c>
      <c r="CK311" s="40">
        <v>-36.363636363636367</v>
      </c>
    </row>
    <row r="312" spans="1:89" s="2" customFormat="1">
      <c r="A312" s="196" t="s">
        <v>1059</v>
      </c>
      <c r="B312" s="211" t="s">
        <v>60</v>
      </c>
      <c r="C312" s="211" t="s">
        <v>658</v>
      </c>
      <c r="D312" s="41">
        <v>172</v>
      </c>
      <c r="E312" s="41">
        <v>0</v>
      </c>
      <c r="F312" s="22" t="s">
        <v>1041</v>
      </c>
      <c r="G312" s="40">
        <v>24</v>
      </c>
      <c r="H312" s="388">
        <v>130.57851239669421</v>
      </c>
      <c r="I312" s="321"/>
      <c r="J312" s="40" t="s">
        <v>3</v>
      </c>
      <c r="K312" s="36" t="s">
        <v>3</v>
      </c>
      <c r="L312" s="37"/>
      <c r="M312" s="35">
        <v>19</v>
      </c>
      <c r="N312" s="136">
        <v>3.8000000000000003</v>
      </c>
      <c r="O312" s="35">
        <v>0</v>
      </c>
      <c r="P312" s="136">
        <v>1.5</v>
      </c>
      <c r="Q312" s="37">
        <v>0</v>
      </c>
      <c r="R312" s="136">
        <v>0.70000000000000007</v>
      </c>
      <c r="S312" s="37"/>
      <c r="T312" s="35">
        <v>0</v>
      </c>
      <c r="U312" s="136">
        <v>4.6000000000000005</v>
      </c>
      <c r="V312" s="35">
        <v>0</v>
      </c>
      <c r="W312" s="136">
        <v>1.7000000000000002</v>
      </c>
      <c r="X312" s="35">
        <v>0</v>
      </c>
      <c r="Y312" s="149">
        <v>1.7000000000000002</v>
      </c>
      <c r="Z312" s="35">
        <v>0</v>
      </c>
      <c r="AA312" s="136">
        <v>1.7000000000000002</v>
      </c>
      <c r="AB312" s="37">
        <v>0</v>
      </c>
      <c r="AC312" s="136">
        <v>1.7000000000000002</v>
      </c>
      <c r="AD312" s="37"/>
      <c r="AE312" s="40">
        <v>41</v>
      </c>
      <c r="AF312" s="65"/>
      <c r="AG312" s="35">
        <v>0</v>
      </c>
      <c r="AH312" s="36">
        <v>0</v>
      </c>
      <c r="AI312" s="37"/>
      <c r="AJ312" s="35">
        <v>62</v>
      </c>
      <c r="AK312" s="36">
        <v>91.2</v>
      </c>
      <c r="AL312" s="35">
        <v>136</v>
      </c>
      <c r="AM312" s="36">
        <v>36</v>
      </c>
      <c r="AN312" s="37">
        <v>155</v>
      </c>
      <c r="AO312" s="36">
        <v>16.8</v>
      </c>
      <c r="AP312" s="37"/>
      <c r="AQ312" s="35">
        <v>62</v>
      </c>
      <c r="AR312" s="36">
        <v>110.4</v>
      </c>
      <c r="AS312" s="35">
        <v>131</v>
      </c>
      <c r="AT312" s="36">
        <v>40.800000000000004</v>
      </c>
      <c r="AU312" s="37">
        <v>131</v>
      </c>
      <c r="AV312" s="36">
        <v>40.800000000000004</v>
      </c>
      <c r="AW312" s="37">
        <v>131</v>
      </c>
      <c r="AX312" s="36">
        <v>40.800000000000004</v>
      </c>
      <c r="AY312" s="37">
        <v>131</v>
      </c>
      <c r="AZ312" s="36">
        <v>40.800000000000004</v>
      </c>
      <c r="BB312" s="40">
        <v>0</v>
      </c>
      <c r="BC312" s="65"/>
      <c r="BD312" s="35">
        <v>0</v>
      </c>
      <c r="BE312" s="36">
        <v>0</v>
      </c>
      <c r="BF312" s="37"/>
      <c r="BG312" s="415">
        <v>0</v>
      </c>
      <c r="BH312" s="353">
        <v>0</v>
      </c>
      <c r="BI312" s="415">
        <v>0</v>
      </c>
      <c r="BJ312" s="353">
        <v>0</v>
      </c>
      <c r="BK312" s="415">
        <v>0</v>
      </c>
      <c r="BL312" s="353">
        <v>0</v>
      </c>
      <c r="BM312" s="416"/>
      <c r="BN312" s="415">
        <v>0</v>
      </c>
      <c r="BO312" s="353">
        <v>0</v>
      </c>
      <c r="BP312" s="415">
        <v>0</v>
      </c>
      <c r="BQ312" s="353">
        <v>0</v>
      </c>
      <c r="BR312" s="415">
        <v>0</v>
      </c>
      <c r="BS312" s="353">
        <v>0</v>
      </c>
      <c r="BT312" s="415">
        <v>0</v>
      </c>
      <c r="BU312" s="353">
        <v>0</v>
      </c>
      <c r="BV312" s="415">
        <v>0</v>
      </c>
      <c r="BW312" s="353">
        <v>0</v>
      </c>
      <c r="BY312" s="80"/>
      <c r="BZ312" s="65"/>
      <c r="CA312" s="40" t="s">
        <v>3</v>
      </c>
      <c r="CB312" s="65"/>
      <c r="CC312" s="40">
        <v>-20.378512396694205</v>
      </c>
      <c r="CD312" s="40">
        <v>-94.578512396694208</v>
      </c>
      <c r="CE312" s="40">
        <v>-113.77851239669421</v>
      </c>
      <c r="CF312" s="65"/>
      <c r="CG312" s="40">
        <v>-20.178512396694202</v>
      </c>
      <c r="CH312" s="40">
        <v>-89.778512396694197</v>
      </c>
      <c r="CI312" s="40">
        <v>-89.778512396694197</v>
      </c>
      <c r="CJ312" s="40">
        <v>-89.778512396694197</v>
      </c>
      <c r="CK312" s="40">
        <v>-89.778512396694197</v>
      </c>
    </row>
    <row r="313" spans="1:89" s="2" customFormat="1">
      <c r="A313" s="196" t="s">
        <v>1060</v>
      </c>
      <c r="B313" s="211" t="s">
        <v>60</v>
      </c>
      <c r="C313" s="211" t="s">
        <v>659</v>
      </c>
      <c r="D313" s="41">
        <v>240</v>
      </c>
      <c r="E313" s="41">
        <v>0</v>
      </c>
      <c r="F313" s="41" t="s">
        <v>1041</v>
      </c>
      <c r="G313" s="413">
        <v>24</v>
      </c>
      <c r="H313" s="414">
        <v>187.60330578512398</v>
      </c>
      <c r="I313" s="321"/>
      <c r="J313" s="40" t="s">
        <v>3</v>
      </c>
      <c r="K313" s="36" t="s">
        <v>3</v>
      </c>
      <c r="L313" s="37"/>
      <c r="M313" s="35">
        <v>29</v>
      </c>
      <c r="N313" s="136">
        <v>5.4</v>
      </c>
      <c r="O313" s="35">
        <v>0</v>
      </c>
      <c r="P313" s="136">
        <v>3.4000000000000004</v>
      </c>
      <c r="Q313" s="37">
        <v>0</v>
      </c>
      <c r="R313" s="136">
        <v>2.5</v>
      </c>
      <c r="S313" s="37"/>
      <c r="T313" s="35">
        <v>0</v>
      </c>
      <c r="U313" s="136">
        <v>6.7</v>
      </c>
      <c r="V313" s="35">
        <v>0</v>
      </c>
      <c r="W313" s="136">
        <v>2.5</v>
      </c>
      <c r="X313" s="35">
        <v>0</v>
      </c>
      <c r="Y313" s="149">
        <v>2.5</v>
      </c>
      <c r="Z313" s="35">
        <v>0</v>
      </c>
      <c r="AA313" s="136">
        <v>2.5</v>
      </c>
      <c r="AB313" s="37">
        <v>0</v>
      </c>
      <c r="AC313" s="136">
        <v>2.5</v>
      </c>
      <c r="AD313" s="37"/>
      <c r="AE313" s="40">
        <v>52</v>
      </c>
      <c r="AF313" s="65"/>
      <c r="AG313" s="35">
        <v>0</v>
      </c>
      <c r="AH313" s="36">
        <v>0</v>
      </c>
      <c r="AI313" s="37"/>
      <c r="AJ313" s="35">
        <v>81</v>
      </c>
      <c r="AK313" s="36">
        <v>129.60000000000002</v>
      </c>
      <c r="AL313" s="35">
        <v>158</v>
      </c>
      <c r="AM313" s="36">
        <v>81.600000000000009</v>
      </c>
      <c r="AN313" s="35">
        <v>180</v>
      </c>
      <c r="AO313" s="36">
        <v>60</v>
      </c>
      <c r="AP313" s="37"/>
      <c r="AQ313" s="35">
        <v>79</v>
      </c>
      <c r="AR313" s="36">
        <v>160.80000000000001</v>
      </c>
      <c r="AS313" s="35">
        <v>180</v>
      </c>
      <c r="AT313" s="36">
        <v>60</v>
      </c>
      <c r="AU313" s="35">
        <v>180</v>
      </c>
      <c r="AV313" s="36">
        <v>60</v>
      </c>
      <c r="AW313" s="35">
        <v>180</v>
      </c>
      <c r="AX313" s="36">
        <v>60</v>
      </c>
      <c r="AY313" s="35">
        <v>180</v>
      </c>
      <c r="AZ313" s="36">
        <v>60</v>
      </c>
      <c r="BB313" s="40">
        <v>0</v>
      </c>
      <c r="BC313" s="65"/>
      <c r="BD313" s="35">
        <v>0</v>
      </c>
      <c r="BE313" s="36">
        <v>0</v>
      </c>
      <c r="BF313" s="37"/>
      <c r="BG313" s="415">
        <v>0</v>
      </c>
      <c r="BH313" s="353">
        <v>0</v>
      </c>
      <c r="BI313" s="415">
        <v>0</v>
      </c>
      <c r="BJ313" s="353">
        <v>0</v>
      </c>
      <c r="BK313" s="415">
        <v>0</v>
      </c>
      <c r="BL313" s="353">
        <v>0</v>
      </c>
      <c r="BM313" s="416"/>
      <c r="BN313" s="415">
        <v>0</v>
      </c>
      <c r="BO313" s="353">
        <v>0</v>
      </c>
      <c r="BP313" s="415">
        <v>0</v>
      </c>
      <c r="BQ313" s="353">
        <v>0</v>
      </c>
      <c r="BR313" s="415">
        <v>0</v>
      </c>
      <c r="BS313" s="353">
        <v>0</v>
      </c>
      <c r="BT313" s="415">
        <v>0</v>
      </c>
      <c r="BU313" s="353">
        <v>0</v>
      </c>
      <c r="BV313" s="415">
        <v>0</v>
      </c>
      <c r="BW313" s="353">
        <v>0</v>
      </c>
      <c r="BY313" s="80"/>
      <c r="BZ313" s="65"/>
      <c r="CA313" s="40" t="s">
        <v>3</v>
      </c>
      <c r="CB313" s="65"/>
      <c r="CC313" s="40">
        <v>-29.003305785123956</v>
      </c>
      <c r="CD313" s="40">
        <v>-106.00330578512397</v>
      </c>
      <c r="CE313" s="40">
        <v>-127.60330578512398</v>
      </c>
      <c r="CF313" s="65"/>
      <c r="CG313" s="40">
        <v>-26.803305785123968</v>
      </c>
      <c r="CH313" s="40">
        <v>-127.60330578512398</v>
      </c>
      <c r="CI313" s="40">
        <v>-127.60330578512398</v>
      </c>
      <c r="CJ313" s="40">
        <v>-127.60330578512398</v>
      </c>
      <c r="CK313" s="40">
        <v>-127.60330578512398</v>
      </c>
    </row>
    <row r="314" spans="1:89" s="2" customFormat="1">
      <c r="A314" s="196" t="s">
        <v>1061</v>
      </c>
      <c r="B314" s="211" t="s">
        <v>60</v>
      </c>
      <c r="C314" s="211" t="s">
        <v>555</v>
      </c>
      <c r="D314" s="41">
        <v>99</v>
      </c>
      <c r="E314" s="41">
        <v>0</v>
      </c>
      <c r="F314" s="22" t="s">
        <v>1041</v>
      </c>
      <c r="G314" s="40">
        <v>24</v>
      </c>
      <c r="H314" s="388">
        <v>75.206611570247929</v>
      </c>
      <c r="I314" s="321"/>
      <c r="J314" s="40" t="s">
        <v>3</v>
      </c>
      <c r="K314" s="36" t="s">
        <v>3</v>
      </c>
      <c r="L314" s="37"/>
      <c r="M314" s="35">
        <v>0</v>
      </c>
      <c r="N314" s="136">
        <v>2.1</v>
      </c>
      <c r="O314" s="35">
        <v>0</v>
      </c>
      <c r="P314" s="136">
        <v>2.1</v>
      </c>
      <c r="Q314" s="37">
        <v>0</v>
      </c>
      <c r="R314" s="136">
        <v>2.1</v>
      </c>
      <c r="S314" s="37"/>
      <c r="T314" s="35">
        <v>0</v>
      </c>
      <c r="U314" s="136">
        <v>0.9</v>
      </c>
      <c r="V314" s="35">
        <v>0</v>
      </c>
      <c r="W314" s="136">
        <v>0</v>
      </c>
      <c r="X314" s="35">
        <v>0</v>
      </c>
      <c r="Y314" s="149">
        <v>0</v>
      </c>
      <c r="Z314" s="35">
        <v>0</v>
      </c>
      <c r="AA314" s="136">
        <v>0</v>
      </c>
      <c r="AB314" s="37">
        <v>0</v>
      </c>
      <c r="AC314" s="136">
        <v>0</v>
      </c>
      <c r="AD314" s="37"/>
      <c r="AE314" s="40">
        <v>24</v>
      </c>
      <c r="AF314" s="65"/>
      <c r="AG314" s="35">
        <v>0</v>
      </c>
      <c r="AH314" s="36">
        <v>0</v>
      </c>
      <c r="AI314" s="37"/>
      <c r="AJ314" s="35">
        <v>49</v>
      </c>
      <c r="AK314" s="36">
        <v>50.400000000000006</v>
      </c>
      <c r="AL314" s="35">
        <v>49</v>
      </c>
      <c r="AM314" s="36">
        <v>50.400000000000006</v>
      </c>
      <c r="AN314" s="37">
        <v>49</v>
      </c>
      <c r="AO314" s="36">
        <v>50.400000000000006</v>
      </c>
      <c r="AP314" s="37"/>
      <c r="AQ314" s="35">
        <v>77</v>
      </c>
      <c r="AR314" s="36">
        <v>21.6</v>
      </c>
      <c r="AS314" s="35">
        <v>99</v>
      </c>
      <c r="AT314" s="36">
        <v>0</v>
      </c>
      <c r="AU314" s="37">
        <v>99</v>
      </c>
      <c r="AV314" s="36">
        <v>0</v>
      </c>
      <c r="AW314" s="37">
        <v>99</v>
      </c>
      <c r="AX314" s="36">
        <v>0</v>
      </c>
      <c r="AY314" s="37">
        <v>99</v>
      </c>
      <c r="AZ314" s="36">
        <v>0</v>
      </c>
      <c r="BB314" s="40">
        <v>0</v>
      </c>
      <c r="BC314" s="65"/>
      <c r="BD314" s="35">
        <v>0</v>
      </c>
      <c r="BE314" s="36">
        <v>0</v>
      </c>
      <c r="BF314" s="37"/>
      <c r="BG314" s="415">
        <v>0</v>
      </c>
      <c r="BH314" s="353">
        <v>0</v>
      </c>
      <c r="BI314" s="415">
        <v>0</v>
      </c>
      <c r="BJ314" s="353">
        <v>0</v>
      </c>
      <c r="BK314" s="415">
        <v>0</v>
      </c>
      <c r="BL314" s="353">
        <v>0</v>
      </c>
      <c r="BM314" s="416"/>
      <c r="BN314" s="415">
        <v>0</v>
      </c>
      <c r="BO314" s="353">
        <v>0</v>
      </c>
      <c r="BP314" s="415">
        <v>0</v>
      </c>
      <c r="BQ314" s="353">
        <v>0</v>
      </c>
      <c r="BR314" s="415">
        <v>0</v>
      </c>
      <c r="BS314" s="353">
        <v>0</v>
      </c>
      <c r="BT314" s="415">
        <v>0</v>
      </c>
      <c r="BU314" s="353">
        <v>-0.8</v>
      </c>
      <c r="BV314" s="415">
        <v>0</v>
      </c>
      <c r="BW314" s="353">
        <v>-0.8</v>
      </c>
      <c r="BY314" s="80"/>
      <c r="BZ314" s="65"/>
      <c r="CA314" s="40" t="s">
        <v>3</v>
      </c>
      <c r="CB314" s="65"/>
      <c r="CC314" s="40">
        <v>-24.806611570247924</v>
      </c>
      <c r="CD314" s="40">
        <v>-24.806611570247924</v>
      </c>
      <c r="CE314" s="40">
        <v>-24.806611570247924</v>
      </c>
      <c r="CF314" s="65"/>
      <c r="CG314" s="40">
        <v>-53.606611570247928</v>
      </c>
      <c r="CH314" s="40">
        <v>-75.206611570247929</v>
      </c>
      <c r="CI314" s="40">
        <v>-75.206611570247929</v>
      </c>
      <c r="CJ314" s="40">
        <v>-75.206611570247929</v>
      </c>
      <c r="CK314" s="40">
        <v>-75.206611570247929</v>
      </c>
    </row>
    <row r="315" spans="1:89" s="2" customFormat="1">
      <c r="A315" s="196" t="s">
        <v>1062</v>
      </c>
      <c r="B315" s="211" t="s">
        <v>673</v>
      </c>
      <c r="C315" s="211" t="s">
        <v>526</v>
      </c>
      <c r="D315" s="41">
        <v>46</v>
      </c>
      <c r="E315" s="41">
        <v>0</v>
      </c>
      <c r="F315" s="41" t="s">
        <v>1041</v>
      </c>
      <c r="G315" s="413">
        <v>24</v>
      </c>
      <c r="H315" s="414">
        <v>42.97520661157025</v>
      </c>
      <c r="I315" s="321"/>
      <c r="J315" s="40" t="s">
        <v>3</v>
      </c>
      <c r="K315" s="36" t="s">
        <v>3</v>
      </c>
      <c r="L315" s="37"/>
      <c r="M315" s="35">
        <v>0</v>
      </c>
      <c r="N315" s="136">
        <v>1</v>
      </c>
      <c r="O315" s="35">
        <v>0</v>
      </c>
      <c r="P315" s="136">
        <v>1</v>
      </c>
      <c r="Q315" s="37">
        <v>0</v>
      </c>
      <c r="R315" s="136">
        <v>1</v>
      </c>
      <c r="S315" s="37"/>
      <c r="T315" s="35">
        <v>0</v>
      </c>
      <c r="U315" s="136">
        <v>0</v>
      </c>
      <c r="V315" s="35">
        <v>0</v>
      </c>
      <c r="W315" s="136">
        <v>0</v>
      </c>
      <c r="X315" s="35">
        <v>0</v>
      </c>
      <c r="Y315" s="149">
        <v>0</v>
      </c>
      <c r="Z315" s="35">
        <v>0</v>
      </c>
      <c r="AA315" s="136">
        <v>0</v>
      </c>
      <c r="AB315" s="37">
        <v>0</v>
      </c>
      <c r="AC315" s="136">
        <v>0</v>
      </c>
      <c r="AD315" s="37"/>
      <c r="AE315" s="40">
        <v>3</v>
      </c>
      <c r="AF315" s="65"/>
      <c r="AG315" s="35">
        <v>0</v>
      </c>
      <c r="AH315" s="36">
        <v>0</v>
      </c>
      <c r="AI315" s="37"/>
      <c r="AJ315" s="35">
        <v>22</v>
      </c>
      <c r="AK315" s="36">
        <v>24</v>
      </c>
      <c r="AL315" s="35">
        <v>22</v>
      </c>
      <c r="AM315" s="36">
        <v>24</v>
      </c>
      <c r="AN315" s="35">
        <v>22</v>
      </c>
      <c r="AO315" s="36">
        <v>24</v>
      </c>
      <c r="AP315" s="37"/>
      <c r="AQ315" s="35">
        <v>46</v>
      </c>
      <c r="AR315" s="36">
        <v>0</v>
      </c>
      <c r="AS315" s="35">
        <v>46</v>
      </c>
      <c r="AT315" s="36">
        <v>0</v>
      </c>
      <c r="AU315" s="35">
        <v>46</v>
      </c>
      <c r="AV315" s="36">
        <v>0</v>
      </c>
      <c r="AW315" s="35">
        <v>46</v>
      </c>
      <c r="AX315" s="36">
        <v>0</v>
      </c>
      <c r="AY315" s="35">
        <v>46</v>
      </c>
      <c r="AZ315" s="36">
        <v>0</v>
      </c>
      <c r="BB315" s="40">
        <v>0</v>
      </c>
      <c r="BC315" s="65"/>
      <c r="BD315" s="35">
        <v>0</v>
      </c>
      <c r="BE315" s="36">
        <v>0</v>
      </c>
      <c r="BF315" s="37"/>
      <c r="BG315" s="415">
        <v>0</v>
      </c>
      <c r="BH315" s="353">
        <v>0</v>
      </c>
      <c r="BI315" s="415">
        <v>0</v>
      </c>
      <c r="BJ315" s="353">
        <v>0</v>
      </c>
      <c r="BK315" s="415">
        <v>0</v>
      </c>
      <c r="BL315" s="353">
        <v>0</v>
      </c>
      <c r="BM315" s="416"/>
      <c r="BN315" s="415">
        <v>0</v>
      </c>
      <c r="BO315" s="353">
        <v>0</v>
      </c>
      <c r="BP315" s="415">
        <v>0</v>
      </c>
      <c r="BQ315" s="353">
        <v>0</v>
      </c>
      <c r="BR315" s="415">
        <v>0</v>
      </c>
      <c r="BS315" s="353">
        <v>0</v>
      </c>
      <c r="BT315" s="415">
        <v>0</v>
      </c>
      <c r="BU315" s="353">
        <v>0</v>
      </c>
      <c r="BV315" s="415">
        <v>0</v>
      </c>
      <c r="BW315" s="353">
        <v>0</v>
      </c>
      <c r="BY315" s="80"/>
      <c r="BZ315" s="65"/>
      <c r="CA315" s="40" t="s">
        <v>3</v>
      </c>
      <c r="CB315" s="65"/>
      <c r="CC315" s="40">
        <v>-18.97520661157025</v>
      </c>
      <c r="CD315" s="40">
        <v>-18.97520661157025</v>
      </c>
      <c r="CE315" s="40">
        <v>-18.97520661157025</v>
      </c>
      <c r="CF315" s="65"/>
      <c r="CG315" s="40">
        <v>-42.97520661157025</v>
      </c>
      <c r="CH315" s="40">
        <v>-42.97520661157025</v>
      </c>
      <c r="CI315" s="40">
        <v>-42.97520661157025</v>
      </c>
      <c r="CJ315" s="40">
        <v>-42.97520661157025</v>
      </c>
      <c r="CK315" s="40">
        <v>-42.97520661157025</v>
      </c>
    </row>
    <row r="316" spans="1:89" s="2" customFormat="1">
      <c r="A316" s="196" t="s">
        <v>1063</v>
      </c>
      <c r="B316" s="211" t="s">
        <v>664</v>
      </c>
      <c r="C316" s="211" t="s">
        <v>640</v>
      </c>
      <c r="D316" s="41">
        <v>93</v>
      </c>
      <c r="E316" s="41">
        <v>0</v>
      </c>
      <c r="F316" s="22" t="s">
        <v>1041</v>
      </c>
      <c r="G316" s="40">
        <v>24</v>
      </c>
      <c r="H316" s="388">
        <v>92.561983471074385</v>
      </c>
      <c r="I316" s="321"/>
      <c r="J316" s="40" t="s">
        <v>3</v>
      </c>
      <c r="K316" s="36" t="s">
        <v>3</v>
      </c>
      <c r="L316" s="37"/>
      <c r="M316" s="35">
        <v>0</v>
      </c>
      <c r="N316" s="136">
        <v>3.4000000000000004</v>
      </c>
      <c r="O316" s="35">
        <v>0</v>
      </c>
      <c r="P316" s="136">
        <v>0.30000000000000004</v>
      </c>
      <c r="Q316" s="37">
        <v>0</v>
      </c>
      <c r="R316" s="136">
        <v>0.30000000000000004</v>
      </c>
      <c r="S316" s="37"/>
      <c r="T316" s="35">
        <v>0</v>
      </c>
      <c r="U316" s="136">
        <v>0.9</v>
      </c>
      <c r="V316" s="35">
        <v>0</v>
      </c>
      <c r="W316" s="136">
        <v>0.9</v>
      </c>
      <c r="X316" s="35">
        <v>0</v>
      </c>
      <c r="Y316" s="149">
        <v>0.9</v>
      </c>
      <c r="Z316" s="35">
        <v>0</v>
      </c>
      <c r="AA316" s="136">
        <v>0.8</v>
      </c>
      <c r="AB316" s="37">
        <v>0</v>
      </c>
      <c r="AC316" s="136">
        <v>0.8</v>
      </c>
      <c r="AD316" s="37"/>
      <c r="AE316" s="40">
        <v>0</v>
      </c>
      <c r="AF316" s="65"/>
      <c r="AG316" s="35">
        <v>0</v>
      </c>
      <c r="AH316" s="36">
        <v>0</v>
      </c>
      <c r="AI316" s="37"/>
      <c r="AJ316" s="35">
        <v>11</v>
      </c>
      <c r="AK316" s="36">
        <v>81.600000000000009</v>
      </c>
      <c r="AL316" s="35">
        <v>86</v>
      </c>
      <c r="AM316" s="36">
        <v>7.2000000000000011</v>
      </c>
      <c r="AN316" s="37">
        <v>86</v>
      </c>
      <c r="AO316" s="36">
        <v>7.2000000000000011</v>
      </c>
      <c r="AP316" s="37"/>
      <c r="AQ316" s="35">
        <v>71</v>
      </c>
      <c r="AR316" s="36">
        <v>21.6</v>
      </c>
      <c r="AS316" s="35">
        <v>71</v>
      </c>
      <c r="AT316" s="36">
        <v>21.6</v>
      </c>
      <c r="AU316" s="37">
        <v>71</v>
      </c>
      <c r="AV316" s="36">
        <v>21.6</v>
      </c>
      <c r="AW316" s="37">
        <v>74</v>
      </c>
      <c r="AX316" s="36">
        <v>19.200000000000003</v>
      </c>
      <c r="AY316" s="37">
        <v>74</v>
      </c>
      <c r="AZ316" s="36">
        <v>19.200000000000003</v>
      </c>
      <c r="BB316" s="40">
        <v>0</v>
      </c>
      <c r="BC316" s="65"/>
      <c r="BD316" s="35">
        <v>0</v>
      </c>
      <c r="BE316" s="36">
        <v>0</v>
      </c>
      <c r="BF316" s="37"/>
      <c r="BG316" s="415">
        <v>0</v>
      </c>
      <c r="BH316" s="353">
        <v>0</v>
      </c>
      <c r="BI316" s="415">
        <v>0</v>
      </c>
      <c r="BJ316" s="353">
        <v>0</v>
      </c>
      <c r="BK316" s="415">
        <v>0</v>
      </c>
      <c r="BL316" s="353">
        <v>0</v>
      </c>
      <c r="BM316" s="416"/>
      <c r="BN316" s="415">
        <v>0</v>
      </c>
      <c r="BO316" s="353">
        <v>0</v>
      </c>
      <c r="BP316" s="415">
        <v>0</v>
      </c>
      <c r="BQ316" s="353">
        <v>0</v>
      </c>
      <c r="BR316" s="415">
        <v>0</v>
      </c>
      <c r="BS316" s="353">
        <v>0</v>
      </c>
      <c r="BT316" s="415">
        <v>0</v>
      </c>
      <c r="BU316" s="353">
        <v>0</v>
      </c>
      <c r="BV316" s="415">
        <v>0</v>
      </c>
      <c r="BW316" s="353">
        <v>0</v>
      </c>
      <c r="BY316" s="80"/>
      <c r="BZ316" s="65"/>
      <c r="CA316" s="40" t="s">
        <v>3</v>
      </c>
      <c r="CB316" s="65"/>
      <c r="CC316" s="40">
        <v>-10.961983471074376</v>
      </c>
      <c r="CD316" s="40">
        <v>-85.361983471074382</v>
      </c>
      <c r="CE316" s="40">
        <v>-85.361983471074382</v>
      </c>
      <c r="CF316" s="65"/>
      <c r="CG316" s="40">
        <v>-70.961983471074376</v>
      </c>
      <c r="CH316" s="40">
        <v>-70.961983471074376</v>
      </c>
      <c r="CI316" s="40">
        <v>-70.961983471074376</v>
      </c>
      <c r="CJ316" s="40">
        <v>-73.361983471074382</v>
      </c>
      <c r="CK316" s="40">
        <v>-73.361983471074382</v>
      </c>
    </row>
    <row r="317" spans="1:89" s="2" customFormat="1">
      <c r="A317" s="196" t="s">
        <v>1064</v>
      </c>
      <c r="B317" s="211" t="s">
        <v>664</v>
      </c>
      <c r="C317" s="211" t="s">
        <v>573</v>
      </c>
      <c r="D317" s="41">
        <v>71</v>
      </c>
      <c r="E317" s="41">
        <v>0</v>
      </c>
      <c r="F317" s="41" t="s">
        <v>1041</v>
      </c>
      <c r="G317" s="413">
        <v>24</v>
      </c>
      <c r="H317" s="414">
        <v>48.760330578512395</v>
      </c>
      <c r="I317" s="321"/>
      <c r="J317" s="40" t="s">
        <v>3</v>
      </c>
      <c r="K317" s="36" t="s">
        <v>3</v>
      </c>
      <c r="L317" s="37"/>
      <c r="M317" s="35">
        <v>0</v>
      </c>
      <c r="N317" s="136">
        <v>1.2000000000000002</v>
      </c>
      <c r="O317" s="35">
        <v>0</v>
      </c>
      <c r="P317" s="136">
        <v>1.2000000000000002</v>
      </c>
      <c r="Q317" s="37">
        <v>0</v>
      </c>
      <c r="R317" s="136">
        <v>1.2000000000000002</v>
      </c>
      <c r="S317" s="37"/>
      <c r="T317" s="35">
        <v>0</v>
      </c>
      <c r="U317" s="136">
        <v>0.5</v>
      </c>
      <c r="V317" s="35">
        <v>0</v>
      </c>
      <c r="W317" s="136">
        <v>0</v>
      </c>
      <c r="X317" s="35">
        <v>0</v>
      </c>
      <c r="Y317" s="149">
        <v>0</v>
      </c>
      <c r="Z317" s="35">
        <v>0</v>
      </c>
      <c r="AA317" s="136">
        <v>0</v>
      </c>
      <c r="AB317" s="37">
        <v>0</v>
      </c>
      <c r="AC317" s="136">
        <v>0</v>
      </c>
      <c r="AD317" s="37"/>
      <c r="AE317" s="40">
        <v>22</v>
      </c>
      <c r="AF317" s="65"/>
      <c r="AG317" s="35">
        <v>0</v>
      </c>
      <c r="AH317" s="36">
        <v>0</v>
      </c>
      <c r="AI317" s="37"/>
      <c r="AJ317" s="35">
        <v>42</v>
      </c>
      <c r="AK317" s="36">
        <v>28.800000000000004</v>
      </c>
      <c r="AL317" s="35">
        <v>42</v>
      </c>
      <c r="AM317" s="36">
        <v>28.800000000000004</v>
      </c>
      <c r="AN317" s="35">
        <v>42</v>
      </c>
      <c r="AO317" s="36">
        <v>28.800000000000004</v>
      </c>
      <c r="AP317" s="37"/>
      <c r="AQ317" s="35">
        <v>59</v>
      </c>
      <c r="AR317" s="36">
        <v>12</v>
      </c>
      <c r="AS317" s="35">
        <v>71</v>
      </c>
      <c r="AT317" s="36">
        <v>0</v>
      </c>
      <c r="AU317" s="35">
        <v>71</v>
      </c>
      <c r="AV317" s="36">
        <v>0</v>
      </c>
      <c r="AW317" s="35">
        <v>71</v>
      </c>
      <c r="AX317" s="36">
        <v>0</v>
      </c>
      <c r="AY317" s="35">
        <v>71</v>
      </c>
      <c r="AZ317" s="36">
        <v>0</v>
      </c>
      <c r="BB317" s="40">
        <v>0</v>
      </c>
      <c r="BC317" s="65"/>
      <c r="BD317" s="35">
        <v>0</v>
      </c>
      <c r="BE317" s="36">
        <v>0</v>
      </c>
      <c r="BF317" s="37"/>
      <c r="BG317" s="415">
        <v>0</v>
      </c>
      <c r="BH317" s="353">
        <v>0</v>
      </c>
      <c r="BI317" s="415">
        <v>0</v>
      </c>
      <c r="BJ317" s="353">
        <v>0</v>
      </c>
      <c r="BK317" s="415">
        <v>0</v>
      </c>
      <c r="BL317" s="353">
        <v>0</v>
      </c>
      <c r="BM317" s="416"/>
      <c r="BN317" s="415">
        <v>0</v>
      </c>
      <c r="BO317" s="353">
        <v>0</v>
      </c>
      <c r="BP317" s="415">
        <v>0</v>
      </c>
      <c r="BQ317" s="353">
        <v>0</v>
      </c>
      <c r="BR317" s="415">
        <v>0</v>
      </c>
      <c r="BS317" s="353">
        <v>0</v>
      </c>
      <c r="BT317" s="415">
        <v>0</v>
      </c>
      <c r="BU317" s="353">
        <v>-0.8</v>
      </c>
      <c r="BV317" s="415">
        <v>0</v>
      </c>
      <c r="BW317" s="353">
        <v>-0.8</v>
      </c>
      <c r="BY317" s="80"/>
      <c r="BZ317" s="65"/>
      <c r="CA317" s="40" t="s">
        <v>3</v>
      </c>
      <c r="CB317" s="65"/>
      <c r="CC317" s="40">
        <v>-19.960330578512391</v>
      </c>
      <c r="CD317" s="40">
        <v>-19.960330578512391</v>
      </c>
      <c r="CE317" s="40">
        <v>-19.960330578512391</v>
      </c>
      <c r="CF317" s="65"/>
      <c r="CG317" s="40">
        <v>-36.760330578512395</v>
      </c>
      <c r="CH317" s="40">
        <v>-48.760330578512395</v>
      </c>
      <c r="CI317" s="40">
        <v>-48.760330578512395</v>
      </c>
      <c r="CJ317" s="40">
        <v>-48.760330578512395</v>
      </c>
      <c r="CK317" s="40">
        <v>-48.760330578512395</v>
      </c>
    </row>
    <row r="318" spans="1:89" s="2" customFormat="1">
      <c r="A318" s="196" t="s">
        <v>1065</v>
      </c>
      <c r="B318" s="211" t="s">
        <v>664</v>
      </c>
      <c r="C318" s="211" t="s">
        <v>752</v>
      </c>
      <c r="D318" s="41">
        <v>32</v>
      </c>
      <c r="E318" s="41">
        <v>0</v>
      </c>
      <c r="F318" s="22" t="s">
        <v>1041</v>
      </c>
      <c r="G318" s="40">
        <v>24</v>
      </c>
      <c r="H318" s="388">
        <v>31.404958677685951</v>
      </c>
      <c r="I318" s="321"/>
      <c r="J318" s="40" t="s">
        <v>3</v>
      </c>
      <c r="K318" s="36" t="s">
        <v>3</v>
      </c>
      <c r="L318" s="37"/>
      <c r="M318" s="35">
        <v>0</v>
      </c>
      <c r="N318" s="136">
        <v>0.60000000000000009</v>
      </c>
      <c r="O318" s="35">
        <v>0</v>
      </c>
      <c r="P318" s="136">
        <v>0.60000000000000009</v>
      </c>
      <c r="Q318" s="37">
        <v>0</v>
      </c>
      <c r="R318" s="136">
        <v>0.60000000000000009</v>
      </c>
      <c r="S318" s="37"/>
      <c r="T318" s="35">
        <v>0</v>
      </c>
      <c r="U318" s="136">
        <v>0.5</v>
      </c>
      <c r="V318" s="35">
        <v>0</v>
      </c>
      <c r="W318" s="136">
        <v>0</v>
      </c>
      <c r="X318" s="35">
        <v>0</v>
      </c>
      <c r="Y318" s="149">
        <v>0</v>
      </c>
      <c r="Z318" s="35">
        <v>0</v>
      </c>
      <c r="AA318" s="136">
        <v>0</v>
      </c>
      <c r="AB318" s="37">
        <v>0</v>
      </c>
      <c r="AC318" s="136">
        <v>0</v>
      </c>
      <c r="AD318" s="37"/>
      <c r="AE318" s="40">
        <v>1</v>
      </c>
      <c r="AF318" s="65"/>
      <c r="AG318" s="35">
        <v>0</v>
      </c>
      <c r="AH318" s="36">
        <v>0</v>
      </c>
      <c r="AI318" s="37"/>
      <c r="AJ318" s="35">
        <v>18</v>
      </c>
      <c r="AK318" s="36">
        <v>14.400000000000002</v>
      </c>
      <c r="AL318" s="35">
        <v>18</v>
      </c>
      <c r="AM318" s="36">
        <v>14.400000000000002</v>
      </c>
      <c r="AN318" s="37">
        <v>18</v>
      </c>
      <c r="AO318" s="36">
        <v>14.400000000000002</v>
      </c>
      <c r="AP318" s="37"/>
      <c r="AQ318" s="35">
        <v>20</v>
      </c>
      <c r="AR318" s="36">
        <v>12</v>
      </c>
      <c r="AS318" s="35">
        <v>32</v>
      </c>
      <c r="AT318" s="36">
        <v>0</v>
      </c>
      <c r="AU318" s="37">
        <v>32</v>
      </c>
      <c r="AV318" s="36">
        <v>0</v>
      </c>
      <c r="AW318" s="37">
        <v>32</v>
      </c>
      <c r="AX318" s="36">
        <v>0</v>
      </c>
      <c r="AY318" s="37">
        <v>32</v>
      </c>
      <c r="AZ318" s="36">
        <v>0</v>
      </c>
      <c r="BB318" s="40">
        <v>0</v>
      </c>
      <c r="BC318" s="65"/>
      <c r="BD318" s="35">
        <v>0</v>
      </c>
      <c r="BE318" s="36">
        <v>0</v>
      </c>
      <c r="BF318" s="37"/>
      <c r="BG318" s="415">
        <v>0</v>
      </c>
      <c r="BH318" s="353">
        <v>0</v>
      </c>
      <c r="BI318" s="415">
        <v>0</v>
      </c>
      <c r="BJ318" s="353">
        <v>0</v>
      </c>
      <c r="BK318" s="415">
        <v>0</v>
      </c>
      <c r="BL318" s="353">
        <v>0</v>
      </c>
      <c r="BM318" s="416"/>
      <c r="BN318" s="415">
        <v>0</v>
      </c>
      <c r="BO318" s="353">
        <v>0</v>
      </c>
      <c r="BP318" s="415">
        <v>0</v>
      </c>
      <c r="BQ318" s="353">
        <v>0</v>
      </c>
      <c r="BR318" s="415">
        <v>0</v>
      </c>
      <c r="BS318" s="353">
        <v>0</v>
      </c>
      <c r="BT318" s="415">
        <v>0</v>
      </c>
      <c r="BU318" s="353">
        <v>-0.4</v>
      </c>
      <c r="BV318" s="415">
        <v>0</v>
      </c>
      <c r="BW318" s="353">
        <v>-0.4</v>
      </c>
      <c r="BY318" s="80"/>
      <c r="BZ318" s="65"/>
      <c r="CA318" s="40" t="s">
        <v>3</v>
      </c>
      <c r="CB318" s="65"/>
      <c r="CC318" s="40">
        <v>-17.004958677685948</v>
      </c>
      <c r="CD318" s="40">
        <v>-17.004958677685948</v>
      </c>
      <c r="CE318" s="40">
        <v>-17.004958677685948</v>
      </c>
      <c r="CF318" s="65"/>
      <c r="CG318" s="40">
        <v>-19.404958677685951</v>
      </c>
      <c r="CH318" s="40">
        <v>-31.404958677685951</v>
      </c>
      <c r="CI318" s="40">
        <v>-31.404958677685951</v>
      </c>
      <c r="CJ318" s="40">
        <v>-31.404958677685951</v>
      </c>
      <c r="CK318" s="40">
        <v>-31.404958677685951</v>
      </c>
    </row>
    <row r="319" spans="1:89" s="2" customFormat="1">
      <c r="A319" s="196" t="s">
        <v>1066</v>
      </c>
      <c r="B319" s="211" t="s">
        <v>664</v>
      </c>
      <c r="C319" s="435" t="s">
        <v>753</v>
      </c>
      <c r="D319" s="423">
        <v>85</v>
      </c>
      <c r="E319" s="423">
        <v>0</v>
      </c>
      <c r="F319" s="423" t="s">
        <v>1041</v>
      </c>
      <c r="G319" s="413">
        <v>24</v>
      </c>
      <c r="H319" s="424">
        <v>84.297520661157023</v>
      </c>
      <c r="I319" s="321"/>
      <c r="J319" s="425" t="s">
        <v>3</v>
      </c>
      <c r="K319" s="389" t="s">
        <v>3</v>
      </c>
      <c r="L319" s="426"/>
      <c r="M319" s="35">
        <v>0</v>
      </c>
      <c r="N319" s="136">
        <v>2.9000000000000004</v>
      </c>
      <c r="O319" s="35">
        <v>0</v>
      </c>
      <c r="P319" s="136">
        <v>0.30000000000000004</v>
      </c>
      <c r="Q319" s="37">
        <v>0</v>
      </c>
      <c r="R319" s="136">
        <v>0.30000000000000004</v>
      </c>
      <c r="S319" s="37"/>
      <c r="T319" s="35">
        <v>0</v>
      </c>
      <c r="U319" s="136">
        <v>0.9</v>
      </c>
      <c r="V319" s="35">
        <v>0</v>
      </c>
      <c r="W319" s="136">
        <v>0.9</v>
      </c>
      <c r="X319" s="35">
        <v>0</v>
      </c>
      <c r="Y319" s="149">
        <v>0.9</v>
      </c>
      <c r="Z319" s="35">
        <v>0</v>
      </c>
      <c r="AA319" s="136">
        <v>0.8</v>
      </c>
      <c r="AB319" s="37">
        <v>0</v>
      </c>
      <c r="AC319" s="136">
        <v>0.8</v>
      </c>
      <c r="AD319" s="37"/>
      <c r="AE319" s="40">
        <v>1</v>
      </c>
      <c r="AF319" s="65"/>
      <c r="AG319" s="35">
        <v>0</v>
      </c>
      <c r="AH319" s="36">
        <v>0</v>
      </c>
      <c r="AI319" s="37"/>
      <c r="AJ319" s="35">
        <v>15</v>
      </c>
      <c r="AK319" s="36">
        <v>69.600000000000009</v>
      </c>
      <c r="AL319" s="35">
        <v>78</v>
      </c>
      <c r="AM319" s="36">
        <v>7.2000000000000011</v>
      </c>
      <c r="AN319" s="35">
        <v>78</v>
      </c>
      <c r="AO319" s="36">
        <v>7.2000000000000011</v>
      </c>
      <c r="AP319" s="37"/>
      <c r="AQ319" s="35">
        <v>63</v>
      </c>
      <c r="AR319" s="36">
        <v>21.6</v>
      </c>
      <c r="AS319" s="35">
        <v>63</v>
      </c>
      <c r="AT319" s="36">
        <v>21.6</v>
      </c>
      <c r="AU319" s="35">
        <v>63</v>
      </c>
      <c r="AV319" s="36">
        <v>21.6</v>
      </c>
      <c r="AW319" s="35">
        <v>66</v>
      </c>
      <c r="AX319" s="36">
        <v>19.200000000000003</v>
      </c>
      <c r="AY319" s="35">
        <v>66</v>
      </c>
      <c r="AZ319" s="36">
        <v>19.200000000000003</v>
      </c>
      <c r="BA319" s="417"/>
      <c r="BB319" s="40">
        <v>0</v>
      </c>
      <c r="BC319" s="65"/>
      <c r="BD319" s="35">
        <v>0</v>
      </c>
      <c r="BE319" s="36">
        <v>0</v>
      </c>
      <c r="BF319" s="37"/>
      <c r="BG319" s="415">
        <v>0</v>
      </c>
      <c r="BH319" s="353">
        <v>0</v>
      </c>
      <c r="BI319" s="415">
        <v>0</v>
      </c>
      <c r="BJ319" s="353">
        <v>0</v>
      </c>
      <c r="BK319" s="415">
        <v>0</v>
      </c>
      <c r="BL319" s="353">
        <v>0</v>
      </c>
      <c r="BM319" s="416"/>
      <c r="BN319" s="415">
        <v>0</v>
      </c>
      <c r="BO319" s="353">
        <v>0</v>
      </c>
      <c r="BP319" s="415">
        <v>0</v>
      </c>
      <c r="BQ319" s="353">
        <v>0</v>
      </c>
      <c r="BR319" s="415">
        <v>0</v>
      </c>
      <c r="BS319" s="353">
        <v>0</v>
      </c>
      <c r="BT319" s="415">
        <v>0</v>
      </c>
      <c r="BU319" s="353">
        <v>0</v>
      </c>
      <c r="BV319" s="415">
        <v>0</v>
      </c>
      <c r="BW319" s="353">
        <v>0</v>
      </c>
      <c r="BY319" s="80"/>
      <c r="BZ319" s="65"/>
      <c r="CA319" s="40" t="s">
        <v>3</v>
      </c>
      <c r="CB319" s="65"/>
      <c r="CC319" s="40">
        <v>-14.697520661157014</v>
      </c>
      <c r="CD319" s="40">
        <v>-77.09752066115702</v>
      </c>
      <c r="CE319" s="40">
        <v>-77.09752066115702</v>
      </c>
      <c r="CF319" s="65"/>
      <c r="CG319" s="40">
        <v>-62.697520661157021</v>
      </c>
      <c r="CH319" s="40">
        <v>-62.697520661157021</v>
      </c>
      <c r="CI319" s="40">
        <v>-62.697520661157021</v>
      </c>
      <c r="CJ319" s="40">
        <v>-65.09752066115702</v>
      </c>
      <c r="CK319" s="40">
        <v>-65.09752066115702</v>
      </c>
    </row>
    <row r="320" spans="1:89" s="2" customFormat="1">
      <c r="A320" s="196" t="s">
        <v>1067</v>
      </c>
      <c r="B320" s="211" t="s">
        <v>540</v>
      </c>
      <c r="C320" s="211" t="s">
        <v>548</v>
      </c>
      <c r="D320" s="41">
        <v>38</v>
      </c>
      <c r="E320" s="41">
        <v>0</v>
      </c>
      <c r="F320" s="22" t="s">
        <v>1041</v>
      </c>
      <c r="G320" s="40">
        <v>24</v>
      </c>
      <c r="H320" s="388">
        <v>37.190082644628099</v>
      </c>
      <c r="I320" s="321"/>
      <c r="J320" s="40" t="s">
        <v>3</v>
      </c>
      <c r="K320" s="36" t="s">
        <v>3</v>
      </c>
      <c r="L320" s="37"/>
      <c r="M320" s="35">
        <v>0</v>
      </c>
      <c r="N320" s="136">
        <v>0.8</v>
      </c>
      <c r="O320" s="35">
        <v>0</v>
      </c>
      <c r="P320" s="136">
        <v>0.8</v>
      </c>
      <c r="Q320" s="37">
        <v>0</v>
      </c>
      <c r="R320" s="136">
        <v>0.8</v>
      </c>
      <c r="S320" s="37"/>
      <c r="T320" s="35">
        <v>0</v>
      </c>
      <c r="U320" s="136">
        <v>0</v>
      </c>
      <c r="V320" s="35">
        <v>0</v>
      </c>
      <c r="W320" s="136">
        <v>0</v>
      </c>
      <c r="X320" s="35">
        <v>0</v>
      </c>
      <c r="Y320" s="149">
        <v>0</v>
      </c>
      <c r="Z320" s="35">
        <v>0</v>
      </c>
      <c r="AA320" s="136">
        <v>0</v>
      </c>
      <c r="AB320" s="37">
        <v>0</v>
      </c>
      <c r="AC320" s="136">
        <v>0</v>
      </c>
      <c r="AD320" s="37"/>
      <c r="AE320" s="40">
        <v>1</v>
      </c>
      <c r="AF320" s="65"/>
      <c r="AG320" s="35">
        <v>0</v>
      </c>
      <c r="AH320" s="36">
        <v>0</v>
      </c>
      <c r="AI320" s="37"/>
      <c r="AJ320" s="35">
        <v>19</v>
      </c>
      <c r="AK320" s="36">
        <v>19.200000000000003</v>
      </c>
      <c r="AL320" s="35">
        <v>19</v>
      </c>
      <c r="AM320" s="36">
        <v>19.200000000000003</v>
      </c>
      <c r="AN320" s="37">
        <v>19</v>
      </c>
      <c r="AO320" s="36">
        <v>19.200000000000003</v>
      </c>
      <c r="AP320" s="37"/>
      <c r="AQ320" s="35">
        <v>38</v>
      </c>
      <c r="AR320" s="36">
        <v>0</v>
      </c>
      <c r="AS320" s="35">
        <v>38</v>
      </c>
      <c r="AT320" s="36">
        <v>0</v>
      </c>
      <c r="AU320" s="37">
        <v>38</v>
      </c>
      <c r="AV320" s="36">
        <v>0</v>
      </c>
      <c r="AW320" s="37">
        <v>38</v>
      </c>
      <c r="AX320" s="36">
        <v>0</v>
      </c>
      <c r="AY320" s="37">
        <v>38</v>
      </c>
      <c r="AZ320" s="36">
        <v>0</v>
      </c>
      <c r="BB320" s="40">
        <v>0</v>
      </c>
      <c r="BC320" s="65"/>
      <c r="BD320" s="35">
        <v>0</v>
      </c>
      <c r="BE320" s="36">
        <v>0</v>
      </c>
      <c r="BF320" s="37"/>
      <c r="BG320" s="415">
        <v>0</v>
      </c>
      <c r="BH320" s="353">
        <v>0</v>
      </c>
      <c r="BI320" s="415">
        <v>0</v>
      </c>
      <c r="BJ320" s="353">
        <v>0</v>
      </c>
      <c r="BK320" s="415">
        <v>0</v>
      </c>
      <c r="BL320" s="353">
        <v>0</v>
      </c>
      <c r="BM320" s="416"/>
      <c r="BN320" s="415">
        <v>0</v>
      </c>
      <c r="BO320" s="353">
        <v>0</v>
      </c>
      <c r="BP320" s="415">
        <v>0</v>
      </c>
      <c r="BQ320" s="353">
        <v>0</v>
      </c>
      <c r="BR320" s="415">
        <v>0</v>
      </c>
      <c r="BS320" s="353">
        <v>0</v>
      </c>
      <c r="BT320" s="415">
        <v>0</v>
      </c>
      <c r="BU320" s="353">
        <v>0</v>
      </c>
      <c r="BV320" s="415">
        <v>0</v>
      </c>
      <c r="BW320" s="353">
        <v>0</v>
      </c>
      <c r="BY320" s="80"/>
      <c r="BZ320" s="65"/>
      <c r="CA320" s="40" t="s">
        <v>3</v>
      </c>
      <c r="CB320" s="65"/>
      <c r="CC320" s="40">
        <v>-17.990082644628096</v>
      </c>
      <c r="CD320" s="40">
        <v>-17.990082644628096</v>
      </c>
      <c r="CE320" s="40">
        <v>-17.990082644628096</v>
      </c>
      <c r="CF320" s="65"/>
      <c r="CG320" s="40">
        <v>-37.190082644628099</v>
      </c>
      <c r="CH320" s="40">
        <v>-37.190082644628099</v>
      </c>
      <c r="CI320" s="40">
        <v>-37.190082644628099</v>
      </c>
      <c r="CJ320" s="40">
        <v>-37.190082644628099</v>
      </c>
      <c r="CK320" s="40">
        <v>-37.190082644628099</v>
      </c>
    </row>
    <row r="321" spans="1:89" s="2" customFormat="1">
      <c r="A321" s="196" t="s">
        <v>1100</v>
      </c>
      <c r="B321" s="211" t="s">
        <v>674</v>
      </c>
      <c r="C321" s="211" t="s">
        <v>543</v>
      </c>
      <c r="D321" s="41">
        <v>48</v>
      </c>
      <c r="E321" s="41">
        <v>0</v>
      </c>
      <c r="F321" s="41" t="s">
        <v>1101</v>
      </c>
      <c r="G321" s="413">
        <v>24</v>
      </c>
      <c r="H321" s="414">
        <v>46.280991735537192</v>
      </c>
      <c r="I321" s="321"/>
      <c r="J321" s="40" t="s">
        <v>3</v>
      </c>
      <c r="K321" s="36" t="s">
        <v>3</v>
      </c>
      <c r="L321" s="37"/>
      <c r="M321" s="35">
        <v>0</v>
      </c>
      <c r="N321" s="136">
        <v>1.1000000000000001</v>
      </c>
      <c r="O321" s="35">
        <v>0</v>
      </c>
      <c r="P321" s="136">
        <v>1.1000000000000001</v>
      </c>
      <c r="Q321" s="37">
        <v>0</v>
      </c>
      <c r="R321" s="136">
        <v>1.1000000000000001</v>
      </c>
      <c r="S321" s="37"/>
      <c r="T321" s="35">
        <v>0</v>
      </c>
      <c r="U321" s="136">
        <v>0.5</v>
      </c>
      <c r="V321" s="35">
        <v>0</v>
      </c>
      <c r="W321" s="136">
        <v>0.5</v>
      </c>
      <c r="X321" s="35">
        <v>0</v>
      </c>
      <c r="Y321" s="149">
        <v>0.5</v>
      </c>
      <c r="Z321" s="35">
        <v>0</v>
      </c>
      <c r="AA321" s="136">
        <v>0.4</v>
      </c>
      <c r="AB321" s="37">
        <v>0</v>
      </c>
      <c r="AC321" s="136">
        <v>0.4</v>
      </c>
      <c r="AD321" s="37"/>
      <c r="AE321" s="40">
        <v>2</v>
      </c>
      <c r="AF321" s="65"/>
      <c r="AG321" s="35">
        <v>0</v>
      </c>
      <c r="AH321" s="36">
        <v>0</v>
      </c>
      <c r="AI321" s="37"/>
      <c r="AJ321" s="35">
        <v>22</v>
      </c>
      <c r="AK321" s="36">
        <v>26.400000000000002</v>
      </c>
      <c r="AL321" s="35">
        <v>22</v>
      </c>
      <c r="AM321" s="36">
        <v>26.400000000000002</v>
      </c>
      <c r="AN321" s="35">
        <v>22</v>
      </c>
      <c r="AO321" s="36">
        <v>26.400000000000002</v>
      </c>
      <c r="AP321" s="37"/>
      <c r="AQ321" s="35">
        <v>36</v>
      </c>
      <c r="AR321" s="36">
        <v>12</v>
      </c>
      <c r="AS321" s="35">
        <v>36</v>
      </c>
      <c r="AT321" s="36">
        <v>12</v>
      </c>
      <c r="AU321" s="35">
        <v>36</v>
      </c>
      <c r="AV321" s="36">
        <v>12</v>
      </c>
      <c r="AW321" s="35">
        <v>38</v>
      </c>
      <c r="AX321" s="36">
        <v>9.6000000000000014</v>
      </c>
      <c r="AY321" s="35">
        <v>38</v>
      </c>
      <c r="AZ321" s="36">
        <v>9.6000000000000014</v>
      </c>
      <c r="BB321" s="40">
        <v>0</v>
      </c>
      <c r="BC321" s="65"/>
      <c r="BD321" s="35">
        <v>0</v>
      </c>
      <c r="BE321" s="36">
        <v>0</v>
      </c>
      <c r="BF321" s="37"/>
      <c r="BG321" s="415">
        <v>0</v>
      </c>
      <c r="BH321" s="353">
        <v>0</v>
      </c>
      <c r="BI321" s="415">
        <v>0</v>
      </c>
      <c r="BJ321" s="353">
        <v>0</v>
      </c>
      <c r="BK321" s="415">
        <v>0</v>
      </c>
      <c r="BL321" s="353">
        <v>0</v>
      </c>
      <c r="BM321" s="416"/>
      <c r="BN321" s="415">
        <v>0</v>
      </c>
      <c r="BO321" s="353">
        <v>0</v>
      </c>
      <c r="BP321" s="415">
        <v>0</v>
      </c>
      <c r="BQ321" s="353">
        <v>0</v>
      </c>
      <c r="BR321" s="415">
        <v>0</v>
      </c>
      <c r="BS321" s="353">
        <v>0</v>
      </c>
      <c r="BT321" s="415">
        <v>0</v>
      </c>
      <c r="BU321" s="353">
        <v>0</v>
      </c>
      <c r="BV321" s="415">
        <v>0</v>
      </c>
      <c r="BW321" s="353">
        <v>0</v>
      </c>
      <c r="BY321" s="80"/>
      <c r="BZ321" s="65"/>
      <c r="CA321" s="40" t="s">
        <v>3</v>
      </c>
      <c r="CB321" s="65"/>
      <c r="CC321" s="40">
        <v>-19.88099173553719</v>
      </c>
      <c r="CD321" s="40">
        <v>-19.88099173553719</v>
      </c>
      <c r="CE321" s="40">
        <v>-19.88099173553719</v>
      </c>
      <c r="CF321" s="65"/>
      <c r="CG321" s="40">
        <v>-34.280991735537192</v>
      </c>
      <c r="CH321" s="40">
        <v>-34.280991735537192</v>
      </c>
      <c r="CI321" s="40">
        <v>-34.280991735537192</v>
      </c>
      <c r="CJ321" s="40">
        <v>-36.680991735537191</v>
      </c>
      <c r="CK321" s="40">
        <v>-36.680991735537191</v>
      </c>
    </row>
    <row r="322" spans="1:89" s="2" customFormat="1">
      <c r="A322" s="196" t="s">
        <v>1068</v>
      </c>
      <c r="B322" s="211" t="s">
        <v>59</v>
      </c>
      <c r="C322" s="211" t="s">
        <v>519</v>
      </c>
      <c r="D322" s="41">
        <v>165</v>
      </c>
      <c r="E322" s="41">
        <v>0</v>
      </c>
      <c r="F322" s="41" t="s">
        <v>1069</v>
      </c>
      <c r="G322" s="413">
        <v>24</v>
      </c>
      <c r="H322" s="414">
        <v>157.02479338842977</v>
      </c>
      <c r="I322" s="321"/>
      <c r="J322" s="40" t="s">
        <v>3</v>
      </c>
      <c r="K322" s="36" t="s">
        <v>3</v>
      </c>
      <c r="L322" s="37"/>
      <c r="M322" s="35">
        <v>29</v>
      </c>
      <c r="N322" s="136">
        <v>4</v>
      </c>
      <c r="O322" s="35">
        <v>0</v>
      </c>
      <c r="P322" s="136">
        <v>2.1</v>
      </c>
      <c r="Q322" s="37">
        <v>0</v>
      </c>
      <c r="R322" s="136">
        <v>1.3</v>
      </c>
      <c r="S322" s="37"/>
      <c r="T322" s="35">
        <v>0</v>
      </c>
      <c r="U322" s="136">
        <v>5.4</v>
      </c>
      <c r="V322" s="35">
        <v>0</v>
      </c>
      <c r="W322" s="136">
        <v>1.7000000000000002</v>
      </c>
      <c r="X322" s="35">
        <v>0</v>
      </c>
      <c r="Y322" s="149">
        <v>1.7000000000000002</v>
      </c>
      <c r="Z322" s="35">
        <v>0</v>
      </c>
      <c r="AA322" s="136">
        <v>1.7000000000000002</v>
      </c>
      <c r="AB322" s="37">
        <v>0</v>
      </c>
      <c r="AC322" s="136">
        <v>1.7000000000000002</v>
      </c>
      <c r="AD322" s="37"/>
      <c r="AE322" s="40">
        <v>8</v>
      </c>
      <c r="AF322" s="65"/>
      <c r="AG322" s="35">
        <v>0</v>
      </c>
      <c r="AH322" s="36">
        <v>0</v>
      </c>
      <c r="AI322" s="37"/>
      <c r="AJ322" s="35">
        <v>40</v>
      </c>
      <c r="AK322" s="36">
        <v>96</v>
      </c>
      <c r="AL322" s="35">
        <v>115</v>
      </c>
      <c r="AM322" s="36">
        <v>50.400000000000006</v>
      </c>
      <c r="AN322" s="37">
        <v>134</v>
      </c>
      <c r="AO322" s="36">
        <v>31.200000000000003</v>
      </c>
      <c r="AP322" s="37"/>
      <c r="AQ322" s="35">
        <v>35</v>
      </c>
      <c r="AR322" s="36">
        <v>129.60000000000002</v>
      </c>
      <c r="AS322" s="35">
        <v>124</v>
      </c>
      <c r="AT322" s="36">
        <v>40.800000000000004</v>
      </c>
      <c r="AU322" s="37">
        <v>124</v>
      </c>
      <c r="AV322" s="36">
        <v>40.800000000000004</v>
      </c>
      <c r="AW322" s="37">
        <v>124</v>
      </c>
      <c r="AX322" s="36">
        <v>40.800000000000004</v>
      </c>
      <c r="AY322" s="37">
        <v>124</v>
      </c>
      <c r="AZ322" s="36">
        <v>40.800000000000004</v>
      </c>
      <c r="BB322" s="40">
        <v>0</v>
      </c>
      <c r="BC322" s="65"/>
      <c r="BD322" s="35">
        <v>0</v>
      </c>
      <c r="BE322" s="36">
        <v>0</v>
      </c>
      <c r="BF322" s="37"/>
      <c r="BG322" s="415">
        <v>0</v>
      </c>
      <c r="BH322" s="353">
        <v>0</v>
      </c>
      <c r="BI322" s="415">
        <v>0</v>
      </c>
      <c r="BJ322" s="353">
        <v>0</v>
      </c>
      <c r="BK322" s="415">
        <v>0</v>
      </c>
      <c r="BL322" s="353">
        <v>0</v>
      </c>
      <c r="BM322" s="416"/>
      <c r="BN322" s="415">
        <v>0</v>
      </c>
      <c r="BO322" s="353">
        <v>0</v>
      </c>
      <c r="BP322" s="415">
        <v>0</v>
      </c>
      <c r="BQ322" s="353">
        <v>0</v>
      </c>
      <c r="BR322" s="415">
        <v>0</v>
      </c>
      <c r="BS322" s="353">
        <v>0</v>
      </c>
      <c r="BT322" s="415">
        <v>0</v>
      </c>
      <c r="BU322" s="353">
        <v>0</v>
      </c>
      <c r="BV322" s="415">
        <v>0</v>
      </c>
      <c r="BW322" s="353">
        <v>0</v>
      </c>
      <c r="BY322" s="80"/>
      <c r="BZ322" s="65"/>
      <c r="CA322" s="40" t="s">
        <v>3</v>
      </c>
      <c r="CB322" s="65"/>
      <c r="CC322" s="40">
        <v>-32.024793388429771</v>
      </c>
      <c r="CD322" s="40">
        <v>-106.62479338842977</v>
      </c>
      <c r="CE322" s="40">
        <v>-125.82479338842977</v>
      </c>
      <c r="CF322" s="65"/>
      <c r="CG322" s="40">
        <v>-27.424793388429748</v>
      </c>
      <c r="CH322" s="40">
        <v>-116.22479338842976</v>
      </c>
      <c r="CI322" s="40">
        <v>-116.22479338842976</v>
      </c>
      <c r="CJ322" s="40">
        <v>-116.22479338842976</v>
      </c>
      <c r="CK322" s="40">
        <v>-116.22479338842976</v>
      </c>
    </row>
    <row r="323" spans="1:89" s="2" customFormat="1">
      <c r="A323" s="196" t="s">
        <v>1070</v>
      </c>
      <c r="B323" s="211" t="s">
        <v>59</v>
      </c>
      <c r="C323" s="211" t="s">
        <v>754</v>
      </c>
      <c r="D323" s="41">
        <v>248</v>
      </c>
      <c r="E323" s="41">
        <v>0</v>
      </c>
      <c r="F323" s="22" t="s">
        <v>1069</v>
      </c>
      <c r="G323" s="40">
        <v>24</v>
      </c>
      <c r="H323" s="388">
        <v>243.801652892562</v>
      </c>
      <c r="I323" s="321"/>
      <c r="J323" s="40" t="s">
        <v>3</v>
      </c>
      <c r="K323" s="36" t="s">
        <v>3</v>
      </c>
      <c r="L323" s="37"/>
      <c r="M323" s="35">
        <v>39</v>
      </c>
      <c r="N323" s="136">
        <v>6.7</v>
      </c>
      <c r="O323" s="35">
        <v>0</v>
      </c>
      <c r="P323" s="136">
        <v>5</v>
      </c>
      <c r="Q323" s="37">
        <v>0</v>
      </c>
      <c r="R323" s="136">
        <v>4.2</v>
      </c>
      <c r="S323" s="37"/>
      <c r="T323" s="35">
        <v>0</v>
      </c>
      <c r="U323" s="136">
        <v>8.3000000000000007</v>
      </c>
      <c r="V323" s="35">
        <v>0</v>
      </c>
      <c r="W323" s="136">
        <v>4.2</v>
      </c>
      <c r="X323" s="35">
        <v>0</v>
      </c>
      <c r="Y323" s="149">
        <v>4.2</v>
      </c>
      <c r="Z323" s="35">
        <v>0</v>
      </c>
      <c r="AA323" s="136">
        <v>4.1000000000000005</v>
      </c>
      <c r="AB323" s="37">
        <v>0</v>
      </c>
      <c r="AC323" s="136">
        <v>4.1000000000000005</v>
      </c>
      <c r="AD323" s="37"/>
      <c r="AE323" s="40">
        <v>4</v>
      </c>
      <c r="AF323" s="65"/>
      <c r="AG323" s="35">
        <v>0</v>
      </c>
      <c r="AH323" s="36">
        <v>0</v>
      </c>
      <c r="AI323" s="37"/>
      <c r="AJ323" s="35">
        <v>48</v>
      </c>
      <c r="AK323" s="36">
        <v>160.80000000000001</v>
      </c>
      <c r="AL323" s="35">
        <v>128</v>
      </c>
      <c r="AM323" s="36">
        <v>120</v>
      </c>
      <c r="AN323" s="35">
        <v>147</v>
      </c>
      <c r="AO323" s="36">
        <v>100.80000000000001</v>
      </c>
      <c r="AP323" s="37"/>
      <c r="AQ323" s="35">
        <v>49</v>
      </c>
      <c r="AR323" s="36">
        <v>199.20000000000002</v>
      </c>
      <c r="AS323" s="35">
        <v>147</v>
      </c>
      <c r="AT323" s="36">
        <v>100.80000000000001</v>
      </c>
      <c r="AU323" s="35">
        <v>147</v>
      </c>
      <c r="AV323" s="36">
        <v>100.80000000000001</v>
      </c>
      <c r="AW323" s="35">
        <v>150</v>
      </c>
      <c r="AX323" s="36">
        <v>98.4</v>
      </c>
      <c r="AY323" s="35">
        <v>150</v>
      </c>
      <c r="AZ323" s="36">
        <v>98.4</v>
      </c>
      <c r="BB323" s="40">
        <v>0</v>
      </c>
      <c r="BC323" s="65"/>
      <c r="BD323" s="35">
        <v>0</v>
      </c>
      <c r="BE323" s="36">
        <v>0</v>
      </c>
      <c r="BF323" s="37"/>
      <c r="BG323" s="415">
        <v>0</v>
      </c>
      <c r="BH323" s="353">
        <v>0</v>
      </c>
      <c r="BI323" s="415">
        <v>0</v>
      </c>
      <c r="BJ323" s="353">
        <v>0</v>
      </c>
      <c r="BK323" s="415">
        <v>0</v>
      </c>
      <c r="BL323" s="353">
        <v>0</v>
      </c>
      <c r="BM323" s="416"/>
      <c r="BN323" s="415">
        <v>0</v>
      </c>
      <c r="BO323" s="353">
        <v>0</v>
      </c>
      <c r="BP323" s="415">
        <v>0</v>
      </c>
      <c r="BQ323" s="353">
        <v>0</v>
      </c>
      <c r="BR323" s="415">
        <v>0</v>
      </c>
      <c r="BS323" s="353">
        <v>0</v>
      </c>
      <c r="BT323" s="415">
        <v>0</v>
      </c>
      <c r="BU323" s="353">
        <v>0</v>
      </c>
      <c r="BV323" s="415">
        <v>0</v>
      </c>
      <c r="BW323" s="353">
        <v>0</v>
      </c>
      <c r="BY323" s="80"/>
      <c r="BZ323" s="65"/>
      <c r="CA323" s="40" t="s">
        <v>3</v>
      </c>
      <c r="CB323" s="65"/>
      <c r="CC323" s="40">
        <v>-44.001652892561992</v>
      </c>
      <c r="CD323" s="40">
        <v>-123.801652892562</v>
      </c>
      <c r="CE323" s="40">
        <v>-143.00165289256199</v>
      </c>
      <c r="CF323" s="65"/>
      <c r="CG323" s="40">
        <v>-44.601652892561987</v>
      </c>
      <c r="CH323" s="40">
        <v>-143.00165289256199</v>
      </c>
      <c r="CI323" s="40">
        <v>-143.00165289256199</v>
      </c>
      <c r="CJ323" s="40">
        <v>-145.401652892562</v>
      </c>
      <c r="CK323" s="40">
        <v>-145.401652892562</v>
      </c>
    </row>
    <row r="324" spans="1:89" s="2" customFormat="1">
      <c r="A324" s="196" t="s">
        <v>1071</v>
      </c>
      <c r="B324" s="211" t="s">
        <v>60</v>
      </c>
      <c r="C324" s="211" t="s">
        <v>544</v>
      </c>
      <c r="D324" s="41">
        <v>190</v>
      </c>
      <c r="E324" s="41">
        <v>0</v>
      </c>
      <c r="F324" s="41" t="s">
        <v>1069</v>
      </c>
      <c r="G324" s="413">
        <v>24</v>
      </c>
      <c r="H324" s="414">
        <v>114.87603305785125</v>
      </c>
      <c r="I324" s="321"/>
      <c r="J324" s="40" t="s">
        <v>3</v>
      </c>
      <c r="K324" s="36" t="s">
        <v>3</v>
      </c>
      <c r="L324" s="37"/>
      <c r="M324" s="35">
        <v>0</v>
      </c>
      <c r="N324" s="136">
        <v>4.2</v>
      </c>
      <c r="O324" s="35">
        <v>0</v>
      </c>
      <c r="P324" s="136">
        <v>1.3</v>
      </c>
      <c r="Q324" s="37">
        <v>0</v>
      </c>
      <c r="R324" s="136">
        <v>0.5</v>
      </c>
      <c r="S324" s="37"/>
      <c r="T324" s="35">
        <v>0</v>
      </c>
      <c r="U324" s="136">
        <v>4.4000000000000004</v>
      </c>
      <c r="V324" s="35">
        <v>0</v>
      </c>
      <c r="W324" s="136">
        <v>0.9</v>
      </c>
      <c r="X324" s="35">
        <v>0</v>
      </c>
      <c r="Y324" s="149">
        <v>0.9</v>
      </c>
      <c r="Z324" s="35">
        <v>0</v>
      </c>
      <c r="AA324" s="136">
        <v>0.8</v>
      </c>
      <c r="AB324" s="37">
        <v>0</v>
      </c>
      <c r="AC324" s="136">
        <v>0.8</v>
      </c>
      <c r="AD324" s="37"/>
      <c r="AE324" s="40">
        <v>75</v>
      </c>
      <c r="AF324" s="65"/>
      <c r="AG324" s="35">
        <v>0</v>
      </c>
      <c r="AH324" s="36">
        <v>0</v>
      </c>
      <c r="AI324" s="37"/>
      <c r="AJ324" s="35">
        <v>89</v>
      </c>
      <c r="AK324" s="36">
        <v>100.80000000000001</v>
      </c>
      <c r="AL324" s="35">
        <v>159</v>
      </c>
      <c r="AM324" s="36">
        <v>31.200000000000003</v>
      </c>
      <c r="AN324" s="37">
        <v>178</v>
      </c>
      <c r="AO324" s="36">
        <v>12</v>
      </c>
      <c r="AP324" s="37"/>
      <c r="AQ324" s="35">
        <v>84</v>
      </c>
      <c r="AR324" s="36">
        <v>105.60000000000001</v>
      </c>
      <c r="AS324" s="35">
        <v>168</v>
      </c>
      <c r="AT324" s="36">
        <v>21.6</v>
      </c>
      <c r="AU324" s="37">
        <v>168</v>
      </c>
      <c r="AV324" s="36">
        <v>21.6</v>
      </c>
      <c r="AW324" s="37">
        <v>171</v>
      </c>
      <c r="AX324" s="36">
        <v>19.200000000000003</v>
      </c>
      <c r="AY324" s="37">
        <v>171</v>
      </c>
      <c r="AZ324" s="36">
        <v>19.200000000000003</v>
      </c>
      <c r="BB324" s="40">
        <v>0</v>
      </c>
      <c r="BC324" s="65"/>
      <c r="BD324" s="35">
        <v>0</v>
      </c>
      <c r="BE324" s="36">
        <v>0</v>
      </c>
      <c r="BF324" s="37"/>
      <c r="BG324" s="415">
        <v>0</v>
      </c>
      <c r="BH324" s="353">
        <v>0</v>
      </c>
      <c r="BI324" s="415">
        <v>0</v>
      </c>
      <c r="BJ324" s="353">
        <v>0</v>
      </c>
      <c r="BK324" s="415">
        <v>0</v>
      </c>
      <c r="BL324" s="353">
        <v>0</v>
      </c>
      <c r="BM324" s="416"/>
      <c r="BN324" s="415">
        <v>0</v>
      </c>
      <c r="BO324" s="353">
        <v>0</v>
      </c>
      <c r="BP324" s="415">
        <v>0</v>
      </c>
      <c r="BQ324" s="353">
        <v>0</v>
      </c>
      <c r="BR324" s="415">
        <v>0</v>
      </c>
      <c r="BS324" s="353">
        <v>0</v>
      </c>
      <c r="BT324" s="415">
        <v>0</v>
      </c>
      <c r="BU324" s="353">
        <v>0</v>
      </c>
      <c r="BV324" s="415">
        <v>0</v>
      </c>
      <c r="BW324" s="353">
        <v>0</v>
      </c>
      <c r="BY324" s="80"/>
      <c r="BZ324" s="65"/>
      <c r="CA324" s="40" t="s">
        <v>3</v>
      </c>
      <c r="CB324" s="65"/>
      <c r="CC324" s="40">
        <v>-14.076033057851234</v>
      </c>
      <c r="CD324" s="40">
        <v>-83.676033057851242</v>
      </c>
      <c r="CE324" s="40">
        <v>-102.87603305785125</v>
      </c>
      <c r="CF324" s="65"/>
      <c r="CG324" s="40">
        <v>-9.2760330578512367</v>
      </c>
      <c r="CH324" s="40">
        <v>-93.276033057851237</v>
      </c>
      <c r="CI324" s="40">
        <v>-93.276033057851237</v>
      </c>
      <c r="CJ324" s="40">
        <v>-95.676033057851242</v>
      </c>
      <c r="CK324" s="40">
        <v>-95.676033057851242</v>
      </c>
    </row>
    <row r="325" spans="1:89" s="2" customFormat="1">
      <c r="A325" s="196" t="s">
        <v>1072</v>
      </c>
      <c r="B325" s="211" t="s">
        <v>293</v>
      </c>
      <c r="C325" s="435" t="s">
        <v>755</v>
      </c>
      <c r="D325" s="41">
        <v>75</v>
      </c>
      <c r="E325" s="41">
        <v>0</v>
      </c>
      <c r="F325" s="22" t="s">
        <v>1069</v>
      </c>
      <c r="G325" s="40">
        <v>24</v>
      </c>
      <c r="H325" s="388">
        <v>90.082644628099175</v>
      </c>
      <c r="I325" s="321"/>
      <c r="J325" s="40" t="s">
        <v>3</v>
      </c>
      <c r="K325" s="36" t="s">
        <v>3</v>
      </c>
      <c r="L325" s="37"/>
      <c r="M325" s="35">
        <v>0</v>
      </c>
      <c r="N325" s="136">
        <v>3.1</v>
      </c>
      <c r="O325" s="35">
        <v>0</v>
      </c>
      <c r="P325" s="136">
        <v>0.30000000000000004</v>
      </c>
      <c r="Q325" s="37">
        <v>0</v>
      </c>
      <c r="R325" s="136">
        <v>0.30000000000000004</v>
      </c>
      <c r="S325" s="37"/>
      <c r="T325" s="35">
        <v>0</v>
      </c>
      <c r="U325" s="136">
        <v>0.5</v>
      </c>
      <c r="V325" s="35">
        <v>0</v>
      </c>
      <c r="W325" s="136">
        <v>0.5</v>
      </c>
      <c r="X325" s="35">
        <v>0</v>
      </c>
      <c r="Y325" s="149">
        <v>0.5</v>
      </c>
      <c r="Z325" s="35">
        <v>0</v>
      </c>
      <c r="AA325" s="136">
        <v>0.4</v>
      </c>
      <c r="AB325" s="37">
        <v>0</v>
      </c>
      <c r="AC325" s="136">
        <v>0.4</v>
      </c>
      <c r="AD325" s="37"/>
      <c r="AE325" s="40">
        <v>-15</v>
      </c>
      <c r="AF325" s="65"/>
      <c r="AG325" s="35">
        <v>0</v>
      </c>
      <c r="AH325" s="36">
        <v>0</v>
      </c>
      <c r="AI325" s="37"/>
      <c r="AJ325" s="35">
        <v>1</v>
      </c>
      <c r="AK325" s="36">
        <v>74.400000000000006</v>
      </c>
      <c r="AL325" s="35">
        <v>68</v>
      </c>
      <c r="AM325" s="36">
        <v>7.2000000000000011</v>
      </c>
      <c r="AN325" s="35">
        <v>68</v>
      </c>
      <c r="AO325" s="36">
        <v>7.2000000000000011</v>
      </c>
      <c r="AP325" s="37"/>
      <c r="AQ325" s="35">
        <v>63</v>
      </c>
      <c r="AR325" s="36">
        <v>12</v>
      </c>
      <c r="AS325" s="35">
        <v>63</v>
      </c>
      <c r="AT325" s="36">
        <v>12</v>
      </c>
      <c r="AU325" s="35">
        <v>63</v>
      </c>
      <c r="AV325" s="36">
        <v>12</v>
      </c>
      <c r="AW325" s="35">
        <v>65</v>
      </c>
      <c r="AX325" s="36">
        <v>9.6000000000000014</v>
      </c>
      <c r="AY325" s="35">
        <v>65</v>
      </c>
      <c r="AZ325" s="36">
        <v>9.6000000000000014</v>
      </c>
      <c r="BB325" s="40">
        <v>0</v>
      </c>
      <c r="BC325" s="65"/>
      <c r="BD325" s="35">
        <v>0</v>
      </c>
      <c r="BE325" s="36">
        <v>0</v>
      </c>
      <c r="BF325" s="37"/>
      <c r="BG325" s="415">
        <v>0</v>
      </c>
      <c r="BH325" s="353">
        <v>0</v>
      </c>
      <c r="BI325" s="415">
        <v>0</v>
      </c>
      <c r="BJ325" s="353">
        <v>0</v>
      </c>
      <c r="BK325" s="415">
        <v>0</v>
      </c>
      <c r="BL325" s="353">
        <v>0</v>
      </c>
      <c r="BM325" s="416"/>
      <c r="BN325" s="415">
        <v>0</v>
      </c>
      <c r="BO325" s="353">
        <v>0</v>
      </c>
      <c r="BP325" s="415">
        <v>0</v>
      </c>
      <c r="BQ325" s="353">
        <v>0</v>
      </c>
      <c r="BR325" s="415">
        <v>0</v>
      </c>
      <c r="BS325" s="353">
        <v>0</v>
      </c>
      <c r="BT325" s="415">
        <v>0</v>
      </c>
      <c r="BU325" s="353">
        <v>0</v>
      </c>
      <c r="BV325" s="415">
        <v>0</v>
      </c>
      <c r="BW325" s="353">
        <v>0</v>
      </c>
      <c r="BY325" s="80"/>
      <c r="BZ325" s="65"/>
      <c r="CA325" s="40" t="s">
        <v>3</v>
      </c>
      <c r="CB325" s="65"/>
      <c r="CC325" s="40">
        <v>-15.682644628099169</v>
      </c>
      <c r="CD325" s="40">
        <v>-82.882644628099172</v>
      </c>
      <c r="CE325" s="40">
        <v>-82.882644628099172</v>
      </c>
      <c r="CF325" s="65"/>
      <c r="CG325" s="40">
        <v>-78.082644628099175</v>
      </c>
      <c r="CH325" s="40">
        <v>-78.082644628099175</v>
      </c>
      <c r="CI325" s="40">
        <v>-78.082644628099175</v>
      </c>
      <c r="CJ325" s="40">
        <v>-80.482644628099166</v>
      </c>
      <c r="CK325" s="40">
        <v>-80.482644628099166</v>
      </c>
    </row>
    <row r="326" spans="1:89" s="2" customFormat="1">
      <c r="A326" s="196" t="s">
        <v>1073</v>
      </c>
      <c r="B326" s="211" t="s">
        <v>673</v>
      </c>
      <c r="C326" s="211" t="s">
        <v>651</v>
      </c>
      <c r="D326" s="41">
        <v>165</v>
      </c>
      <c r="E326" s="41">
        <v>0</v>
      </c>
      <c r="F326" s="41" t="s">
        <v>1069</v>
      </c>
      <c r="G326" s="413">
        <v>24</v>
      </c>
      <c r="H326" s="414">
        <v>133.05785123966942</v>
      </c>
      <c r="I326" s="321"/>
      <c r="J326" s="40" t="s">
        <v>3</v>
      </c>
      <c r="K326" s="36" t="s">
        <v>3</v>
      </c>
      <c r="L326" s="37"/>
      <c r="M326" s="35">
        <v>19</v>
      </c>
      <c r="N326" s="136">
        <v>4</v>
      </c>
      <c r="O326" s="35">
        <v>0</v>
      </c>
      <c r="P326" s="136">
        <v>1.7000000000000002</v>
      </c>
      <c r="Q326" s="37">
        <v>0</v>
      </c>
      <c r="R326" s="136">
        <v>0.9</v>
      </c>
      <c r="S326" s="37"/>
      <c r="T326" s="35">
        <v>0</v>
      </c>
      <c r="U326" s="136">
        <v>4.8000000000000007</v>
      </c>
      <c r="V326" s="35">
        <v>0</v>
      </c>
      <c r="W326" s="136">
        <v>1.7000000000000002</v>
      </c>
      <c r="X326" s="35">
        <v>0</v>
      </c>
      <c r="Y326" s="149">
        <v>1.7000000000000002</v>
      </c>
      <c r="Z326" s="35">
        <v>0</v>
      </c>
      <c r="AA326" s="136">
        <v>1.7000000000000002</v>
      </c>
      <c r="AB326" s="37">
        <v>0</v>
      </c>
      <c r="AC326" s="136">
        <v>1.7000000000000002</v>
      </c>
      <c r="AD326" s="37"/>
      <c r="AE326" s="40">
        <v>32</v>
      </c>
      <c r="AF326" s="65"/>
      <c r="AG326" s="35">
        <v>0</v>
      </c>
      <c r="AH326" s="36">
        <v>0</v>
      </c>
      <c r="AI326" s="37"/>
      <c r="AJ326" s="35">
        <v>50</v>
      </c>
      <c r="AK326" s="36">
        <v>96</v>
      </c>
      <c r="AL326" s="35">
        <v>124</v>
      </c>
      <c r="AM326" s="36">
        <v>40.800000000000004</v>
      </c>
      <c r="AN326" s="37">
        <v>143</v>
      </c>
      <c r="AO326" s="36">
        <v>21.6</v>
      </c>
      <c r="AP326" s="37"/>
      <c r="AQ326" s="35">
        <v>50</v>
      </c>
      <c r="AR326" s="36">
        <v>115.20000000000002</v>
      </c>
      <c r="AS326" s="35">
        <v>124</v>
      </c>
      <c r="AT326" s="36">
        <v>40.800000000000004</v>
      </c>
      <c r="AU326" s="37">
        <v>124</v>
      </c>
      <c r="AV326" s="36">
        <v>40.800000000000004</v>
      </c>
      <c r="AW326" s="37">
        <v>124</v>
      </c>
      <c r="AX326" s="36">
        <v>40.800000000000004</v>
      </c>
      <c r="AY326" s="37">
        <v>124</v>
      </c>
      <c r="AZ326" s="36">
        <v>40.800000000000004</v>
      </c>
      <c r="BB326" s="40">
        <v>0</v>
      </c>
      <c r="BC326" s="65"/>
      <c r="BD326" s="35">
        <v>0</v>
      </c>
      <c r="BE326" s="36">
        <v>0</v>
      </c>
      <c r="BF326" s="37"/>
      <c r="BG326" s="415">
        <v>0</v>
      </c>
      <c r="BH326" s="353">
        <v>0</v>
      </c>
      <c r="BI326" s="415">
        <v>0</v>
      </c>
      <c r="BJ326" s="353">
        <v>0</v>
      </c>
      <c r="BK326" s="415">
        <v>0</v>
      </c>
      <c r="BL326" s="353">
        <v>0</v>
      </c>
      <c r="BM326" s="416"/>
      <c r="BN326" s="415">
        <v>0</v>
      </c>
      <c r="BO326" s="353">
        <v>0</v>
      </c>
      <c r="BP326" s="415">
        <v>0</v>
      </c>
      <c r="BQ326" s="353">
        <v>0</v>
      </c>
      <c r="BR326" s="415">
        <v>0</v>
      </c>
      <c r="BS326" s="353">
        <v>0</v>
      </c>
      <c r="BT326" s="415">
        <v>0</v>
      </c>
      <c r="BU326" s="353">
        <v>0</v>
      </c>
      <c r="BV326" s="415">
        <v>0</v>
      </c>
      <c r="BW326" s="353">
        <v>0</v>
      </c>
      <c r="BY326" s="80"/>
      <c r="BZ326" s="65"/>
      <c r="CA326" s="40" t="s">
        <v>3</v>
      </c>
      <c r="CB326" s="65"/>
      <c r="CC326" s="40">
        <v>-18.057851239669418</v>
      </c>
      <c r="CD326" s="40">
        <v>-92.257851239669407</v>
      </c>
      <c r="CE326" s="40">
        <v>-111.45785123966942</v>
      </c>
      <c r="CF326" s="65"/>
      <c r="CG326" s="40">
        <v>-17.857851239669401</v>
      </c>
      <c r="CH326" s="40">
        <v>-92.257851239669407</v>
      </c>
      <c r="CI326" s="40">
        <v>-92.257851239669407</v>
      </c>
      <c r="CJ326" s="40">
        <v>-92.257851239669407</v>
      </c>
      <c r="CK326" s="40">
        <v>-92.257851239669407</v>
      </c>
    </row>
    <row r="327" spans="1:89" s="2" customFormat="1">
      <c r="A327" s="196" t="s">
        <v>1133</v>
      </c>
      <c r="B327" s="211" t="s">
        <v>664</v>
      </c>
      <c r="C327" s="211" t="s">
        <v>652</v>
      </c>
      <c r="D327" s="41">
        <v>40</v>
      </c>
      <c r="E327" s="41">
        <v>0</v>
      </c>
      <c r="F327" s="41" t="s">
        <v>1134</v>
      </c>
      <c r="G327" s="413">
        <v>24</v>
      </c>
      <c r="H327" s="414">
        <v>39.669421487603309</v>
      </c>
      <c r="I327" s="321"/>
      <c r="J327" s="40" t="s">
        <v>3</v>
      </c>
      <c r="K327" s="36" t="s">
        <v>3</v>
      </c>
      <c r="L327" s="37"/>
      <c r="M327" s="35">
        <v>0</v>
      </c>
      <c r="N327" s="136">
        <v>0.9</v>
      </c>
      <c r="O327" s="35">
        <v>0</v>
      </c>
      <c r="P327" s="136">
        <v>0.9</v>
      </c>
      <c r="Q327" s="37">
        <v>0</v>
      </c>
      <c r="R327" s="136">
        <v>0.9</v>
      </c>
      <c r="S327" s="37"/>
      <c r="T327" s="35">
        <v>0</v>
      </c>
      <c r="U327" s="136">
        <v>0</v>
      </c>
      <c r="V327" s="35">
        <v>0</v>
      </c>
      <c r="W327" s="136">
        <v>0</v>
      </c>
      <c r="X327" s="35">
        <v>0</v>
      </c>
      <c r="Y327" s="149">
        <v>0</v>
      </c>
      <c r="Z327" s="35">
        <v>0</v>
      </c>
      <c r="AA327" s="136">
        <v>0</v>
      </c>
      <c r="AB327" s="37">
        <v>0</v>
      </c>
      <c r="AC327" s="136">
        <v>0</v>
      </c>
      <c r="AD327" s="37"/>
      <c r="AE327" s="40">
        <v>0</v>
      </c>
      <c r="AF327" s="65"/>
      <c r="AG327" s="35">
        <v>0</v>
      </c>
      <c r="AH327" s="36">
        <v>0</v>
      </c>
      <c r="AI327" s="37"/>
      <c r="AJ327" s="35">
        <v>18</v>
      </c>
      <c r="AK327" s="36">
        <v>21.6</v>
      </c>
      <c r="AL327" s="35">
        <v>18</v>
      </c>
      <c r="AM327" s="36">
        <v>21.6</v>
      </c>
      <c r="AN327" s="35">
        <v>18</v>
      </c>
      <c r="AO327" s="36">
        <v>21.6</v>
      </c>
      <c r="AP327" s="37"/>
      <c r="AQ327" s="35">
        <v>40</v>
      </c>
      <c r="AR327" s="36">
        <v>0</v>
      </c>
      <c r="AS327" s="35">
        <v>40</v>
      </c>
      <c r="AT327" s="36">
        <v>0</v>
      </c>
      <c r="AU327" s="35">
        <v>40</v>
      </c>
      <c r="AV327" s="36">
        <v>0</v>
      </c>
      <c r="AW327" s="35">
        <v>40</v>
      </c>
      <c r="AX327" s="36">
        <v>0</v>
      </c>
      <c r="AY327" s="35">
        <v>40</v>
      </c>
      <c r="AZ327" s="36">
        <v>0</v>
      </c>
      <c r="BB327" s="40">
        <v>0</v>
      </c>
      <c r="BC327" s="65"/>
      <c r="BD327" s="35">
        <v>0</v>
      </c>
      <c r="BE327" s="36">
        <v>0</v>
      </c>
      <c r="BF327" s="37"/>
      <c r="BG327" s="415">
        <v>0</v>
      </c>
      <c r="BH327" s="353">
        <v>0</v>
      </c>
      <c r="BI327" s="415">
        <v>0</v>
      </c>
      <c r="BJ327" s="353">
        <v>0</v>
      </c>
      <c r="BK327" s="415">
        <v>0</v>
      </c>
      <c r="BL327" s="353">
        <v>0</v>
      </c>
      <c r="BM327" s="416"/>
      <c r="BN327" s="415">
        <v>0</v>
      </c>
      <c r="BO327" s="353">
        <v>0</v>
      </c>
      <c r="BP327" s="415">
        <v>0</v>
      </c>
      <c r="BQ327" s="353">
        <v>0</v>
      </c>
      <c r="BR327" s="415">
        <v>0</v>
      </c>
      <c r="BS327" s="353">
        <v>0</v>
      </c>
      <c r="BT327" s="415">
        <v>0</v>
      </c>
      <c r="BU327" s="353">
        <v>0</v>
      </c>
      <c r="BV327" s="415">
        <v>0</v>
      </c>
      <c r="BW327" s="353">
        <v>0</v>
      </c>
      <c r="BY327" s="80"/>
      <c r="BZ327" s="65"/>
      <c r="CA327" s="40" t="s">
        <v>3</v>
      </c>
      <c r="CB327" s="65"/>
      <c r="CC327" s="40">
        <v>-18.069421487603307</v>
      </c>
      <c r="CD327" s="40">
        <v>-18.069421487603307</v>
      </c>
      <c r="CE327" s="40">
        <v>-18.069421487603307</v>
      </c>
      <c r="CF327" s="65"/>
      <c r="CG327" s="40">
        <v>-39.669421487603309</v>
      </c>
      <c r="CH327" s="40">
        <v>-39.669421487603309</v>
      </c>
      <c r="CI327" s="40">
        <v>-39.669421487603309</v>
      </c>
      <c r="CJ327" s="40">
        <v>-39.669421487603309</v>
      </c>
      <c r="CK327" s="40">
        <v>-39.669421487603309</v>
      </c>
    </row>
    <row r="328" spans="1:89" s="2" customFormat="1">
      <c r="A328" s="196" t="s">
        <v>1093</v>
      </c>
      <c r="B328" s="211" t="s">
        <v>55</v>
      </c>
      <c r="C328" s="211" t="s">
        <v>470</v>
      </c>
      <c r="D328" s="41">
        <v>82</v>
      </c>
      <c r="E328" s="41">
        <v>0</v>
      </c>
      <c r="F328" s="41" t="s">
        <v>1084</v>
      </c>
      <c r="G328" s="413">
        <v>24</v>
      </c>
      <c r="H328" s="414">
        <v>95.041322314049594</v>
      </c>
      <c r="I328" s="321"/>
      <c r="J328" s="40" t="s">
        <v>3</v>
      </c>
      <c r="K328" s="36" t="s">
        <v>3</v>
      </c>
      <c r="L328" s="37"/>
      <c r="M328" s="35">
        <v>0</v>
      </c>
      <c r="N328" s="136">
        <v>2.7</v>
      </c>
      <c r="O328" s="35">
        <v>0</v>
      </c>
      <c r="P328" s="136">
        <v>0.30000000000000004</v>
      </c>
      <c r="Q328" s="37">
        <v>0</v>
      </c>
      <c r="R328" s="136">
        <v>0.30000000000000004</v>
      </c>
      <c r="S328" s="37"/>
      <c r="T328" s="35">
        <v>0</v>
      </c>
      <c r="U328" s="136">
        <v>3.4000000000000004</v>
      </c>
      <c r="V328" s="35">
        <v>0</v>
      </c>
      <c r="W328" s="136">
        <v>3.4000000000000004</v>
      </c>
      <c r="X328" s="35">
        <v>0</v>
      </c>
      <c r="Y328" s="149">
        <v>3.4000000000000004</v>
      </c>
      <c r="Z328" s="35">
        <v>0</v>
      </c>
      <c r="AA328" s="136">
        <v>3.3000000000000003</v>
      </c>
      <c r="AB328" s="37">
        <v>0</v>
      </c>
      <c r="AC328" s="136">
        <v>3.3000000000000003</v>
      </c>
      <c r="AD328" s="37"/>
      <c r="AE328" s="40">
        <v>-13</v>
      </c>
      <c r="AF328" s="65"/>
      <c r="AG328" s="35">
        <v>0</v>
      </c>
      <c r="AH328" s="36">
        <v>0</v>
      </c>
      <c r="AI328" s="37"/>
      <c r="AJ328" s="35">
        <v>17</v>
      </c>
      <c r="AK328" s="36">
        <v>64.800000000000011</v>
      </c>
      <c r="AL328" s="35">
        <v>75</v>
      </c>
      <c r="AM328" s="36">
        <v>7.2000000000000011</v>
      </c>
      <c r="AN328" s="37">
        <v>75</v>
      </c>
      <c r="AO328" s="36">
        <v>7.2000000000000011</v>
      </c>
      <c r="AP328" s="37"/>
      <c r="AQ328" s="35">
        <v>0</v>
      </c>
      <c r="AR328" s="36">
        <v>81.600000000000009</v>
      </c>
      <c r="AS328" s="35">
        <v>0</v>
      </c>
      <c r="AT328" s="36">
        <v>81.600000000000009</v>
      </c>
      <c r="AU328" s="37">
        <v>0</v>
      </c>
      <c r="AV328" s="36">
        <v>81.600000000000009</v>
      </c>
      <c r="AW328" s="37">
        <v>3</v>
      </c>
      <c r="AX328" s="36">
        <v>79.2</v>
      </c>
      <c r="AY328" s="37">
        <v>3</v>
      </c>
      <c r="AZ328" s="36">
        <v>79.2</v>
      </c>
      <c r="BB328" s="40">
        <v>0</v>
      </c>
      <c r="BC328" s="65"/>
      <c r="BD328" s="35">
        <v>0</v>
      </c>
      <c r="BE328" s="36">
        <v>0</v>
      </c>
      <c r="BF328" s="37"/>
      <c r="BG328" s="415">
        <v>0</v>
      </c>
      <c r="BH328" s="353">
        <v>0</v>
      </c>
      <c r="BI328" s="415">
        <v>0</v>
      </c>
      <c r="BJ328" s="353">
        <v>0</v>
      </c>
      <c r="BK328" s="415">
        <v>0</v>
      </c>
      <c r="BL328" s="353">
        <v>0</v>
      </c>
      <c r="BM328" s="416"/>
      <c r="BN328" s="415">
        <v>0</v>
      </c>
      <c r="BO328" s="353">
        <v>0</v>
      </c>
      <c r="BP328" s="415">
        <v>0</v>
      </c>
      <c r="BQ328" s="353">
        <v>0</v>
      </c>
      <c r="BR328" s="415">
        <v>0</v>
      </c>
      <c r="BS328" s="353">
        <v>0</v>
      </c>
      <c r="BT328" s="415">
        <v>0</v>
      </c>
      <c r="BU328" s="353">
        <v>0</v>
      </c>
      <c r="BV328" s="415">
        <v>0</v>
      </c>
      <c r="BW328" s="353">
        <v>0</v>
      </c>
      <c r="BY328" s="80"/>
      <c r="BZ328" s="65"/>
      <c r="CA328" s="40" t="s">
        <v>3</v>
      </c>
      <c r="CB328" s="65"/>
      <c r="CC328" s="40">
        <v>-30.241322314049583</v>
      </c>
      <c r="CD328" s="40">
        <v>-87.841322314049592</v>
      </c>
      <c r="CE328" s="40">
        <v>-87.841322314049592</v>
      </c>
      <c r="CF328" s="65"/>
      <c r="CG328" s="40">
        <v>-13.441322314049586</v>
      </c>
      <c r="CH328" s="40">
        <v>-13.441322314049586</v>
      </c>
      <c r="CI328" s="40">
        <v>-13.441322314049586</v>
      </c>
      <c r="CJ328" s="40">
        <v>-15.841322314049592</v>
      </c>
      <c r="CK328" s="40">
        <v>-15.841322314049592</v>
      </c>
    </row>
    <row r="329" spans="1:89" s="2" customFormat="1">
      <c r="A329" s="196" t="s">
        <v>1094</v>
      </c>
      <c r="B329" s="211" t="s">
        <v>55</v>
      </c>
      <c r="C329" s="211" t="s">
        <v>525</v>
      </c>
      <c r="D329" s="41">
        <v>100</v>
      </c>
      <c r="E329" s="41">
        <v>0</v>
      </c>
      <c r="F329" s="22" t="s">
        <v>1084</v>
      </c>
      <c r="G329" s="40">
        <v>24</v>
      </c>
      <c r="H329" s="388">
        <v>104.95867768595042</v>
      </c>
      <c r="I329" s="321"/>
      <c r="J329" s="40" t="s">
        <v>3</v>
      </c>
      <c r="K329" s="36" t="s">
        <v>3</v>
      </c>
      <c r="L329" s="37"/>
      <c r="M329" s="35">
        <v>0</v>
      </c>
      <c r="N329" s="136">
        <v>3.4000000000000004</v>
      </c>
      <c r="O329" s="35">
        <v>0</v>
      </c>
      <c r="P329" s="136">
        <v>0.5</v>
      </c>
      <c r="Q329" s="37">
        <v>0</v>
      </c>
      <c r="R329" s="136">
        <v>0.30000000000000004</v>
      </c>
      <c r="S329" s="37"/>
      <c r="T329" s="35">
        <v>0</v>
      </c>
      <c r="U329" s="136">
        <v>3.8000000000000003</v>
      </c>
      <c r="V329" s="35">
        <v>0</v>
      </c>
      <c r="W329" s="136">
        <v>3.8000000000000003</v>
      </c>
      <c r="X329" s="35">
        <v>0</v>
      </c>
      <c r="Y329" s="149">
        <v>3.8000000000000003</v>
      </c>
      <c r="Z329" s="35">
        <v>0</v>
      </c>
      <c r="AA329" s="136">
        <v>3.7</v>
      </c>
      <c r="AB329" s="37">
        <v>0</v>
      </c>
      <c r="AC329" s="136">
        <v>3.7</v>
      </c>
      <c r="AD329" s="37"/>
      <c r="AE329" s="40">
        <v>-5</v>
      </c>
      <c r="AF329" s="65"/>
      <c r="AG329" s="35">
        <v>0</v>
      </c>
      <c r="AH329" s="36">
        <v>0</v>
      </c>
      <c r="AI329" s="37"/>
      <c r="AJ329" s="35">
        <v>18</v>
      </c>
      <c r="AK329" s="36">
        <v>81.600000000000009</v>
      </c>
      <c r="AL329" s="35">
        <v>88</v>
      </c>
      <c r="AM329" s="36">
        <v>12</v>
      </c>
      <c r="AN329" s="35">
        <v>93</v>
      </c>
      <c r="AO329" s="36">
        <v>7.2000000000000011</v>
      </c>
      <c r="AP329" s="37"/>
      <c r="AQ329" s="35">
        <v>9</v>
      </c>
      <c r="AR329" s="36">
        <v>91.2</v>
      </c>
      <c r="AS329" s="35">
        <v>9</v>
      </c>
      <c r="AT329" s="36">
        <v>91.2</v>
      </c>
      <c r="AU329" s="35">
        <v>9</v>
      </c>
      <c r="AV329" s="36">
        <v>91.2</v>
      </c>
      <c r="AW329" s="35">
        <v>11</v>
      </c>
      <c r="AX329" s="36">
        <v>88.800000000000011</v>
      </c>
      <c r="AY329" s="35">
        <v>11</v>
      </c>
      <c r="AZ329" s="36">
        <v>88.800000000000011</v>
      </c>
      <c r="BB329" s="40">
        <v>0</v>
      </c>
      <c r="BC329" s="65"/>
      <c r="BD329" s="35">
        <v>0</v>
      </c>
      <c r="BE329" s="36">
        <v>0</v>
      </c>
      <c r="BF329" s="37"/>
      <c r="BG329" s="415">
        <v>0</v>
      </c>
      <c r="BH329" s="353">
        <v>0</v>
      </c>
      <c r="BI329" s="415">
        <v>0</v>
      </c>
      <c r="BJ329" s="353">
        <v>0</v>
      </c>
      <c r="BK329" s="415">
        <v>0</v>
      </c>
      <c r="BL329" s="353">
        <v>0</v>
      </c>
      <c r="BM329" s="416"/>
      <c r="BN329" s="415">
        <v>0</v>
      </c>
      <c r="BO329" s="353">
        <v>0</v>
      </c>
      <c r="BP329" s="415">
        <v>0</v>
      </c>
      <c r="BQ329" s="353">
        <v>0</v>
      </c>
      <c r="BR329" s="415">
        <v>0</v>
      </c>
      <c r="BS329" s="353">
        <v>0</v>
      </c>
      <c r="BT329" s="415">
        <v>0</v>
      </c>
      <c r="BU329" s="353">
        <v>0</v>
      </c>
      <c r="BV329" s="415">
        <v>0</v>
      </c>
      <c r="BW329" s="353">
        <v>0</v>
      </c>
      <c r="BY329" s="80"/>
      <c r="BZ329" s="65"/>
      <c r="CA329" s="40" t="s">
        <v>3</v>
      </c>
      <c r="CB329" s="65"/>
      <c r="CC329" s="40">
        <v>-23.358677685950411</v>
      </c>
      <c r="CD329" s="40">
        <v>-92.95867768595042</v>
      </c>
      <c r="CE329" s="40">
        <v>-97.758677685950417</v>
      </c>
      <c r="CF329" s="65"/>
      <c r="CG329" s="40">
        <v>-13.758677685950417</v>
      </c>
      <c r="CH329" s="40">
        <v>-13.758677685950417</v>
      </c>
      <c r="CI329" s="40">
        <v>-13.758677685950417</v>
      </c>
      <c r="CJ329" s="40">
        <v>-16.158677685950408</v>
      </c>
      <c r="CK329" s="40">
        <v>-16.158677685950408</v>
      </c>
    </row>
    <row r="330" spans="1:89" s="2" customFormat="1">
      <c r="A330" s="196" t="s">
        <v>1102</v>
      </c>
      <c r="B330" s="211" t="s">
        <v>55</v>
      </c>
      <c r="C330" s="211" t="s">
        <v>564</v>
      </c>
      <c r="D330" s="41">
        <v>59</v>
      </c>
      <c r="E330" s="41">
        <v>0</v>
      </c>
      <c r="F330" s="22" t="s">
        <v>1101</v>
      </c>
      <c r="G330" s="40">
        <v>24</v>
      </c>
      <c r="H330" s="388">
        <v>58.677685950413228</v>
      </c>
      <c r="I330" s="321"/>
      <c r="J330" s="40" t="s">
        <v>3</v>
      </c>
      <c r="K330" s="36" t="s">
        <v>3</v>
      </c>
      <c r="L330" s="37"/>
      <c r="M330" s="35">
        <v>0</v>
      </c>
      <c r="N330" s="136">
        <v>1.5</v>
      </c>
      <c r="O330" s="35">
        <v>0</v>
      </c>
      <c r="P330" s="136">
        <v>1.5</v>
      </c>
      <c r="Q330" s="37">
        <v>0</v>
      </c>
      <c r="R330" s="136">
        <v>1.5</v>
      </c>
      <c r="S330" s="37"/>
      <c r="T330" s="35">
        <v>0</v>
      </c>
      <c r="U330" s="136">
        <v>0.9</v>
      </c>
      <c r="V330" s="35">
        <v>0</v>
      </c>
      <c r="W330" s="136">
        <v>0.9</v>
      </c>
      <c r="X330" s="35">
        <v>0</v>
      </c>
      <c r="Y330" s="149">
        <v>0.9</v>
      </c>
      <c r="Z330" s="35">
        <v>0</v>
      </c>
      <c r="AA330" s="136">
        <v>0.8</v>
      </c>
      <c r="AB330" s="37">
        <v>0</v>
      </c>
      <c r="AC330" s="136">
        <v>0.8</v>
      </c>
      <c r="AD330" s="37"/>
      <c r="AE330" s="40">
        <v>0</v>
      </c>
      <c r="AF330" s="65"/>
      <c r="AG330" s="35">
        <v>0</v>
      </c>
      <c r="AH330" s="36">
        <v>0</v>
      </c>
      <c r="AI330" s="37"/>
      <c r="AJ330" s="35">
        <v>23</v>
      </c>
      <c r="AK330" s="36">
        <v>36</v>
      </c>
      <c r="AL330" s="35">
        <v>23</v>
      </c>
      <c r="AM330" s="36">
        <v>36</v>
      </c>
      <c r="AN330" s="37">
        <v>23</v>
      </c>
      <c r="AO330" s="36">
        <v>36</v>
      </c>
      <c r="AP330" s="37"/>
      <c r="AQ330" s="35">
        <v>37</v>
      </c>
      <c r="AR330" s="36">
        <v>21.6</v>
      </c>
      <c r="AS330" s="35">
        <v>37</v>
      </c>
      <c r="AT330" s="36">
        <v>21.6</v>
      </c>
      <c r="AU330" s="37">
        <v>37</v>
      </c>
      <c r="AV330" s="36">
        <v>21.6</v>
      </c>
      <c r="AW330" s="37">
        <v>40</v>
      </c>
      <c r="AX330" s="36">
        <v>19.200000000000003</v>
      </c>
      <c r="AY330" s="37">
        <v>40</v>
      </c>
      <c r="AZ330" s="36">
        <v>19.200000000000003</v>
      </c>
      <c r="BB330" s="40">
        <v>0</v>
      </c>
      <c r="BC330" s="65"/>
      <c r="BD330" s="35">
        <v>0</v>
      </c>
      <c r="BE330" s="36">
        <v>0</v>
      </c>
      <c r="BF330" s="37"/>
      <c r="BG330" s="415">
        <v>0</v>
      </c>
      <c r="BH330" s="353">
        <v>0</v>
      </c>
      <c r="BI330" s="415">
        <v>0</v>
      </c>
      <c r="BJ330" s="353">
        <v>0</v>
      </c>
      <c r="BK330" s="415">
        <v>0</v>
      </c>
      <c r="BL330" s="353">
        <v>0</v>
      </c>
      <c r="BM330" s="416"/>
      <c r="BN330" s="415">
        <v>0</v>
      </c>
      <c r="BO330" s="353">
        <v>0</v>
      </c>
      <c r="BP330" s="415">
        <v>0</v>
      </c>
      <c r="BQ330" s="353">
        <v>0</v>
      </c>
      <c r="BR330" s="415">
        <v>0</v>
      </c>
      <c r="BS330" s="353">
        <v>0</v>
      </c>
      <c r="BT330" s="415">
        <v>0</v>
      </c>
      <c r="BU330" s="353">
        <v>0</v>
      </c>
      <c r="BV330" s="415">
        <v>0</v>
      </c>
      <c r="BW330" s="353">
        <v>0</v>
      </c>
      <c r="BY330" s="80"/>
      <c r="BZ330" s="65"/>
      <c r="CA330" s="40" t="s">
        <v>3</v>
      </c>
      <c r="CB330" s="65"/>
      <c r="CC330" s="40">
        <v>-22.677685950413228</v>
      </c>
      <c r="CD330" s="40">
        <v>-22.677685950413228</v>
      </c>
      <c r="CE330" s="40">
        <v>-22.677685950413228</v>
      </c>
      <c r="CF330" s="65"/>
      <c r="CG330" s="40">
        <v>-37.077685950413226</v>
      </c>
      <c r="CH330" s="40">
        <v>-37.077685950413226</v>
      </c>
      <c r="CI330" s="40">
        <v>-37.077685950413226</v>
      </c>
      <c r="CJ330" s="40">
        <v>-39.477685950413225</v>
      </c>
      <c r="CK330" s="40">
        <v>-39.477685950413225</v>
      </c>
    </row>
    <row r="331" spans="1:89" s="2" customFormat="1">
      <c r="A331" s="196" t="s">
        <v>1119</v>
      </c>
      <c r="B331" s="211" t="s">
        <v>664</v>
      </c>
      <c r="C331" s="211" t="s">
        <v>518</v>
      </c>
      <c r="D331" s="41">
        <v>109</v>
      </c>
      <c r="E331" s="41">
        <v>0</v>
      </c>
      <c r="F331" s="41" t="s">
        <v>1105</v>
      </c>
      <c r="G331" s="413">
        <v>24</v>
      </c>
      <c r="H331" s="414">
        <v>65.289256198347104</v>
      </c>
      <c r="I331" s="321"/>
      <c r="J331" s="40" t="s">
        <v>3</v>
      </c>
      <c r="K331" s="36" t="s">
        <v>3</v>
      </c>
      <c r="L331" s="37"/>
      <c r="M331" s="35">
        <v>0</v>
      </c>
      <c r="N331" s="136">
        <v>1.7000000000000002</v>
      </c>
      <c r="O331" s="35">
        <v>0</v>
      </c>
      <c r="P331" s="136">
        <v>1.7000000000000002</v>
      </c>
      <c r="Q331" s="37">
        <v>0</v>
      </c>
      <c r="R331" s="136">
        <v>1.7000000000000002</v>
      </c>
      <c r="S331" s="37"/>
      <c r="T331" s="35">
        <v>0</v>
      </c>
      <c r="U331" s="136">
        <v>0.5</v>
      </c>
      <c r="V331" s="35">
        <v>0</v>
      </c>
      <c r="W331" s="136">
        <v>0.5</v>
      </c>
      <c r="X331" s="35">
        <v>0</v>
      </c>
      <c r="Y331" s="149">
        <v>0.5</v>
      </c>
      <c r="Z331" s="35">
        <v>0</v>
      </c>
      <c r="AA331" s="136">
        <v>0.4</v>
      </c>
      <c r="AB331" s="37">
        <v>0</v>
      </c>
      <c r="AC331" s="136">
        <v>0.4</v>
      </c>
      <c r="AD331" s="37"/>
      <c r="AE331" s="40">
        <v>44</v>
      </c>
      <c r="AF331" s="65"/>
      <c r="AG331" s="35">
        <v>0</v>
      </c>
      <c r="AH331" s="36">
        <v>0</v>
      </c>
      <c r="AI331" s="37"/>
      <c r="AJ331" s="35">
        <v>68</v>
      </c>
      <c r="AK331" s="36">
        <v>40.800000000000004</v>
      </c>
      <c r="AL331" s="35">
        <v>68</v>
      </c>
      <c r="AM331" s="36">
        <v>40.800000000000004</v>
      </c>
      <c r="AN331" s="35">
        <v>68</v>
      </c>
      <c r="AO331" s="36">
        <v>40.800000000000004</v>
      </c>
      <c r="AP331" s="37"/>
      <c r="AQ331" s="35">
        <v>97</v>
      </c>
      <c r="AR331" s="36">
        <v>12</v>
      </c>
      <c r="AS331" s="35">
        <v>97</v>
      </c>
      <c r="AT331" s="36">
        <v>12</v>
      </c>
      <c r="AU331" s="35">
        <v>97</v>
      </c>
      <c r="AV331" s="36">
        <v>12</v>
      </c>
      <c r="AW331" s="35">
        <v>99</v>
      </c>
      <c r="AX331" s="36">
        <v>9.6000000000000014</v>
      </c>
      <c r="AY331" s="35">
        <v>99</v>
      </c>
      <c r="AZ331" s="36">
        <v>9.6000000000000014</v>
      </c>
      <c r="BB331" s="40">
        <v>0</v>
      </c>
      <c r="BC331" s="65"/>
      <c r="BD331" s="35">
        <v>0</v>
      </c>
      <c r="BE331" s="36">
        <v>0</v>
      </c>
      <c r="BF331" s="37"/>
      <c r="BG331" s="415">
        <v>0</v>
      </c>
      <c r="BH331" s="353">
        <v>0</v>
      </c>
      <c r="BI331" s="415">
        <v>0</v>
      </c>
      <c r="BJ331" s="353">
        <v>0</v>
      </c>
      <c r="BK331" s="415">
        <v>0</v>
      </c>
      <c r="BL331" s="353">
        <v>0</v>
      </c>
      <c r="BM331" s="416"/>
      <c r="BN331" s="415">
        <v>0</v>
      </c>
      <c r="BO331" s="353">
        <v>0</v>
      </c>
      <c r="BP331" s="415">
        <v>0</v>
      </c>
      <c r="BQ331" s="353">
        <v>0</v>
      </c>
      <c r="BR331" s="415">
        <v>0</v>
      </c>
      <c r="BS331" s="353">
        <v>0</v>
      </c>
      <c r="BT331" s="415">
        <v>0</v>
      </c>
      <c r="BU331" s="353">
        <v>0</v>
      </c>
      <c r="BV331" s="415">
        <v>0</v>
      </c>
      <c r="BW331" s="353">
        <v>0</v>
      </c>
      <c r="BY331" s="80"/>
      <c r="BZ331" s="65"/>
      <c r="CA331" s="40" t="s">
        <v>3</v>
      </c>
      <c r="CB331" s="65"/>
      <c r="CC331" s="40">
        <v>-24.4892561983471</v>
      </c>
      <c r="CD331" s="40">
        <v>-24.4892561983471</v>
      </c>
      <c r="CE331" s="40">
        <v>-24.4892561983471</v>
      </c>
      <c r="CF331" s="65"/>
      <c r="CG331" s="40">
        <v>-53.289256198347104</v>
      </c>
      <c r="CH331" s="40">
        <v>-53.289256198347104</v>
      </c>
      <c r="CI331" s="40">
        <v>-53.289256198347104</v>
      </c>
      <c r="CJ331" s="40">
        <v>-55.689256198347103</v>
      </c>
      <c r="CK331" s="40">
        <v>-55.689256198347103</v>
      </c>
    </row>
    <row r="332" spans="1:89" s="2" customFormat="1">
      <c r="A332" s="196" t="s">
        <v>1120</v>
      </c>
      <c r="B332" s="211" t="s">
        <v>664</v>
      </c>
      <c r="C332" s="211" t="s">
        <v>574</v>
      </c>
      <c r="D332" s="41">
        <v>116</v>
      </c>
      <c r="E332" s="41">
        <v>0</v>
      </c>
      <c r="F332" s="22" t="s">
        <v>1105</v>
      </c>
      <c r="G332" s="40">
        <v>24</v>
      </c>
      <c r="H332" s="388">
        <v>95.041322314049594</v>
      </c>
      <c r="I332" s="321"/>
      <c r="J332" s="40" t="s">
        <v>3</v>
      </c>
      <c r="K332" s="36" t="s">
        <v>3</v>
      </c>
      <c r="L332" s="37"/>
      <c r="M332" s="35">
        <v>0</v>
      </c>
      <c r="N332" s="136">
        <v>3.4000000000000004</v>
      </c>
      <c r="O332" s="35">
        <v>0</v>
      </c>
      <c r="P332" s="136">
        <v>0.5</v>
      </c>
      <c r="Q332" s="37">
        <v>0</v>
      </c>
      <c r="R332" s="136">
        <v>0.30000000000000004</v>
      </c>
      <c r="S332" s="37"/>
      <c r="T332" s="35">
        <v>0</v>
      </c>
      <c r="U332" s="136">
        <v>0.9</v>
      </c>
      <c r="V332" s="35">
        <v>0</v>
      </c>
      <c r="W332" s="136">
        <v>0.9</v>
      </c>
      <c r="X332" s="35">
        <v>0</v>
      </c>
      <c r="Y332" s="149">
        <v>0.9</v>
      </c>
      <c r="Z332" s="35">
        <v>0</v>
      </c>
      <c r="AA332" s="136">
        <v>0.8</v>
      </c>
      <c r="AB332" s="37">
        <v>0</v>
      </c>
      <c r="AC332" s="136">
        <v>0.8</v>
      </c>
      <c r="AD332" s="37"/>
      <c r="AE332" s="40">
        <v>21</v>
      </c>
      <c r="AF332" s="65"/>
      <c r="AG332" s="35">
        <v>0</v>
      </c>
      <c r="AH332" s="36">
        <v>0</v>
      </c>
      <c r="AI332" s="37"/>
      <c r="AJ332" s="35">
        <v>34</v>
      </c>
      <c r="AK332" s="36">
        <v>81.600000000000009</v>
      </c>
      <c r="AL332" s="35">
        <v>104</v>
      </c>
      <c r="AM332" s="36">
        <v>12</v>
      </c>
      <c r="AN332" s="37">
        <v>109</v>
      </c>
      <c r="AO332" s="36">
        <v>7.2000000000000011</v>
      </c>
      <c r="AP332" s="37"/>
      <c r="AQ332" s="35">
        <v>94</v>
      </c>
      <c r="AR332" s="36">
        <v>21.6</v>
      </c>
      <c r="AS332" s="35">
        <v>94</v>
      </c>
      <c r="AT332" s="36">
        <v>21.6</v>
      </c>
      <c r="AU332" s="37">
        <v>94</v>
      </c>
      <c r="AV332" s="36">
        <v>21.6</v>
      </c>
      <c r="AW332" s="37">
        <v>97</v>
      </c>
      <c r="AX332" s="36">
        <v>19.200000000000003</v>
      </c>
      <c r="AY332" s="37">
        <v>97</v>
      </c>
      <c r="AZ332" s="36">
        <v>19.200000000000003</v>
      </c>
      <c r="BB332" s="40">
        <v>0</v>
      </c>
      <c r="BC332" s="65"/>
      <c r="BD332" s="35">
        <v>0</v>
      </c>
      <c r="BE332" s="36">
        <v>0</v>
      </c>
      <c r="BF332" s="37"/>
      <c r="BG332" s="415">
        <v>0</v>
      </c>
      <c r="BH332" s="353">
        <v>0</v>
      </c>
      <c r="BI332" s="415">
        <v>0</v>
      </c>
      <c r="BJ332" s="353">
        <v>0</v>
      </c>
      <c r="BK332" s="415">
        <v>0</v>
      </c>
      <c r="BL332" s="353">
        <v>0</v>
      </c>
      <c r="BM332" s="416"/>
      <c r="BN332" s="415">
        <v>0</v>
      </c>
      <c r="BO332" s="353">
        <v>0</v>
      </c>
      <c r="BP332" s="415">
        <v>0</v>
      </c>
      <c r="BQ332" s="353">
        <v>0</v>
      </c>
      <c r="BR332" s="415">
        <v>0</v>
      </c>
      <c r="BS332" s="353">
        <v>0</v>
      </c>
      <c r="BT332" s="415">
        <v>0</v>
      </c>
      <c r="BU332" s="353">
        <v>-0.40000000000000013</v>
      </c>
      <c r="BV332" s="415">
        <v>0</v>
      </c>
      <c r="BW332" s="353">
        <v>-0.40000000000000013</v>
      </c>
      <c r="BY332" s="80"/>
      <c r="BZ332" s="65"/>
      <c r="CA332" s="40" t="s">
        <v>3</v>
      </c>
      <c r="CB332" s="65"/>
      <c r="CC332" s="40">
        <v>-13.441322314049586</v>
      </c>
      <c r="CD332" s="40">
        <v>-83.041322314049594</v>
      </c>
      <c r="CE332" s="40">
        <v>-87.841322314049592</v>
      </c>
      <c r="CF332" s="65"/>
      <c r="CG332" s="40">
        <v>-73.441322314049586</v>
      </c>
      <c r="CH332" s="40">
        <v>-73.441322314049586</v>
      </c>
      <c r="CI332" s="40">
        <v>-73.441322314049586</v>
      </c>
      <c r="CJ332" s="40">
        <v>-75.841322314049592</v>
      </c>
      <c r="CK332" s="40">
        <v>-75.841322314049592</v>
      </c>
    </row>
    <row r="333" spans="1:89" s="2" customFormat="1">
      <c r="A333" s="196" t="s">
        <v>1074</v>
      </c>
      <c r="B333" s="211" t="s">
        <v>671</v>
      </c>
      <c r="C333" s="211" t="s">
        <v>638</v>
      </c>
      <c r="D333" s="41">
        <v>538</v>
      </c>
      <c r="E333" s="41">
        <v>0</v>
      </c>
      <c r="F333" s="22" t="s">
        <v>1075</v>
      </c>
      <c r="G333" s="40">
        <v>24</v>
      </c>
      <c r="H333" s="388">
        <v>533.05785123966939</v>
      </c>
      <c r="I333" s="321"/>
      <c r="J333" s="40" t="s">
        <v>3</v>
      </c>
      <c r="K333" s="36" t="s">
        <v>3</v>
      </c>
      <c r="L333" s="37"/>
      <c r="M333" s="35">
        <v>219</v>
      </c>
      <c r="N333" s="136">
        <v>9.1</v>
      </c>
      <c r="O333" s="35">
        <v>139</v>
      </c>
      <c r="P333" s="136">
        <v>9.8000000000000007</v>
      </c>
      <c r="Q333" s="37">
        <v>139</v>
      </c>
      <c r="R333" s="136">
        <v>8.9</v>
      </c>
      <c r="S333" s="37"/>
      <c r="T333" s="35">
        <v>0</v>
      </c>
      <c r="U333" s="136">
        <v>18.2</v>
      </c>
      <c r="V333" s="35">
        <v>0</v>
      </c>
      <c r="W333" s="136">
        <v>15.5</v>
      </c>
      <c r="X333" s="35">
        <v>0</v>
      </c>
      <c r="Y333" s="149">
        <v>15.5</v>
      </c>
      <c r="Z333" s="35">
        <v>0</v>
      </c>
      <c r="AA333" s="136">
        <v>15.5</v>
      </c>
      <c r="AB333" s="37">
        <v>0</v>
      </c>
      <c r="AC333" s="136">
        <v>15.5</v>
      </c>
      <c r="AD333" s="37"/>
      <c r="AE333" s="40">
        <v>5</v>
      </c>
      <c r="AF333" s="65"/>
      <c r="AG333" s="35">
        <v>0</v>
      </c>
      <c r="AH333" s="36">
        <v>0</v>
      </c>
      <c r="AI333" s="37"/>
      <c r="AJ333" s="35">
        <v>101</v>
      </c>
      <c r="AK333" s="36">
        <v>218.39999999999998</v>
      </c>
      <c r="AL333" s="35">
        <v>164</v>
      </c>
      <c r="AM333" s="36">
        <v>235.20000000000002</v>
      </c>
      <c r="AN333" s="35">
        <v>185</v>
      </c>
      <c r="AO333" s="36">
        <v>213.60000000000002</v>
      </c>
      <c r="AP333" s="37"/>
      <c r="AQ333" s="35">
        <v>101</v>
      </c>
      <c r="AR333" s="36">
        <v>436.79999999999995</v>
      </c>
      <c r="AS333" s="35">
        <v>166</v>
      </c>
      <c r="AT333" s="36">
        <v>372</v>
      </c>
      <c r="AU333" s="35">
        <v>166</v>
      </c>
      <c r="AV333" s="36">
        <v>372</v>
      </c>
      <c r="AW333" s="35">
        <v>166</v>
      </c>
      <c r="AX333" s="36">
        <v>372</v>
      </c>
      <c r="AY333" s="35">
        <v>166</v>
      </c>
      <c r="AZ333" s="36">
        <v>372</v>
      </c>
      <c r="BB333" s="40">
        <v>0</v>
      </c>
      <c r="BC333" s="65"/>
      <c r="BD333" s="35">
        <v>0</v>
      </c>
      <c r="BE333" s="36">
        <v>0</v>
      </c>
      <c r="BF333" s="37"/>
      <c r="BG333" s="415">
        <v>0</v>
      </c>
      <c r="BH333" s="353">
        <v>0</v>
      </c>
      <c r="BI333" s="415">
        <v>0</v>
      </c>
      <c r="BJ333" s="353">
        <v>0</v>
      </c>
      <c r="BK333" s="415">
        <v>0</v>
      </c>
      <c r="BL333" s="353">
        <v>0</v>
      </c>
      <c r="BM333" s="416"/>
      <c r="BN333" s="415">
        <v>0</v>
      </c>
      <c r="BO333" s="353">
        <v>0</v>
      </c>
      <c r="BP333" s="415">
        <v>0</v>
      </c>
      <c r="BQ333" s="353">
        <v>0</v>
      </c>
      <c r="BR333" s="415">
        <v>0</v>
      </c>
      <c r="BS333" s="353">
        <v>0</v>
      </c>
      <c r="BT333" s="415">
        <v>0</v>
      </c>
      <c r="BU333" s="353">
        <v>0</v>
      </c>
      <c r="BV333" s="415">
        <v>0</v>
      </c>
      <c r="BW333" s="353">
        <v>0</v>
      </c>
      <c r="BY333" s="80"/>
      <c r="BZ333" s="65"/>
      <c r="CA333" s="40" t="s">
        <v>3</v>
      </c>
      <c r="CB333" s="65"/>
      <c r="CC333" s="40">
        <v>-95.657851239669412</v>
      </c>
      <c r="CD333" s="40">
        <v>-158.85785123966934</v>
      </c>
      <c r="CE333" s="40">
        <v>-180.45785123966937</v>
      </c>
      <c r="CF333" s="65"/>
      <c r="CG333" s="40">
        <v>-96.257851239669435</v>
      </c>
      <c r="CH333" s="40">
        <v>-161.05785123966939</v>
      </c>
      <c r="CI333" s="40">
        <v>-161.05785123966939</v>
      </c>
      <c r="CJ333" s="40">
        <v>-161.05785123966939</v>
      </c>
      <c r="CK333" s="40">
        <v>-161.05785123966939</v>
      </c>
    </row>
    <row r="334" spans="1:89" s="2" customFormat="1">
      <c r="A334" s="196" t="s">
        <v>1076</v>
      </c>
      <c r="B334" s="211" t="s">
        <v>671</v>
      </c>
      <c r="C334" s="211" t="s">
        <v>638</v>
      </c>
      <c r="D334" s="41">
        <v>538</v>
      </c>
      <c r="E334" s="41">
        <v>0</v>
      </c>
      <c r="F334" s="41" t="s">
        <v>1075</v>
      </c>
      <c r="G334" s="413">
        <v>30</v>
      </c>
      <c r="H334" s="414">
        <v>533.05785123966939</v>
      </c>
      <c r="I334" s="321"/>
      <c r="J334" s="40" t="s">
        <v>3</v>
      </c>
      <c r="K334" s="36" t="s">
        <v>3</v>
      </c>
      <c r="L334" s="37"/>
      <c r="M334" s="35">
        <v>219</v>
      </c>
      <c r="N334" s="136">
        <v>7.3000000000000007</v>
      </c>
      <c r="O334" s="35">
        <v>139</v>
      </c>
      <c r="P334" s="136">
        <v>7.9</v>
      </c>
      <c r="Q334" s="37">
        <v>139</v>
      </c>
      <c r="R334" s="136">
        <v>7.2</v>
      </c>
      <c r="S334" s="37"/>
      <c r="T334" s="35">
        <v>0</v>
      </c>
      <c r="U334" s="136">
        <v>14.600000000000001</v>
      </c>
      <c r="V334" s="35">
        <v>0</v>
      </c>
      <c r="W334" s="136">
        <v>12.4</v>
      </c>
      <c r="X334" s="35">
        <v>0</v>
      </c>
      <c r="Y334" s="149">
        <v>12.4</v>
      </c>
      <c r="Z334" s="35">
        <v>0</v>
      </c>
      <c r="AA334" s="136">
        <v>12.4</v>
      </c>
      <c r="AB334" s="37">
        <v>0</v>
      </c>
      <c r="AC334" s="136">
        <v>12.4</v>
      </c>
      <c r="AD334" s="37"/>
      <c r="AE334" s="40">
        <v>5</v>
      </c>
      <c r="AF334" s="65"/>
      <c r="AG334" s="35">
        <v>0</v>
      </c>
      <c r="AH334" s="36">
        <v>0</v>
      </c>
      <c r="AI334" s="37"/>
      <c r="AJ334" s="35">
        <v>100</v>
      </c>
      <c r="AK334" s="36">
        <v>219.00000000000003</v>
      </c>
      <c r="AL334" s="35">
        <v>162</v>
      </c>
      <c r="AM334" s="36">
        <v>237</v>
      </c>
      <c r="AN334" s="37">
        <v>183</v>
      </c>
      <c r="AO334" s="36">
        <v>216</v>
      </c>
      <c r="AP334" s="37"/>
      <c r="AQ334" s="35">
        <v>100</v>
      </c>
      <c r="AR334" s="36">
        <v>438.00000000000006</v>
      </c>
      <c r="AS334" s="35">
        <v>166</v>
      </c>
      <c r="AT334" s="36">
        <v>372</v>
      </c>
      <c r="AU334" s="37">
        <v>166</v>
      </c>
      <c r="AV334" s="36">
        <v>372</v>
      </c>
      <c r="AW334" s="37">
        <v>166</v>
      </c>
      <c r="AX334" s="36">
        <v>372</v>
      </c>
      <c r="AY334" s="37">
        <v>166</v>
      </c>
      <c r="AZ334" s="36">
        <v>372</v>
      </c>
      <c r="BB334" s="40">
        <v>0</v>
      </c>
      <c r="BC334" s="65"/>
      <c r="BD334" s="35">
        <v>0</v>
      </c>
      <c r="BE334" s="36">
        <v>0</v>
      </c>
      <c r="BF334" s="37"/>
      <c r="BG334" s="415">
        <v>0</v>
      </c>
      <c r="BH334" s="353">
        <v>0</v>
      </c>
      <c r="BI334" s="415">
        <v>0</v>
      </c>
      <c r="BJ334" s="353">
        <v>0</v>
      </c>
      <c r="BK334" s="415">
        <v>0</v>
      </c>
      <c r="BL334" s="353">
        <v>0</v>
      </c>
      <c r="BM334" s="416"/>
      <c r="BN334" s="415">
        <v>0</v>
      </c>
      <c r="BO334" s="353">
        <v>0</v>
      </c>
      <c r="BP334" s="415">
        <v>0</v>
      </c>
      <c r="BQ334" s="353">
        <v>0</v>
      </c>
      <c r="BR334" s="415">
        <v>0</v>
      </c>
      <c r="BS334" s="353">
        <v>0</v>
      </c>
      <c r="BT334" s="415">
        <v>0</v>
      </c>
      <c r="BU334" s="353">
        <v>0</v>
      </c>
      <c r="BV334" s="415">
        <v>0</v>
      </c>
      <c r="BW334" s="353">
        <v>0</v>
      </c>
      <c r="BY334" s="80"/>
      <c r="BZ334" s="65"/>
      <c r="CA334" s="40" t="s">
        <v>3</v>
      </c>
      <c r="CB334" s="65"/>
      <c r="CC334" s="40">
        <v>-95.05785123966939</v>
      </c>
      <c r="CD334" s="40">
        <v>-157.05785123966939</v>
      </c>
      <c r="CE334" s="40">
        <v>-178.05785123966939</v>
      </c>
      <c r="CF334" s="65"/>
      <c r="CG334" s="40">
        <v>-95.057851239669333</v>
      </c>
      <c r="CH334" s="40">
        <v>-161.05785123966939</v>
      </c>
      <c r="CI334" s="40">
        <v>-161.05785123966939</v>
      </c>
      <c r="CJ334" s="40">
        <v>-161.05785123966939</v>
      </c>
      <c r="CK334" s="40">
        <v>-161.05785123966939</v>
      </c>
    </row>
    <row r="335" spans="1:89" s="2" customFormat="1">
      <c r="A335" s="196" t="s">
        <v>1077</v>
      </c>
      <c r="B335" s="211" t="s">
        <v>671</v>
      </c>
      <c r="C335" s="211" t="s">
        <v>758</v>
      </c>
      <c r="D335" s="41">
        <v>589</v>
      </c>
      <c r="E335" s="41">
        <v>0</v>
      </c>
      <c r="F335" s="22" t="s">
        <v>1075</v>
      </c>
      <c r="G335" s="40">
        <v>24</v>
      </c>
      <c r="H335" s="388">
        <v>589.25619834710744</v>
      </c>
      <c r="I335" s="321"/>
      <c r="J335" s="40" t="s">
        <v>3</v>
      </c>
      <c r="K335" s="36" t="s">
        <v>3</v>
      </c>
      <c r="L335" s="37"/>
      <c r="M335" s="35">
        <v>249</v>
      </c>
      <c r="N335" s="136">
        <v>10.200000000000001</v>
      </c>
      <c r="O335" s="35">
        <v>149</v>
      </c>
      <c r="P335" s="136">
        <v>11.200000000000001</v>
      </c>
      <c r="Q335" s="37">
        <v>149</v>
      </c>
      <c r="R335" s="136">
        <v>10.4</v>
      </c>
      <c r="S335" s="37"/>
      <c r="T335" s="35">
        <v>0</v>
      </c>
      <c r="U335" s="136">
        <v>20.700000000000003</v>
      </c>
      <c r="V335" s="35">
        <v>0</v>
      </c>
      <c r="W335" s="136">
        <v>17.5</v>
      </c>
      <c r="X335" s="35">
        <v>0</v>
      </c>
      <c r="Y335" s="149">
        <v>17.5</v>
      </c>
      <c r="Z335" s="35">
        <v>0</v>
      </c>
      <c r="AA335" s="136">
        <v>17.5</v>
      </c>
      <c r="AB335" s="37">
        <v>0</v>
      </c>
      <c r="AC335" s="136">
        <v>17.5</v>
      </c>
      <c r="AD335" s="37"/>
      <c r="AE335" s="40">
        <v>0</v>
      </c>
      <c r="AF335" s="65"/>
      <c r="AG335" s="35">
        <v>0</v>
      </c>
      <c r="AH335" s="36">
        <v>0</v>
      </c>
      <c r="AI335" s="37"/>
      <c r="AJ335" s="35">
        <v>95</v>
      </c>
      <c r="AK335" s="36">
        <v>244.8</v>
      </c>
      <c r="AL335" s="35">
        <v>171</v>
      </c>
      <c r="AM335" s="36">
        <v>268.8</v>
      </c>
      <c r="AN335" s="35">
        <v>190</v>
      </c>
      <c r="AO335" s="36">
        <v>249.60000000000002</v>
      </c>
      <c r="AP335" s="37"/>
      <c r="AQ335" s="35">
        <v>92</v>
      </c>
      <c r="AR335" s="36">
        <v>496.80000000000007</v>
      </c>
      <c r="AS335" s="35">
        <v>169</v>
      </c>
      <c r="AT335" s="36">
        <v>420</v>
      </c>
      <c r="AU335" s="35">
        <v>169</v>
      </c>
      <c r="AV335" s="36">
        <v>420</v>
      </c>
      <c r="AW335" s="35">
        <v>169</v>
      </c>
      <c r="AX335" s="36">
        <v>420</v>
      </c>
      <c r="AY335" s="35">
        <v>169</v>
      </c>
      <c r="AZ335" s="36">
        <v>420</v>
      </c>
      <c r="BB335" s="40">
        <v>0</v>
      </c>
      <c r="BC335" s="65"/>
      <c r="BD335" s="35">
        <v>0</v>
      </c>
      <c r="BE335" s="36">
        <v>0</v>
      </c>
      <c r="BF335" s="37"/>
      <c r="BG335" s="415">
        <v>0</v>
      </c>
      <c r="BH335" s="353">
        <v>0</v>
      </c>
      <c r="BI335" s="415">
        <v>0</v>
      </c>
      <c r="BJ335" s="353">
        <v>0</v>
      </c>
      <c r="BK335" s="415">
        <v>0</v>
      </c>
      <c r="BL335" s="353">
        <v>0</v>
      </c>
      <c r="BM335" s="416"/>
      <c r="BN335" s="415">
        <v>0</v>
      </c>
      <c r="BO335" s="353">
        <v>0</v>
      </c>
      <c r="BP335" s="415">
        <v>0</v>
      </c>
      <c r="BQ335" s="353">
        <v>0</v>
      </c>
      <c r="BR335" s="415">
        <v>0</v>
      </c>
      <c r="BS335" s="353">
        <v>0</v>
      </c>
      <c r="BT335" s="415">
        <v>0</v>
      </c>
      <c r="BU335" s="353">
        <v>0</v>
      </c>
      <c r="BV335" s="415">
        <v>0</v>
      </c>
      <c r="BW335" s="353">
        <v>0</v>
      </c>
      <c r="BY335" s="80"/>
      <c r="BZ335" s="65"/>
      <c r="CA335" s="40" t="s">
        <v>3</v>
      </c>
      <c r="CB335" s="65"/>
      <c r="CC335" s="40">
        <v>-95.456198347107431</v>
      </c>
      <c r="CD335" s="40">
        <v>-171.45619834710743</v>
      </c>
      <c r="CE335" s="40">
        <v>-190.65619834710742</v>
      </c>
      <c r="CF335" s="65"/>
      <c r="CG335" s="40">
        <v>-92.456198347107375</v>
      </c>
      <c r="CH335" s="40">
        <v>-169.25619834710744</v>
      </c>
      <c r="CI335" s="40">
        <v>-169.25619834710744</v>
      </c>
      <c r="CJ335" s="40">
        <v>-169.25619834710744</v>
      </c>
      <c r="CK335" s="40">
        <v>-169.25619834710744</v>
      </c>
    </row>
    <row r="336" spans="1:89" s="2" customFormat="1">
      <c r="A336" s="196" t="s">
        <v>1078</v>
      </c>
      <c r="B336" s="211" t="s">
        <v>671</v>
      </c>
      <c r="C336" s="211" t="s">
        <v>758</v>
      </c>
      <c r="D336" s="41">
        <v>589</v>
      </c>
      <c r="E336" s="41">
        <v>0</v>
      </c>
      <c r="F336" s="41" t="s">
        <v>1075</v>
      </c>
      <c r="G336" s="413">
        <v>30</v>
      </c>
      <c r="H336" s="414">
        <v>589.25619834710744</v>
      </c>
      <c r="I336" s="321"/>
      <c r="J336" s="40" t="s">
        <v>3</v>
      </c>
      <c r="K336" s="36" t="s">
        <v>3</v>
      </c>
      <c r="L336" s="37"/>
      <c r="M336" s="35">
        <v>249</v>
      </c>
      <c r="N336" s="136">
        <v>8.2000000000000011</v>
      </c>
      <c r="O336" s="35">
        <v>149</v>
      </c>
      <c r="P336" s="136">
        <v>9</v>
      </c>
      <c r="Q336" s="37">
        <v>149</v>
      </c>
      <c r="R336" s="136">
        <v>8.4</v>
      </c>
      <c r="S336" s="37"/>
      <c r="T336" s="35">
        <v>0</v>
      </c>
      <c r="U336" s="136">
        <v>16.600000000000001</v>
      </c>
      <c r="V336" s="35">
        <v>0</v>
      </c>
      <c r="W336" s="136">
        <v>14</v>
      </c>
      <c r="X336" s="35">
        <v>0</v>
      </c>
      <c r="Y336" s="149">
        <v>14</v>
      </c>
      <c r="Z336" s="35">
        <v>0</v>
      </c>
      <c r="AA336" s="136">
        <v>14</v>
      </c>
      <c r="AB336" s="37">
        <v>0</v>
      </c>
      <c r="AC336" s="136">
        <v>14</v>
      </c>
      <c r="AD336" s="37"/>
      <c r="AE336" s="40">
        <v>0</v>
      </c>
      <c r="AF336" s="65"/>
      <c r="AG336" s="35">
        <v>0</v>
      </c>
      <c r="AH336" s="36">
        <v>0</v>
      </c>
      <c r="AI336" s="37"/>
      <c r="AJ336" s="35">
        <v>94</v>
      </c>
      <c r="AK336" s="36">
        <v>246.00000000000003</v>
      </c>
      <c r="AL336" s="35">
        <v>170</v>
      </c>
      <c r="AM336" s="36">
        <v>270</v>
      </c>
      <c r="AN336" s="37">
        <v>188</v>
      </c>
      <c r="AO336" s="36">
        <v>252</v>
      </c>
      <c r="AP336" s="37"/>
      <c r="AQ336" s="35">
        <v>91</v>
      </c>
      <c r="AR336" s="36">
        <v>498.00000000000006</v>
      </c>
      <c r="AS336" s="35">
        <v>169</v>
      </c>
      <c r="AT336" s="36">
        <v>420</v>
      </c>
      <c r="AU336" s="37">
        <v>169</v>
      </c>
      <c r="AV336" s="36">
        <v>420</v>
      </c>
      <c r="AW336" s="37">
        <v>169</v>
      </c>
      <c r="AX336" s="36">
        <v>420</v>
      </c>
      <c r="AY336" s="37">
        <v>169</v>
      </c>
      <c r="AZ336" s="36">
        <v>420</v>
      </c>
      <c r="BB336" s="40">
        <v>0</v>
      </c>
      <c r="BC336" s="65"/>
      <c r="BD336" s="35">
        <v>0</v>
      </c>
      <c r="BE336" s="36">
        <v>0</v>
      </c>
      <c r="BF336" s="37"/>
      <c r="BG336" s="415">
        <v>0</v>
      </c>
      <c r="BH336" s="353">
        <v>0</v>
      </c>
      <c r="BI336" s="415">
        <v>0</v>
      </c>
      <c r="BJ336" s="353">
        <v>0</v>
      </c>
      <c r="BK336" s="415">
        <v>0</v>
      </c>
      <c r="BL336" s="353">
        <v>0</v>
      </c>
      <c r="BM336" s="416"/>
      <c r="BN336" s="415">
        <v>0</v>
      </c>
      <c r="BO336" s="353">
        <v>0</v>
      </c>
      <c r="BP336" s="415">
        <v>0</v>
      </c>
      <c r="BQ336" s="353">
        <v>0</v>
      </c>
      <c r="BR336" s="415">
        <v>0</v>
      </c>
      <c r="BS336" s="353">
        <v>0</v>
      </c>
      <c r="BT336" s="415">
        <v>0</v>
      </c>
      <c r="BU336" s="353">
        <v>0</v>
      </c>
      <c r="BV336" s="415">
        <v>0</v>
      </c>
      <c r="BW336" s="353">
        <v>0</v>
      </c>
      <c r="BY336" s="80"/>
      <c r="BZ336" s="65"/>
      <c r="CA336" s="40" t="s">
        <v>3</v>
      </c>
      <c r="CB336" s="65"/>
      <c r="CC336" s="40">
        <v>-94.256198347107443</v>
      </c>
      <c r="CD336" s="40">
        <v>-170.25619834710744</v>
      </c>
      <c r="CE336" s="40">
        <v>-188.25619834710744</v>
      </c>
      <c r="CF336" s="65"/>
      <c r="CG336" s="40">
        <v>-91.256198347107386</v>
      </c>
      <c r="CH336" s="40">
        <v>-169.25619834710744</v>
      </c>
      <c r="CI336" s="40">
        <v>-169.25619834710744</v>
      </c>
      <c r="CJ336" s="40">
        <v>-169.25619834710744</v>
      </c>
      <c r="CK336" s="40">
        <v>-169.25619834710744</v>
      </c>
    </row>
    <row r="337" spans="1:89" s="2" customFormat="1">
      <c r="A337" s="196" t="s">
        <v>1079</v>
      </c>
      <c r="B337" s="211" t="s">
        <v>671</v>
      </c>
      <c r="C337" s="211" t="s">
        <v>759</v>
      </c>
      <c r="D337" s="41">
        <v>434</v>
      </c>
      <c r="E337" s="41">
        <v>0</v>
      </c>
      <c r="F337" s="22" t="s">
        <v>1075</v>
      </c>
      <c r="G337" s="40">
        <v>24</v>
      </c>
      <c r="H337" s="388">
        <v>433.88429752066116</v>
      </c>
      <c r="I337" s="321"/>
      <c r="J337" s="40" t="s">
        <v>3</v>
      </c>
      <c r="K337" s="36" t="s">
        <v>3</v>
      </c>
      <c r="L337" s="37"/>
      <c r="M337" s="35">
        <v>139</v>
      </c>
      <c r="N337" s="136">
        <v>8.9</v>
      </c>
      <c r="O337" s="35">
        <v>19</v>
      </c>
      <c r="P337" s="136">
        <v>11.200000000000001</v>
      </c>
      <c r="Q337" s="37">
        <v>19</v>
      </c>
      <c r="R337" s="136">
        <v>10.4</v>
      </c>
      <c r="S337" s="37"/>
      <c r="T337" s="35">
        <v>0</v>
      </c>
      <c r="U337" s="136">
        <v>15.100000000000001</v>
      </c>
      <c r="V337" s="35">
        <v>0</v>
      </c>
      <c r="W337" s="136">
        <v>11.3</v>
      </c>
      <c r="X337" s="35">
        <v>0</v>
      </c>
      <c r="Y337" s="149">
        <v>11.3</v>
      </c>
      <c r="Z337" s="35">
        <v>0</v>
      </c>
      <c r="AA337" s="136">
        <v>11.3</v>
      </c>
      <c r="AB337" s="37">
        <v>0</v>
      </c>
      <c r="AC337" s="136">
        <v>11.3</v>
      </c>
      <c r="AD337" s="37"/>
      <c r="AE337" s="40">
        <v>0</v>
      </c>
      <c r="AF337" s="65"/>
      <c r="AG337" s="35">
        <v>0</v>
      </c>
      <c r="AH337" s="36">
        <v>0</v>
      </c>
      <c r="AI337" s="37"/>
      <c r="AJ337" s="35">
        <v>81</v>
      </c>
      <c r="AK337" s="36">
        <v>213.60000000000002</v>
      </c>
      <c r="AL337" s="35">
        <v>146</v>
      </c>
      <c r="AM337" s="36">
        <v>268.8</v>
      </c>
      <c r="AN337" s="35">
        <v>165</v>
      </c>
      <c r="AO337" s="36">
        <v>249.60000000000002</v>
      </c>
      <c r="AP337" s="37"/>
      <c r="AQ337" s="35">
        <v>72</v>
      </c>
      <c r="AR337" s="36">
        <v>362.40000000000003</v>
      </c>
      <c r="AS337" s="35">
        <v>163</v>
      </c>
      <c r="AT337" s="36">
        <v>271.20000000000005</v>
      </c>
      <c r="AU337" s="35">
        <v>163</v>
      </c>
      <c r="AV337" s="36">
        <v>271.20000000000005</v>
      </c>
      <c r="AW337" s="35">
        <v>163</v>
      </c>
      <c r="AX337" s="36">
        <v>271.20000000000005</v>
      </c>
      <c r="AY337" s="35">
        <v>163</v>
      </c>
      <c r="AZ337" s="36">
        <v>271.20000000000005</v>
      </c>
      <c r="BB337" s="40">
        <v>0</v>
      </c>
      <c r="BC337" s="65"/>
      <c r="BD337" s="35">
        <v>0</v>
      </c>
      <c r="BE337" s="36">
        <v>0</v>
      </c>
      <c r="BF337" s="37"/>
      <c r="BG337" s="415">
        <v>0</v>
      </c>
      <c r="BH337" s="353">
        <v>0</v>
      </c>
      <c r="BI337" s="415">
        <v>0</v>
      </c>
      <c r="BJ337" s="353">
        <v>0</v>
      </c>
      <c r="BK337" s="415">
        <v>0</v>
      </c>
      <c r="BL337" s="353">
        <v>0</v>
      </c>
      <c r="BM337" s="416"/>
      <c r="BN337" s="415">
        <v>0</v>
      </c>
      <c r="BO337" s="353">
        <v>0</v>
      </c>
      <c r="BP337" s="415">
        <v>0</v>
      </c>
      <c r="BQ337" s="353">
        <v>0</v>
      </c>
      <c r="BR337" s="415">
        <v>0</v>
      </c>
      <c r="BS337" s="353">
        <v>0</v>
      </c>
      <c r="BT337" s="415">
        <v>0</v>
      </c>
      <c r="BU337" s="353">
        <v>0</v>
      </c>
      <c r="BV337" s="415">
        <v>0</v>
      </c>
      <c r="BW337" s="353">
        <v>0</v>
      </c>
      <c r="BY337" s="80"/>
      <c r="BZ337" s="65"/>
      <c r="CA337" s="40" t="s">
        <v>3</v>
      </c>
      <c r="CB337" s="65"/>
      <c r="CC337" s="40">
        <v>-81.284297520661141</v>
      </c>
      <c r="CD337" s="40">
        <v>-146.08429752066115</v>
      </c>
      <c r="CE337" s="40">
        <v>-165.28429752066114</v>
      </c>
      <c r="CF337" s="65"/>
      <c r="CG337" s="40">
        <v>-71.48429752066113</v>
      </c>
      <c r="CH337" s="40">
        <v>-162.68429752066112</v>
      </c>
      <c r="CI337" s="40">
        <v>-162.68429752066112</v>
      </c>
      <c r="CJ337" s="40">
        <v>-162.68429752066112</v>
      </c>
      <c r="CK337" s="40">
        <v>-162.68429752066112</v>
      </c>
    </row>
    <row r="338" spans="1:89" s="2" customFormat="1">
      <c r="A338" s="196" t="s">
        <v>1080</v>
      </c>
      <c r="B338" s="211" t="s">
        <v>671</v>
      </c>
      <c r="C338" s="211" t="s">
        <v>759</v>
      </c>
      <c r="D338" s="41">
        <v>434</v>
      </c>
      <c r="E338" s="41">
        <v>0</v>
      </c>
      <c r="F338" s="41" t="s">
        <v>1075</v>
      </c>
      <c r="G338" s="413">
        <v>30</v>
      </c>
      <c r="H338" s="414">
        <v>433.88429752066116</v>
      </c>
      <c r="I338" s="321"/>
      <c r="J338" s="40" t="s">
        <v>3</v>
      </c>
      <c r="K338" s="36" t="s">
        <v>3</v>
      </c>
      <c r="L338" s="37"/>
      <c r="M338" s="35">
        <v>139</v>
      </c>
      <c r="N338" s="136">
        <v>7.2</v>
      </c>
      <c r="O338" s="35">
        <v>19</v>
      </c>
      <c r="P338" s="136">
        <v>9</v>
      </c>
      <c r="Q338" s="37">
        <v>19</v>
      </c>
      <c r="R338" s="136">
        <v>8.4</v>
      </c>
      <c r="S338" s="37"/>
      <c r="T338" s="35">
        <v>0</v>
      </c>
      <c r="U338" s="136">
        <v>12.100000000000001</v>
      </c>
      <c r="V338" s="35">
        <v>0</v>
      </c>
      <c r="W338" s="136">
        <v>9.1</v>
      </c>
      <c r="X338" s="35">
        <v>0</v>
      </c>
      <c r="Y338" s="149">
        <v>9.1</v>
      </c>
      <c r="Z338" s="35">
        <v>0</v>
      </c>
      <c r="AA338" s="136">
        <v>9</v>
      </c>
      <c r="AB338" s="37">
        <v>0</v>
      </c>
      <c r="AC338" s="136">
        <v>9</v>
      </c>
      <c r="AD338" s="37"/>
      <c r="AE338" s="40">
        <v>0</v>
      </c>
      <c r="AF338" s="65"/>
      <c r="AG338" s="35">
        <v>0</v>
      </c>
      <c r="AH338" s="36">
        <v>0</v>
      </c>
      <c r="AI338" s="37"/>
      <c r="AJ338" s="35">
        <v>79</v>
      </c>
      <c r="AK338" s="36">
        <v>216</v>
      </c>
      <c r="AL338" s="35">
        <v>145</v>
      </c>
      <c r="AM338" s="36">
        <v>270</v>
      </c>
      <c r="AN338" s="37">
        <v>163</v>
      </c>
      <c r="AO338" s="36">
        <v>252</v>
      </c>
      <c r="AP338" s="37"/>
      <c r="AQ338" s="35">
        <v>71</v>
      </c>
      <c r="AR338" s="36">
        <v>363.00000000000006</v>
      </c>
      <c r="AS338" s="35">
        <v>161</v>
      </c>
      <c r="AT338" s="36">
        <v>273</v>
      </c>
      <c r="AU338" s="37">
        <v>161</v>
      </c>
      <c r="AV338" s="36">
        <v>273</v>
      </c>
      <c r="AW338" s="37">
        <v>164</v>
      </c>
      <c r="AX338" s="36">
        <v>270</v>
      </c>
      <c r="AY338" s="37">
        <v>164</v>
      </c>
      <c r="AZ338" s="36">
        <v>270</v>
      </c>
      <c r="BB338" s="40">
        <v>0</v>
      </c>
      <c r="BC338" s="65"/>
      <c r="BD338" s="35">
        <v>0</v>
      </c>
      <c r="BE338" s="36">
        <v>0</v>
      </c>
      <c r="BF338" s="37"/>
      <c r="BG338" s="415">
        <v>0</v>
      </c>
      <c r="BH338" s="353">
        <v>0</v>
      </c>
      <c r="BI338" s="415">
        <v>0</v>
      </c>
      <c r="BJ338" s="353">
        <v>0</v>
      </c>
      <c r="BK338" s="415">
        <v>0</v>
      </c>
      <c r="BL338" s="353">
        <v>0</v>
      </c>
      <c r="BM338" s="416"/>
      <c r="BN338" s="415">
        <v>0</v>
      </c>
      <c r="BO338" s="353">
        <v>0</v>
      </c>
      <c r="BP338" s="415">
        <v>0</v>
      </c>
      <c r="BQ338" s="353">
        <v>0</v>
      </c>
      <c r="BR338" s="415">
        <v>0</v>
      </c>
      <c r="BS338" s="353">
        <v>0</v>
      </c>
      <c r="BT338" s="415">
        <v>0</v>
      </c>
      <c r="BU338" s="353">
        <v>0</v>
      </c>
      <c r="BV338" s="415">
        <v>0</v>
      </c>
      <c r="BW338" s="353">
        <v>0</v>
      </c>
      <c r="BY338" s="80"/>
      <c r="BZ338" s="65"/>
      <c r="CA338" s="40" t="s">
        <v>3</v>
      </c>
      <c r="CB338" s="65"/>
      <c r="CC338" s="40">
        <v>-78.884297520661164</v>
      </c>
      <c r="CD338" s="40">
        <v>-144.88429752066116</v>
      </c>
      <c r="CE338" s="40">
        <v>-162.88429752066116</v>
      </c>
      <c r="CF338" s="65"/>
      <c r="CG338" s="40">
        <v>-70.884297520661107</v>
      </c>
      <c r="CH338" s="40">
        <v>-160.88429752066116</v>
      </c>
      <c r="CI338" s="40">
        <v>-160.88429752066116</v>
      </c>
      <c r="CJ338" s="40">
        <v>-163.88429752066116</v>
      </c>
      <c r="CK338" s="40">
        <v>-163.88429752066116</v>
      </c>
    </row>
    <row r="339" spans="1:89" s="2" customFormat="1">
      <c r="A339" s="196" t="s">
        <v>1081</v>
      </c>
      <c r="B339" s="211" t="s">
        <v>79</v>
      </c>
      <c r="C339" s="211" t="s">
        <v>586</v>
      </c>
      <c r="D339" s="41">
        <v>622</v>
      </c>
      <c r="E339" s="41">
        <v>0</v>
      </c>
      <c r="F339" s="22" t="s">
        <v>1075</v>
      </c>
      <c r="G339" s="40">
        <v>24</v>
      </c>
      <c r="H339" s="388">
        <v>621.48760330578511</v>
      </c>
      <c r="I339" s="321"/>
      <c r="J339" s="40" t="s">
        <v>3</v>
      </c>
      <c r="K339" s="36" t="s">
        <v>3</v>
      </c>
      <c r="L339" s="37"/>
      <c r="M339" s="35">
        <v>269</v>
      </c>
      <c r="N339" s="136">
        <v>10.8</v>
      </c>
      <c r="O339" s="35">
        <v>159</v>
      </c>
      <c r="P339" s="136">
        <v>12.200000000000001</v>
      </c>
      <c r="Q339" s="37">
        <v>159</v>
      </c>
      <c r="R339" s="136">
        <v>11.4</v>
      </c>
      <c r="S339" s="37"/>
      <c r="T339" s="35">
        <v>0</v>
      </c>
      <c r="U339" s="136">
        <v>22.200000000000003</v>
      </c>
      <c r="V339" s="35">
        <v>0</v>
      </c>
      <c r="W339" s="136">
        <v>14.5</v>
      </c>
      <c r="X339" s="35">
        <v>0</v>
      </c>
      <c r="Y339" s="149">
        <v>14.5</v>
      </c>
      <c r="Z339" s="35">
        <v>0</v>
      </c>
      <c r="AA339" s="136">
        <v>18</v>
      </c>
      <c r="AB339" s="37">
        <v>0</v>
      </c>
      <c r="AC339" s="136">
        <v>18</v>
      </c>
      <c r="AD339" s="37"/>
      <c r="AE339" s="40">
        <v>1</v>
      </c>
      <c r="AF339" s="65"/>
      <c r="AG339" s="35">
        <v>0</v>
      </c>
      <c r="AH339" s="36">
        <v>0</v>
      </c>
      <c r="AI339" s="37"/>
      <c r="AJ339" s="35">
        <v>94</v>
      </c>
      <c r="AK339" s="36">
        <v>259.20000000000005</v>
      </c>
      <c r="AL339" s="35">
        <v>170</v>
      </c>
      <c r="AM339" s="36">
        <v>292.8</v>
      </c>
      <c r="AN339" s="35">
        <v>189</v>
      </c>
      <c r="AO339" s="36">
        <v>273.60000000000002</v>
      </c>
      <c r="AP339" s="37"/>
      <c r="AQ339" s="35">
        <v>89</v>
      </c>
      <c r="AR339" s="36">
        <v>532.80000000000007</v>
      </c>
      <c r="AS339" s="35">
        <v>274</v>
      </c>
      <c r="AT339" s="36">
        <v>348</v>
      </c>
      <c r="AU339" s="35">
        <v>274</v>
      </c>
      <c r="AV339" s="36">
        <v>348</v>
      </c>
      <c r="AW339" s="35">
        <v>190</v>
      </c>
      <c r="AX339" s="36">
        <v>432</v>
      </c>
      <c r="AY339" s="35">
        <v>190</v>
      </c>
      <c r="AZ339" s="36">
        <v>432</v>
      </c>
      <c r="BB339" s="40">
        <v>0</v>
      </c>
      <c r="BC339" s="65"/>
      <c r="BD339" s="35">
        <v>0</v>
      </c>
      <c r="BE339" s="36">
        <v>0</v>
      </c>
      <c r="BF339" s="37"/>
      <c r="BG339" s="415">
        <v>0</v>
      </c>
      <c r="BH339" s="353">
        <v>0</v>
      </c>
      <c r="BI339" s="415">
        <v>0</v>
      </c>
      <c r="BJ339" s="353">
        <v>0</v>
      </c>
      <c r="BK339" s="415">
        <v>0</v>
      </c>
      <c r="BL339" s="353">
        <v>0</v>
      </c>
      <c r="BM339" s="416"/>
      <c r="BN339" s="415">
        <v>0</v>
      </c>
      <c r="BO339" s="353">
        <v>0</v>
      </c>
      <c r="BP339" s="415">
        <v>0</v>
      </c>
      <c r="BQ339" s="353">
        <v>0</v>
      </c>
      <c r="BR339" s="415">
        <v>0</v>
      </c>
      <c r="BS339" s="353">
        <v>0</v>
      </c>
      <c r="BT339" s="415">
        <v>0</v>
      </c>
      <c r="BU339" s="353">
        <v>7.5</v>
      </c>
      <c r="BV339" s="415">
        <v>0</v>
      </c>
      <c r="BW339" s="353">
        <v>7.5</v>
      </c>
      <c r="BY339" s="80"/>
      <c r="BZ339" s="65"/>
      <c r="CA339" s="40" t="s">
        <v>3</v>
      </c>
      <c r="CB339" s="65"/>
      <c r="CC339" s="40">
        <v>-93.287603305785069</v>
      </c>
      <c r="CD339" s="40">
        <v>-169.6876033057851</v>
      </c>
      <c r="CE339" s="40">
        <v>-188.88760330578509</v>
      </c>
      <c r="CF339" s="65"/>
      <c r="CG339" s="40">
        <v>-88.687603305785046</v>
      </c>
      <c r="CH339" s="40">
        <v>-273.48760330578511</v>
      </c>
      <c r="CI339" s="40">
        <v>-273.48760330578511</v>
      </c>
      <c r="CJ339" s="40">
        <v>-189.48760330578511</v>
      </c>
      <c r="CK339" s="40">
        <v>-189.48760330578511</v>
      </c>
    </row>
    <row r="340" spans="1:89" s="2" customFormat="1">
      <c r="A340" s="196" t="s">
        <v>1082</v>
      </c>
      <c r="B340" s="211" t="s">
        <v>79</v>
      </c>
      <c r="C340" s="211" t="s">
        <v>586</v>
      </c>
      <c r="D340" s="41">
        <v>622</v>
      </c>
      <c r="E340" s="41">
        <v>0</v>
      </c>
      <c r="F340" s="41" t="s">
        <v>1075</v>
      </c>
      <c r="G340" s="413">
        <v>30</v>
      </c>
      <c r="H340" s="414">
        <v>621.48760330578511</v>
      </c>
      <c r="I340" s="321"/>
      <c r="J340" s="40" t="s">
        <v>3</v>
      </c>
      <c r="K340" s="36" t="s">
        <v>3</v>
      </c>
      <c r="L340" s="37"/>
      <c r="M340" s="35">
        <v>269</v>
      </c>
      <c r="N340" s="136">
        <v>8.7000000000000011</v>
      </c>
      <c r="O340" s="35">
        <v>159</v>
      </c>
      <c r="P340" s="136">
        <v>9.8000000000000007</v>
      </c>
      <c r="Q340" s="37">
        <v>159</v>
      </c>
      <c r="R340" s="136">
        <v>9.2000000000000011</v>
      </c>
      <c r="S340" s="37"/>
      <c r="T340" s="35">
        <v>0</v>
      </c>
      <c r="U340" s="136">
        <v>17.8</v>
      </c>
      <c r="V340" s="35">
        <v>0</v>
      </c>
      <c r="W340" s="136">
        <v>11.600000000000001</v>
      </c>
      <c r="X340" s="35">
        <v>0</v>
      </c>
      <c r="Y340" s="149">
        <v>11.600000000000001</v>
      </c>
      <c r="Z340" s="35">
        <v>0</v>
      </c>
      <c r="AA340" s="136">
        <v>14.4</v>
      </c>
      <c r="AB340" s="37">
        <v>0</v>
      </c>
      <c r="AC340" s="136">
        <v>14.4</v>
      </c>
      <c r="AD340" s="37"/>
      <c r="AE340" s="40">
        <v>1</v>
      </c>
      <c r="AF340" s="65"/>
      <c r="AG340" s="35">
        <v>0</v>
      </c>
      <c r="AH340" s="36">
        <v>0</v>
      </c>
      <c r="AI340" s="37"/>
      <c r="AJ340" s="35">
        <v>92</v>
      </c>
      <c r="AK340" s="36">
        <v>261.00000000000006</v>
      </c>
      <c r="AL340" s="35">
        <v>169</v>
      </c>
      <c r="AM340" s="36">
        <v>294</v>
      </c>
      <c r="AN340" s="37">
        <v>187</v>
      </c>
      <c r="AO340" s="36">
        <v>276.00000000000006</v>
      </c>
      <c r="AP340" s="37"/>
      <c r="AQ340" s="35">
        <v>88</v>
      </c>
      <c r="AR340" s="36">
        <v>534</v>
      </c>
      <c r="AS340" s="35">
        <v>274</v>
      </c>
      <c r="AT340" s="36">
        <v>348.00000000000006</v>
      </c>
      <c r="AU340" s="37">
        <v>274</v>
      </c>
      <c r="AV340" s="36">
        <v>348.00000000000006</v>
      </c>
      <c r="AW340" s="37">
        <v>190</v>
      </c>
      <c r="AX340" s="36">
        <v>432</v>
      </c>
      <c r="AY340" s="37">
        <v>190</v>
      </c>
      <c r="AZ340" s="36">
        <v>432</v>
      </c>
      <c r="BB340" s="40">
        <v>0</v>
      </c>
      <c r="BC340" s="65"/>
      <c r="BD340" s="35">
        <v>0</v>
      </c>
      <c r="BE340" s="36">
        <v>0</v>
      </c>
      <c r="BF340" s="37"/>
      <c r="BG340" s="415">
        <v>0</v>
      </c>
      <c r="BH340" s="353">
        <v>0</v>
      </c>
      <c r="BI340" s="415">
        <v>0</v>
      </c>
      <c r="BJ340" s="353">
        <v>0</v>
      </c>
      <c r="BK340" s="415">
        <v>0</v>
      </c>
      <c r="BL340" s="353">
        <v>0</v>
      </c>
      <c r="BM340" s="416"/>
      <c r="BN340" s="415">
        <v>0</v>
      </c>
      <c r="BO340" s="353">
        <v>0</v>
      </c>
      <c r="BP340" s="415">
        <v>0</v>
      </c>
      <c r="BQ340" s="353">
        <v>0</v>
      </c>
      <c r="BR340" s="415">
        <v>0</v>
      </c>
      <c r="BS340" s="353">
        <v>0</v>
      </c>
      <c r="BT340" s="415">
        <v>0</v>
      </c>
      <c r="BU340" s="353">
        <v>6</v>
      </c>
      <c r="BV340" s="415">
        <v>0</v>
      </c>
      <c r="BW340" s="353">
        <v>6</v>
      </c>
      <c r="BY340" s="80"/>
      <c r="BZ340" s="65"/>
      <c r="CA340" s="40" t="s">
        <v>3</v>
      </c>
      <c r="CB340" s="65"/>
      <c r="CC340" s="40">
        <v>-91.487603305785115</v>
      </c>
      <c r="CD340" s="40">
        <v>-168.48760330578511</v>
      </c>
      <c r="CE340" s="40">
        <v>-186.48760330578506</v>
      </c>
      <c r="CF340" s="65"/>
      <c r="CG340" s="40">
        <v>-87.487603305785115</v>
      </c>
      <c r="CH340" s="40">
        <v>-273.48760330578506</v>
      </c>
      <c r="CI340" s="40">
        <v>-273.48760330578506</v>
      </c>
      <c r="CJ340" s="40">
        <v>-189.48760330578511</v>
      </c>
      <c r="CK340" s="40">
        <v>-189.48760330578511</v>
      </c>
    </row>
    <row r="341" spans="1:89" s="2" customFormat="1">
      <c r="A341" s="196" t="s">
        <v>1037</v>
      </c>
      <c r="B341" s="211" t="s">
        <v>106</v>
      </c>
      <c r="C341" s="211" t="s">
        <v>405</v>
      </c>
      <c r="D341" s="41">
        <v>89</v>
      </c>
      <c r="E341" s="41">
        <v>0</v>
      </c>
      <c r="F341" s="22" t="s">
        <v>1038</v>
      </c>
      <c r="G341" s="40">
        <v>24</v>
      </c>
      <c r="H341" s="388">
        <v>87.603305785123965</v>
      </c>
      <c r="I341" s="321"/>
      <c r="J341" s="40" t="s">
        <v>3</v>
      </c>
      <c r="K341" s="36" t="s">
        <v>3</v>
      </c>
      <c r="L341" s="37"/>
      <c r="M341" s="35">
        <v>0</v>
      </c>
      <c r="N341" s="136">
        <v>2.9000000000000004</v>
      </c>
      <c r="O341" s="35">
        <v>0</v>
      </c>
      <c r="P341" s="136">
        <v>0.30000000000000004</v>
      </c>
      <c r="Q341" s="37">
        <v>0</v>
      </c>
      <c r="R341" s="136">
        <v>0.30000000000000004</v>
      </c>
      <c r="S341" s="37"/>
      <c r="T341" s="35">
        <v>0</v>
      </c>
      <c r="U341" s="136">
        <v>0.9</v>
      </c>
      <c r="V341" s="35">
        <v>0</v>
      </c>
      <c r="W341" s="136">
        <v>0.9</v>
      </c>
      <c r="X341" s="35">
        <v>0</v>
      </c>
      <c r="Y341" s="149">
        <v>0.9</v>
      </c>
      <c r="Z341" s="35">
        <v>0</v>
      </c>
      <c r="AA341" s="136">
        <v>0.8</v>
      </c>
      <c r="AB341" s="37">
        <v>0</v>
      </c>
      <c r="AC341" s="136">
        <v>0.8</v>
      </c>
      <c r="AD341" s="37"/>
      <c r="AE341" s="40">
        <v>1</v>
      </c>
      <c r="AF341" s="65"/>
      <c r="AG341" s="35">
        <v>0</v>
      </c>
      <c r="AH341" s="36">
        <v>0</v>
      </c>
      <c r="AI341" s="37"/>
      <c r="AJ341" s="35">
        <v>19</v>
      </c>
      <c r="AK341" s="36">
        <v>69.600000000000009</v>
      </c>
      <c r="AL341" s="35">
        <v>82</v>
      </c>
      <c r="AM341" s="36">
        <v>7.2000000000000011</v>
      </c>
      <c r="AN341" s="35">
        <v>82</v>
      </c>
      <c r="AO341" s="36">
        <v>7.2000000000000011</v>
      </c>
      <c r="AP341" s="37"/>
      <c r="AQ341" s="35">
        <v>67</v>
      </c>
      <c r="AR341" s="36">
        <v>21.6</v>
      </c>
      <c r="AS341" s="35">
        <v>67</v>
      </c>
      <c r="AT341" s="36">
        <v>21.6</v>
      </c>
      <c r="AU341" s="35">
        <v>67</v>
      </c>
      <c r="AV341" s="36">
        <v>21.6</v>
      </c>
      <c r="AW341" s="35">
        <v>70</v>
      </c>
      <c r="AX341" s="36">
        <v>19.200000000000003</v>
      </c>
      <c r="AY341" s="35">
        <v>70</v>
      </c>
      <c r="AZ341" s="36">
        <v>19.200000000000003</v>
      </c>
      <c r="BB341" s="40">
        <v>0</v>
      </c>
      <c r="BC341" s="65"/>
      <c r="BD341" s="35">
        <v>0</v>
      </c>
      <c r="BE341" s="36">
        <v>0</v>
      </c>
      <c r="BF341" s="37"/>
      <c r="BG341" s="415">
        <v>0</v>
      </c>
      <c r="BH341" s="353">
        <v>0</v>
      </c>
      <c r="BI341" s="415">
        <v>0</v>
      </c>
      <c r="BJ341" s="353">
        <v>0</v>
      </c>
      <c r="BK341" s="415">
        <v>0</v>
      </c>
      <c r="BL341" s="353">
        <v>0</v>
      </c>
      <c r="BM341" s="416"/>
      <c r="BN341" s="415">
        <v>0</v>
      </c>
      <c r="BO341" s="353">
        <v>0</v>
      </c>
      <c r="BP341" s="415">
        <v>0</v>
      </c>
      <c r="BQ341" s="353">
        <v>0</v>
      </c>
      <c r="BR341" s="415">
        <v>0</v>
      </c>
      <c r="BS341" s="353">
        <v>0</v>
      </c>
      <c r="BT341" s="415">
        <v>0</v>
      </c>
      <c r="BU341" s="353">
        <v>-0.19999999999999996</v>
      </c>
      <c r="BV341" s="415">
        <v>0</v>
      </c>
      <c r="BW341" s="353">
        <v>-0.19999999999999996</v>
      </c>
      <c r="BY341" s="80"/>
      <c r="BZ341" s="65"/>
      <c r="CA341" s="40" t="s">
        <v>3</v>
      </c>
      <c r="CB341" s="65"/>
      <c r="CC341" s="40">
        <v>-18.003305785123956</v>
      </c>
      <c r="CD341" s="40">
        <v>-80.403305785123962</v>
      </c>
      <c r="CE341" s="40">
        <v>-80.403305785123962</v>
      </c>
      <c r="CF341" s="65"/>
      <c r="CG341" s="40">
        <v>-66.003305785123956</v>
      </c>
      <c r="CH341" s="40">
        <v>-66.003305785123956</v>
      </c>
      <c r="CI341" s="40">
        <v>-66.003305785123956</v>
      </c>
      <c r="CJ341" s="40">
        <v>-68.403305785123962</v>
      </c>
      <c r="CK341" s="40">
        <v>-68.403305785123962</v>
      </c>
    </row>
    <row r="342" spans="1:89" s="2" customFormat="1">
      <c r="A342" s="196" t="s">
        <v>1039</v>
      </c>
      <c r="B342" s="211" t="s">
        <v>106</v>
      </c>
      <c r="C342" s="211" t="s">
        <v>380</v>
      </c>
      <c r="D342" s="41">
        <v>49</v>
      </c>
      <c r="E342" s="41">
        <v>0</v>
      </c>
      <c r="F342" s="41" t="s">
        <v>1038</v>
      </c>
      <c r="G342" s="413">
        <v>24</v>
      </c>
      <c r="H342" s="414">
        <v>59.504132231404959</v>
      </c>
      <c r="I342" s="321"/>
      <c r="J342" s="40" t="s">
        <v>3</v>
      </c>
      <c r="K342" s="36" t="s">
        <v>3</v>
      </c>
      <c r="L342" s="37"/>
      <c r="M342" s="35">
        <v>0</v>
      </c>
      <c r="N342" s="136">
        <v>1.5</v>
      </c>
      <c r="O342" s="35">
        <v>0</v>
      </c>
      <c r="P342" s="136">
        <v>1.5</v>
      </c>
      <c r="Q342" s="37">
        <v>0</v>
      </c>
      <c r="R342" s="136">
        <v>1.5</v>
      </c>
      <c r="S342" s="37"/>
      <c r="T342" s="35">
        <v>0</v>
      </c>
      <c r="U342" s="136">
        <v>0</v>
      </c>
      <c r="V342" s="35">
        <v>0</v>
      </c>
      <c r="W342" s="136">
        <v>0</v>
      </c>
      <c r="X342" s="35">
        <v>0</v>
      </c>
      <c r="Y342" s="149">
        <v>0</v>
      </c>
      <c r="Z342" s="35">
        <v>0</v>
      </c>
      <c r="AA342" s="136">
        <v>0</v>
      </c>
      <c r="AB342" s="37">
        <v>0</v>
      </c>
      <c r="AC342" s="136">
        <v>0</v>
      </c>
      <c r="AD342" s="37"/>
      <c r="AE342" s="40">
        <v>-11</v>
      </c>
      <c r="AF342" s="65"/>
      <c r="AG342" s="35">
        <v>0</v>
      </c>
      <c r="AH342" s="36">
        <v>0</v>
      </c>
      <c r="AI342" s="37"/>
      <c r="AJ342" s="35">
        <v>13</v>
      </c>
      <c r="AK342" s="36">
        <v>36</v>
      </c>
      <c r="AL342" s="35">
        <v>13</v>
      </c>
      <c r="AM342" s="36">
        <v>36</v>
      </c>
      <c r="AN342" s="37">
        <v>13</v>
      </c>
      <c r="AO342" s="36">
        <v>36</v>
      </c>
      <c r="AP342" s="37"/>
      <c r="AQ342" s="35">
        <v>49</v>
      </c>
      <c r="AR342" s="36">
        <v>0</v>
      </c>
      <c r="AS342" s="35">
        <v>49</v>
      </c>
      <c r="AT342" s="36">
        <v>0</v>
      </c>
      <c r="AU342" s="37">
        <v>49</v>
      </c>
      <c r="AV342" s="36">
        <v>0</v>
      </c>
      <c r="AW342" s="37">
        <v>49</v>
      </c>
      <c r="AX342" s="36">
        <v>0</v>
      </c>
      <c r="AY342" s="37">
        <v>49</v>
      </c>
      <c r="AZ342" s="36">
        <v>0</v>
      </c>
      <c r="BB342" s="40">
        <v>0</v>
      </c>
      <c r="BC342" s="65"/>
      <c r="BD342" s="35">
        <v>0</v>
      </c>
      <c r="BE342" s="36">
        <v>0</v>
      </c>
      <c r="BF342" s="37"/>
      <c r="BG342" s="415">
        <v>0</v>
      </c>
      <c r="BH342" s="353">
        <v>0</v>
      </c>
      <c r="BI342" s="415">
        <v>0</v>
      </c>
      <c r="BJ342" s="353">
        <v>0</v>
      </c>
      <c r="BK342" s="415">
        <v>0</v>
      </c>
      <c r="BL342" s="353">
        <v>0</v>
      </c>
      <c r="BM342" s="416"/>
      <c r="BN342" s="415">
        <v>0</v>
      </c>
      <c r="BO342" s="353">
        <v>0</v>
      </c>
      <c r="BP342" s="415">
        <v>0</v>
      </c>
      <c r="BQ342" s="353">
        <v>0</v>
      </c>
      <c r="BR342" s="415">
        <v>0</v>
      </c>
      <c r="BS342" s="353">
        <v>0</v>
      </c>
      <c r="BT342" s="415">
        <v>0</v>
      </c>
      <c r="BU342" s="353">
        <v>0</v>
      </c>
      <c r="BV342" s="415">
        <v>0</v>
      </c>
      <c r="BW342" s="353">
        <v>0</v>
      </c>
      <c r="BY342" s="80"/>
      <c r="BZ342" s="65"/>
      <c r="CA342" s="40" t="s">
        <v>3</v>
      </c>
      <c r="CB342" s="65"/>
      <c r="CC342" s="40">
        <v>-23.504132231404959</v>
      </c>
      <c r="CD342" s="40">
        <v>-23.504132231404959</v>
      </c>
      <c r="CE342" s="40">
        <v>-23.504132231404959</v>
      </c>
      <c r="CF342" s="65"/>
      <c r="CG342" s="40">
        <v>-59.504132231404959</v>
      </c>
      <c r="CH342" s="40">
        <v>-59.504132231404959</v>
      </c>
      <c r="CI342" s="40">
        <v>-59.504132231404959</v>
      </c>
      <c r="CJ342" s="40">
        <v>-59.504132231404959</v>
      </c>
      <c r="CK342" s="40">
        <v>-59.504132231404959</v>
      </c>
    </row>
    <row r="343" spans="1:89" s="2" customFormat="1">
      <c r="A343" s="196" t="s">
        <v>1157</v>
      </c>
      <c r="B343" s="211" t="s">
        <v>106</v>
      </c>
      <c r="C343" s="211" t="s">
        <v>760</v>
      </c>
      <c r="D343" s="41">
        <v>413</v>
      </c>
      <c r="E343" s="41">
        <v>2.5</v>
      </c>
      <c r="F343" s="22" t="s">
        <v>1140</v>
      </c>
      <c r="G343" s="40">
        <v>24</v>
      </c>
      <c r="H343" s="388">
        <v>305.78512396694214</v>
      </c>
      <c r="I343" s="321"/>
      <c r="J343" s="40" t="s">
        <v>3</v>
      </c>
      <c r="K343" s="36" t="s">
        <v>3</v>
      </c>
      <c r="L343" s="37"/>
      <c r="M343" s="35">
        <v>99</v>
      </c>
      <c r="N343" s="136">
        <v>5.8000000000000007</v>
      </c>
      <c r="O343" s="35">
        <v>19</v>
      </c>
      <c r="P343" s="136">
        <v>6.2</v>
      </c>
      <c r="Q343" s="37">
        <v>19</v>
      </c>
      <c r="R343" s="136">
        <v>5.6000000000000005</v>
      </c>
      <c r="S343" s="37"/>
      <c r="T343" s="35">
        <v>0</v>
      </c>
      <c r="U343" s="136">
        <v>10.200000000000001</v>
      </c>
      <c r="V343" s="35">
        <v>0</v>
      </c>
      <c r="W343" s="136">
        <v>6.2</v>
      </c>
      <c r="X343" s="35">
        <v>0</v>
      </c>
      <c r="Y343" s="149">
        <v>6.2</v>
      </c>
      <c r="Z343" s="35">
        <v>0</v>
      </c>
      <c r="AA343" s="136">
        <v>6.2</v>
      </c>
      <c r="AB343" s="37">
        <v>0</v>
      </c>
      <c r="AC343" s="136">
        <v>6.2</v>
      </c>
      <c r="AD343" s="37"/>
      <c r="AE343" s="40">
        <v>107</v>
      </c>
      <c r="AF343" s="65"/>
      <c r="AG343" s="35">
        <v>0</v>
      </c>
      <c r="AH343" s="36">
        <v>0</v>
      </c>
      <c r="AI343" s="37"/>
      <c r="AJ343" s="35">
        <v>175</v>
      </c>
      <c r="AK343" s="36">
        <v>139.20000000000002</v>
      </c>
      <c r="AL343" s="35">
        <v>245</v>
      </c>
      <c r="AM343" s="36">
        <v>148.80000000000001</v>
      </c>
      <c r="AN343" s="35">
        <v>260</v>
      </c>
      <c r="AO343" s="36">
        <v>134.4</v>
      </c>
      <c r="AP343" s="37"/>
      <c r="AQ343" s="35">
        <v>168</v>
      </c>
      <c r="AR343" s="36">
        <v>244.8</v>
      </c>
      <c r="AS343" s="35">
        <v>264</v>
      </c>
      <c r="AT343" s="36">
        <v>148.80000000000001</v>
      </c>
      <c r="AU343" s="35">
        <v>264</v>
      </c>
      <c r="AV343" s="36">
        <v>148.80000000000001</v>
      </c>
      <c r="AW343" s="35">
        <v>264</v>
      </c>
      <c r="AX343" s="36">
        <v>148.80000000000001</v>
      </c>
      <c r="AY343" s="35">
        <v>264</v>
      </c>
      <c r="AZ343" s="36">
        <v>148.80000000000001</v>
      </c>
      <c r="BB343" s="40">
        <v>0</v>
      </c>
      <c r="BC343" s="65"/>
      <c r="BD343" s="35">
        <v>0</v>
      </c>
      <c r="BE343" s="36">
        <v>0</v>
      </c>
      <c r="BF343" s="37"/>
      <c r="BG343" s="415">
        <v>0</v>
      </c>
      <c r="BH343" s="353">
        <v>0</v>
      </c>
      <c r="BI343" s="415">
        <v>0</v>
      </c>
      <c r="BJ343" s="353">
        <v>0</v>
      </c>
      <c r="BK343" s="415">
        <v>0</v>
      </c>
      <c r="BL343" s="353">
        <v>0</v>
      </c>
      <c r="BM343" s="416"/>
      <c r="BN343" s="415">
        <v>0</v>
      </c>
      <c r="BO343" s="353">
        <v>0</v>
      </c>
      <c r="BP343" s="415">
        <v>0</v>
      </c>
      <c r="BQ343" s="353">
        <v>0</v>
      </c>
      <c r="BR343" s="415">
        <v>0</v>
      </c>
      <c r="BS343" s="353">
        <v>0</v>
      </c>
      <c r="BT343" s="415">
        <v>0</v>
      </c>
      <c r="BU343" s="353">
        <v>-0.10000000000000053</v>
      </c>
      <c r="BV343" s="415">
        <v>0</v>
      </c>
      <c r="BW343" s="353">
        <v>-0.10000000000000053</v>
      </c>
      <c r="BY343" s="80"/>
      <c r="BZ343" s="65"/>
      <c r="CA343" s="40" t="s">
        <v>3</v>
      </c>
      <c r="CB343" s="65"/>
      <c r="CC343" s="40">
        <v>-67.58512396694212</v>
      </c>
      <c r="CD343" s="40">
        <v>-137.98512396694213</v>
      </c>
      <c r="CE343" s="40">
        <v>-152.38512396694213</v>
      </c>
      <c r="CF343" s="65"/>
      <c r="CG343" s="40">
        <v>-60.985123966942126</v>
      </c>
      <c r="CH343" s="40">
        <v>-156.98512396694213</v>
      </c>
      <c r="CI343" s="40">
        <v>-156.98512396694213</v>
      </c>
      <c r="CJ343" s="40">
        <v>-156.98512396694213</v>
      </c>
      <c r="CK343" s="40">
        <v>-156.98512396694213</v>
      </c>
    </row>
    <row r="344" spans="1:89" s="2" customFormat="1">
      <c r="A344" s="196" t="s">
        <v>1158</v>
      </c>
      <c r="B344" s="211" t="s">
        <v>106</v>
      </c>
      <c r="C344" s="211" t="s">
        <v>760</v>
      </c>
      <c r="D344" s="41">
        <v>413</v>
      </c>
      <c r="E344" s="41">
        <v>2.5</v>
      </c>
      <c r="F344" s="41" t="s">
        <v>1140</v>
      </c>
      <c r="G344" s="413">
        <v>30</v>
      </c>
      <c r="H344" s="414">
        <v>305.78512396694214</v>
      </c>
      <c r="I344" s="321"/>
      <c r="J344" s="40" t="s">
        <v>3</v>
      </c>
      <c r="K344" s="36" t="s">
        <v>3</v>
      </c>
      <c r="L344" s="37"/>
      <c r="M344" s="35">
        <v>99</v>
      </c>
      <c r="N344" s="136">
        <v>4.7</v>
      </c>
      <c r="O344" s="35">
        <v>19</v>
      </c>
      <c r="P344" s="136">
        <v>5</v>
      </c>
      <c r="Q344" s="37">
        <v>19</v>
      </c>
      <c r="R344" s="136">
        <v>4.5</v>
      </c>
      <c r="S344" s="37"/>
      <c r="T344" s="35">
        <v>0</v>
      </c>
      <c r="U344" s="136">
        <v>8.2000000000000011</v>
      </c>
      <c r="V344" s="35">
        <v>0</v>
      </c>
      <c r="W344" s="136">
        <v>5</v>
      </c>
      <c r="X344" s="35">
        <v>0</v>
      </c>
      <c r="Y344" s="149">
        <v>5</v>
      </c>
      <c r="Z344" s="35">
        <v>0</v>
      </c>
      <c r="AA344" s="136">
        <v>5</v>
      </c>
      <c r="AB344" s="37">
        <v>0</v>
      </c>
      <c r="AC344" s="136">
        <v>5</v>
      </c>
      <c r="AD344" s="37"/>
      <c r="AE344" s="40">
        <v>107</v>
      </c>
      <c r="AF344" s="65"/>
      <c r="AG344" s="35">
        <v>0</v>
      </c>
      <c r="AH344" s="36">
        <v>0</v>
      </c>
      <c r="AI344" s="37"/>
      <c r="AJ344" s="35">
        <v>173</v>
      </c>
      <c r="AK344" s="36">
        <v>141</v>
      </c>
      <c r="AL344" s="35">
        <v>244</v>
      </c>
      <c r="AM344" s="36">
        <v>150</v>
      </c>
      <c r="AN344" s="37">
        <v>259</v>
      </c>
      <c r="AO344" s="36">
        <v>135</v>
      </c>
      <c r="AP344" s="37"/>
      <c r="AQ344" s="35">
        <v>167</v>
      </c>
      <c r="AR344" s="36">
        <v>246.00000000000003</v>
      </c>
      <c r="AS344" s="35">
        <v>263</v>
      </c>
      <c r="AT344" s="36">
        <v>150</v>
      </c>
      <c r="AU344" s="37">
        <v>263</v>
      </c>
      <c r="AV344" s="36">
        <v>150</v>
      </c>
      <c r="AW344" s="37">
        <v>263</v>
      </c>
      <c r="AX344" s="36">
        <v>150</v>
      </c>
      <c r="AY344" s="37">
        <v>263</v>
      </c>
      <c r="AZ344" s="36">
        <v>150</v>
      </c>
      <c r="BB344" s="40">
        <v>0</v>
      </c>
      <c r="BC344" s="65"/>
      <c r="BD344" s="35">
        <v>0</v>
      </c>
      <c r="BE344" s="36">
        <v>0</v>
      </c>
      <c r="BF344" s="37"/>
      <c r="BG344" s="415">
        <v>0</v>
      </c>
      <c r="BH344" s="353">
        <v>0</v>
      </c>
      <c r="BI344" s="415">
        <v>0</v>
      </c>
      <c r="BJ344" s="353">
        <v>0</v>
      </c>
      <c r="BK344" s="415">
        <v>0</v>
      </c>
      <c r="BL344" s="353">
        <v>0</v>
      </c>
      <c r="BM344" s="416"/>
      <c r="BN344" s="415">
        <v>0</v>
      </c>
      <c r="BO344" s="353">
        <v>0</v>
      </c>
      <c r="BP344" s="415">
        <v>0</v>
      </c>
      <c r="BQ344" s="353">
        <v>0</v>
      </c>
      <c r="BR344" s="415">
        <v>0</v>
      </c>
      <c r="BS344" s="353">
        <v>0</v>
      </c>
      <c r="BT344" s="415">
        <v>0</v>
      </c>
      <c r="BU344" s="353">
        <v>0</v>
      </c>
      <c r="BV344" s="415">
        <v>0</v>
      </c>
      <c r="BW344" s="353">
        <v>0</v>
      </c>
      <c r="BY344" s="80"/>
      <c r="BZ344" s="65"/>
      <c r="CA344" s="40" t="s">
        <v>3</v>
      </c>
      <c r="CB344" s="65"/>
      <c r="CC344" s="40">
        <v>-65.785123966942137</v>
      </c>
      <c r="CD344" s="40">
        <v>-136.78512396694214</v>
      </c>
      <c r="CE344" s="40">
        <v>-151.78512396694214</v>
      </c>
      <c r="CF344" s="65"/>
      <c r="CG344" s="40">
        <v>-59.785123966942109</v>
      </c>
      <c r="CH344" s="40">
        <v>-155.78512396694214</v>
      </c>
      <c r="CI344" s="40">
        <v>-155.78512396694214</v>
      </c>
      <c r="CJ344" s="40">
        <v>-155.78512396694214</v>
      </c>
      <c r="CK344" s="40">
        <v>-155.78512396694214</v>
      </c>
    </row>
    <row r="345" spans="1:89" s="2" customFormat="1">
      <c r="A345" s="196" t="s">
        <v>1135</v>
      </c>
      <c r="B345" s="211" t="s">
        <v>670</v>
      </c>
      <c r="C345" s="211" t="s">
        <v>648</v>
      </c>
      <c r="D345" s="41">
        <v>62</v>
      </c>
      <c r="E345" s="41">
        <v>0</v>
      </c>
      <c r="F345" s="22" t="s">
        <v>1136</v>
      </c>
      <c r="G345" s="40">
        <v>24</v>
      </c>
      <c r="H345" s="388">
        <v>50.413223140495866</v>
      </c>
      <c r="I345" s="321"/>
      <c r="J345" s="40" t="s">
        <v>3</v>
      </c>
      <c r="K345" s="36" t="s">
        <v>3</v>
      </c>
      <c r="L345" s="37"/>
      <c r="M345" s="35">
        <v>0</v>
      </c>
      <c r="N345" s="136">
        <v>1.2000000000000002</v>
      </c>
      <c r="O345" s="35">
        <v>0</v>
      </c>
      <c r="P345" s="136">
        <v>1.2000000000000002</v>
      </c>
      <c r="Q345" s="37">
        <v>0</v>
      </c>
      <c r="R345" s="136">
        <v>1.2000000000000002</v>
      </c>
      <c r="S345" s="37"/>
      <c r="T345" s="35">
        <v>0</v>
      </c>
      <c r="U345" s="136">
        <v>0</v>
      </c>
      <c r="V345" s="35">
        <v>0</v>
      </c>
      <c r="W345" s="136">
        <v>0</v>
      </c>
      <c r="X345" s="35">
        <v>0</v>
      </c>
      <c r="Y345" s="149">
        <v>0</v>
      </c>
      <c r="Z345" s="35">
        <v>0</v>
      </c>
      <c r="AA345" s="136">
        <v>0</v>
      </c>
      <c r="AB345" s="37">
        <v>0</v>
      </c>
      <c r="AC345" s="136">
        <v>0</v>
      </c>
      <c r="AD345" s="37"/>
      <c r="AE345" s="40">
        <v>12</v>
      </c>
      <c r="AF345" s="65"/>
      <c r="AG345" s="35">
        <v>0</v>
      </c>
      <c r="AH345" s="36">
        <v>0</v>
      </c>
      <c r="AI345" s="37"/>
      <c r="AJ345" s="35">
        <v>33</v>
      </c>
      <c r="AK345" s="36">
        <v>28.800000000000004</v>
      </c>
      <c r="AL345" s="35">
        <v>33</v>
      </c>
      <c r="AM345" s="36">
        <v>28.800000000000004</v>
      </c>
      <c r="AN345" s="35">
        <v>33</v>
      </c>
      <c r="AO345" s="36">
        <v>28.800000000000004</v>
      </c>
      <c r="AP345" s="37"/>
      <c r="AQ345" s="35">
        <v>62</v>
      </c>
      <c r="AR345" s="36">
        <v>0</v>
      </c>
      <c r="AS345" s="35">
        <v>62</v>
      </c>
      <c r="AT345" s="36">
        <v>0</v>
      </c>
      <c r="AU345" s="35">
        <v>62</v>
      </c>
      <c r="AV345" s="36">
        <v>0</v>
      </c>
      <c r="AW345" s="35">
        <v>62</v>
      </c>
      <c r="AX345" s="36">
        <v>0</v>
      </c>
      <c r="AY345" s="35">
        <v>62</v>
      </c>
      <c r="AZ345" s="36">
        <v>0</v>
      </c>
      <c r="BB345" s="40">
        <v>0</v>
      </c>
      <c r="BC345" s="65"/>
      <c r="BD345" s="35">
        <v>0</v>
      </c>
      <c r="BE345" s="36">
        <v>0</v>
      </c>
      <c r="BF345" s="37"/>
      <c r="BG345" s="415">
        <v>0</v>
      </c>
      <c r="BH345" s="353">
        <v>0</v>
      </c>
      <c r="BI345" s="415">
        <v>0</v>
      </c>
      <c r="BJ345" s="353">
        <v>0</v>
      </c>
      <c r="BK345" s="415">
        <v>0</v>
      </c>
      <c r="BL345" s="353">
        <v>0</v>
      </c>
      <c r="BM345" s="416"/>
      <c r="BN345" s="415">
        <v>0</v>
      </c>
      <c r="BO345" s="353">
        <v>0</v>
      </c>
      <c r="BP345" s="415">
        <v>0</v>
      </c>
      <c r="BQ345" s="353">
        <v>0</v>
      </c>
      <c r="BR345" s="415">
        <v>0</v>
      </c>
      <c r="BS345" s="353">
        <v>0</v>
      </c>
      <c r="BT345" s="415">
        <v>0</v>
      </c>
      <c r="BU345" s="353">
        <v>0</v>
      </c>
      <c r="BV345" s="415">
        <v>0</v>
      </c>
      <c r="BW345" s="353">
        <v>0</v>
      </c>
      <c r="BY345" s="80"/>
      <c r="BZ345" s="65"/>
      <c r="CA345" s="40" t="s">
        <v>3</v>
      </c>
      <c r="CB345" s="65"/>
      <c r="CC345" s="40">
        <v>-21.613223140495862</v>
      </c>
      <c r="CD345" s="40">
        <v>-21.613223140495862</v>
      </c>
      <c r="CE345" s="40">
        <v>-21.613223140495862</v>
      </c>
      <c r="CF345" s="65"/>
      <c r="CG345" s="40">
        <v>-50.413223140495866</v>
      </c>
      <c r="CH345" s="40">
        <v>-50.413223140495866</v>
      </c>
      <c r="CI345" s="40">
        <v>-50.413223140495866</v>
      </c>
      <c r="CJ345" s="40">
        <v>-50.413223140495866</v>
      </c>
      <c r="CK345" s="40">
        <v>-50.413223140495866</v>
      </c>
    </row>
    <row r="346" spans="1:89" s="2" customFormat="1">
      <c r="A346" s="196" t="s">
        <v>1137</v>
      </c>
      <c r="B346" s="211" t="s">
        <v>57</v>
      </c>
      <c r="C346" s="211" t="s">
        <v>649</v>
      </c>
      <c r="D346" s="41">
        <v>58</v>
      </c>
      <c r="E346" s="41">
        <v>0</v>
      </c>
      <c r="F346" s="41" t="s">
        <v>1136</v>
      </c>
      <c r="G346" s="413">
        <v>24</v>
      </c>
      <c r="H346" s="414">
        <v>48.760330578512395</v>
      </c>
      <c r="I346" s="321"/>
      <c r="J346" s="40" t="s">
        <v>3</v>
      </c>
      <c r="K346" s="36" t="s">
        <v>3</v>
      </c>
      <c r="L346" s="37"/>
      <c r="M346" s="35">
        <v>0</v>
      </c>
      <c r="N346" s="136">
        <v>1.2000000000000002</v>
      </c>
      <c r="O346" s="35">
        <v>0</v>
      </c>
      <c r="P346" s="136">
        <v>1.2000000000000002</v>
      </c>
      <c r="Q346" s="37">
        <v>0</v>
      </c>
      <c r="R346" s="136">
        <v>1.2000000000000002</v>
      </c>
      <c r="S346" s="37"/>
      <c r="T346" s="35">
        <v>0</v>
      </c>
      <c r="U346" s="136">
        <v>0</v>
      </c>
      <c r="V346" s="35">
        <v>0</v>
      </c>
      <c r="W346" s="136">
        <v>0</v>
      </c>
      <c r="X346" s="35">
        <v>0</v>
      </c>
      <c r="Y346" s="149">
        <v>0</v>
      </c>
      <c r="Z346" s="35">
        <v>0</v>
      </c>
      <c r="AA346" s="136">
        <v>0</v>
      </c>
      <c r="AB346" s="37">
        <v>0</v>
      </c>
      <c r="AC346" s="136">
        <v>0</v>
      </c>
      <c r="AD346" s="37"/>
      <c r="AE346" s="40">
        <v>9</v>
      </c>
      <c r="AF346" s="65"/>
      <c r="AG346" s="35">
        <v>0</v>
      </c>
      <c r="AH346" s="36">
        <v>0</v>
      </c>
      <c r="AI346" s="37"/>
      <c r="AJ346" s="35">
        <v>29</v>
      </c>
      <c r="AK346" s="36">
        <v>28.800000000000004</v>
      </c>
      <c r="AL346" s="35">
        <v>29</v>
      </c>
      <c r="AM346" s="36">
        <v>28.800000000000004</v>
      </c>
      <c r="AN346" s="37">
        <v>29</v>
      </c>
      <c r="AO346" s="36">
        <v>28.800000000000004</v>
      </c>
      <c r="AP346" s="37"/>
      <c r="AQ346" s="35">
        <v>58</v>
      </c>
      <c r="AR346" s="36">
        <v>0</v>
      </c>
      <c r="AS346" s="35">
        <v>58</v>
      </c>
      <c r="AT346" s="36">
        <v>0</v>
      </c>
      <c r="AU346" s="37">
        <v>58</v>
      </c>
      <c r="AV346" s="36">
        <v>0</v>
      </c>
      <c r="AW346" s="37">
        <v>58</v>
      </c>
      <c r="AX346" s="36">
        <v>0</v>
      </c>
      <c r="AY346" s="37">
        <v>58</v>
      </c>
      <c r="AZ346" s="36">
        <v>0</v>
      </c>
      <c r="BB346" s="40">
        <v>0</v>
      </c>
      <c r="BC346" s="65"/>
      <c r="BD346" s="35">
        <v>0</v>
      </c>
      <c r="BE346" s="36">
        <v>0</v>
      </c>
      <c r="BF346" s="37"/>
      <c r="BG346" s="415">
        <v>0</v>
      </c>
      <c r="BH346" s="353">
        <v>0</v>
      </c>
      <c r="BI346" s="415">
        <v>0</v>
      </c>
      <c r="BJ346" s="353">
        <v>0</v>
      </c>
      <c r="BK346" s="415">
        <v>0</v>
      </c>
      <c r="BL346" s="353">
        <v>0</v>
      </c>
      <c r="BM346" s="416"/>
      <c r="BN346" s="415">
        <v>0</v>
      </c>
      <c r="BO346" s="353">
        <v>0</v>
      </c>
      <c r="BP346" s="415">
        <v>0</v>
      </c>
      <c r="BQ346" s="353">
        <v>0</v>
      </c>
      <c r="BR346" s="415">
        <v>0</v>
      </c>
      <c r="BS346" s="353">
        <v>0</v>
      </c>
      <c r="BT346" s="415">
        <v>0</v>
      </c>
      <c r="BU346" s="353">
        <v>0</v>
      </c>
      <c r="BV346" s="415">
        <v>0</v>
      </c>
      <c r="BW346" s="353">
        <v>0</v>
      </c>
      <c r="BY346" s="80"/>
      <c r="BZ346" s="65"/>
      <c r="CA346" s="40" t="s">
        <v>3</v>
      </c>
      <c r="CB346" s="65"/>
      <c r="CC346" s="40">
        <v>-19.960330578512391</v>
      </c>
      <c r="CD346" s="40">
        <v>-19.960330578512391</v>
      </c>
      <c r="CE346" s="40">
        <v>-19.960330578512391</v>
      </c>
      <c r="CF346" s="65"/>
      <c r="CG346" s="40">
        <v>-48.760330578512395</v>
      </c>
      <c r="CH346" s="40">
        <v>-48.760330578512395</v>
      </c>
      <c r="CI346" s="40">
        <v>-48.760330578512395</v>
      </c>
      <c r="CJ346" s="40">
        <v>-48.760330578512395</v>
      </c>
      <c r="CK346" s="40">
        <v>-48.760330578512395</v>
      </c>
    </row>
    <row r="347" spans="1:89" s="2" customFormat="1">
      <c r="A347" s="196" t="s">
        <v>1159</v>
      </c>
      <c r="B347" s="211" t="s">
        <v>57</v>
      </c>
      <c r="C347" s="211" t="s">
        <v>622</v>
      </c>
      <c r="D347" s="41">
        <v>161</v>
      </c>
      <c r="E347" s="41">
        <v>2.5</v>
      </c>
      <c r="F347" s="22" t="s">
        <v>1140</v>
      </c>
      <c r="G347" s="40">
        <v>24</v>
      </c>
      <c r="H347" s="388">
        <v>100</v>
      </c>
      <c r="I347" s="321"/>
      <c r="J347" s="40" t="s">
        <v>3</v>
      </c>
      <c r="K347" s="36" t="s">
        <v>3</v>
      </c>
      <c r="L347" s="37"/>
      <c r="M347" s="35">
        <v>0</v>
      </c>
      <c r="N347" s="136">
        <v>3.6</v>
      </c>
      <c r="O347" s="35">
        <v>0</v>
      </c>
      <c r="P347" s="136">
        <v>0.70000000000000007</v>
      </c>
      <c r="Q347" s="37">
        <v>0</v>
      </c>
      <c r="R347" s="136">
        <v>0.30000000000000004</v>
      </c>
      <c r="S347" s="37"/>
      <c r="T347" s="35">
        <v>0</v>
      </c>
      <c r="U347" s="136">
        <v>1.7000000000000002</v>
      </c>
      <c r="V347" s="35">
        <v>0</v>
      </c>
      <c r="W347" s="136">
        <v>0.9</v>
      </c>
      <c r="X347" s="35">
        <v>0</v>
      </c>
      <c r="Y347" s="149">
        <v>0.9</v>
      </c>
      <c r="Z347" s="35">
        <v>0</v>
      </c>
      <c r="AA347" s="136">
        <v>0.8</v>
      </c>
      <c r="AB347" s="37">
        <v>0</v>
      </c>
      <c r="AC347" s="136">
        <v>0.8</v>
      </c>
      <c r="AD347" s="37"/>
      <c r="AE347" s="40">
        <v>61</v>
      </c>
      <c r="AF347" s="65"/>
      <c r="AG347" s="35">
        <v>0</v>
      </c>
      <c r="AH347" s="36">
        <v>0</v>
      </c>
      <c r="AI347" s="37"/>
      <c r="AJ347" s="35">
        <v>75</v>
      </c>
      <c r="AK347" s="36">
        <v>86.4</v>
      </c>
      <c r="AL347" s="35">
        <v>144</v>
      </c>
      <c r="AM347" s="36">
        <v>16.8</v>
      </c>
      <c r="AN347" s="35">
        <v>154</v>
      </c>
      <c r="AO347" s="36">
        <v>7.2000000000000011</v>
      </c>
      <c r="AP347" s="37"/>
      <c r="AQ347" s="35">
        <v>120</v>
      </c>
      <c r="AR347" s="36">
        <v>40.800000000000004</v>
      </c>
      <c r="AS347" s="35">
        <v>139</v>
      </c>
      <c r="AT347" s="36">
        <v>21.6</v>
      </c>
      <c r="AU347" s="35">
        <v>139</v>
      </c>
      <c r="AV347" s="36">
        <v>21.6</v>
      </c>
      <c r="AW347" s="35">
        <v>142</v>
      </c>
      <c r="AX347" s="36">
        <v>19.200000000000003</v>
      </c>
      <c r="AY347" s="35">
        <v>142</v>
      </c>
      <c r="AZ347" s="36">
        <v>19.200000000000003</v>
      </c>
      <c r="BB347" s="40">
        <v>0</v>
      </c>
      <c r="BC347" s="65"/>
      <c r="BD347" s="35">
        <v>0</v>
      </c>
      <c r="BE347" s="36">
        <v>0</v>
      </c>
      <c r="BF347" s="37"/>
      <c r="BG347" s="415">
        <v>0</v>
      </c>
      <c r="BH347" s="353">
        <v>0</v>
      </c>
      <c r="BI347" s="415">
        <v>0</v>
      </c>
      <c r="BJ347" s="353">
        <v>0</v>
      </c>
      <c r="BK347" s="415">
        <v>0</v>
      </c>
      <c r="BL347" s="353">
        <v>0</v>
      </c>
      <c r="BM347" s="416"/>
      <c r="BN347" s="415">
        <v>0</v>
      </c>
      <c r="BO347" s="353">
        <v>0</v>
      </c>
      <c r="BP347" s="415">
        <v>0</v>
      </c>
      <c r="BQ347" s="353">
        <v>0</v>
      </c>
      <c r="BR347" s="415">
        <v>0</v>
      </c>
      <c r="BS347" s="353">
        <v>0</v>
      </c>
      <c r="BT347" s="415">
        <v>0</v>
      </c>
      <c r="BU347" s="353">
        <v>0</v>
      </c>
      <c r="BV347" s="415">
        <v>0</v>
      </c>
      <c r="BW347" s="353">
        <v>0</v>
      </c>
      <c r="BY347" s="80"/>
      <c r="BZ347" s="65"/>
      <c r="CA347" s="40" t="s">
        <v>3</v>
      </c>
      <c r="CB347" s="65"/>
      <c r="CC347" s="40">
        <v>-13.599999999999994</v>
      </c>
      <c r="CD347" s="40">
        <v>-83.2</v>
      </c>
      <c r="CE347" s="40">
        <v>-92.8</v>
      </c>
      <c r="CF347" s="65"/>
      <c r="CG347" s="40">
        <v>-59.199999999999996</v>
      </c>
      <c r="CH347" s="40">
        <v>-78.400000000000006</v>
      </c>
      <c r="CI347" s="40">
        <v>-78.400000000000006</v>
      </c>
      <c r="CJ347" s="40">
        <v>-80.8</v>
      </c>
      <c r="CK347" s="40">
        <v>-80.8</v>
      </c>
    </row>
    <row r="348" spans="1:89" s="2" customFormat="1">
      <c r="A348" s="196" t="s">
        <v>1183</v>
      </c>
      <c r="B348" s="211" t="s">
        <v>57</v>
      </c>
      <c r="C348" s="211" t="s">
        <v>761</v>
      </c>
      <c r="D348" s="41">
        <v>288</v>
      </c>
      <c r="E348" s="41">
        <v>2.5</v>
      </c>
      <c r="F348" s="41" t="s">
        <v>1184</v>
      </c>
      <c r="G348" s="413">
        <v>24</v>
      </c>
      <c r="H348" s="414">
        <v>323.96694214876032</v>
      </c>
      <c r="I348" s="321"/>
      <c r="J348" s="40" t="s">
        <v>3</v>
      </c>
      <c r="K348" s="36" t="s">
        <v>3</v>
      </c>
      <c r="L348" s="37"/>
      <c r="M348" s="35">
        <v>39</v>
      </c>
      <c r="N348" s="136">
        <v>6.5</v>
      </c>
      <c r="O348" s="35">
        <v>0</v>
      </c>
      <c r="P348" s="136">
        <v>4.8000000000000007</v>
      </c>
      <c r="Q348" s="37">
        <v>0</v>
      </c>
      <c r="R348" s="136">
        <v>4</v>
      </c>
      <c r="S348" s="37"/>
      <c r="T348" s="35">
        <v>0</v>
      </c>
      <c r="U348" s="136">
        <v>7.9</v>
      </c>
      <c r="V348" s="35">
        <v>0</v>
      </c>
      <c r="W348" s="136">
        <v>4.2</v>
      </c>
      <c r="X348" s="35">
        <v>0</v>
      </c>
      <c r="Y348" s="149">
        <v>4.2</v>
      </c>
      <c r="Z348" s="35">
        <v>0</v>
      </c>
      <c r="AA348" s="136">
        <v>4.1000000000000005</v>
      </c>
      <c r="AB348" s="37">
        <v>0</v>
      </c>
      <c r="AC348" s="136">
        <v>4.1000000000000005</v>
      </c>
      <c r="AD348" s="37"/>
      <c r="AE348" s="40">
        <v>-36</v>
      </c>
      <c r="AF348" s="65"/>
      <c r="AG348" s="35">
        <v>0</v>
      </c>
      <c r="AH348" s="36">
        <v>0</v>
      </c>
      <c r="AI348" s="37"/>
      <c r="AJ348" s="35">
        <v>93</v>
      </c>
      <c r="AK348" s="36">
        <v>156</v>
      </c>
      <c r="AL348" s="35">
        <v>173</v>
      </c>
      <c r="AM348" s="36">
        <v>115.20000000000002</v>
      </c>
      <c r="AN348" s="37">
        <v>192</v>
      </c>
      <c r="AO348" s="36">
        <v>96</v>
      </c>
      <c r="AP348" s="37"/>
      <c r="AQ348" s="35">
        <v>98</v>
      </c>
      <c r="AR348" s="36">
        <v>189.60000000000002</v>
      </c>
      <c r="AS348" s="35">
        <v>187</v>
      </c>
      <c r="AT348" s="36">
        <v>100.80000000000001</v>
      </c>
      <c r="AU348" s="37">
        <v>187</v>
      </c>
      <c r="AV348" s="36">
        <v>100.80000000000001</v>
      </c>
      <c r="AW348" s="37">
        <v>190</v>
      </c>
      <c r="AX348" s="36">
        <v>98.4</v>
      </c>
      <c r="AY348" s="37">
        <v>190</v>
      </c>
      <c r="AZ348" s="36">
        <v>98.4</v>
      </c>
      <c r="BB348" s="40">
        <v>0</v>
      </c>
      <c r="BC348" s="65"/>
      <c r="BD348" s="35">
        <v>0</v>
      </c>
      <c r="BE348" s="36">
        <v>0</v>
      </c>
      <c r="BF348" s="37"/>
      <c r="BG348" s="415">
        <v>0</v>
      </c>
      <c r="BH348" s="353">
        <v>0</v>
      </c>
      <c r="BI348" s="415">
        <v>0</v>
      </c>
      <c r="BJ348" s="353">
        <v>0</v>
      </c>
      <c r="BK348" s="415">
        <v>0</v>
      </c>
      <c r="BL348" s="353">
        <v>0</v>
      </c>
      <c r="BM348" s="416"/>
      <c r="BN348" s="415">
        <v>0</v>
      </c>
      <c r="BO348" s="353">
        <v>0</v>
      </c>
      <c r="BP348" s="415">
        <v>0</v>
      </c>
      <c r="BQ348" s="353">
        <v>0</v>
      </c>
      <c r="BR348" s="415">
        <v>0</v>
      </c>
      <c r="BS348" s="353">
        <v>0</v>
      </c>
      <c r="BT348" s="415">
        <v>0</v>
      </c>
      <c r="BU348" s="353">
        <v>0</v>
      </c>
      <c r="BV348" s="415">
        <v>0</v>
      </c>
      <c r="BW348" s="353">
        <v>0</v>
      </c>
      <c r="BY348" s="80"/>
      <c r="BZ348" s="65"/>
      <c r="CA348" s="40" t="s">
        <v>3</v>
      </c>
      <c r="CB348" s="65"/>
      <c r="CC348" s="40">
        <v>-128.96694214876032</v>
      </c>
      <c r="CD348" s="40">
        <v>-208.76694214876031</v>
      </c>
      <c r="CE348" s="40">
        <v>-227.96694214876032</v>
      </c>
      <c r="CF348" s="65"/>
      <c r="CG348" s="40">
        <v>-134.3669421487603</v>
      </c>
      <c r="CH348" s="40">
        <v>-223.16694214876031</v>
      </c>
      <c r="CI348" s="40">
        <v>-223.16694214876031</v>
      </c>
      <c r="CJ348" s="40">
        <v>-225.56694214876032</v>
      </c>
      <c r="CK348" s="40">
        <v>-225.56694214876032</v>
      </c>
    </row>
    <row r="349" spans="1:89" s="2" customFormat="1">
      <c r="A349" s="196" t="s">
        <v>1185</v>
      </c>
      <c r="B349" s="211" t="s">
        <v>57</v>
      </c>
      <c r="C349" s="211" t="s">
        <v>762</v>
      </c>
      <c r="D349" s="41">
        <v>245</v>
      </c>
      <c r="E349" s="41">
        <v>2.5</v>
      </c>
      <c r="F349" s="22" t="s">
        <v>1184</v>
      </c>
      <c r="G349" s="40">
        <v>24</v>
      </c>
      <c r="H349" s="388">
        <v>311.57024793388433</v>
      </c>
      <c r="I349" s="321"/>
      <c r="J349" s="40" t="s">
        <v>3</v>
      </c>
      <c r="K349" s="36" t="s">
        <v>3</v>
      </c>
      <c r="L349" s="37"/>
      <c r="M349" s="35">
        <v>39</v>
      </c>
      <c r="N349" s="136">
        <v>6.2</v>
      </c>
      <c r="O349" s="35">
        <v>0</v>
      </c>
      <c r="P349" s="136">
        <v>4.8000000000000007</v>
      </c>
      <c r="Q349" s="37">
        <v>0</v>
      </c>
      <c r="R349" s="136">
        <v>4</v>
      </c>
      <c r="S349" s="37"/>
      <c r="T349" s="35">
        <v>0</v>
      </c>
      <c r="U349" s="136">
        <v>7.9</v>
      </c>
      <c r="V349" s="35">
        <v>0</v>
      </c>
      <c r="W349" s="136">
        <v>4.2</v>
      </c>
      <c r="X349" s="35">
        <v>0</v>
      </c>
      <c r="Y349" s="149">
        <v>4.2</v>
      </c>
      <c r="Z349" s="35">
        <v>0</v>
      </c>
      <c r="AA349" s="136">
        <v>4.1000000000000005</v>
      </c>
      <c r="AB349" s="37">
        <v>0</v>
      </c>
      <c r="AC349" s="136">
        <v>4.1000000000000005</v>
      </c>
      <c r="AD349" s="37"/>
      <c r="AE349" s="40">
        <v>-67</v>
      </c>
      <c r="AF349" s="65"/>
      <c r="AG349" s="35">
        <v>0</v>
      </c>
      <c r="AH349" s="36">
        <v>0</v>
      </c>
      <c r="AI349" s="37"/>
      <c r="AJ349" s="35">
        <v>57</v>
      </c>
      <c r="AK349" s="36">
        <v>148.80000000000001</v>
      </c>
      <c r="AL349" s="35">
        <v>130</v>
      </c>
      <c r="AM349" s="36">
        <v>115.20000000000002</v>
      </c>
      <c r="AN349" s="35">
        <v>149</v>
      </c>
      <c r="AO349" s="36">
        <v>96</v>
      </c>
      <c r="AP349" s="37"/>
      <c r="AQ349" s="35">
        <v>55</v>
      </c>
      <c r="AR349" s="36">
        <v>189.60000000000002</v>
      </c>
      <c r="AS349" s="35">
        <v>144</v>
      </c>
      <c r="AT349" s="36">
        <v>100.80000000000001</v>
      </c>
      <c r="AU349" s="35">
        <v>144</v>
      </c>
      <c r="AV349" s="36">
        <v>100.80000000000001</v>
      </c>
      <c r="AW349" s="35">
        <v>147</v>
      </c>
      <c r="AX349" s="36">
        <v>98.4</v>
      </c>
      <c r="AY349" s="35">
        <v>147</v>
      </c>
      <c r="AZ349" s="36">
        <v>98.4</v>
      </c>
      <c r="BB349" s="40">
        <v>0</v>
      </c>
      <c r="BC349" s="65"/>
      <c r="BD349" s="35">
        <v>0</v>
      </c>
      <c r="BE349" s="36">
        <v>0</v>
      </c>
      <c r="BF349" s="37"/>
      <c r="BG349" s="415">
        <v>0</v>
      </c>
      <c r="BH349" s="353">
        <v>0</v>
      </c>
      <c r="BI349" s="415">
        <v>0</v>
      </c>
      <c r="BJ349" s="353">
        <v>0</v>
      </c>
      <c r="BK349" s="415">
        <v>0</v>
      </c>
      <c r="BL349" s="353">
        <v>0</v>
      </c>
      <c r="BM349" s="416"/>
      <c r="BN349" s="415">
        <v>0</v>
      </c>
      <c r="BO349" s="353">
        <v>0</v>
      </c>
      <c r="BP349" s="415">
        <v>0</v>
      </c>
      <c r="BQ349" s="353">
        <v>0</v>
      </c>
      <c r="BR349" s="415">
        <v>0</v>
      </c>
      <c r="BS349" s="353">
        <v>0</v>
      </c>
      <c r="BT349" s="415">
        <v>0</v>
      </c>
      <c r="BU349" s="353">
        <v>0</v>
      </c>
      <c r="BV349" s="415">
        <v>0</v>
      </c>
      <c r="BW349" s="353">
        <v>0</v>
      </c>
      <c r="BY349" s="80"/>
      <c r="BZ349" s="65"/>
      <c r="CA349" s="40" t="s">
        <v>3</v>
      </c>
      <c r="CB349" s="65"/>
      <c r="CC349" s="40">
        <v>-123.77024793388432</v>
      </c>
      <c r="CD349" s="40">
        <v>-196.37024793388431</v>
      </c>
      <c r="CE349" s="40">
        <v>-215.57024793388433</v>
      </c>
      <c r="CF349" s="65"/>
      <c r="CG349" s="40">
        <v>-121.97024793388431</v>
      </c>
      <c r="CH349" s="40">
        <v>-210.77024793388432</v>
      </c>
      <c r="CI349" s="40">
        <v>-210.77024793388432</v>
      </c>
      <c r="CJ349" s="40">
        <v>-213.17024793388433</v>
      </c>
      <c r="CK349" s="40">
        <v>-213.17024793388433</v>
      </c>
    </row>
    <row r="350" spans="1:89" s="2" customFormat="1">
      <c r="A350" s="196" t="s">
        <v>1186</v>
      </c>
      <c r="B350" s="211" t="s">
        <v>57</v>
      </c>
      <c r="C350" s="211" t="s">
        <v>763</v>
      </c>
      <c r="D350" s="41">
        <v>288</v>
      </c>
      <c r="E350" s="41">
        <v>2.5</v>
      </c>
      <c r="F350" s="41" t="s">
        <v>1184</v>
      </c>
      <c r="G350" s="413">
        <v>24</v>
      </c>
      <c r="H350" s="414">
        <v>323.96694214876032</v>
      </c>
      <c r="I350" s="321"/>
      <c r="J350" s="40" t="s">
        <v>3</v>
      </c>
      <c r="K350" s="36" t="s">
        <v>3</v>
      </c>
      <c r="L350" s="37"/>
      <c r="M350" s="35">
        <v>39</v>
      </c>
      <c r="N350" s="136">
        <v>6</v>
      </c>
      <c r="O350" s="35">
        <v>0</v>
      </c>
      <c r="P350" s="136">
        <v>4.4000000000000004</v>
      </c>
      <c r="Q350" s="37">
        <v>0</v>
      </c>
      <c r="R350" s="136">
        <v>3.6</v>
      </c>
      <c r="S350" s="37"/>
      <c r="T350" s="35">
        <v>0</v>
      </c>
      <c r="U350" s="136">
        <v>7.7</v>
      </c>
      <c r="V350" s="35">
        <v>0</v>
      </c>
      <c r="W350" s="136">
        <v>4.2</v>
      </c>
      <c r="X350" s="35">
        <v>0</v>
      </c>
      <c r="Y350" s="149">
        <v>4.2</v>
      </c>
      <c r="Z350" s="35">
        <v>0</v>
      </c>
      <c r="AA350" s="136">
        <v>4.1000000000000005</v>
      </c>
      <c r="AB350" s="37">
        <v>0</v>
      </c>
      <c r="AC350" s="136">
        <v>4.1000000000000005</v>
      </c>
      <c r="AD350" s="37"/>
      <c r="AE350" s="40">
        <v>-36</v>
      </c>
      <c r="AF350" s="65"/>
      <c r="AG350" s="35">
        <v>0</v>
      </c>
      <c r="AH350" s="36">
        <v>0</v>
      </c>
      <c r="AI350" s="37"/>
      <c r="AJ350" s="35">
        <v>105</v>
      </c>
      <c r="AK350" s="36">
        <v>144</v>
      </c>
      <c r="AL350" s="35">
        <v>182</v>
      </c>
      <c r="AM350" s="36">
        <v>105.60000000000001</v>
      </c>
      <c r="AN350" s="37">
        <v>202</v>
      </c>
      <c r="AO350" s="36">
        <v>86.4</v>
      </c>
      <c r="AP350" s="37"/>
      <c r="AQ350" s="35">
        <v>103</v>
      </c>
      <c r="AR350" s="36">
        <v>184.8</v>
      </c>
      <c r="AS350" s="35">
        <v>187</v>
      </c>
      <c r="AT350" s="36">
        <v>100.80000000000001</v>
      </c>
      <c r="AU350" s="37">
        <v>187</v>
      </c>
      <c r="AV350" s="36">
        <v>100.80000000000001</v>
      </c>
      <c r="AW350" s="37">
        <v>190</v>
      </c>
      <c r="AX350" s="36">
        <v>98.4</v>
      </c>
      <c r="AY350" s="37">
        <v>190</v>
      </c>
      <c r="AZ350" s="36">
        <v>98.4</v>
      </c>
      <c r="BB350" s="40">
        <v>0</v>
      </c>
      <c r="BC350" s="65"/>
      <c r="BD350" s="35">
        <v>0</v>
      </c>
      <c r="BE350" s="36">
        <v>0</v>
      </c>
      <c r="BF350" s="37"/>
      <c r="BG350" s="415">
        <v>0</v>
      </c>
      <c r="BH350" s="353">
        <v>0</v>
      </c>
      <c r="BI350" s="415">
        <v>0</v>
      </c>
      <c r="BJ350" s="353">
        <v>0</v>
      </c>
      <c r="BK350" s="415">
        <v>0</v>
      </c>
      <c r="BL350" s="353">
        <v>0</v>
      </c>
      <c r="BM350" s="416"/>
      <c r="BN350" s="415">
        <v>0</v>
      </c>
      <c r="BO350" s="353">
        <v>0</v>
      </c>
      <c r="BP350" s="415">
        <v>0</v>
      </c>
      <c r="BQ350" s="353">
        <v>0</v>
      </c>
      <c r="BR350" s="415">
        <v>0</v>
      </c>
      <c r="BS350" s="353">
        <v>0</v>
      </c>
      <c r="BT350" s="415">
        <v>0</v>
      </c>
      <c r="BU350" s="353">
        <v>0</v>
      </c>
      <c r="BV350" s="415">
        <v>0</v>
      </c>
      <c r="BW350" s="353">
        <v>0</v>
      </c>
      <c r="BY350" s="80"/>
      <c r="BZ350" s="65"/>
      <c r="CA350" s="40" t="s">
        <v>3</v>
      </c>
      <c r="CB350" s="65"/>
      <c r="CC350" s="40">
        <v>-140.96694214876032</v>
      </c>
      <c r="CD350" s="40">
        <v>-218.3669421487603</v>
      </c>
      <c r="CE350" s="40">
        <v>-237.56694214876032</v>
      </c>
      <c r="CF350" s="65"/>
      <c r="CG350" s="40">
        <v>-139.16694214876031</v>
      </c>
      <c r="CH350" s="40">
        <v>-223.16694214876031</v>
      </c>
      <c r="CI350" s="40">
        <v>-223.16694214876031</v>
      </c>
      <c r="CJ350" s="40">
        <v>-225.56694214876032</v>
      </c>
      <c r="CK350" s="40">
        <v>-225.56694214876032</v>
      </c>
    </row>
    <row r="351" spans="1:89" s="2" customFormat="1">
      <c r="A351" s="196" t="s">
        <v>1187</v>
      </c>
      <c r="B351" s="211" t="s">
        <v>57</v>
      </c>
      <c r="C351" s="211" t="s">
        <v>764</v>
      </c>
      <c r="D351" s="41">
        <v>468</v>
      </c>
      <c r="E351" s="41">
        <v>2.5</v>
      </c>
      <c r="F351" s="22" t="s">
        <v>1184</v>
      </c>
      <c r="G351" s="40">
        <v>24</v>
      </c>
      <c r="H351" s="388">
        <v>506.61157024793391</v>
      </c>
      <c r="I351" s="321"/>
      <c r="J351" s="40" t="s">
        <v>3</v>
      </c>
      <c r="K351" s="36" t="s">
        <v>3</v>
      </c>
      <c r="L351" s="37"/>
      <c r="M351" s="35">
        <v>99</v>
      </c>
      <c r="N351" s="136">
        <v>6</v>
      </c>
      <c r="O351" s="35">
        <v>19</v>
      </c>
      <c r="P351" s="136">
        <v>6.7</v>
      </c>
      <c r="Q351" s="37">
        <v>19</v>
      </c>
      <c r="R351" s="136">
        <v>5.8000000000000007</v>
      </c>
      <c r="S351" s="37"/>
      <c r="T351" s="35">
        <v>0</v>
      </c>
      <c r="U351" s="136">
        <v>10.4</v>
      </c>
      <c r="V351" s="35">
        <v>0</v>
      </c>
      <c r="W351" s="136">
        <v>7.5</v>
      </c>
      <c r="X351" s="35">
        <v>0</v>
      </c>
      <c r="Y351" s="149">
        <v>7.5</v>
      </c>
      <c r="Z351" s="35">
        <v>0</v>
      </c>
      <c r="AA351" s="136">
        <v>7.4</v>
      </c>
      <c r="AB351" s="37">
        <v>0</v>
      </c>
      <c r="AC351" s="136">
        <v>7.4</v>
      </c>
      <c r="AD351" s="37"/>
      <c r="AE351" s="40">
        <v>-39</v>
      </c>
      <c r="AF351" s="65"/>
      <c r="AG351" s="35">
        <v>0</v>
      </c>
      <c r="AH351" s="36">
        <v>0</v>
      </c>
      <c r="AI351" s="37"/>
      <c r="AJ351" s="35">
        <v>225</v>
      </c>
      <c r="AK351" s="36">
        <v>144</v>
      </c>
      <c r="AL351" s="35">
        <v>288</v>
      </c>
      <c r="AM351" s="36">
        <v>160.80000000000001</v>
      </c>
      <c r="AN351" s="35">
        <v>310</v>
      </c>
      <c r="AO351" s="36">
        <v>139.20000000000002</v>
      </c>
      <c r="AP351" s="37"/>
      <c r="AQ351" s="35">
        <v>218</v>
      </c>
      <c r="AR351" s="36">
        <v>249.60000000000002</v>
      </c>
      <c r="AS351" s="35">
        <v>288</v>
      </c>
      <c r="AT351" s="36">
        <v>180</v>
      </c>
      <c r="AU351" s="35">
        <v>288</v>
      </c>
      <c r="AV351" s="36">
        <v>180</v>
      </c>
      <c r="AW351" s="35">
        <v>290</v>
      </c>
      <c r="AX351" s="36">
        <v>177.60000000000002</v>
      </c>
      <c r="AY351" s="35">
        <v>290</v>
      </c>
      <c r="AZ351" s="36">
        <v>177.60000000000002</v>
      </c>
      <c r="BB351" s="40">
        <v>0</v>
      </c>
      <c r="BC351" s="65"/>
      <c r="BD351" s="35">
        <v>0</v>
      </c>
      <c r="BE351" s="36">
        <v>0</v>
      </c>
      <c r="BF351" s="37"/>
      <c r="BG351" s="415">
        <v>0</v>
      </c>
      <c r="BH351" s="353">
        <v>0</v>
      </c>
      <c r="BI351" s="415">
        <v>0</v>
      </c>
      <c r="BJ351" s="353">
        <v>0</v>
      </c>
      <c r="BK351" s="415">
        <v>0</v>
      </c>
      <c r="BL351" s="353">
        <v>0</v>
      </c>
      <c r="BM351" s="416"/>
      <c r="BN351" s="415">
        <v>0</v>
      </c>
      <c r="BO351" s="353">
        <v>0</v>
      </c>
      <c r="BP351" s="415">
        <v>0</v>
      </c>
      <c r="BQ351" s="353">
        <v>0</v>
      </c>
      <c r="BR351" s="415">
        <v>0</v>
      </c>
      <c r="BS351" s="353">
        <v>0</v>
      </c>
      <c r="BT351" s="415">
        <v>0</v>
      </c>
      <c r="BU351" s="353">
        <v>0</v>
      </c>
      <c r="BV351" s="415">
        <v>0</v>
      </c>
      <c r="BW351" s="353">
        <v>0</v>
      </c>
      <c r="BY351" s="80"/>
      <c r="BZ351" s="65"/>
      <c r="CA351" s="40" t="s">
        <v>3</v>
      </c>
      <c r="CB351" s="65"/>
      <c r="CC351" s="40">
        <v>-263.61157024793391</v>
      </c>
      <c r="CD351" s="40">
        <v>-326.8115702479339</v>
      </c>
      <c r="CE351" s="40">
        <v>-348.41157024793392</v>
      </c>
      <c r="CF351" s="65"/>
      <c r="CG351" s="40">
        <v>-257.01157024793389</v>
      </c>
      <c r="CH351" s="40">
        <v>-326.61157024793391</v>
      </c>
      <c r="CI351" s="40">
        <v>-326.61157024793391</v>
      </c>
      <c r="CJ351" s="40">
        <v>-329.01157024793389</v>
      </c>
      <c r="CK351" s="40">
        <v>-329.01157024793389</v>
      </c>
    </row>
    <row r="352" spans="1:89" s="2" customFormat="1">
      <c r="A352" s="196" t="s">
        <v>1160</v>
      </c>
      <c r="B352" s="211" t="s">
        <v>57</v>
      </c>
      <c r="C352" s="435" t="s">
        <v>765</v>
      </c>
      <c r="D352" s="41">
        <v>377</v>
      </c>
      <c r="E352" s="41">
        <v>2.5</v>
      </c>
      <c r="F352" s="41" t="s">
        <v>1140</v>
      </c>
      <c r="G352" s="413">
        <v>24</v>
      </c>
      <c r="H352" s="414">
        <v>237.19008264462812</v>
      </c>
      <c r="I352" s="321"/>
      <c r="J352" s="40" t="s">
        <v>3</v>
      </c>
      <c r="K352" s="36" t="s">
        <v>3</v>
      </c>
      <c r="L352" s="37"/>
      <c r="M352" s="35">
        <v>39</v>
      </c>
      <c r="N352" s="136">
        <v>6.5</v>
      </c>
      <c r="O352" s="35">
        <v>0</v>
      </c>
      <c r="P352" s="136">
        <v>4.8000000000000007</v>
      </c>
      <c r="Q352" s="37">
        <v>0</v>
      </c>
      <c r="R352" s="136">
        <v>4</v>
      </c>
      <c r="S352" s="37"/>
      <c r="T352" s="35">
        <v>0</v>
      </c>
      <c r="U352" s="136">
        <v>7.9</v>
      </c>
      <c r="V352" s="35">
        <v>0</v>
      </c>
      <c r="W352" s="136">
        <v>4.2</v>
      </c>
      <c r="X352" s="35">
        <v>0</v>
      </c>
      <c r="Y352" s="149">
        <v>4.2</v>
      </c>
      <c r="Z352" s="35">
        <v>0</v>
      </c>
      <c r="AA352" s="136">
        <v>4.1000000000000005</v>
      </c>
      <c r="AB352" s="37">
        <v>0</v>
      </c>
      <c r="AC352" s="136">
        <v>4.1000000000000005</v>
      </c>
      <c r="AD352" s="37"/>
      <c r="AE352" s="40">
        <v>140</v>
      </c>
      <c r="AF352" s="65"/>
      <c r="AG352" s="35">
        <v>0</v>
      </c>
      <c r="AH352" s="36">
        <v>0</v>
      </c>
      <c r="AI352" s="37"/>
      <c r="AJ352" s="35">
        <v>182</v>
      </c>
      <c r="AK352" s="36">
        <v>156</v>
      </c>
      <c r="AL352" s="35">
        <v>262</v>
      </c>
      <c r="AM352" s="36">
        <v>115.20000000000002</v>
      </c>
      <c r="AN352" s="37">
        <v>281</v>
      </c>
      <c r="AO352" s="36">
        <v>96</v>
      </c>
      <c r="AP352" s="37"/>
      <c r="AQ352" s="35">
        <v>187</v>
      </c>
      <c r="AR352" s="36">
        <v>189.60000000000002</v>
      </c>
      <c r="AS352" s="35">
        <v>276</v>
      </c>
      <c r="AT352" s="36">
        <v>100.80000000000001</v>
      </c>
      <c r="AU352" s="37">
        <v>276</v>
      </c>
      <c r="AV352" s="36">
        <v>100.80000000000001</v>
      </c>
      <c r="AW352" s="37">
        <v>279</v>
      </c>
      <c r="AX352" s="36">
        <v>98.4</v>
      </c>
      <c r="AY352" s="37">
        <v>279</v>
      </c>
      <c r="AZ352" s="36">
        <v>98.4</v>
      </c>
      <c r="BB352" s="40">
        <v>0</v>
      </c>
      <c r="BC352" s="65"/>
      <c r="BD352" s="35">
        <v>0</v>
      </c>
      <c r="BE352" s="36">
        <v>0</v>
      </c>
      <c r="BF352" s="37"/>
      <c r="BG352" s="415">
        <v>0</v>
      </c>
      <c r="BH352" s="353">
        <v>0</v>
      </c>
      <c r="BI352" s="415">
        <v>0</v>
      </c>
      <c r="BJ352" s="353">
        <v>0</v>
      </c>
      <c r="BK352" s="415">
        <v>0</v>
      </c>
      <c r="BL352" s="353">
        <v>0</v>
      </c>
      <c r="BM352" s="416"/>
      <c r="BN352" s="415">
        <v>0</v>
      </c>
      <c r="BO352" s="353">
        <v>0</v>
      </c>
      <c r="BP352" s="415">
        <v>0</v>
      </c>
      <c r="BQ352" s="353">
        <v>0</v>
      </c>
      <c r="BR352" s="415">
        <v>0</v>
      </c>
      <c r="BS352" s="353">
        <v>0</v>
      </c>
      <c r="BT352" s="415">
        <v>0</v>
      </c>
      <c r="BU352" s="353">
        <v>0</v>
      </c>
      <c r="BV352" s="415">
        <v>0</v>
      </c>
      <c r="BW352" s="353">
        <v>0</v>
      </c>
      <c r="BY352" s="80"/>
      <c r="BZ352" s="65"/>
      <c r="CA352" s="40" t="s">
        <v>3</v>
      </c>
      <c r="CB352" s="65"/>
      <c r="CC352" s="40">
        <v>-42.19008264462812</v>
      </c>
      <c r="CD352" s="40">
        <v>-121.9900826446281</v>
      </c>
      <c r="CE352" s="40">
        <v>-141.19008264462812</v>
      </c>
      <c r="CF352" s="65"/>
      <c r="CG352" s="40">
        <v>-47.590082644628097</v>
      </c>
      <c r="CH352" s="40">
        <v>-136.39008264462811</v>
      </c>
      <c r="CI352" s="40">
        <v>-136.39008264462811</v>
      </c>
      <c r="CJ352" s="40">
        <v>-138.79008264462811</v>
      </c>
      <c r="CK352" s="40">
        <v>-138.79008264462811</v>
      </c>
    </row>
    <row r="353" spans="1:89" s="2" customFormat="1">
      <c r="A353" s="196" t="s">
        <v>1161</v>
      </c>
      <c r="B353" s="211" t="s">
        <v>57</v>
      </c>
      <c r="C353" s="211" t="s">
        <v>537</v>
      </c>
      <c r="D353" s="41">
        <v>748</v>
      </c>
      <c r="E353" s="41">
        <v>2.5</v>
      </c>
      <c r="F353" s="22" t="s">
        <v>1140</v>
      </c>
      <c r="G353" s="40">
        <v>24</v>
      </c>
      <c r="H353" s="388">
        <v>376.85950413223139</v>
      </c>
      <c r="I353" s="321"/>
      <c r="J353" s="40" t="s">
        <v>3</v>
      </c>
      <c r="K353" s="36" t="s">
        <v>3</v>
      </c>
      <c r="L353" s="37"/>
      <c r="M353" s="35">
        <v>129</v>
      </c>
      <c r="N353" s="136">
        <v>7.7</v>
      </c>
      <c r="O353" s="35">
        <v>19</v>
      </c>
      <c r="P353" s="136">
        <v>9.1</v>
      </c>
      <c r="Q353" s="37">
        <v>19</v>
      </c>
      <c r="R353" s="136">
        <v>8.3000000000000007</v>
      </c>
      <c r="S353" s="37"/>
      <c r="T353" s="35">
        <v>0</v>
      </c>
      <c r="U353" s="136">
        <v>13.100000000000001</v>
      </c>
      <c r="V353" s="35">
        <v>0</v>
      </c>
      <c r="W353" s="136">
        <v>9.3000000000000007</v>
      </c>
      <c r="X353" s="35">
        <v>0</v>
      </c>
      <c r="Y353" s="149">
        <v>9.3000000000000007</v>
      </c>
      <c r="Z353" s="35">
        <v>0</v>
      </c>
      <c r="AA353" s="136">
        <v>9.3000000000000007</v>
      </c>
      <c r="AB353" s="37">
        <v>0</v>
      </c>
      <c r="AC353" s="136">
        <v>9.3000000000000007</v>
      </c>
      <c r="AD353" s="37"/>
      <c r="AE353" s="40">
        <v>371</v>
      </c>
      <c r="AF353" s="65"/>
      <c r="AG353" s="35">
        <v>0</v>
      </c>
      <c r="AH353" s="36">
        <v>0</v>
      </c>
      <c r="AI353" s="37"/>
      <c r="AJ353" s="35">
        <v>434</v>
      </c>
      <c r="AK353" s="36">
        <v>184.8</v>
      </c>
      <c r="AL353" s="35">
        <v>511</v>
      </c>
      <c r="AM353" s="36">
        <v>218.39999999999998</v>
      </c>
      <c r="AN353" s="35">
        <v>530</v>
      </c>
      <c r="AO353" s="36">
        <v>199.20000000000002</v>
      </c>
      <c r="AP353" s="37"/>
      <c r="AQ353" s="35">
        <v>434</v>
      </c>
      <c r="AR353" s="36">
        <v>314.40000000000003</v>
      </c>
      <c r="AS353" s="35">
        <v>525</v>
      </c>
      <c r="AT353" s="36">
        <v>223.20000000000002</v>
      </c>
      <c r="AU353" s="35">
        <v>525</v>
      </c>
      <c r="AV353" s="36">
        <v>223.20000000000002</v>
      </c>
      <c r="AW353" s="35">
        <v>525</v>
      </c>
      <c r="AX353" s="36">
        <v>223.20000000000002</v>
      </c>
      <c r="AY353" s="35">
        <v>525</v>
      </c>
      <c r="AZ353" s="36">
        <v>223.20000000000002</v>
      </c>
      <c r="BB353" s="40">
        <v>0</v>
      </c>
      <c r="BC353" s="65"/>
      <c r="BD353" s="35">
        <v>0</v>
      </c>
      <c r="BE353" s="36">
        <v>0</v>
      </c>
      <c r="BF353" s="37"/>
      <c r="BG353" s="415">
        <v>0</v>
      </c>
      <c r="BH353" s="353">
        <v>0</v>
      </c>
      <c r="BI353" s="415">
        <v>0</v>
      </c>
      <c r="BJ353" s="353">
        <v>0</v>
      </c>
      <c r="BK353" s="415">
        <v>0</v>
      </c>
      <c r="BL353" s="353">
        <v>0</v>
      </c>
      <c r="BM353" s="416"/>
      <c r="BN353" s="415">
        <v>0</v>
      </c>
      <c r="BO353" s="353">
        <v>0</v>
      </c>
      <c r="BP353" s="415">
        <v>0</v>
      </c>
      <c r="BQ353" s="353">
        <v>0</v>
      </c>
      <c r="BR353" s="415">
        <v>0</v>
      </c>
      <c r="BS353" s="353">
        <v>0</v>
      </c>
      <c r="BT353" s="415">
        <v>0</v>
      </c>
      <c r="BU353" s="353">
        <v>0</v>
      </c>
      <c r="BV353" s="415">
        <v>0</v>
      </c>
      <c r="BW353" s="353">
        <v>0</v>
      </c>
      <c r="BY353" s="80"/>
      <c r="BZ353" s="65"/>
      <c r="CA353" s="40" t="s">
        <v>3</v>
      </c>
      <c r="CB353" s="65"/>
      <c r="CC353" s="40">
        <v>-63.059504132231382</v>
      </c>
      <c r="CD353" s="40">
        <v>-139.45950413223142</v>
      </c>
      <c r="CE353" s="40">
        <v>-158.65950413223138</v>
      </c>
      <c r="CF353" s="65"/>
      <c r="CG353" s="40">
        <v>-62.459504132231359</v>
      </c>
      <c r="CH353" s="40">
        <v>-153.65950413223138</v>
      </c>
      <c r="CI353" s="40">
        <v>-153.65950413223138</v>
      </c>
      <c r="CJ353" s="40">
        <v>-153.65950413223138</v>
      </c>
      <c r="CK353" s="40">
        <v>-153.65950413223138</v>
      </c>
    </row>
    <row r="354" spans="1:89" s="2" customFormat="1">
      <c r="A354" s="196" t="s">
        <v>1162</v>
      </c>
      <c r="B354" s="211" t="s">
        <v>57</v>
      </c>
      <c r="C354" s="211" t="s">
        <v>537</v>
      </c>
      <c r="D354" s="41">
        <v>748</v>
      </c>
      <c r="E354" s="41">
        <v>2.5</v>
      </c>
      <c r="F354" s="41" t="s">
        <v>1140</v>
      </c>
      <c r="G354" s="413">
        <v>30</v>
      </c>
      <c r="H354" s="414">
        <v>376.85950413223139</v>
      </c>
      <c r="I354" s="321"/>
      <c r="J354" s="40" t="s">
        <v>3</v>
      </c>
      <c r="K354" s="36" t="s">
        <v>3</v>
      </c>
      <c r="L354" s="37"/>
      <c r="M354" s="35">
        <v>129</v>
      </c>
      <c r="N354" s="136">
        <v>6.2</v>
      </c>
      <c r="O354" s="35">
        <v>19</v>
      </c>
      <c r="P354" s="136">
        <v>7.3000000000000007</v>
      </c>
      <c r="Q354" s="37">
        <v>19</v>
      </c>
      <c r="R354" s="136">
        <v>6.7</v>
      </c>
      <c r="S354" s="37"/>
      <c r="T354" s="35">
        <v>0</v>
      </c>
      <c r="U354" s="136">
        <v>10.5</v>
      </c>
      <c r="V354" s="35">
        <v>0</v>
      </c>
      <c r="W354" s="136">
        <v>7.5</v>
      </c>
      <c r="X354" s="35">
        <v>0</v>
      </c>
      <c r="Y354" s="149">
        <v>7.5</v>
      </c>
      <c r="Z354" s="35">
        <v>0</v>
      </c>
      <c r="AA354" s="136">
        <v>7.4</v>
      </c>
      <c r="AB354" s="37">
        <v>0</v>
      </c>
      <c r="AC354" s="136">
        <v>7.4</v>
      </c>
      <c r="AD354" s="37"/>
      <c r="AE354" s="40">
        <v>371</v>
      </c>
      <c r="AF354" s="65"/>
      <c r="AG354" s="35">
        <v>0</v>
      </c>
      <c r="AH354" s="36">
        <v>0</v>
      </c>
      <c r="AI354" s="37"/>
      <c r="AJ354" s="35">
        <v>433</v>
      </c>
      <c r="AK354" s="36">
        <v>186</v>
      </c>
      <c r="AL354" s="35">
        <v>510</v>
      </c>
      <c r="AM354" s="36">
        <v>219.00000000000003</v>
      </c>
      <c r="AN354" s="37">
        <v>528</v>
      </c>
      <c r="AO354" s="36">
        <v>201</v>
      </c>
      <c r="AP354" s="37"/>
      <c r="AQ354" s="35">
        <v>433</v>
      </c>
      <c r="AR354" s="36">
        <v>315</v>
      </c>
      <c r="AS354" s="35">
        <v>523</v>
      </c>
      <c r="AT354" s="36">
        <v>225</v>
      </c>
      <c r="AU354" s="37">
        <v>523</v>
      </c>
      <c r="AV354" s="36">
        <v>225</v>
      </c>
      <c r="AW354" s="37">
        <v>526</v>
      </c>
      <c r="AX354" s="36">
        <v>222</v>
      </c>
      <c r="AY354" s="37">
        <v>526</v>
      </c>
      <c r="AZ354" s="36">
        <v>222</v>
      </c>
      <c r="BB354" s="40">
        <v>0</v>
      </c>
      <c r="BC354" s="65"/>
      <c r="BD354" s="35">
        <v>0</v>
      </c>
      <c r="BE354" s="36">
        <v>0</v>
      </c>
      <c r="BF354" s="37"/>
      <c r="BG354" s="415">
        <v>0</v>
      </c>
      <c r="BH354" s="353">
        <v>0</v>
      </c>
      <c r="BI354" s="415">
        <v>0</v>
      </c>
      <c r="BJ354" s="353">
        <v>0</v>
      </c>
      <c r="BK354" s="415">
        <v>0</v>
      </c>
      <c r="BL354" s="353">
        <v>0</v>
      </c>
      <c r="BM354" s="416"/>
      <c r="BN354" s="415">
        <v>0</v>
      </c>
      <c r="BO354" s="353">
        <v>0</v>
      </c>
      <c r="BP354" s="415">
        <v>0</v>
      </c>
      <c r="BQ354" s="353">
        <v>0</v>
      </c>
      <c r="BR354" s="415">
        <v>0</v>
      </c>
      <c r="BS354" s="353">
        <v>0</v>
      </c>
      <c r="BT354" s="415">
        <v>0</v>
      </c>
      <c r="BU354" s="353">
        <v>0</v>
      </c>
      <c r="BV354" s="415">
        <v>0</v>
      </c>
      <c r="BW354" s="353">
        <v>0</v>
      </c>
      <c r="BY354" s="80"/>
      <c r="BZ354" s="65"/>
      <c r="CA354" s="40" t="s">
        <v>3</v>
      </c>
      <c r="CB354" s="65"/>
      <c r="CC354" s="40">
        <v>-61.859504132231393</v>
      </c>
      <c r="CD354" s="40">
        <v>-138.85950413223136</v>
      </c>
      <c r="CE354" s="40">
        <v>-156.85950413223139</v>
      </c>
      <c r="CF354" s="65"/>
      <c r="CG354" s="40">
        <v>-61.859504132231393</v>
      </c>
      <c r="CH354" s="40">
        <v>-151.85950413223139</v>
      </c>
      <c r="CI354" s="40">
        <v>-151.85950413223139</v>
      </c>
      <c r="CJ354" s="40">
        <v>-154.85950413223139</v>
      </c>
      <c r="CK354" s="40">
        <v>-154.85950413223139</v>
      </c>
    </row>
    <row r="355" spans="1:89" s="2" customFormat="1">
      <c r="A355" s="196" t="s">
        <v>1129</v>
      </c>
      <c r="B355" s="211" t="s">
        <v>669</v>
      </c>
      <c r="C355" s="211" t="s">
        <v>409</v>
      </c>
      <c r="D355" s="41">
        <v>53</v>
      </c>
      <c r="E355" s="41">
        <v>5.25</v>
      </c>
      <c r="F355" s="22" t="s">
        <v>1130</v>
      </c>
      <c r="G355" s="40">
        <v>24</v>
      </c>
      <c r="H355" s="388">
        <v>52.892561983471076</v>
      </c>
      <c r="I355" s="321"/>
      <c r="J355" s="40" t="s">
        <v>3</v>
      </c>
      <c r="K355" s="36" t="s">
        <v>3</v>
      </c>
      <c r="L355" s="37"/>
      <c r="M355" s="35">
        <v>0</v>
      </c>
      <c r="N355" s="136">
        <v>1.3</v>
      </c>
      <c r="O355" s="35">
        <v>0</v>
      </c>
      <c r="P355" s="136">
        <v>1.3</v>
      </c>
      <c r="Q355" s="37">
        <v>0</v>
      </c>
      <c r="R355" s="136">
        <v>1.3</v>
      </c>
      <c r="S355" s="37"/>
      <c r="T355" s="35">
        <v>0</v>
      </c>
      <c r="U355" s="136">
        <v>0</v>
      </c>
      <c r="V355" s="35">
        <v>0</v>
      </c>
      <c r="W355" s="136">
        <v>0</v>
      </c>
      <c r="X355" s="35">
        <v>0</v>
      </c>
      <c r="Y355" s="149">
        <v>0</v>
      </c>
      <c r="Z355" s="35">
        <v>0</v>
      </c>
      <c r="AA355" s="136">
        <v>0</v>
      </c>
      <c r="AB355" s="37">
        <v>0</v>
      </c>
      <c r="AC355" s="136">
        <v>0</v>
      </c>
      <c r="AD355" s="37"/>
      <c r="AE355" s="40">
        <v>0</v>
      </c>
      <c r="AF355" s="65"/>
      <c r="AG355" s="35">
        <v>0</v>
      </c>
      <c r="AH355" s="36">
        <v>0</v>
      </c>
      <c r="AI355" s="37"/>
      <c r="AJ355" s="35">
        <v>22</v>
      </c>
      <c r="AK355" s="36">
        <v>31.200000000000003</v>
      </c>
      <c r="AL355" s="35">
        <v>22</v>
      </c>
      <c r="AM355" s="36">
        <v>31.200000000000003</v>
      </c>
      <c r="AN355" s="35">
        <v>22</v>
      </c>
      <c r="AO355" s="36">
        <v>31.200000000000003</v>
      </c>
      <c r="AP355" s="37"/>
      <c r="AQ355" s="35">
        <v>53</v>
      </c>
      <c r="AR355" s="36">
        <v>0</v>
      </c>
      <c r="AS355" s="35">
        <v>53</v>
      </c>
      <c r="AT355" s="36">
        <v>0</v>
      </c>
      <c r="AU355" s="35">
        <v>53</v>
      </c>
      <c r="AV355" s="36">
        <v>0</v>
      </c>
      <c r="AW355" s="35">
        <v>53</v>
      </c>
      <c r="AX355" s="36">
        <v>0</v>
      </c>
      <c r="AY355" s="35">
        <v>53</v>
      </c>
      <c r="AZ355" s="36">
        <v>0</v>
      </c>
      <c r="BB355" s="40">
        <v>0</v>
      </c>
      <c r="BC355" s="65"/>
      <c r="BD355" s="35">
        <v>0</v>
      </c>
      <c r="BE355" s="36">
        <v>0</v>
      </c>
      <c r="BF355" s="37"/>
      <c r="BG355" s="415">
        <v>0</v>
      </c>
      <c r="BH355" s="353">
        <v>0</v>
      </c>
      <c r="BI355" s="415">
        <v>0</v>
      </c>
      <c r="BJ355" s="353">
        <v>0</v>
      </c>
      <c r="BK355" s="415">
        <v>0</v>
      </c>
      <c r="BL355" s="353">
        <v>0</v>
      </c>
      <c r="BM355" s="416"/>
      <c r="BN355" s="415">
        <v>0</v>
      </c>
      <c r="BO355" s="353">
        <v>0</v>
      </c>
      <c r="BP355" s="415">
        <v>0</v>
      </c>
      <c r="BQ355" s="353">
        <v>0</v>
      </c>
      <c r="BR355" s="415">
        <v>0</v>
      </c>
      <c r="BS355" s="353">
        <v>0</v>
      </c>
      <c r="BT355" s="415">
        <v>0</v>
      </c>
      <c r="BU355" s="353">
        <v>0</v>
      </c>
      <c r="BV355" s="415">
        <v>0</v>
      </c>
      <c r="BW355" s="353">
        <v>0</v>
      </c>
      <c r="BY355" s="80"/>
      <c r="BZ355" s="65"/>
      <c r="CA355" s="40" t="s">
        <v>3</v>
      </c>
      <c r="CB355" s="65"/>
      <c r="CC355" s="40">
        <v>-21.692561983471073</v>
      </c>
      <c r="CD355" s="40">
        <v>-21.692561983471073</v>
      </c>
      <c r="CE355" s="40">
        <v>-21.692561983471073</v>
      </c>
      <c r="CF355" s="65"/>
      <c r="CG355" s="40">
        <v>-52.892561983471076</v>
      </c>
      <c r="CH355" s="40">
        <v>-52.892561983471076</v>
      </c>
      <c r="CI355" s="40">
        <v>-52.892561983471076</v>
      </c>
      <c r="CJ355" s="40">
        <v>-52.892561983471076</v>
      </c>
      <c r="CK355" s="40">
        <v>-52.892561983471076</v>
      </c>
    </row>
    <row r="356" spans="1:89" s="2" customFormat="1">
      <c r="A356" s="196" t="s">
        <v>1131</v>
      </c>
      <c r="B356" s="211" t="s">
        <v>669</v>
      </c>
      <c r="C356" s="211" t="s">
        <v>766</v>
      </c>
      <c r="D356" s="41">
        <v>191</v>
      </c>
      <c r="E356" s="41">
        <v>5.25</v>
      </c>
      <c r="F356" s="41" t="s">
        <v>1130</v>
      </c>
      <c r="G356" s="413">
        <v>24</v>
      </c>
      <c r="H356" s="414">
        <v>182.64462809917356</v>
      </c>
      <c r="I356" s="321"/>
      <c r="J356" s="40" t="s">
        <v>3</v>
      </c>
      <c r="K356" s="36" t="s">
        <v>3</v>
      </c>
      <c r="L356" s="37"/>
      <c r="M356" s="35">
        <v>29</v>
      </c>
      <c r="N356" s="136">
        <v>5.2</v>
      </c>
      <c r="O356" s="35">
        <v>0</v>
      </c>
      <c r="P356" s="136">
        <v>3.1</v>
      </c>
      <c r="Q356" s="37">
        <v>0</v>
      </c>
      <c r="R356" s="136">
        <v>2.3000000000000003</v>
      </c>
      <c r="S356" s="37"/>
      <c r="T356" s="35">
        <v>0</v>
      </c>
      <c r="U356" s="136">
        <v>6.5</v>
      </c>
      <c r="V356" s="35">
        <v>0</v>
      </c>
      <c r="W356" s="136">
        <v>3.4000000000000004</v>
      </c>
      <c r="X356" s="35">
        <v>0</v>
      </c>
      <c r="Y356" s="149">
        <v>3.4000000000000004</v>
      </c>
      <c r="Z356" s="35">
        <v>0</v>
      </c>
      <c r="AA356" s="136">
        <v>3.3000000000000003</v>
      </c>
      <c r="AB356" s="37">
        <v>0</v>
      </c>
      <c r="AC356" s="136">
        <v>3.3000000000000003</v>
      </c>
      <c r="AD356" s="37"/>
      <c r="AE356" s="40">
        <v>8</v>
      </c>
      <c r="AF356" s="65"/>
      <c r="AG356" s="35">
        <v>0</v>
      </c>
      <c r="AH356" s="36">
        <v>0</v>
      </c>
      <c r="AI356" s="37"/>
      <c r="AJ356" s="35">
        <v>37</v>
      </c>
      <c r="AK356" s="36">
        <v>124.80000000000001</v>
      </c>
      <c r="AL356" s="35">
        <v>117</v>
      </c>
      <c r="AM356" s="36">
        <v>74.400000000000006</v>
      </c>
      <c r="AN356" s="37">
        <v>136</v>
      </c>
      <c r="AO356" s="36">
        <v>55.2</v>
      </c>
      <c r="AP356" s="37"/>
      <c r="AQ356" s="35">
        <v>35</v>
      </c>
      <c r="AR356" s="36">
        <v>156</v>
      </c>
      <c r="AS356" s="35">
        <v>109</v>
      </c>
      <c r="AT356" s="36">
        <v>81.600000000000009</v>
      </c>
      <c r="AU356" s="37">
        <v>109</v>
      </c>
      <c r="AV356" s="36">
        <v>81.600000000000009</v>
      </c>
      <c r="AW356" s="37">
        <v>112</v>
      </c>
      <c r="AX356" s="36">
        <v>79.2</v>
      </c>
      <c r="AY356" s="37">
        <v>112</v>
      </c>
      <c r="AZ356" s="36">
        <v>79.2</v>
      </c>
      <c r="BB356" s="40">
        <v>0</v>
      </c>
      <c r="BC356" s="65"/>
      <c r="BD356" s="35">
        <v>0</v>
      </c>
      <c r="BE356" s="36">
        <v>0</v>
      </c>
      <c r="BF356" s="37"/>
      <c r="BG356" s="415">
        <v>0</v>
      </c>
      <c r="BH356" s="353">
        <v>0</v>
      </c>
      <c r="BI356" s="415">
        <v>0</v>
      </c>
      <c r="BJ356" s="353">
        <v>0</v>
      </c>
      <c r="BK356" s="415">
        <v>0</v>
      </c>
      <c r="BL356" s="353">
        <v>0</v>
      </c>
      <c r="BM356" s="416"/>
      <c r="BN356" s="415">
        <v>0</v>
      </c>
      <c r="BO356" s="353">
        <v>0</v>
      </c>
      <c r="BP356" s="415">
        <v>0</v>
      </c>
      <c r="BQ356" s="353">
        <v>0</v>
      </c>
      <c r="BR356" s="415">
        <v>0</v>
      </c>
      <c r="BS356" s="353">
        <v>0</v>
      </c>
      <c r="BT356" s="415">
        <v>0</v>
      </c>
      <c r="BU356" s="353">
        <v>0</v>
      </c>
      <c r="BV356" s="415">
        <v>0</v>
      </c>
      <c r="BW356" s="353">
        <v>0</v>
      </c>
      <c r="BY356" s="80"/>
      <c r="BZ356" s="65"/>
      <c r="CA356" s="40" t="s">
        <v>3</v>
      </c>
      <c r="CB356" s="65"/>
      <c r="CC356" s="40">
        <v>-28.844628099173548</v>
      </c>
      <c r="CD356" s="40">
        <v>-108.24462809917355</v>
      </c>
      <c r="CE356" s="40">
        <v>-127.44462809917356</v>
      </c>
      <c r="CF356" s="65"/>
      <c r="CG356" s="40">
        <v>-26.644628099173559</v>
      </c>
      <c r="CH356" s="40">
        <v>-101.04462809917355</v>
      </c>
      <c r="CI356" s="40">
        <v>-101.04462809917355</v>
      </c>
      <c r="CJ356" s="40">
        <v>-103.44462809917356</v>
      </c>
      <c r="CK356" s="40">
        <v>-103.44462809917356</v>
      </c>
    </row>
    <row r="357" spans="1:89" s="2" customFormat="1">
      <c r="A357" s="196" t="s">
        <v>1113</v>
      </c>
      <c r="B357" s="211" t="s">
        <v>668</v>
      </c>
      <c r="C357" s="211" t="s">
        <v>575</v>
      </c>
      <c r="D357" s="41">
        <v>72</v>
      </c>
      <c r="E357" s="41">
        <v>0</v>
      </c>
      <c r="F357" s="41" t="s">
        <v>1105</v>
      </c>
      <c r="G357" s="413">
        <v>24</v>
      </c>
      <c r="H357" s="414">
        <v>78.512396694214885</v>
      </c>
      <c r="I357" s="321"/>
      <c r="J357" s="40" t="s">
        <v>3</v>
      </c>
      <c r="K357" s="36" t="s">
        <v>3</v>
      </c>
      <c r="L357" s="37"/>
      <c r="M357" s="35">
        <v>0</v>
      </c>
      <c r="N357" s="136">
        <v>1.9000000000000001</v>
      </c>
      <c r="O357" s="35">
        <v>0</v>
      </c>
      <c r="P357" s="136">
        <v>1.9000000000000001</v>
      </c>
      <c r="Q357" s="37">
        <v>0</v>
      </c>
      <c r="R357" s="136">
        <v>1.9000000000000001</v>
      </c>
      <c r="S357" s="37"/>
      <c r="T357" s="35">
        <v>0</v>
      </c>
      <c r="U357" s="136">
        <v>2.5</v>
      </c>
      <c r="V357" s="35">
        <v>0</v>
      </c>
      <c r="W357" s="136">
        <v>2.5</v>
      </c>
      <c r="X357" s="35">
        <v>0</v>
      </c>
      <c r="Y357" s="149">
        <v>2.5</v>
      </c>
      <c r="Z357" s="35">
        <v>0</v>
      </c>
      <c r="AA357" s="136">
        <v>2.5</v>
      </c>
      <c r="AB357" s="37">
        <v>0</v>
      </c>
      <c r="AC357" s="136">
        <v>2.5</v>
      </c>
      <c r="AD357" s="37"/>
      <c r="AE357" s="40">
        <v>-7</v>
      </c>
      <c r="AF357" s="65"/>
      <c r="AG357" s="35">
        <v>0</v>
      </c>
      <c r="AH357" s="36">
        <v>0</v>
      </c>
      <c r="AI357" s="37"/>
      <c r="AJ357" s="35">
        <v>26</v>
      </c>
      <c r="AK357" s="36">
        <v>45.6</v>
      </c>
      <c r="AL357" s="35">
        <v>26</v>
      </c>
      <c r="AM357" s="36">
        <v>45.6</v>
      </c>
      <c r="AN357" s="35">
        <v>26</v>
      </c>
      <c r="AO357" s="36">
        <v>45.6</v>
      </c>
      <c r="AP357" s="37"/>
      <c r="AQ357" s="35">
        <v>12</v>
      </c>
      <c r="AR357" s="36">
        <v>60</v>
      </c>
      <c r="AS357" s="35">
        <v>12</v>
      </c>
      <c r="AT357" s="36">
        <v>60</v>
      </c>
      <c r="AU357" s="35">
        <v>12</v>
      </c>
      <c r="AV357" s="36">
        <v>60</v>
      </c>
      <c r="AW357" s="35">
        <v>12</v>
      </c>
      <c r="AX357" s="36">
        <v>60</v>
      </c>
      <c r="AY357" s="35">
        <v>12</v>
      </c>
      <c r="AZ357" s="36">
        <v>60</v>
      </c>
      <c r="BB357" s="40">
        <v>0</v>
      </c>
      <c r="BC357" s="65"/>
      <c r="BD357" s="35">
        <v>0</v>
      </c>
      <c r="BE357" s="36">
        <v>0</v>
      </c>
      <c r="BF357" s="37"/>
      <c r="BG357" s="415">
        <v>0</v>
      </c>
      <c r="BH357" s="353">
        <v>0</v>
      </c>
      <c r="BI357" s="415">
        <v>0</v>
      </c>
      <c r="BJ357" s="353">
        <v>0</v>
      </c>
      <c r="BK357" s="415">
        <v>0</v>
      </c>
      <c r="BL357" s="353">
        <v>0</v>
      </c>
      <c r="BM357" s="416"/>
      <c r="BN357" s="415">
        <v>0</v>
      </c>
      <c r="BO357" s="353">
        <v>0</v>
      </c>
      <c r="BP357" s="415">
        <v>0</v>
      </c>
      <c r="BQ357" s="353">
        <v>0</v>
      </c>
      <c r="BR357" s="415">
        <v>0</v>
      </c>
      <c r="BS357" s="353">
        <v>0</v>
      </c>
      <c r="BT357" s="415">
        <v>0</v>
      </c>
      <c r="BU357" s="353">
        <v>0</v>
      </c>
      <c r="BV357" s="415">
        <v>0</v>
      </c>
      <c r="BW357" s="353">
        <v>0</v>
      </c>
      <c r="BY357" s="80"/>
      <c r="BZ357" s="65"/>
      <c r="CA357" s="40" t="s">
        <v>3</v>
      </c>
      <c r="CB357" s="65"/>
      <c r="CC357" s="40">
        <v>-32.912396694214884</v>
      </c>
      <c r="CD357" s="40">
        <v>-32.912396694214884</v>
      </c>
      <c r="CE357" s="40">
        <v>-32.912396694214884</v>
      </c>
      <c r="CF357" s="65"/>
      <c r="CG357" s="40">
        <v>-18.512396694214885</v>
      </c>
      <c r="CH357" s="40">
        <v>-18.512396694214885</v>
      </c>
      <c r="CI357" s="40">
        <v>-18.512396694214885</v>
      </c>
      <c r="CJ357" s="40">
        <v>-18.512396694214885</v>
      </c>
      <c r="CK357" s="40">
        <v>-18.512396694214885</v>
      </c>
    </row>
    <row r="358" spans="1:89" s="2" customFormat="1">
      <c r="A358" s="196" t="s">
        <v>1114</v>
      </c>
      <c r="B358" s="211" t="s">
        <v>668</v>
      </c>
      <c r="C358" s="211" t="s">
        <v>576</v>
      </c>
      <c r="D358" s="41">
        <v>83</v>
      </c>
      <c r="E358" s="41">
        <v>0</v>
      </c>
      <c r="F358" s="22" t="s">
        <v>1105</v>
      </c>
      <c r="G358" s="40">
        <v>24</v>
      </c>
      <c r="H358" s="388">
        <v>90.909090909090907</v>
      </c>
      <c r="I358" s="321"/>
      <c r="J358" s="40" t="s">
        <v>3</v>
      </c>
      <c r="K358" s="36" t="s">
        <v>3</v>
      </c>
      <c r="L358" s="37"/>
      <c r="M358" s="35">
        <v>0</v>
      </c>
      <c r="N358" s="136">
        <v>2.9000000000000004</v>
      </c>
      <c r="O358" s="35">
        <v>0</v>
      </c>
      <c r="P358" s="136">
        <v>0.30000000000000004</v>
      </c>
      <c r="Q358" s="37">
        <v>0</v>
      </c>
      <c r="R358" s="136">
        <v>0.30000000000000004</v>
      </c>
      <c r="S358" s="37"/>
      <c r="T358" s="35">
        <v>0</v>
      </c>
      <c r="U358" s="136">
        <v>3.4000000000000004</v>
      </c>
      <c r="V358" s="35">
        <v>0</v>
      </c>
      <c r="W358" s="136">
        <v>3.4000000000000004</v>
      </c>
      <c r="X358" s="35">
        <v>0</v>
      </c>
      <c r="Y358" s="149">
        <v>3.4000000000000004</v>
      </c>
      <c r="Z358" s="35">
        <v>0</v>
      </c>
      <c r="AA358" s="136">
        <v>3.3000000000000003</v>
      </c>
      <c r="AB358" s="37">
        <v>0</v>
      </c>
      <c r="AC358" s="136">
        <v>3.3000000000000003</v>
      </c>
      <c r="AD358" s="37"/>
      <c r="AE358" s="40">
        <v>-8</v>
      </c>
      <c r="AF358" s="65"/>
      <c r="AG358" s="35">
        <v>0</v>
      </c>
      <c r="AH358" s="36">
        <v>0</v>
      </c>
      <c r="AI358" s="37"/>
      <c r="AJ358" s="35">
        <v>13</v>
      </c>
      <c r="AK358" s="36">
        <v>69.600000000000009</v>
      </c>
      <c r="AL358" s="35">
        <v>76</v>
      </c>
      <c r="AM358" s="36">
        <v>7.2000000000000011</v>
      </c>
      <c r="AN358" s="37">
        <v>76</v>
      </c>
      <c r="AO358" s="36">
        <v>7.2000000000000011</v>
      </c>
      <c r="AP358" s="37"/>
      <c r="AQ358" s="35">
        <v>1</v>
      </c>
      <c r="AR358" s="36">
        <v>81.600000000000009</v>
      </c>
      <c r="AS358" s="35">
        <v>1</v>
      </c>
      <c r="AT358" s="36">
        <v>81.600000000000009</v>
      </c>
      <c r="AU358" s="37">
        <v>1</v>
      </c>
      <c r="AV358" s="36">
        <v>81.600000000000009</v>
      </c>
      <c r="AW358" s="37">
        <v>4</v>
      </c>
      <c r="AX358" s="36">
        <v>79.2</v>
      </c>
      <c r="AY358" s="37">
        <v>4</v>
      </c>
      <c r="AZ358" s="36">
        <v>79.2</v>
      </c>
      <c r="BB358" s="40">
        <v>0</v>
      </c>
      <c r="BC358" s="65"/>
      <c r="BD358" s="35">
        <v>0</v>
      </c>
      <c r="BE358" s="36">
        <v>0</v>
      </c>
      <c r="BF358" s="37"/>
      <c r="BG358" s="415">
        <v>0</v>
      </c>
      <c r="BH358" s="353">
        <v>0</v>
      </c>
      <c r="BI358" s="415">
        <v>0</v>
      </c>
      <c r="BJ358" s="353">
        <v>0</v>
      </c>
      <c r="BK358" s="415">
        <v>0</v>
      </c>
      <c r="BL358" s="353">
        <v>0</v>
      </c>
      <c r="BM358" s="416"/>
      <c r="BN358" s="415">
        <v>0</v>
      </c>
      <c r="BO358" s="353">
        <v>0</v>
      </c>
      <c r="BP358" s="415">
        <v>0</v>
      </c>
      <c r="BQ358" s="353">
        <v>0</v>
      </c>
      <c r="BR358" s="415">
        <v>0</v>
      </c>
      <c r="BS358" s="353">
        <v>0</v>
      </c>
      <c r="BT358" s="415">
        <v>0</v>
      </c>
      <c r="BU358" s="353">
        <v>0</v>
      </c>
      <c r="BV358" s="415">
        <v>0</v>
      </c>
      <c r="BW358" s="353">
        <v>0</v>
      </c>
      <c r="BY358" s="80"/>
      <c r="BZ358" s="65"/>
      <c r="CA358" s="40" t="s">
        <v>3</v>
      </c>
      <c r="CB358" s="65"/>
      <c r="CC358" s="40">
        <v>-21.309090909090898</v>
      </c>
      <c r="CD358" s="40">
        <v>-83.709090909090904</v>
      </c>
      <c r="CE358" s="40">
        <v>-83.709090909090904</v>
      </c>
      <c r="CF358" s="65"/>
      <c r="CG358" s="40">
        <v>-9.309090909090898</v>
      </c>
      <c r="CH358" s="40">
        <v>-9.309090909090898</v>
      </c>
      <c r="CI358" s="40">
        <v>-9.309090909090898</v>
      </c>
      <c r="CJ358" s="40">
        <v>-11.709090909090904</v>
      </c>
      <c r="CK358" s="40">
        <v>-11.709090909090904</v>
      </c>
    </row>
    <row r="359" spans="1:89" s="2" customFormat="1">
      <c r="A359" s="196" t="s">
        <v>1115</v>
      </c>
      <c r="B359" s="211" t="s">
        <v>60</v>
      </c>
      <c r="C359" s="211" t="s">
        <v>637</v>
      </c>
      <c r="D359" s="41">
        <v>367</v>
      </c>
      <c r="E359" s="41">
        <v>0</v>
      </c>
      <c r="F359" s="41" t="s">
        <v>1105</v>
      </c>
      <c r="G359" s="413">
        <v>24</v>
      </c>
      <c r="H359" s="414">
        <v>366.94214876033061</v>
      </c>
      <c r="I359" s="321"/>
      <c r="J359" s="40" t="s">
        <v>3</v>
      </c>
      <c r="K359" s="36" t="s">
        <v>3</v>
      </c>
      <c r="L359" s="37"/>
      <c r="M359" s="35">
        <v>129</v>
      </c>
      <c r="N359" s="136">
        <v>7.3000000000000007</v>
      </c>
      <c r="O359" s="35">
        <v>19</v>
      </c>
      <c r="P359" s="136">
        <v>8.9</v>
      </c>
      <c r="Q359" s="37">
        <v>19</v>
      </c>
      <c r="R359" s="136">
        <v>7.9</v>
      </c>
      <c r="S359" s="37"/>
      <c r="T359" s="35">
        <v>0</v>
      </c>
      <c r="U359" s="136">
        <v>12.9</v>
      </c>
      <c r="V359" s="35">
        <v>0</v>
      </c>
      <c r="W359" s="136">
        <v>8.3000000000000007</v>
      </c>
      <c r="X359" s="35">
        <v>0</v>
      </c>
      <c r="Y359" s="149">
        <v>8.3000000000000007</v>
      </c>
      <c r="Z359" s="35">
        <v>0</v>
      </c>
      <c r="AA359" s="136">
        <v>8.3000000000000007</v>
      </c>
      <c r="AB359" s="37">
        <v>0</v>
      </c>
      <c r="AC359" s="136">
        <v>8.3000000000000007</v>
      </c>
      <c r="AD359" s="37"/>
      <c r="AE359" s="40">
        <v>0</v>
      </c>
      <c r="AF359" s="65"/>
      <c r="AG359" s="35">
        <v>0</v>
      </c>
      <c r="AH359" s="36">
        <v>0</v>
      </c>
      <c r="AI359" s="37"/>
      <c r="AJ359" s="35">
        <v>63</v>
      </c>
      <c r="AK359" s="36">
        <v>175.20000000000002</v>
      </c>
      <c r="AL359" s="35">
        <v>134</v>
      </c>
      <c r="AM359" s="36">
        <v>213.60000000000002</v>
      </c>
      <c r="AN359" s="35">
        <v>158</v>
      </c>
      <c r="AO359" s="36">
        <v>189.60000000000002</v>
      </c>
      <c r="AP359" s="37"/>
      <c r="AQ359" s="35">
        <v>57</v>
      </c>
      <c r="AR359" s="36">
        <v>309.60000000000002</v>
      </c>
      <c r="AS359" s="35">
        <v>168</v>
      </c>
      <c r="AT359" s="36">
        <v>199.20000000000002</v>
      </c>
      <c r="AU359" s="35">
        <v>168</v>
      </c>
      <c r="AV359" s="36">
        <v>199.20000000000002</v>
      </c>
      <c r="AW359" s="35">
        <v>168</v>
      </c>
      <c r="AX359" s="36">
        <v>199.20000000000002</v>
      </c>
      <c r="AY359" s="35">
        <v>168</v>
      </c>
      <c r="AZ359" s="36">
        <v>199.20000000000002</v>
      </c>
      <c r="BB359" s="40">
        <v>0</v>
      </c>
      <c r="BC359" s="65"/>
      <c r="BD359" s="35">
        <v>0</v>
      </c>
      <c r="BE359" s="36">
        <v>0</v>
      </c>
      <c r="BF359" s="37"/>
      <c r="BG359" s="415">
        <v>0</v>
      </c>
      <c r="BH359" s="353">
        <v>0</v>
      </c>
      <c r="BI359" s="415">
        <v>0</v>
      </c>
      <c r="BJ359" s="353">
        <v>0</v>
      </c>
      <c r="BK359" s="415">
        <v>0</v>
      </c>
      <c r="BL359" s="353">
        <v>0</v>
      </c>
      <c r="BM359" s="416"/>
      <c r="BN359" s="415">
        <v>0</v>
      </c>
      <c r="BO359" s="353">
        <v>0</v>
      </c>
      <c r="BP359" s="415">
        <v>0</v>
      </c>
      <c r="BQ359" s="353">
        <v>0</v>
      </c>
      <c r="BR359" s="415">
        <v>0</v>
      </c>
      <c r="BS359" s="353">
        <v>0</v>
      </c>
      <c r="BT359" s="415">
        <v>0</v>
      </c>
      <c r="BU359" s="353">
        <v>0</v>
      </c>
      <c r="BV359" s="415">
        <v>0</v>
      </c>
      <c r="BW359" s="353">
        <v>0</v>
      </c>
      <c r="BY359" s="80"/>
      <c r="BZ359" s="65"/>
      <c r="CA359" s="40" t="s">
        <v>3</v>
      </c>
      <c r="CB359" s="65"/>
      <c r="CC359" s="40">
        <v>-62.742148760330565</v>
      </c>
      <c r="CD359" s="40">
        <v>-134.34214876033059</v>
      </c>
      <c r="CE359" s="40">
        <v>-158.34214876033059</v>
      </c>
      <c r="CF359" s="65"/>
      <c r="CG359" s="40">
        <v>-57.342148760330588</v>
      </c>
      <c r="CH359" s="40">
        <v>-167.74214876033059</v>
      </c>
      <c r="CI359" s="40">
        <v>-167.74214876033059</v>
      </c>
      <c r="CJ359" s="40">
        <v>-167.74214876033059</v>
      </c>
      <c r="CK359" s="40">
        <v>-167.74214876033059</v>
      </c>
    </row>
    <row r="360" spans="1:89" s="2" customFormat="1">
      <c r="A360" s="196" t="s">
        <v>1116</v>
      </c>
      <c r="B360" s="211" t="s">
        <v>60</v>
      </c>
      <c r="C360" s="211" t="s">
        <v>637</v>
      </c>
      <c r="D360" s="41">
        <v>367</v>
      </c>
      <c r="E360" s="41">
        <v>0</v>
      </c>
      <c r="F360" s="22" t="s">
        <v>1105</v>
      </c>
      <c r="G360" s="40">
        <v>30</v>
      </c>
      <c r="H360" s="388">
        <v>366.94214876033061</v>
      </c>
      <c r="I360" s="321"/>
      <c r="J360" s="40" t="s">
        <v>3</v>
      </c>
      <c r="K360" s="36" t="s">
        <v>3</v>
      </c>
      <c r="L360" s="37"/>
      <c r="M360" s="35">
        <v>129</v>
      </c>
      <c r="N360" s="136">
        <v>5.9</v>
      </c>
      <c r="O360" s="35">
        <v>19</v>
      </c>
      <c r="P360" s="136">
        <v>7.2</v>
      </c>
      <c r="Q360" s="37">
        <v>19</v>
      </c>
      <c r="R360" s="136">
        <v>6.4</v>
      </c>
      <c r="S360" s="37"/>
      <c r="T360" s="35">
        <v>0</v>
      </c>
      <c r="U360" s="136">
        <v>10.4</v>
      </c>
      <c r="V360" s="35">
        <v>0</v>
      </c>
      <c r="W360" s="136">
        <v>6.7</v>
      </c>
      <c r="X360" s="35">
        <v>0</v>
      </c>
      <c r="Y360" s="149">
        <v>6.7</v>
      </c>
      <c r="Z360" s="35">
        <v>0</v>
      </c>
      <c r="AA360" s="136">
        <v>6.6000000000000005</v>
      </c>
      <c r="AB360" s="37">
        <v>0</v>
      </c>
      <c r="AC360" s="136">
        <v>6.6000000000000005</v>
      </c>
      <c r="AD360" s="37"/>
      <c r="AE360" s="40">
        <v>0</v>
      </c>
      <c r="AF360" s="65"/>
      <c r="AG360" s="35">
        <v>0</v>
      </c>
      <c r="AH360" s="36">
        <v>0</v>
      </c>
      <c r="AI360" s="37"/>
      <c r="AJ360" s="35">
        <v>61</v>
      </c>
      <c r="AK360" s="36">
        <v>177</v>
      </c>
      <c r="AL360" s="35">
        <v>132</v>
      </c>
      <c r="AM360" s="36">
        <v>216</v>
      </c>
      <c r="AN360" s="37">
        <v>156</v>
      </c>
      <c r="AO360" s="36">
        <v>192</v>
      </c>
      <c r="AP360" s="37"/>
      <c r="AQ360" s="35">
        <v>55</v>
      </c>
      <c r="AR360" s="36">
        <v>312</v>
      </c>
      <c r="AS360" s="35">
        <v>166</v>
      </c>
      <c r="AT360" s="36">
        <v>201</v>
      </c>
      <c r="AU360" s="37">
        <v>166</v>
      </c>
      <c r="AV360" s="36">
        <v>201</v>
      </c>
      <c r="AW360" s="37">
        <v>169</v>
      </c>
      <c r="AX360" s="36">
        <v>198.00000000000003</v>
      </c>
      <c r="AY360" s="37">
        <v>169</v>
      </c>
      <c r="AZ360" s="36">
        <v>198.00000000000003</v>
      </c>
      <c r="BB360" s="40">
        <v>0</v>
      </c>
      <c r="BC360" s="65"/>
      <c r="BD360" s="35">
        <v>0</v>
      </c>
      <c r="BE360" s="36">
        <v>0</v>
      </c>
      <c r="BF360" s="37"/>
      <c r="BG360" s="415">
        <v>0</v>
      </c>
      <c r="BH360" s="353">
        <v>0</v>
      </c>
      <c r="BI360" s="415">
        <v>0</v>
      </c>
      <c r="BJ360" s="353">
        <v>0</v>
      </c>
      <c r="BK360" s="415">
        <v>0</v>
      </c>
      <c r="BL360" s="353">
        <v>0</v>
      </c>
      <c r="BM360" s="416"/>
      <c r="BN360" s="415">
        <v>0</v>
      </c>
      <c r="BO360" s="353">
        <v>0</v>
      </c>
      <c r="BP360" s="415">
        <v>0</v>
      </c>
      <c r="BQ360" s="353">
        <v>0</v>
      </c>
      <c r="BR360" s="415">
        <v>0</v>
      </c>
      <c r="BS360" s="353">
        <v>0</v>
      </c>
      <c r="BT360" s="415">
        <v>0</v>
      </c>
      <c r="BU360" s="353">
        <v>0</v>
      </c>
      <c r="BV360" s="415">
        <v>0</v>
      </c>
      <c r="BW360" s="353">
        <v>0</v>
      </c>
      <c r="BY360" s="80"/>
      <c r="BZ360" s="65"/>
      <c r="CA360" s="40" t="s">
        <v>3</v>
      </c>
      <c r="CB360" s="65"/>
      <c r="CC360" s="40">
        <v>-60.94214876033061</v>
      </c>
      <c r="CD360" s="40">
        <v>-131.94214876033061</v>
      </c>
      <c r="CE360" s="40">
        <v>-155.94214876033061</v>
      </c>
      <c r="CF360" s="65"/>
      <c r="CG360" s="40">
        <v>-54.94214876033061</v>
      </c>
      <c r="CH360" s="40">
        <v>-165.94214876033061</v>
      </c>
      <c r="CI360" s="40">
        <v>-165.94214876033061</v>
      </c>
      <c r="CJ360" s="40">
        <v>-168.94214876033058</v>
      </c>
      <c r="CK360" s="40">
        <v>-168.94214876033058</v>
      </c>
    </row>
    <row r="361" spans="1:89" s="2" customFormat="1">
      <c r="A361" s="196" t="s">
        <v>1107</v>
      </c>
      <c r="B361" s="211" t="s">
        <v>1104</v>
      </c>
      <c r="C361" s="211" t="s">
        <v>768</v>
      </c>
      <c r="D361" s="41">
        <v>375</v>
      </c>
      <c r="E361" s="41">
        <v>0</v>
      </c>
      <c r="F361" s="41" t="s">
        <v>1105</v>
      </c>
      <c r="G361" s="413">
        <v>24</v>
      </c>
      <c r="H361" s="414">
        <v>317.35537190082647</v>
      </c>
      <c r="I361" s="321"/>
      <c r="J361" s="40" t="s">
        <v>3</v>
      </c>
      <c r="K361" s="36" t="s">
        <v>3</v>
      </c>
      <c r="L361" s="37"/>
      <c r="M361" s="35">
        <v>99</v>
      </c>
      <c r="N361" s="136">
        <v>6.2</v>
      </c>
      <c r="O361" s="35">
        <v>19</v>
      </c>
      <c r="P361" s="136">
        <v>6.9</v>
      </c>
      <c r="Q361" s="37">
        <v>19</v>
      </c>
      <c r="R361" s="136">
        <v>5.8000000000000007</v>
      </c>
      <c r="S361" s="37"/>
      <c r="T361" s="35">
        <v>0</v>
      </c>
      <c r="U361" s="136">
        <v>10.8</v>
      </c>
      <c r="V361" s="35">
        <v>0</v>
      </c>
      <c r="W361" s="136">
        <v>7.3000000000000007</v>
      </c>
      <c r="X361" s="35">
        <v>0</v>
      </c>
      <c r="Y361" s="149">
        <v>7.3000000000000007</v>
      </c>
      <c r="Z361" s="35">
        <v>0</v>
      </c>
      <c r="AA361" s="136">
        <v>7.5</v>
      </c>
      <c r="AB361" s="37">
        <v>0</v>
      </c>
      <c r="AC361" s="136">
        <v>7.5</v>
      </c>
      <c r="AD361" s="37"/>
      <c r="AE361" s="40">
        <v>58</v>
      </c>
      <c r="AF361" s="65"/>
      <c r="AG361" s="35">
        <v>0</v>
      </c>
      <c r="AH361" s="36">
        <v>0</v>
      </c>
      <c r="AI361" s="37"/>
      <c r="AJ361" s="35">
        <v>127</v>
      </c>
      <c r="AK361" s="36">
        <v>148.80000000000001</v>
      </c>
      <c r="AL361" s="35">
        <v>190</v>
      </c>
      <c r="AM361" s="36">
        <v>165.60000000000002</v>
      </c>
      <c r="AN361" s="35">
        <v>217</v>
      </c>
      <c r="AO361" s="36">
        <v>139.20000000000002</v>
      </c>
      <c r="AP361" s="37"/>
      <c r="AQ361" s="35">
        <v>116</v>
      </c>
      <c r="AR361" s="36">
        <v>259.20000000000005</v>
      </c>
      <c r="AS361" s="35">
        <v>200</v>
      </c>
      <c r="AT361" s="36">
        <v>175.20000000000002</v>
      </c>
      <c r="AU361" s="35">
        <v>200</v>
      </c>
      <c r="AV361" s="36">
        <v>175.20000000000002</v>
      </c>
      <c r="AW361" s="35">
        <v>195</v>
      </c>
      <c r="AX361" s="36">
        <v>180</v>
      </c>
      <c r="AY361" s="35">
        <v>195</v>
      </c>
      <c r="AZ361" s="36">
        <v>180</v>
      </c>
      <c r="BB361" s="40">
        <v>0</v>
      </c>
      <c r="BC361" s="65"/>
      <c r="BD361" s="35">
        <v>0</v>
      </c>
      <c r="BE361" s="36">
        <v>0</v>
      </c>
      <c r="BF361" s="37"/>
      <c r="BG361" s="415">
        <v>0</v>
      </c>
      <c r="BH361" s="353">
        <v>0</v>
      </c>
      <c r="BI361" s="415">
        <v>0</v>
      </c>
      <c r="BJ361" s="353">
        <v>0</v>
      </c>
      <c r="BK361" s="415">
        <v>0</v>
      </c>
      <c r="BL361" s="353">
        <v>0</v>
      </c>
      <c r="BM361" s="416"/>
      <c r="BN361" s="415">
        <v>0</v>
      </c>
      <c r="BO361" s="353">
        <v>0</v>
      </c>
      <c r="BP361" s="415">
        <v>0</v>
      </c>
      <c r="BQ361" s="353">
        <v>0</v>
      </c>
      <c r="BR361" s="415">
        <v>0</v>
      </c>
      <c r="BS361" s="353">
        <v>0</v>
      </c>
      <c r="BT361" s="415">
        <v>0</v>
      </c>
      <c r="BU361" s="353">
        <v>0</v>
      </c>
      <c r="BV361" s="415">
        <v>0</v>
      </c>
      <c r="BW361" s="353">
        <v>0</v>
      </c>
      <c r="BY361" s="80"/>
      <c r="BZ361" s="65"/>
      <c r="CA361" s="40" t="s">
        <v>3</v>
      </c>
      <c r="CB361" s="65"/>
      <c r="CC361" s="40">
        <v>-69.555371900826458</v>
      </c>
      <c r="CD361" s="40">
        <v>-132.75537190082645</v>
      </c>
      <c r="CE361" s="40">
        <v>-159.15537190082645</v>
      </c>
      <c r="CF361" s="65"/>
      <c r="CG361" s="40">
        <v>-58.155371900826424</v>
      </c>
      <c r="CH361" s="40">
        <v>-142.15537190082645</v>
      </c>
      <c r="CI361" s="40">
        <v>-142.15537190082645</v>
      </c>
      <c r="CJ361" s="40">
        <v>-137.35537190082647</v>
      </c>
      <c r="CK361" s="40">
        <v>-137.35537190082647</v>
      </c>
    </row>
    <row r="362" spans="1:89" s="2" customFormat="1">
      <c r="A362" s="196" t="s">
        <v>1108</v>
      </c>
      <c r="B362" s="211" t="s">
        <v>1104</v>
      </c>
      <c r="C362" s="211" t="s">
        <v>768</v>
      </c>
      <c r="D362" s="41">
        <v>375</v>
      </c>
      <c r="E362" s="41">
        <v>0</v>
      </c>
      <c r="F362" s="22" t="s">
        <v>1105</v>
      </c>
      <c r="G362" s="40">
        <v>30</v>
      </c>
      <c r="H362" s="388">
        <v>317.35537190082647</v>
      </c>
      <c r="I362" s="321"/>
      <c r="J362" s="40" t="s">
        <v>3</v>
      </c>
      <c r="K362" s="36" t="s">
        <v>3</v>
      </c>
      <c r="L362" s="37"/>
      <c r="M362" s="35">
        <v>99</v>
      </c>
      <c r="N362" s="136">
        <v>5</v>
      </c>
      <c r="O362" s="35">
        <v>19</v>
      </c>
      <c r="P362" s="136">
        <v>5.6000000000000005</v>
      </c>
      <c r="Q362" s="37">
        <v>19</v>
      </c>
      <c r="R362" s="136">
        <v>4.7</v>
      </c>
      <c r="S362" s="37"/>
      <c r="T362" s="35">
        <v>0</v>
      </c>
      <c r="U362" s="136">
        <v>8.7000000000000011</v>
      </c>
      <c r="V362" s="35">
        <v>0</v>
      </c>
      <c r="W362" s="136">
        <v>5.9</v>
      </c>
      <c r="X362" s="35">
        <v>0</v>
      </c>
      <c r="Y362" s="149">
        <v>5.9</v>
      </c>
      <c r="Z362" s="35">
        <v>0</v>
      </c>
      <c r="AA362" s="136">
        <v>6</v>
      </c>
      <c r="AB362" s="37">
        <v>0</v>
      </c>
      <c r="AC362" s="136">
        <v>6</v>
      </c>
      <c r="AD362" s="37"/>
      <c r="AE362" s="40">
        <v>58</v>
      </c>
      <c r="AF362" s="65"/>
      <c r="AG362" s="35">
        <v>0</v>
      </c>
      <c r="AH362" s="36">
        <v>0</v>
      </c>
      <c r="AI362" s="37"/>
      <c r="AJ362" s="35">
        <v>126</v>
      </c>
      <c r="AK362" s="36">
        <v>150</v>
      </c>
      <c r="AL362" s="35">
        <v>188</v>
      </c>
      <c r="AM362" s="36">
        <v>168.00000000000003</v>
      </c>
      <c r="AN362" s="37">
        <v>215</v>
      </c>
      <c r="AO362" s="36">
        <v>141</v>
      </c>
      <c r="AP362" s="37"/>
      <c r="AQ362" s="35">
        <v>114</v>
      </c>
      <c r="AR362" s="36">
        <v>261.00000000000006</v>
      </c>
      <c r="AS362" s="35">
        <v>198</v>
      </c>
      <c r="AT362" s="36">
        <v>177</v>
      </c>
      <c r="AU362" s="37">
        <v>198</v>
      </c>
      <c r="AV362" s="36">
        <v>177</v>
      </c>
      <c r="AW362" s="37">
        <v>195</v>
      </c>
      <c r="AX362" s="36">
        <v>180</v>
      </c>
      <c r="AY362" s="37">
        <v>195</v>
      </c>
      <c r="AZ362" s="36">
        <v>180</v>
      </c>
      <c r="BB362" s="40">
        <v>0</v>
      </c>
      <c r="BC362" s="65"/>
      <c r="BD362" s="35">
        <v>0</v>
      </c>
      <c r="BE362" s="36">
        <v>0</v>
      </c>
      <c r="BF362" s="37"/>
      <c r="BG362" s="415">
        <v>0</v>
      </c>
      <c r="BH362" s="353">
        <v>0</v>
      </c>
      <c r="BI362" s="415">
        <v>0</v>
      </c>
      <c r="BJ362" s="353">
        <v>0</v>
      </c>
      <c r="BK362" s="415">
        <v>0</v>
      </c>
      <c r="BL362" s="353">
        <v>0</v>
      </c>
      <c r="BM362" s="416"/>
      <c r="BN362" s="415">
        <v>0</v>
      </c>
      <c r="BO362" s="353">
        <v>0</v>
      </c>
      <c r="BP362" s="415">
        <v>0</v>
      </c>
      <c r="BQ362" s="353">
        <v>0</v>
      </c>
      <c r="BR362" s="415">
        <v>0</v>
      </c>
      <c r="BS362" s="353">
        <v>0</v>
      </c>
      <c r="BT362" s="415">
        <v>0</v>
      </c>
      <c r="BU362" s="353">
        <v>0</v>
      </c>
      <c r="BV362" s="415">
        <v>0</v>
      </c>
      <c r="BW362" s="353">
        <v>0</v>
      </c>
      <c r="BY362" s="80"/>
      <c r="BZ362" s="65"/>
      <c r="CA362" s="40" t="s">
        <v>3</v>
      </c>
      <c r="CB362" s="65"/>
      <c r="CC362" s="40">
        <v>-68.355371900826469</v>
      </c>
      <c r="CD362" s="40">
        <v>-130.35537190082644</v>
      </c>
      <c r="CE362" s="40">
        <v>-157.35537190082647</v>
      </c>
      <c r="CF362" s="65"/>
      <c r="CG362" s="40">
        <v>-56.355371900826412</v>
      </c>
      <c r="CH362" s="40">
        <v>-140.35537190082647</v>
      </c>
      <c r="CI362" s="40">
        <v>-140.35537190082647</v>
      </c>
      <c r="CJ362" s="40">
        <v>-137.35537190082647</v>
      </c>
      <c r="CK362" s="40">
        <v>-137.35537190082647</v>
      </c>
    </row>
    <row r="363" spans="1:89" s="2" customFormat="1">
      <c r="A363" s="196" t="s">
        <v>1132</v>
      </c>
      <c r="B363" s="211" t="s">
        <v>225</v>
      </c>
      <c r="C363" s="211" t="s">
        <v>769</v>
      </c>
      <c r="D363" s="41">
        <v>140</v>
      </c>
      <c r="E363" s="41">
        <v>0</v>
      </c>
      <c r="F363" s="22" t="s">
        <v>1130</v>
      </c>
      <c r="G363" s="40">
        <v>24</v>
      </c>
      <c r="H363" s="388">
        <v>129.75206611570249</v>
      </c>
      <c r="I363" s="321"/>
      <c r="J363" s="40" t="s">
        <v>3</v>
      </c>
      <c r="K363" s="36" t="s">
        <v>3</v>
      </c>
      <c r="L363" s="37"/>
      <c r="M363" s="35">
        <v>19</v>
      </c>
      <c r="N363" s="136">
        <v>3.8000000000000003</v>
      </c>
      <c r="O363" s="35">
        <v>0</v>
      </c>
      <c r="P363" s="136">
        <v>1.5</v>
      </c>
      <c r="Q363" s="37">
        <v>0</v>
      </c>
      <c r="R363" s="136">
        <v>0.70000000000000007</v>
      </c>
      <c r="S363" s="37"/>
      <c r="T363" s="35">
        <v>0</v>
      </c>
      <c r="U363" s="136">
        <v>4.6000000000000005</v>
      </c>
      <c r="V363" s="35">
        <v>0</v>
      </c>
      <c r="W363" s="136">
        <v>3.8000000000000003</v>
      </c>
      <c r="X363" s="35">
        <v>0</v>
      </c>
      <c r="Y363" s="149">
        <v>2.5</v>
      </c>
      <c r="Z363" s="35">
        <v>0</v>
      </c>
      <c r="AA363" s="136">
        <v>2.5</v>
      </c>
      <c r="AB363" s="37">
        <v>0</v>
      </c>
      <c r="AC363" s="136">
        <v>2.5</v>
      </c>
      <c r="AD363" s="37"/>
      <c r="AE363" s="40">
        <v>10</v>
      </c>
      <c r="AF363" s="65"/>
      <c r="AG363" s="35">
        <v>0</v>
      </c>
      <c r="AH363" s="36">
        <v>0</v>
      </c>
      <c r="AI363" s="37"/>
      <c r="AJ363" s="35">
        <v>30</v>
      </c>
      <c r="AK363" s="36">
        <v>91.2</v>
      </c>
      <c r="AL363" s="35">
        <v>104</v>
      </c>
      <c r="AM363" s="36">
        <v>36</v>
      </c>
      <c r="AN363" s="35">
        <v>123</v>
      </c>
      <c r="AO363" s="36">
        <v>16.8</v>
      </c>
      <c r="AP363" s="37"/>
      <c r="AQ363" s="35">
        <v>30</v>
      </c>
      <c r="AR363" s="36">
        <v>110.4</v>
      </c>
      <c r="AS363" s="35">
        <v>49</v>
      </c>
      <c r="AT363" s="36">
        <v>91.2</v>
      </c>
      <c r="AU363" s="35">
        <v>80</v>
      </c>
      <c r="AV363" s="36">
        <v>60</v>
      </c>
      <c r="AW363" s="35">
        <v>80</v>
      </c>
      <c r="AX363" s="36">
        <v>60</v>
      </c>
      <c r="AY363" s="35">
        <v>80</v>
      </c>
      <c r="AZ363" s="36">
        <v>60</v>
      </c>
      <c r="BB363" s="40">
        <v>0</v>
      </c>
      <c r="BC363" s="65"/>
      <c r="BD363" s="35">
        <v>0</v>
      </c>
      <c r="BE363" s="36">
        <v>0</v>
      </c>
      <c r="BF363" s="37"/>
      <c r="BG363" s="415">
        <v>0</v>
      </c>
      <c r="BH363" s="353">
        <v>0</v>
      </c>
      <c r="BI363" s="415">
        <v>0</v>
      </c>
      <c r="BJ363" s="353">
        <v>0</v>
      </c>
      <c r="BK363" s="415">
        <v>0</v>
      </c>
      <c r="BL363" s="353">
        <v>0</v>
      </c>
      <c r="BM363" s="416"/>
      <c r="BN363" s="415">
        <v>0</v>
      </c>
      <c r="BO363" s="353">
        <v>0</v>
      </c>
      <c r="BP363" s="415">
        <v>0</v>
      </c>
      <c r="BQ363" s="353">
        <v>0</v>
      </c>
      <c r="BR363" s="415">
        <v>0</v>
      </c>
      <c r="BS363" s="353">
        <v>0</v>
      </c>
      <c r="BT363" s="415">
        <v>0</v>
      </c>
      <c r="BU363" s="353">
        <v>0</v>
      </c>
      <c r="BV363" s="415">
        <v>0</v>
      </c>
      <c r="BW363" s="353">
        <v>0</v>
      </c>
      <c r="BY363" s="80"/>
      <c r="BZ363" s="65"/>
      <c r="CA363" s="40" t="s">
        <v>3</v>
      </c>
      <c r="CB363" s="65"/>
      <c r="CC363" s="40">
        <v>-19.552066115702488</v>
      </c>
      <c r="CD363" s="40">
        <v>-93.75206611570249</v>
      </c>
      <c r="CE363" s="40">
        <v>-112.95206611570249</v>
      </c>
      <c r="CF363" s="65"/>
      <c r="CG363" s="40">
        <v>-19.352066115702485</v>
      </c>
      <c r="CH363" s="40">
        <v>-38.552066115702488</v>
      </c>
      <c r="CI363" s="40">
        <v>-69.75206611570249</v>
      </c>
      <c r="CJ363" s="40">
        <v>-69.75206611570249</v>
      </c>
      <c r="CK363" s="40">
        <v>-69.75206611570249</v>
      </c>
    </row>
    <row r="364" spans="1:89" s="2" customFormat="1">
      <c r="A364" s="196" t="s">
        <v>988</v>
      </c>
      <c r="B364" s="211" t="s">
        <v>113</v>
      </c>
      <c r="C364" s="435" t="s">
        <v>770</v>
      </c>
      <c r="D364" s="41">
        <v>412</v>
      </c>
      <c r="E364" s="41">
        <v>0</v>
      </c>
      <c r="F364" s="41" t="s">
        <v>986</v>
      </c>
      <c r="G364" s="413">
        <v>24</v>
      </c>
      <c r="H364" s="414">
        <v>361.98347107438019</v>
      </c>
      <c r="I364" s="321"/>
      <c r="J364" s="40" t="s">
        <v>3</v>
      </c>
      <c r="K364" s="36" t="s">
        <v>3</v>
      </c>
      <c r="L364" s="37"/>
      <c r="M364" s="35">
        <v>119</v>
      </c>
      <c r="N364" s="136">
        <v>7.3000000000000007</v>
      </c>
      <c r="O364" s="35">
        <v>19</v>
      </c>
      <c r="P364" s="136">
        <v>8.7000000000000011</v>
      </c>
      <c r="Q364" s="37">
        <v>19</v>
      </c>
      <c r="R364" s="136">
        <v>7.9</v>
      </c>
      <c r="S364" s="37"/>
      <c r="T364" s="35">
        <v>0</v>
      </c>
      <c r="U364" s="136">
        <v>12.4</v>
      </c>
      <c r="V364" s="35">
        <v>0</v>
      </c>
      <c r="W364" s="136">
        <v>9.3000000000000007</v>
      </c>
      <c r="X364" s="35">
        <v>0</v>
      </c>
      <c r="Y364" s="149">
        <v>9.3000000000000007</v>
      </c>
      <c r="Z364" s="35">
        <v>0</v>
      </c>
      <c r="AA364" s="136">
        <v>10.3</v>
      </c>
      <c r="AB364" s="37">
        <v>0</v>
      </c>
      <c r="AC364" s="136">
        <v>10.3</v>
      </c>
      <c r="AD364" s="37"/>
      <c r="AE364" s="40">
        <v>50</v>
      </c>
      <c r="AF364" s="65"/>
      <c r="AG364" s="35">
        <v>0</v>
      </c>
      <c r="AH364" s="36">
        <v>0</v>
      </c>
      <c r="AI364" s="37"/>
      <c r="AJ364" s="35">
        <v>118</v>
      </c>
      <c r="AK364" s="36">
        <v>175.20000000000002</v>
      </c>
      <c r="AL364" s="35">
        <v>184</v>
      </c>
      <c r="AM364" s="36">
        <v>208.8</v>
      </c>
      <c r="AN364" s="37">
        <v>203</v>
      </c>
      <c r="AO364" s="36">
        <v>189.60000000000002</v>
      </c>
      <c r="AP364" s="37"/>
      <c r="AQ364" s="35">
        <v>114</v>
      </c>
      <c r="AR364" s="36">
        <v>297.60000000000002</v>
      </c>
      <c r="AS364" s="35">
        <v>189</v>
      </c>
      <c r="AT364" s="36">
        <v>223.20000000000002</v>
      </c>
      <c r="AU364" s="37">
        <v>189</v>
      </c>
      <c r="AV364" s="36">
        <v>223.20000000000002</v>
      </c>
      <c r="AW364" s="37">
        <v>165</v>
      </c>
      <c r="AX364" s="36">
        <v>247.20000000000002</v>
      </c>
      <c r="AY364" s="37">
        <v>165</v>
      </c>
      <c r="AZ364" s="36">
        <v>247.20000000000002</v>
      </c>
      <c r="BB364" s="40">
        <v>0</v>
      </c>
      <c r="BC364" s="65"/>
      <c r="BD364" s="35">
        <v>0</v>
      </c>
      <c r="BE364" s="36">
        <v>0</v>
      </c>
      <c r="BF364" s="37"/>
      <c r="BG364" s="415">
        <v>0</v>
      </c>
      <c r="BH364" s="353">
        <v>0</v>
      </c>
      <c r="BI364" s="415">
        <v>0</v>
      </c>
      <c r="BJ364" s="353">
        <v>0</v>
      </c>
      <c r="BK364" s="415">
        <v>0</v>
      </c>
      <c r="BL364" s="353">
        <v>0</v>
      </c>
      <c r="BM364" s="416"/>
      <c r="BN364" s="415">
        <v>0</v>
      </c>
      <c r="BO364" s="353">
        <v>0</v>
      </c>
      <c r="BP364" s="415">
        <v>0</v>
      </c>
      <c r="BQ364" s="353">
        <v>0</v>
      </c>
      <c r="BR364" s="415">
        <v>0</v>
      </c>
      <c r="BS364" s="353">
        <v>0</v>
      </c>
      <c r="BT364" s="415">
        <v>0</v>
      </c>
      <c r="BU364" s="353">
        <v>0</v>
      </c>
      <c r="BV364" s="415">
        <v>0</v>
      </c>
      <c r="BW364" s="353">
        <v>0</v>
      </c>
      <c r="BY364" s="80"/>
      <c r="BZ364" s="65"/>
      <c r="CA364" s="40" t="s">
        <v>3</v>
      </c>
      <c r="CB364" s="65"/>
      <c r="CC364" s="40">
        <v>-67.783471074380145</v>
      </c>
      <c r="CD364" s="40">
        <v>-134.18347107438018</v>
      </c>
      <c r="CE364" s="40">
        <v>-153.38347107438017</v>
      </c>
      <c r="CF364" s="65"/>
      <c r="CG364" s="40">
        <v>-64.383471074380168</v>
      </c>
      <c r="CH364" s="40">
        <v>-138.78347107438017</v>
      </c>
      <c r="CI364" s="40">
        <v>-138.78347107438017</v>
      </c>
      <c r="CJ364" s="40">
        <v>-114.78347107438017</v>
      </c>
      <c r="CK364" s="40">
        <v>-114.78347107438017</v>
      </c>
    </row>
    <row r="365" spans="1:89" s="2" customFormat="1">
      <c r="A365" s="196" t="s">
        <v>989</v>
      </c>
      <c r="B365" s="211" t="s">
        <v>113</v>
      </c>
      <c r="C365" s="435" t="s">
        <v>770</v>
      </c>
      <c r="D365" s="41">
        <v>412</v>
      </c>
      <c r="E365" s="41">
        <v>0</v>
      </c>
      <c r="F365" s="22" t="s">
        <v>986</v>
      </c>
      <c r="G365" s="40">
        <v>30</v>
      </c>
      <c r="H365" s="388">
        <v>361.98347107438019</v>
      </c>
      <c r="I365" s="321"/>
      <c r="J365" s="40" t="s">
        <v>3</v>
      </c>
      <c r="K365" s="36" t="s">
        <v>3</v>
      </c>
      <c r="L365" s="37"/>
      <c r="M365" s="35">
        <v>119</v>
      </c>
      <c r="N365" s="136">
        <v>5.9</v>
      </c>
      <c r="O365" s="35">
        <v>19</v>
      </c>
      <c r="P365" s="136">
        <v>7</v>
      </c>
      <c r="Q365" s="37">
        <v>19</v>
      </c>
      <c r="R365" s="136">
        <v>6.4</v>
      </c>
      <c r="S365" s="37"/>
      <c r="T365" s="35">
        <v>0</v>
      </c>
      <c r="U365" s="136">
        <v>10</v>
      </c>
      <c r="V365" s="35">
        <v>0</v>
      </c>
      <c r="W365" s="136">
        <v>7.5</v>
      </c>
      <c r="X365" s="35">
        <v>0</v>
      </c>
      <c r="Y365" s="149">
        <v>7.5</v>
      </c>
      <c r="Z365" s="35">
        <v>0</v>
      </c>
      <c r="AA365" s="136">
        <v>8.2000000000000011</v>
      </c>
      <c r="AB365" s="37">
        <v>0</v>
      </c>
      <c r="AC365" s="136">
        <v>8.2000000000000011</v>
      </c>
      <c r="AD365" s="37"/>
      <c r="AE365" s="40">
        <v>50</v>
      </c>
      <c r="AF365" s="65"/>
      <c r="AG365" s="35">
        <v>0</v>
      </c>
      <c r="AH365" s="36">
        <v>0</v>
      </c>
      <c r="AI365" s="37"/>
      <c r="AJ365" s="35">
        <v>116</v>
      </c>
      <c r="AK365" s="36">
        <v>177</v>
      </c>
      <c r="AL365" s="35">
        <v>183</v>
      </c>
      <c r="AM365" s="36">
        <v>210</v>
      </c>
      <c r="AN365" s="35">
        <v>201</v>
      </c>
      <c r="AO365" s="36">
        <v>192</v>
      </c>
      <c r="AP365" s="37"/>
      <c r="AQ365" s="35">
        <v>112</v>
      </c>
      <c r="AR365" s="36">
        <v>300</v>
      </c>
      <c r="AS365" s="35">
        <v>187</v>
      </c>
      <c r="AT365" s="36">
        <v>225</v>
      </c>
      <c r="AU365" s="35">
        <v>187</v>
      </c>
      <c r="AV365" s="36">
        <v>225</v>
      </c>
      <c r="AW365" s="35">
        <v>166</v>
      </c>
      <c r="AX365" s="36">
        <v>246.00000000000003</v>
      </c>
      <c r="AY365" s="35">
        <v>166</v>
      </c>
      <c r="AZ365" s="36">
        <v>246.00000000000003</v>
      </c>
      <c r="BB365" s="40">
        <v>0</v>
      </c>
      <c r="BC365" s="65"/>
      <c r="BD365" s="35">
        <v>0</v>
      </c>
      <c r="BE365" s="36">
        <v>0</v>
      </c>
      <c r="BF365" s="37"/>
      <c r="BG365" s="415">
        <v>0</v>
      </c>
      <c r="BH365" s="353">
        <v>0</v>
      </c>
      <c r="BI365" s="415">
        <v>0</v>
      </c>
      <c r="BJ365" s="353">
        <v>0</v>
      </c>
      <c r="BK365" s="415">
        <v>0</v>
      </c>
      <c r="BL365" s="353">
        <v>0</v>
      </c>
      <c r="BM365" s="416"/>
      <c r="BN365" s="415">
        <v>0</v>
      </c>
      <c r="BO365" s="353">
        <v>0</v>
      </c>
      <c r="BP365" s="415">
        <v>0</v>
      </c>
      <c r="BQ365" s="353">
        <v>0</v>
      </c>
      <c r="BR365" s="415">
        <v>0</v>
      </c>
      <c r="BS365" s="353">
        <v>0</v>
      </c>
      <c r="BT365" s="415">
        <v>0</v>
      </c>
      <c r="BU365" s="353">
        <v>0</v>
      </c>
      <c r="BV365" s="415">
        <v>0</v>
      </c>
      <c r="BW365" s="353">
        <v>0</v>
      </c>
      <c r="BY365" s="80"/>
      <c r="BZ365" s="65"/>
      <c r="CA365" s="40" t="s">
        <v>3</v>
      </c>
      <c r="CB365" s="65"/>
      <c r="CC365" s="40">
        <v>-65.983471074380191</v>
      </c>
      <c r="CD365" s="40">
        <v>-132.98347107438019</v>
      </c>
      <c r="CE365" s="40">
        <v>-150.98347107438019</v>
      </c>
      <c r="CF365" s="65"/>
      <c r="CG365" s="40">
        <v>-61.983471074380191</v>
      </c>
      <c r="CH365" s="40">
        <v>-136.98347107438019</v>
      </c>
      <c r="CI365" s="40">
        <v>-136.98347107438019</v>
      </c>
      <c r="CJ365" s="40">
        <v>-115.98347107438016</v>
      </c>
      <c r="CK365" s="40">
        <v>-115.98347107438016</v>
      </c>
    </row>
    <row r="366" spans="1:89" s="2" customFormat="1">
      <c r="A366" s="196" t="s">
        <v>990</v>
      </c>
      <c r="B366" s="211" t="s">
        <v>113</v>
      </c>
      <c r="C366" s="435" t="s">
        <v>379</v>
      </c>
      <c r="D366" s="41">
        <v>198</v>
      </c>
      <c r="E366" s="41">
        <v>0</v>
      </c>
      <c r="F366" s="41" t="s">
        <v>986</v>
      </c>
      <c r="G366" s="413">
        <v>24</v>
      </c>
      <c r="H366" s="414">
        <v>212.39669421487605</v>
      </c>
      <c r="I366" s="321"/>
      <c r="J366" s="40" t="s">
        <v>3</v>
      </c>
      <c r="K366" s="36" t="s">
        <v>3</v>
      </c>
      <c r="L366" s="37"/>
      <c r="M366" s="35">
        <v>39</v>
      </c>
      <c r="N366" s="136">
        <v>6</v>
      </c>
      <c r="O366" s="35">
        <v>0</v>
      </c>
      <c r="P366" s="136">
        <v>4.6000000000000005</v>
      </c>
      <c r="Q366" s="37">
        <v>0</v>
      </c>
      <c r="R366" s="136">
        <v>3.8000000000000003</v>
      </c>
      <c r="S366" s="37"/>
      <c r="T366" s="35">
        <v>0</v>
      </c>
      <c r="U366" s="136">
        <v>7.9</v>
      </c>
      <c r="V366" s="35">
        <v>0</v>
      </c>
      <c r="W366" s="136">
        <v>4.2</v>
      </c>
      <c r="X366" s="35">
        <v>0</v>
      </c>
      <c r="Y366" s="149">
        <v>4.2</v>
      </c>
      <c r="Z366" s="35">
        <v>0</v>
      </c>
      <c r="AA366" s="136">
        <v>5.2</v>
      </c>
      <c r="AB366" s="37">
        <v>0</v>
      </c>
      <c r="AC366" s="136">
        <v>5.2</v>
      </c>
      <c r="AD366" s="37"/>
      <c r="AE366" s="40">
        <v>-14</v>
      </c>
      <c r="AF366" s="65"/>
      <c r="AG366" s="35">
        <v>0</v>
      </c>
      <c r="AH366" s="36">
        <v>0</v>
      </c>
      <c r="AI366" s="37"/>
      <c r="AJ366" s="35">
        <v>15</v>
      </c>
      <c r="AK366" s="36">
        <v>144</v>
      </c>
      <c r="AL366" s="35">
        <v>88</v>
      </c>
      <c r="AM366" s="36">
        <v>110.4</v>
      </c>
      <c r="AN366" s="37">
        <v>107</v>
      </c>
      <c r="AO366" s="36">
        <v>91.2</v>
      </c>
      <c r="AP366" s="37"/>
      <c r="AQ366" s="35">
        <v>8</v>
      </c>
      <c r="AR366" s="36">
        <v>189.60000000000002</v>
      </c>
      <c r="AS366" s="35">
        <v>97</v>
      </c>
      <c r="AT366" s="36">
        <v>100.80000000000001</v>
      </c>
      <c r="AU366" s="37">
        <v>97</v>
      </c>
      <c r="AV366" s="36">
        <v>100.80000000000001</v>
      </c>
      <c r="AW366" s="37">
        <v>73</v>
      </c>
      <c r="AX366" s="36">
        <v>124.80000000000001</v>
      </c>
      <c r="AY366" s="37">
        <v>73</v>
      </c>
      <c r="AZ366" s="36">
        <v>124.80000000000001</v>
      </c>
      <c r="BB366" s="40">
        <v>0</v>
      </c>
      <c r="BC366" s="65"/>
      <c r="BD366" s="35">
        <v>0</v>
      </c>
      <c r="BE366" s="36">
        <v>0</v>
      </c>
      <c r="BF366" s="37"/>
      <c r="BG366" s="415">
        <v>0</v>
      </c>
      <c r="BH366" s="353">
        <v>0</v>
      </c>
      <c r="BI366" s="415">
        <v>0</v>
      </c>
      <c r="BJ366" s="353">
        <v>0</v>
      </c>
      <c r="BK366" s="415">
        <v>0</v>
      </c>
      <c r="BL366" s="353">
        <v>0</v>
      </c>
      <c r="BM366" s="416"/>
      <c r="BN366" s="415">
        <v>0</v>
      </c>
      <c r="BO366" s="353">
        <v>0</v>
      </c>
      <c r="BP366" s="415">
        <v>0</v>
      </c>
      <c r="BQ366" s="353">
        <v>0</v>
      </c>
      <c r="BR366" s="415">
        <v>0</v>
      </c>
      <c r="BS366" s="353">
        <v>0</v>
      </c>
      <c r="BT366" s="415">
        <v>0</v>
      </c>
      <c r="BU366" s="353">
        <v>0</v>
      </c>
      <c r="BV366" s="415">
        <v>0</v>
      </c>
      <c r="BW366" s="353">
        <v>0</v>
      </c>
      <c r="BY366" s="80"/>
      <c r="BZ366" s="65"/>
      <c r="CA366" s="40" t="s">
        <v>3</v>
      </c>
      <c r="CB366" s="65"/>
      <c r="CC366" s="40">
        <v>-29.39669421487605</v>
      </c>
      <c r="CD366" s="40">
        <v>-101.99669421487604</v>
      </c>
      <c r="CE366" s="40">
        <v>-121.19669421487605</v>
      </c>
      <c r="CF366" s="65"/>
      <c r="CG366" s="40">
        <v>-22.796694214876027</v>
      </c>
      <c r="CH366" s="40">
        <v>-111.59669421487604</v>
      </c>
      <c r="CI366" s="40">
        <v>-111.59669421487604</v>
      </c>
      <c r="CJ366" s="40">
        <v>-87.596694214876038</v>
      </c>
      <c r="CK366" s="40">
        <v>-87.596694214876038</v>
      </c>
    </row>
    <row r="367" spans="1:89" s="2" customFormat="1">
      <c r="A367" s="196" t="s">
        <v>991</v>
      </c>
      <c r="B367" s="211" t="s">
        <v>113</v>
      </c>
      <c r="C367" s="435" t="s">
        <v>379</v>
      </c>
      <c r="D367" s="41">
        <v>198</v>
      </c>
      <c r="E367" s="41">
        <v>0</v>
      </c>
      <c r="F367" s="22" t="s">
        <v>986</v>
      </c>
      <c r="G367" s="40">
        <v>30</v>
      </c>
      <c r="H367" s="388">
        <v>212.39669421487605</v>
      </c>
      <c r="I367" s="321"/>
      <c r="J367" s="40" t="s">
        <v>3</v>
      </c>
      <c r="K367" s="36" t="s">
        <v>3</v>
      </c>
      <c r="L367" s="37"/>
      <c r="M367" s="35">
        <v>39</v>
      </c>
      <c r="N367" s="136">
        <v>4.8000000000000007</v>
      </c>
      <c r="O367" s="35">
        <v>0</v>
      </c>
      <c r="P367" s="136">
        <v>3.7</v>
      </c>
      <c r="Q367" s="37">
        <v>0</v>
      </c>
      <c r="R367" s="136">
        <v>3.1</v>
      </c>
      <c r="S367" s="37"/>
      <c r="T367" s="35">
        <v>0</v>
      </c>
      <c r="U367" s="136">
        <v>6.4</v>
      </c>
      <c r="V367" s="35">
        <v>0</v>
      </c>
      <c r="W367" s="136">
        <v>3.4000000000000004</v>
      </c>
      <c r="X367" s="35">
        <v>0</v>
      </c>
      <c r="Y367" s="149">
        <v>3.4000000000000004</v>
      </c>
      <c r="Z367" s="35">
        <v>0</v>
      </c>
      <c r="AA367" s="136">
        <v>4.2</v>
      </c>
      <c r="AB367" s="37">
        <v>0</v>
      </c>
      <c r="AC367" s="136">
        <v>4.2</v>
      </c>
      <c r="AD367" s="37"/>
      <c r="AE367" s="40">
        <v>-14</v>
      </c>
      <c r="AF367" s="65"/>
      <c r="AG367" s="35">
        <v>0</v>
      </c>
      <c r="AH367" s="36">
        <v>0</v>
      </c>
      <c r="AI367" s="37"/>
      <c r="AJ367" s="35">
        <v>15</v>
      </c>
      <c r="AK367" s="36">
        <v>144.00000000000003</v>
      </c>
      <c r="AL367" s="35">
        <v>87</v>
      </c>
      <c r="AM367" s="36">
        <v>111</v>
      </c>
      <c r="AN367" s="35">
        <v>105</v>
      </c>
      <c r="AO367" s="36">
        <v>93</v>
      </c>
      <c r="AP367" s="37"/>
      <c r="AQ367" s="35">
        <v>6</v>
      </c>
      <c r="AR367" s="36">
        <v>192</v>
      </c>
      <c r="AS367" s="35">
        <v>96</v>
      </c>
      <c r="AT367" s="36">
        <v>102.00000000000001</v>
      </c>
      <c r="AU367" s="35">
        <v>96</v>
      </c>
      <c r="AV367" s="36">
        <v>102.00000000000001</v>
      </c>
      <c r="AW367" s="35">
        <v>72</v>
      </c>
      <c r="AX367" s="36">
        <v>126</v>
      </c>
      <c r="AY367" s="35">
        <v>72</v>
      </c>
      <c r="AZ367" s="36">
        <v>126</v>
      </c>
      <c r="BB367" s="40">
        <v>0</v>
      </c>
      <c r="BC367" s="65"/>
      <c r="BD367" s="35">
        <v>0</v>
      </c>
      <c r="BE367" s="36">
        <v>0</v>
      </c>
      <c r="BF367" s="37"/>
      <c r="BG367" s="415">
        <v>0</v>
      </c>
      <c r="BH367" s="353">
        <v>0</v>
      </c>
      <c r="BI367" s="415">
        <v>0</v>
      </c>
      <c r="BJ367" s="353">
        <v>0</v>
      </c>
      <c r="BK367" s="415">
        <v>0</v>
      </c>
      <c r="BL367" s="353">
        <v>0</v>
      </c>
      <c r="BM367" s="416"/>
      <c r="BN367" s="415">
        <v>0</v>
      </c>
      <c r="BO367" s="353">
        <v>0</v>
      </c>
      <c r="BP367" s="415">
        <v>0</v>
      </c>
      <c r="BQ367" s="353">
        <v>0</v>
      </c>
      <c r="BR367" s="415">
        <v>0</v>
      </c>
      <c r="BS367" s="353">
        <v>0</v>
      </c>
      <c r="BT367" s="415">
        <v>0</v>
      </c>
      <c r="BU367" s="353">
        <v>0</v>
      </c>
      <c r="BV367" s="415">
        <v>0</v>
      </c>
      <c r="BW367" s="353">
        <v>0</v>
      </c>
      <c r="BY367" s="80"/>
      <c r="BZ367" s="65"/>
      <c r="CA367" s="40" t="s">
        <v>3</v>
      </c>
      <c r="CB367" s="65"/>
      <c r="CC367" s="40">
        <v>-29.396694214876021</v>
      </c>
      <c r="CD367" s="40">
        <v>-101.39669421487605</v>
      </c>
      <c r="CE367" s="40">
        <v>-119.39669421487605</v>
      </c>
      <c r="CF367" s="65"/>
      <c r="CG367" s="40">
        <v>-20.39669421487605</v>
      </c>
      <c r="CH367" s="40">
        <v>-110.39669421487604</v>
      </c>
      <c r="CI367" s="40">
        <v>-110.39669421487604</v>
      </c>
      <c r="CJ367" s="40">
        <v>-86.39669421487605</v>
      </c>
      <c r="CK367" s="40">
        <v>-86.39669421487605</v>
      </c>
    </row>
    <row r="368" spans="1:89" s="2" customFormat="1">
      <c r="A368" s="196" t="s">
        <v>992</v>
      </c>
      <c r="B368" s="211" t="s">
        <v>113</v>
      </c>
      <c r="C368" s="211" t="s">
        <v>558</v>
      </c>
      <c r="D368" s="41">
        <v>358</v>
      </c>
      <c r="E368" s="41">
        <v>0</v>
      </c>
      <c r="F368" s="41" t="s">
        <v>986</v>
      </c>
      <c r="G368" s="413">
        <v>24</v>
      </c>
      <c r="H368" s="414">
        <v>411.57024793388433</v>
      </c>
      <c r="I368" s="321"/>
      <c r="J368" s="40" t="s">
        <v>3</v>
      </c>
      <c r="K368" s="36" t="s">
        <v>3</v>
      </c>
      <c r="L368" s="37"/>
      <c r="M368" s="35">
        <v>139</v>
      </c>
      <c r="N368" s="136">
        <v>8.3000000000000007</v>
      </c>
      <c r="O368" s="35">
        <v>19</v>
      </c>
      <c r="P368" s="136">
        <v>10.200000000000001</v>
      </c>
      <c r="Q368" s="37">
        <v>19</v>
      </c>
      <c r="R368" s="136">
        <v>9.3000000000000007</v>
      </c>
      <c r="S368" s="37"/>
      <c r="T368" s="35">
        <v>0</v>
      </c>
      <c r="U368" s="136">
        <v>16.600000000000001</v>
      </c>
      <c r="V368" s="35">
        <v>0</v>
      </c>
      <c r="W368" s="136">
        <v>10.3</v>
      </c>
      <c r="X368" s="35">
        <v>0</v>
      </c>
      <c r="Y368" s="149">
        <v>10.3</v>
      </c>
      <c r="Z368" s="35">
        <v>0</v>
      </c>
      <c r="AA368" s="136">
        <v>10.3</v>
      </c>
      <c r="AB368" s="37">
        <v>0</v>
      </c>
      <c r="AC368" s="136">
        <v>10.3</v>
      </c>
      <c r="AD368" s="37"/>
      <c r="AE368" s="40">
        <v>-54</v>
      </c>
      <c r="AF368" s="65"/>
      <c r="AG368" s="35">
        <v>0</v>
      </c>
      <c r="AH368" s="36">
        <v>0</v>
      </c>
      <c r="AI368" s="37"/>
      <c r="AJ368" s="35">
        <v>20</v>
      </c>
      <c r="AK368" s="36">
        <v>199.20000000000002</v>
      </c>
      <c r="AL368" s="35">
        <v>94</v>
      </c>
      <c r="AM368" s="36">
        <v>244.8</v>
      </c>
      <c r="AN368" s="37">
        <v>116</v>
      </c>
      <c r="AO368" s="36">
        <v>223.20000000000002</v>
      </c>
      <c r="AP368" s="37"/>
      <c r="AQ368" s="35">
        <v>-40</v>
      </c>
      <c r="AR368" s="36">
        <v>398.40000000000003</v>
      </c>
      <c r="AS368" s="35">
        <v>111</v>
      </c>
      <c r="AT368" s="36">
        <v>247.20000000000002</v>
      </c>
      <c r="AU368" s="37">
        <v>111</v>
      </c>
      <c r="AV368" s="36">
        <v>247.20000000000002</v>
      </c>
      <c r="AW368" s="37">
        <v>111</v>
      </c>
      <c r="AX368" s="36">
        <v>247.20000000000002</v>
      </c>
      <c r="AY368" s="37">
        <v>111</v>
      </c>
      <c r="AZ368" s="36">
        <v>247.20000000000002</v>
      </c>
      <c r="BB368" s="40">
        <v>0</v>
      </c>
      <c r="BC368" s="65"/>
      <c r="BD368" s="35">
        <v>0</v>
      </c>
      <c r="BE368" s="36">
        <v>0</v>
      </c>
      <c r="BF368" s="37"/>
      <c r="BG368" s="415">
        <v>0</v>
      </c>
      <c r="BH368" s="353">
        <v>0</v>
      </c>
      <c r="BI368" s="415">
        <v>0</v>
      </c>
      <c r="BJ368" s="353">
        <v>0</v>
      </c>
      <c r="BK368" s="415">
        <v>0</v>
      </c>
      <c r="BL368" s="353">
        <v>0</v>
      </c>
      <c r="BM368" s="416"/>
      <c r="BN368" s="415">
        <v>0</v>
      </c>
      <c r="BO368" s="353">
        <v>0</v>
      </c>
      <c r="BP368" s="415">
        <v>0</v>
      </c>
      <c r="BQ368" s="353">
        <v>0</v>
      </c>
      <c r="BR368" s="415">
        <v>0</v>
      </c>
      <c r="BS368" s="353">
        <v>0</v>
      </c>
      <c r="BT368" s="415">
        <v>0</v>
      </c>
      <c r="BU368" s="353">
        <v>-9.9999999999999645E-2</v>
      </c>
      <c r="BV368" s="415">
        <v>0</v>
      </c>
      <c r="BW368" s="353">
        <v>-9.9999999999999645E-2</v>
      </c>
      <c r="BY368" s="80"/>
      <c r="BZ368" s="65"/>
      <c r="CA368" s="40" t="s">
        <v>3</v>
      </c>
      <c r="CB368" s="65"/>
      <c r="CC368" s="40">
        <v>-73.370247933884286</v>
      </c>
      <c r="CD368" s="40">
        <v>-147.77024793388432</v>
      </c>
      <c r="CE368" s="40">
        <v>-169.37024793388431</v>
      </c>
      <c r="CF368" s="65"/>
      <c r="CG368" s="40">
        <v>-13.170247933884298</v>
      </c>
      <c r="CH368" s="40">
        <v>-164.37024793388431</v>
      </c>
      <c r="CI368" s="40">
        <v>-164.37024793388431</v>
      </c>
      <c r="CJ368" s="40">
        <v>-164.37024793388431</v>
      </c>
      <c r="CK368" s="40">
        <v>-164.37024793388431</v>
      </c>
    </row>
    <row r="369" spans="1:89" s="2" customFormat="1">
      <c r="A369" s="196" t="s">
        <v>993</v>
      </c>
      <c r="B369" s="211" t="s">
        <v>113</v>
      </c>
      <c r="C369" s="211" t="s">
        <v>558</v>
      </c>
      <c r="D369" s="41">
        <v>358</v>
      </c>
      <c r="E369" s="41">
        <v>0</v>
      </c>
      <c r="F369" s="22" t="s">
        <v>986</v>
      </c>
      <c r="G369" s="40">
        <v>30</v>
      </c>
      <c r="H369" s="388">
        <v>411.57024793388433</v>
      </c>
      <c r="I369" s="321"/>
      <c r="J369" s="40" t="s">
        <v>3</v>
      </c>
      <c r="K369" s="36" t="s">
        <v>3</v>
      </c>
      <c r="L369" s="37"/>
      <c r="M369" s="35">
        <v>139</v>
      </c>
      <c r="N369" s="136">
        <v>6.7</v>
      </c>
      <c r="O369" s="35">
        <v>19</v>
      </c>
      <c r="P369" s="136">
        <v>8.2000000000000011</v>
      </c>
      <c r="Q369" s="37">
        <v>19</v>
      </c>
      <c r="R369" s="136">
        <v>7.5</v>
      </c>
      <c r="S369" s="37"/>
      <c r="T369" s="35">
        <v>0</v>
      </c>
      <c r="U369" s="136">
        <v>13.3</v>
      </c>
      <c r="V369" s="35">
        <v>0</v>
      </c>
      <c r="W369" s="136">
        <v>8.3000000000000007</v>
      </c>
      <c r="X369" s="35">
        <v>0</v>
      </c>
      <c r="Y369" s="149">
        <v>8.3000000000000007</v>
      </c>
      <c r="Z369" s="35">
        <v>0</v>
      </c>
      <c r="AA369" s="136">
        <v>8.2000000000000011</v>
      </c>
      <c r="AB369" s="37">
        <v>0</v>
      </c>
      <c r="AC369" s="136">
        <v>8.2000000000000011</v>
      </c>
      <c r="AD369" s="37"/>
      <c r="AE369" s="40">
        <v>-54</v>
      </c>
      <c r="AF369" s="65"/>
      <c r="AG369" s="35">
        <v>0</v>
      </c>
      <c r="AH369" s="36">
        <v>0</v>
      </c>
      <c r="AI369" s="37"/>
      <c r="AJ369" s="35">
        <v>18</v>
      </c>
      <c r="AK369" s="36">
        <v>201</v>
      </c>
      <c r="AL369" s="35">
        <v>93</v>
      </c>
      <c r="AM369" s="36">
        <v>246.00000000000003</v>
      </c>
      <c r="AN369" s="35">
        <v>114</v>
      </c>
      <c r="AO369" s="36">
        <v>225</v>
      </c>
      <c r="AP369" s="37"/>
      <c r="AQ369" s="35">
        <v>-41</v>
      </c>
      <c r="AR369" s="36">
        <v>399</v>
      </c>
      <c r="AS369" s="35">
        <v>109</v>
      </c>
      <c r="AT369" s="36">
        <v>249.00000000000003</v>
      </c>
      <c r="AU369" s="35">
        <v>109</v>
      </c>
      <c r="AV369" s="36">
        <v>249.00000000000003</v>
      </c>
      <c r="AW369" s="35">
        <v>112</v>
      </c>
      <c r="AX369" s="36">
        <v>246.00000000000003</v>
      </c>
      <c r="AY369" s="35">
        <v>112</v>
      </c>
      <c r="AZ369" s="36">
        <v>246.00000000000003</v>
      </c>
      <c r="BB369" s="40">
        <v>0</v>
      </c>
      <c r="BC369" s="65"/>
      <c r="BD369" s="35">
        <v>0</v>
      </c>
      <c r="BE369" s="36">
        <v>0</v>
      </c>
      <c r="BF369" s="37"/>
      <c r="BG369" s="415">
        <v>0</v>
      </c>
      <c r="BH369" s="353">
        <v>0</v>
      </c>
      <c r="BI369" s="415">
        <v>0</v>
      </c>
      <c r="BJ369" s="353">
        <v>0</v>
      </c>
      <c r="BK369" s="415">
        <v>0</v>
      </c>
      <c r="BL369" s="353">
        <v>0</v>
      </c>
      <c r="BM369" s="416"/>
      <c r="BN369" s="415">
        <v>0</v>
      </c>
      <c r="BO369" s="353">
        <v>0</v>
      </c>
      <c r="BP369" s="415">
        <v>0</v>
      </c>
      <c r="BQ369" s="353">
        <v>0</v>
      </c>
      <c r="BR369" s="415">
        <v>0</v>
      </c>
      <c r="BS369" s="353">
        <v>0</v>
      </c>
      <c r="BT369" s="415">
        <v>0</v>
      </c>
      <c r="BU369" s="353">
        <v>-9.9999999999999645E-2</v>
      </c>
      <c r="BV369" s="415">
        <v>0</v>
      </c>
      <c r="BW369" s="353">
        <v>-9.9999999999999645E-2</v>
      </c>
      <c r="BY369" s="80"/>
      <c r="BZ369" s="65"/>
      <c r="CA369" s="40" t="s">
        <v>3</v>
      </c>
      <c r="CB369" s="65"/>
      <c r="CC369" s="40">
        <v>-71.570247933884332</v>
      </c>
      <c r="CD369" s="40">
        <v>-146.57024793388433</v>
      </c>
      <c r="CE369" s="40">
        <v>-167.57024793388433</v>
      </c>
      <c r="CF369" s="65"/>
      <c r="CG369" s="40">
        <v>-12.570247933884332</v>
      </c>
      <c r="CH369" s="40">
        <v>-162.5702479338843</v>
      </c>
      <c r="CI369" s="40">
        <v>-162.5702479338843</v>
      </c>
      <c r="CJ369" s="40">
        <v>-165.5702479338843</v>
      </c>
      <c r="CK369" s="40">
        <v>-165.5702479338843</v>
      </c>
    </row>
    <row r="370" spans="1:89" s="2" customFormat="1">
      <c r="A370" s="196" t="s">
        <v>1163</v>
      </c>
      <c r="B370" s="211" t="s">
        <v>667</v>
      </c>
      <c r="C370" s="211" t="s">
        <v>636</v>
      </c>
      <c r="D370" s="41">
        <v>288</v>
      </c>
      <c r="E370" s="41">
        <v>2.5</v>
      </c>
      <c r="F370" s="22" t="s">
        <v>1140</v>
      </c>
      <c r="G370" s="40">
        <v>24</v>
      </c>
      <c r="H370" s="388">
        <v>186.77685950413223</v>
      </c>
      <c r="I370" s="321"/>
      <c r="J370" s="40" t="s">
        <v>3</v>
      </c>
      <c r="K370" s="36" t="s">
        <v>3</v>
      </c>
      <c r="L370" s="37"/>
      <c r="M370" s="35">
        <v>29</v>
      </c>
      <c r="N370" s="136">
        <v>5.2</v>
      </c>
      <c r="O370" s="35">
        <v>0</v>
      </c>
      <c r="P370" s="136">
        <v>3.4000000000000004</v>
      </c>
      <c r="Q370" s="37">
        <v>0</v>
      </c>
      <c r="R370" s="136">
        <v>2.5</v>
      </c>
      <c r="S370" s="37"/>
      <c r="T370" s="35">
        <v>0</v>
      </c>
      <c r="U370" s="136">
        <v>6.7</v>
      </c>
      <c r="V370" s="35">
        <v>0</v>
      </c>
      <c r="W370" s="136">
        <v>2.5</v>
      </c>
      <c r="X370" s="35">
        <v>0</v>
      </c>
      <c r="Y370" s="149">
        <v>2.5</v>
      </c>
      <c r="Z370" s="35">
        <v>0</v>
      </c>
      <c r="AA370" s="136">
        <v>2.5</v>
      </c>
      <c r="AB370" s="37">
        <v>0</v>
      </c>
      <c r="AC370" s="136">
        <v>2.5</v>
      </c>
      <c r="AD370" s="37"/>
      <c r="AE370" s="40">
        <v>101</v>
      </c>
      <c r="AF370" s="65"/>
      <c r="AG370" s="35">
        <v>0</v>
      </c>
      <c r="AH370" s="36">
        <v>0</v>
      </c>
      <c r="AI370" s="37"/>
      <c r="AJ370" s="35">
        <v>134</v>
      </c>
      <c r="AK370" s="36">
        <v>124.80000000000001</v>
      </c>
      <c r="AL370" s="35">
        <v>206</v>
      </c>
      <c r="AM370" s="36">
        <v>81.600000000000009</v>
      </c>
      <c r="AN370" s="37">
        <v>228</v>
      </c>
      <c r="AO370" s="36">
        <v>60</v>
      </c>
      <c r="AP370" s="37"/>
      <c r="AQ370" s="35">
        <v>127</v>
      </c>
      <c r="AR370" s="36">
        <v>160.80000000000001</v>
      </c>
      <c r="AS370" s="35">
        <v>228</v>
      </c>
      <c r="AT370" s="36">
        <v>60</v>
      </c>
      <c r="AU370" s="37">
        <v>228</v>
      </c>
      <c r="AV370" s="36">
        <v>60</v>
      </c>
      <c r="AW370" s="37">
        <v>228</v>
      </c>
      <c r="AX370" s="36">
        <v>60</v>
      </c>
      <c r="AY370" s="37">
        <v>228</v>
      </c>
      <c r="AZ370" s="36">
        <v>60</v>
      </c>
      <c r="BB370" s="40">
        <v>0</v>
      </c>
      <c r="BC370" s="65"/>
      <c r="BD370" s="35">
        <v>0</v>
      </c>
      <c r="BE370" s="36">
        <v>0</v>
      </c>
      <c r="BF370" s="37"/>
      <c r="BG370" s="415">
        <v>0</v>
      </c>
      <c r="BH370" s="353">
        <v>0</v>
      </c>
      <c r="BI370" s="415">
        <v>0</v>
      </c>
      <c r="BJ370" s="353">
        <v>0</v>
      </c>
      <c r="BK370" s="415">
        <v>0</v>
      </c>
      <c r="BL370" s="353">
        <v>0</v>
      </c>
      <c r="BM370" s="416"/>
      <c r="BN370" s="415">
        <v>0</v>
      </c>
      <c r="BO370" s="353">
        <v>0</v>
      </c>
      <c r="BP370" s="415">
        <v>0</v>
      </c>
      <c r="BQ370" s="353">
        <v>0</v>
      </c>
      <c r="BR370" s="415">
        <v>0</v>
      </c>
      <c r="BS370" s="353">
        <v>0</v>
      </c>
      <c r="BT370" s="415">
        <v>0</v>
      </c>
      <c r="BU370" s="353">
        <v>-0.80000000000000027</v>
      </c>
      <c r="BV370" s="415">
        <v>0</v>
      </c>
      <c r="BW370" s="353">
        <v>-0.80000000000000027</v>
      </c>
      <c r="BY370" s="80"/>
      <c r="BZ370" s="65"/>
      <c r="CA370" s="40" t="s">
        <v>3</v>
      </c>
      <c r="CB370" s="65"/>
      <c r="CC370" s="40">
        <v>-32.976859504132221</v>
      </c>
      <c r="CD370" s="40">
        <v>-105.17685950413222</v>
      </c>
      <c r="CE370" s="40">
        <v>-126.77685950413223</v>
      </c>
      <c r="CF370" s="65"/>
      <c r="CG370" s="40">
        <v>-25.976859504132221</v>
      </c>
      <c r="CH370" s="40">
        <v>-126.77685950413223</v>
      </c>
      <c r="CI370" s="40">
        <v>-126.77685950413223</v>
      </c>
      <c r="CJ370" s="40">
        <v>-126.77685950413223</v>
      </c>
      <c r="CK370" s="40">
        <v>-126.77685950413223</v>
      </c>
    </row>
    <row r="371" spans="1:89" s="2" customFormat="1">
      <c r="A371" s="196" t="s">
        <v>1083</v>
      </c>
      <c r="B371" s="211" t="s">
        <v>187</v>
      </c>
      <c r="C371" s="211" t="s">
        <v>505</v>
      </c>
      <c r="D371" s="41">
        <v>41</v>
      </c>
      <c r="E371" s="41">
        <v>0</v>
      </c>
      <c r="F371" s="22" t="s">
        <v>1084</v>
      </c>
      <c r="G371" s="40">
        <v>24</v>
      </c>
      <c r="H371" s="388">
        <v>40.495867768595041</v>
      </c>
      <c r="I371" s="321"/>
      <c r="J371" s="40" t="s">
        <v>3</v>
      </c>
      <c r="K371" s="36" t="s">
        <v>3</v>
      </c>
      <c r="L371" s="37"/>
      <c r="M371" s="35">
        <v>0</v>
      </c>
      <c r="N371" s="136">
        <v>0.9</v>
      </c>
      <c r="O371" s="35">
        <v>0</v>
      </c>
      <c r="P371" s="136">
        <v>0.9</v>
      </c>
      <c r="Q371" s="37">
        <v>0</v>
      </c>
      <c r="R371" s="136">
        <v>0.9</v>
      </c>
      <c r="S371" s="37"/>
      <c r="T371" s="35">
        <v>0</v>
      </c>
      <c r="U371" s="136">
        <v>0.5</v>
      </c>
      <c r="V371" s="35">
        <v>0</v>
      </c>
      <c r="W371" s="136">
        <v>0.5</v>
      </c>
      <c r="X371" s="35">
        <v>0</v>
      </c>
      <c r="Y371" s="149">
        <v>0.5</v>
      </c>
      <c r="Z371" s="35">
        <v>0</v>
      </c>
      <c r="AA371" s="136">
        <v>0.4</v>
      </c>
      <c r="AB371" s="37">
        <v>0</v>
      </c>
      <c r="AC371" s="136">
        <v>0.4</v>
      </c>
      <c r="AD371" s="37"/>
      <c r="AE371" s="40">
        <v>1</v>
      </c>
      <c r="AF371" s="65"/>
      <c r="AG371" s="35">
        <v>0</v>
      </c>
      <c r="AH371" s="36">
        <v>0</v>
      </c>
      <c r="AI371" s="37"/>
      <c r="AJ371" s="35">
        <v>19</v>
      </c>
      <c r="AK371" s="36">
        <v>21.6</v>
      </c>
      <c r="AL371" s="35">
        <v>19</v>
      </c>
      <c r="AM371" s="36">
        <v>21.6</v>
      </c>
      <c r="AN371" s="35">
        <v>19</v>
      </c>
      <c r="AO371" s="36">
        <v>21.6</v>
      </c>
      <c r="AP371" s="37"/>
      <c r="AQ371" s="35">
        <v>29</v>
      </c>
      <c r="AR371" s="36">
        <v>12</v>
      </c>
      <c r="AS371" s="35">
        <v>29</v>
      </c>
      <c r="AT371" s="36">
        <v>12</v>
      </c>
      <c r="AU371" s="35">
        <v>29</v>
      </c>
      <c r="AV371" s="36">
        <v>12</v>
      </c>
      <c r="AW371" s="35">
        <v>31</v>
      </c>
      <c r="AX371" s="36">
        <v>9.6000000000000014</v>
      </c>
      <c r="AY371" s="35">
        <v>31</v>
      </c>
      <c r="AZ371" s="36">
        <v>9.6000000000000014</v>
      </c>
      <c r="BB371" s="40">
        <v>0</v>
      </c>
      <c r="BC371" s="65"/>
      <c r="BD371" s="35">
        <v>0</v>
      </c>
      <c r="BE371" s="36">
        <v>0</v>
      </c>
      <c r="BF371" s="37"/>
      <c r="BG371" s="415">
        <v>0</v>
      </c>
      <c r="BH371" s="353">
        <v>0</v>
      </c>
      <c r="BI371" s="415">
        <v>0</v>
      </c>
      <c r="BJ371" s="353">
        <v>0</v>
      </c>
      <c r="BK371" s="415">
        <v>0</v>
      </c>
      <c r="BL371" s="353">
        <v>0</v>
      </c>
      <c r="BM371" s="416"/>
      <c r="BN371" s="415">
        <v>0</v>
      </c>
      <c r="BO371" s="353">
        <v>0</v>
      </c>
      <c r="BP371" s="415">
        <v>0</v>
      </c>
      <c r="BQ371" s="353">
        <v>0</v>
      </c>
      <c r="BR371" s="415">
        <v>0</v>
      </c>
      <c r="BS371" s="353">
        <v>0</v>
      </c>
      <c r="BT371" s="415">
        <v>0</v>
      </c>
      <c r="BU371" s="353">
        <v>0</v>
      </c>
      <c r="BV371" s="415">
        <v>0</v>
      </c>
      <c r="BW371" s="353">
        <v>0</v>
      </c>
      <c r="BY371" s="80"/>
      <c r="BZ371" s="65"/>
      <c r="CA371" s="40" t="s">
        <v>3</v>
      </c>
      <c r="CB371" s="65"/>
      <c r="CC371" s="40">
        <v>-18.895867768595039</v>
      </c>
      <c r="CD371" s="40">
        <v>-18.895867768595039</v>
      </c>
      <c r="CE371" s="40">
        <v>-18.895867768595039</v>
      </c>
      <c r="CF371" s="65"/>
      <c r="CG371" s="40">
        <v>-28.495867768595041</v>
      </c>
      <c r="CH371" s="40">
        <v>-28.495867768595041</v>
      </c>
      <c r="CI371" s="40">
        <v>-28.495867768595041</v>
      </c>
      <c r="CJ371" s="40">
        <v>-30.895867768595039</v>
      </c>
      <c r="CK371" s="40">
        <v>-30.895867768595039</v>
      </c>
    </row>
    <row r="372" spans="1:89" s="2" customFormat="1">
      <c r="A372" s="196" t="s">
        <v>1088</v>
      </c>
      <c r="B372" s="211" t="s">
        <v>1089</v>
      </c>
      <c r="C372" s="211" t="s">
        <v>462</v>
      </c>
      <c r="D372" s="41">
        <v>47</v>
      </c>
      <c r="E372" s="41">
        <v>0</v>
      </c>
      <c r="F372" s="22" t="s">
        <v>1084</v>
      </c>
      <c r="G372" s="40">
        <v>24</v>
      </c>
      <c r="H372" s="388">
        <v>35.537190082644628</v>
      </c>
      <c r="I372" s="321"/>
      <c r="J372" s="40" t="s">
        <v>3</v>
      </c>
      <c r="K372" s="36" t="s">
        <v>3</v>
      </c>
      <c r="L372" s="37"/>
      <c r="M372" s="35">
        <v>0</v>
      </c>
      <c r="N372" s="136">
        <v>0.70000000000000007</v>
      </c>
      <c r="O372" s="35">
        <v>0</v>
      </c>
      <c r="P372" s="136">
        <v>0.70000000000000007</v>
      </c>
      <c r="Q372" s="37">
        <v>0</v>
      </c>
      <c r="R372" s="136">
        <v>0.70000000000000007</v>
      </c>
      <c r="S372" s="37"/>
      <c r="T372" s="35">
        <v>0</v>
      </c>
      <c r="U372" s="136">
        <v>0</v>
      </c>
      <c r="V372" s="35">
        <v>0</v>
      </c>
      <c r="W372" s="136">
        <v>0</v>
      </c>
      <c r="X372" s="35">
        <v>0</v>
      </c>
      <c r="Y372" s="149">
        <v>0</v>
      </c>
      <c r="Z372" s="35">
        <v>0</v>
      </c>
      <c r="AA372" s="136">
        <v>0</v>
      </c>
      <c r="AB372" s="37">
        <v>0</v>
      </c>
      <c r="AC372" s="136">
        <v>0</v>
      </c>
      <c r="AD372" s="37"/>
      <c r="AE372" s="40">
        <v>11</v>
      </c>
      <c r="AF372" s="65"/>
      <c r="AG372" s="35">
        <v>0</v>
      </c>
      <c r="AH372" s="36">
        <v>0</v>
      </c>
      <c r="AI372" s="37"/>
      <c r="AJ372" s="35">
        <v>30</v>
      </c>
      <c r="AK372" s="36">
        <v>16.8</v>
      </c>
      <c r="AL372" s="35">
        <v>30</v>
      </c>
      <c r="AM372" s="36">
        <v>16.8</v>
      </c>
      <c r="AN372" s="37">
        <v>30</v>
      </c>
      <c r="AO372" s="36">
        <v>16.8</v>
      </c>
      <c r="AP372" s="37"/>
      <c r="AQ372" s="35">
        <v>47</v>
      </c>
      <c r="AR372" s="36">
        <v>0</v>
      </c>
      <c r="AS372" s="35">
        <v>47</v>
      </c>
      <c r="AT372" s="36">
        <v>0</v>
      </c>
      <c r="AU372" s="37">
        <v>47</v>
      </c>
      <c r="AV372" s="36">
        <v>0</v>
      </c>
      <c r="AW372" s="37">
        <v>47</v>
      </c>
      <c r="AX372" s="36">
        <v>0</v>
      </c>
      <c r="AY372" s="37">
        <v>47</v>
      </c>
      <c r="AZ372" s="36">
        <v>0</v>
      </c>
      <c r="BB372" s="40">
        <v>0</v>
      </c>
      <c r="BC372" s="65"/>
      <c r="BD372" s="35">
        <v>0</v>
      </c>
      <c r="BE372" s="36">
        <v>0</v>
      </c>
      <c r="BF372" s="37"/>
      <c r="BG372" s="415">
        <v>0</v>
      </c>
      <c r="BH372" s="353">
        <v>0</v>
      </c>
      <c r="BI372" s="415">
        <v>0</v>
      </c>
      <c r="BJ372" s="353">
        <v>0</v>
      </c>
      <c r="BK372" s="415">
        <v>0</v>
      </c>
      <c r="BL372" s="353">
        <v>0</v>
      </c>
      <c r="BM372" s="416"/>
      <c r="BN372" s="415">
        <v>0</v>
      </c>
      <c r="BO372" s="353">
        <v>0</v>
      </c>
      <c r="BP372" s="415">
        <v>0</v>
      </c>
      <c r="BQ372" s="353">
        <v>0</v>
      </c>
      <c r="BR372" s="415">
        <v>0</v>
      </c>
      <c r="BS372" s="353">
        <v>0</v>
      </c>
      <c r="BT372" s="415">
        <v>0</v>
      </c>
      <c r="BU372" s="353">
        <v>0</v>
      </c>
      <c r="BV372" s="415">
        <v>0</v>
      </c>
      <c r="BW372" s="353">
        <v>0</v>
      </c>
      <c r="BY372" s="80"/>
      <c r="BZ372" s="65"/>
      <c r="CA372" s="40" t="s">
        <v>3</v>
      </c>
      <c r="CB372" s="65"/>
      <c r="CC372" s="40">
        <v>-18.737190082644627</v>
      </c>
      <c r="CD372" s="40">
        <v>-18.737190082644627</v>
      </c>
      <c r="CE372" s="40">
        <v>-18.737190082644627</v>
      </c>
      <c r="CF372" s="65"/>
      <c r="CG372" s="40">
        <v>-35.537190082644628</v>
      </c>
      <c r="CH372" s="40">
        <v>-35.537190082644628</v>
      </c>
      <c r="CI372" s="40">
        <v>-35.537190082644628</v>
      </c>
      <c r="CJ372" s="40">
        <v>-35.537190082644628</v>
      </c>
      <c r="CK372" s="40">
        <v>-35.537190082644628</v>
      </c>
    </row>
    <row r="373" spans="1:89" s="2" customFormat="1">
      <c r="A373" s="196" t="s">
        <v>1085</v>
      </c>
      <c r="B373" s="211" t="s">
        <v>187</v>
      </c>
      <c r="C373" s="211" t="s">
        <v>545</v>
      </c>
      <c r="D373" s="41">
        <v>38</v>
      </c>
      <c r="E373" s="41">
        <v>0</v>
      </c>
      <c r="F373" s="41" t="s">
        <v>1084</v>
      </c>
      <c r="G373" s="413">
        <v>24</v>
      </c>
      <c r="H373" s="414">
        <v>37.190082644628099</v>
      </c>
      <c r="I373" s="321"/>
      <c r="J373" s="40" t="s">
        <v>3</v>
      </c>
      <c r="K373" s="36" t="s">
        <v>3</v>
      </c>
      <c r="L373" s="37"/>
      <c r="M373" s="35">
        <v>0</v>
      </c>
      <c r="N373" s="136">
        <v>0.8</v>
      </c>
      <c r="O373" s="35">
        <v>0</v>
      </c>
      <c r="P373" s="136">
        <v>0.8</v>
      </c>
      <c r="Q373" s="37">
        <v>0</v>
      </c>
      <c r="R373" s="136">
        <v>0.8</v>
      </c>
      <c r="S373" s="37"/>
      <c r="T373" s="35">
        <v>0</v>
      </c>
      <c r="U373" s="136">
        <v>0</v>
      </c>
      <c r="V373" s="35">
        <v>0</v>
      </c>
      <c r="W373" s="136">
        <v>0</v>
      </c>
      <c r="X373" s="35">
        <v>0</v>
      </c>
      <c r="Y373" s="149">
        <v>0</v>
      </c>
      <c r="Z373" s="35">
        <v>0</v>
      </c>
      <c r="AA373" s="136">
        <v>0</v>
      </c>
      <c r="AB373" s="37">
        <v>0</v>
      </c>
      <c r="AC373" s="136">
        <v>0</v>
      </c>
      <c r="AD373" s="37"/>
      <c r="AE373" s="40">
        <v>1</v>
      </c>
      <c r="AF373" s="65"/>
      <c r="AG373" s="35">
        <v>0</v>
      </c>
      <c r="AH373" s="36">
        <v>0</v>
      </c>
      <c r="AI373" s="37"/>
      <c r="AJ373" s="35">
        <v>19</v>
      </c>
      <c r="AK373" s="36">
        <v>19.200000000000003</v>
      </c>
      <c r="AL373" s="35">
        <v>19</v>
      </c>
      <c r="AM373" s="36">
        <v>19.200000000000003</v>
      </c>
      <c r="AN373" s="35">
        <v>19</v>
      </c>
      <c r="AO373" s="36">
        <v>19.200000000000003</v>
      </c>
      <c r="AP373" s="37"/>
      <c r="AQ373" s="35">
        <v>38</v>
      </c>
      <c r="AR373" s="36">
        <v>0</v>
      </c>
      <c r="AS373" s="35">
        <v>38</v>
      </c>
      <c r="AT373" s="36">
        <v>0</v>
      </c>
      <c r="AU373" s="35">
        <v>38</v>
      </c>
      <c r="AV373" s="36">
        <v>0</v>
      </c>
      <c r="AW373" s="35">
        <v>38</v>
      </c>
      <c r="AX373" s="36">
        <v>0</v>
      </c>
      <c r="AY373" s="35">
        <v>38</v>
      </c>
      <c r="AZ373" s="36">
        <v>0</v>
      </c>
      <c r="BB373" s="40">
        <v>0</v>
      </c>
      <c r="BC373" s="65"/>
      <c r="BD373" s="35">
        <v>0</v>
      </c>
      <c r="BE373" s="36">
        <v>0</v>
      </c>
      <c r="BF373" s="37"/>
      <c r="BG373" s="415">
        <v>0</v>
      </c>
      <c r="BH373" s="353">
        <v>0</v>
      </c>
      <c r="BI373" s="415">
        <v>0</v>
      </c>
      <c r="BJ373" s="353">
        <v>0</v>
      </c>
      <c r="BK373" s="415">
        <v>0</v>
      </c>
      <c r="BL373" s="353">
        <v>0</v>
      </c>
      <c r="BM373" s="416"/>
      <c r="BN373" s="415">
        <v>0</v>
      </c>
      <c r="BO373" s="353">
        <v>0</v>
      </c>
      <c r="BP373" s="415">
        <v>0</v>
      </c>
      <c r="BQ373" s="353">
        <v>0</v>
      </c>
      <c r="BR373" s="415">
        <v>0</v>
      </c>
      <c r="BS373" s="353">
        <v>0</v>
      </c>
      <c r="BT373" s="415">
        <v>0</v>
      </c>
      <c r="BU373" s="353">
        <v>0</v>
      </c>
      <c r="BV373" s="415">
        <v>0</v>
      </c>
      <c r="BW373" s="353">
        <v>0</v>
      </c>
      <c r="BY373" s="80"/>
      <c r="BZ373" s="65"/>
      <c r="CA373" s="40" t="s">
        <v>3</v>
      </c>
      <c r="CB373" s="65"/>
      <c r="CC373" s="40">
        <v>-17.990082644628096</v>
      </c>
      <c r="CD373" s="40">
        <v>-17.990082644628096</v>
      </c>
      <c r="CE373" s="40">
        <v>-17.990082644628096</v>
      </c>
      <c r="CF373" s="65"/>
      <c r="CG373" s="40">
        <v>-37.190082644628099</v>
      </c>
      <c r="CH373" s="40">
        <v>-37.190082644628099</v>
      </c>
      <c r="CI373" s="40">
        <v>-37.190082644628099</v>
      </c>
      <c r="CJ373" s="40">
        <v>-37.190082644628099</v>
      </c>
      <c r="CK373" s="40">
        <v>-37.190082644628099</v>
      </c>
    </row>
    <row r="374" spans="1:89" s="2" customFormat="1">
      <c r="A374" s="196" t="s">
        <v>1086</v>
      </c>
      <c r="B374" s="211" t="s">
        <v>187</v>
      </c>
      <c r="C374" s="211" t="s">
        <v>546</v>
      </c>
      <c r="D374" s="41">
        <v>36</v>
      </c>
      <c r="E374" s="41">
        <v>0</v>
      </c>
      <c r="F374" s="22" t="s">
        <v>1084</v>
      </c>
      <c r="G374" s="40">
        <v>24</v>
      </c>
      <c r="H374" s="388">
        <v>35.537190082644628</v>
      </c>
      <c r="I374" s="321"/>
      <c r="J374" s="40" t="s">
        <v>3</v>
      </c>
      <c r="K374" s="36" t="s">
        <v>3</v>
      </c>
      <c r="L374" s="37"/>
      <c r="M374" s="35">
        <v>0</v>
      </c>
      <c r="N374" s="136">
        <v>0.70000000000000007</v>
      </c>
      <c r="O374" s="35">
        <v>0</v>
      </c>
      <c r="P374" s="136">
        <v>0.70000000000000007</v>
      </c>
      <c r="Q374" s="37">
        <v>0</v>
      </c>
      <c r="R374" s="136">
        <v>0.70000000000000007</v>
      </c>
      <c r="S374" s="37"/>
      <c r="T374" s="35">
        <v>0</v>
      </c>
      <c r="U374" s="136">
        <v>0</v>
      </c>
      <c r="V374" s="35">
        <v>0</v>
      </c>
      <c r="W374" s="136">
        <v>0</v>
      </c>
      <c r="X374" s="35">
        <v>0</v>
      </c>
      <c r="Y374" s="149">
        <v>0</v>
      </c>
      <c r="Z374" s="35">
        <v>0</v>
      </c>
      <c r="AA374" s="136">
        <v>0</v>
      </c>
      <c r="AB374" s="37">
        <v>0</v>
      </c>
      <c r="AC374" s="136">
        <v>0</v>
      </c>
      <c r="AD374" s="37"/>
      <c r="AE374" s="40">
        <v>0</v>
      </c>
      <c r="AF374" s="65"/>
      <c r="AG374" s="35">
        <v>0</v>
      </c>
      <c r="AH374" s="36">
        <v>0</v>
      </c>
      <c r="AI374" s="37"/>
      <c r="AJ374" s="35">
        <v>19</v>
      </c>
      <c r="AK374" s="36">
        <v>16.8</v>
      </c>
      <c r="AL374" s="35">
        <v>19</v>
      </c>
      <c r="AM374" s="36">
        <v>16.8</v>
      </c>
      <c r="AN374" s="37">
        <v>19</v>
      </c>
      <c r="AO374" s="36">
        <v>16.8</v>
      </c>
      <c r="AP374" s="37"/>
      <c r="AQ374" s="35">
        <v>36</v>
      </c>
      <c r="AR374" s="36">
        <v>0</v>
      </c>
      <c r="AS374" s="35">
        <v>36</v>
      </c>
      <c r="AT374" s="36">
        <v>0</v>
      </c>
      <c r="AU374" s="37">
        <v>36</v>
      </c>
      <c r="AV374" s="36">
        <v>0</v>
      </c>
      <c r="AW374" s="37">
        <v>36</v>
      </c>
      <c r="AX374" s="36">
        <v>0</v>
      </c>
      <c r="AY374" s="37">
        <v>36</v>
      </c>
      <c r="AZ374" s="36">
        <v>0</v>
      </c>
      <c r="BB374" s="40">
        <v>0</v>
      </c>
      <c r="BC374" s="65"/>
      <c r="BD374" s="35">
        <v>0</v>
      </c>
      <c r="BE374" s="36">
        <v>0</v>
      </c>
      <c r="BF374" s="37"/>
      <c r="BG374" s="415">
        <v>0</v>
      </c>
      <c r="BH374" s="353">
        <v>0</v>
      </c>
      <c r="BI374" s="415">
        <v>0</v>
      </c>
      <c r="BJ374" s="353">
        <v>0</v>
      </c>
      <c r="BK374" s="415">
        <v>0</v>
      </c>
      <c r="BL374" s="353">
        <v>0</v>
      </c>
      <c r="BM374" s="416"/>
      <c r="BN374" s="415">
        <v>0</v>
      </c>
      <c r="BO374" s="353">
        <v>0</v>
      </c>
      <c r="BP374" s="415">
        <v>0</v>
      </c>
      <c r="BQ374" s="353">
        <v>0</v>
      </c>
      <c r="BR374" s="415">
        <v>0</v>
      </c>
      <c r="BS374" s="353">
        <v>0</v>
      </c>
      <c r="BT374" s="415">
        <v>0</v>
      </c>
      <c r="BU374" s="353">
        <v>0</v>
      </c>
      <c r="BV374" s="415">
        <v>0</v>
      </c>
      <c r="BW374" s="353">
        <v>0</v>
      </c>
      <c r="BY374" s="80"/>
      <c r="BZ374" s="65"/>
      <c r="CA374" s="40" t="s">
        <v>3</v>
      </c>
      <c r="CB374" s="65"/>
      <c r="CC374" s="40">
        <v>-18.737190082644627</v>
      </c>
      <c r="CD374" s="40">
        <v>-18.737190082644627</v>
      </c>
      <c r="CE374" s="40">
        <v>-18.737190082644627</v>
      </c>
      <c r="CF374" s="65"/>
      <c r="CG374" s="40">
        <v>-35.537190082644628</v>
      </c>
      <c r="CH374" s="40">
        <v>-35.537190082644628</v>
      </c>
      <c r="CI374" s="40">
        <v>-35.537190082644628</v>
      </c>
      <c r="CJ374" s="40">
        <v>-35.537190082644628</v>
      </c>
      <c r="CK374" s="40">
        <v>-35.537190082644628</v>
      </c>
    </row>
    <row r="375" spans="1:89" s="2" customFormat="1">
      <c r="A375" s="196" t="s">
        <v>1087</v>
      </c>
      <c r="B375" s="211" t="s">
        <v>187</v>
      </c>
      <c r="C375" s="211" t="s">
        <v>471</v>
      </c>
      <c r="D375" s="41">
        <v>33</v>
      </c>
      <c r="E375" s="41">
        <v>0</v>
      </c>
      <c r="F375" s="41" t="s">
        <v>1084</v>
      </c>
      <c r="G375" s="413">
        <v>24</v>
      </c>
      <c r="H375" s="414">
        <v>32.231404958677686</v>
      </c>
      <c r="I375" s="321"/>
      <c r="J375" s="40" t="s">
        <v>3</v>
      </c>
      <c r="K375" s="36" t="s">
        <v>3</v>
      </c>
      <c r="L375" s="37"/>
      <c r="M375" s="35">
        <v>0</v>
      </c>
      <c r="N375" s="136">
        <v>0.60000000000000009</v>
      </c>
      <c r="O375" s="35">
        <v>0</v>
      </c>
      <c r="P375" s="136">
        <v>0.60000000000000009</v>
      </c>
      <c r="Q375" s="37">
        <v>0</v>
      </c>
      <c r="R375" s="136">
        <v>0.60000000000000009</v>
      </c>
      <c r="S375" s="37"/>
      <c r="T375" s="35">
        <v>0</v>
      </c>
      <c r="U375" s="136">
        <v>0</v>
      </c>
      <c r="V375" s="35">
        <v>0</v>
      </c>
      <c r="W375" s="136">
        <v>0</v>
      </c>
      <c r="X375" s="35">
        <v>0</v>
      </c>
      <c r="Y375" s="149">
        <v>0</v>
      </c>
      <c r="Z375" s="35">
        <v>0</v>
      </c>
      <c r="AA375" s="136">
        <v>0</v>
      </c>
      <c r="AB375" s="37">
        <v>0</v>
      </c>
      <c r="AC375" s="136">
        <v>0</v>
      </c>
      <c r="AD375" s="37"/>
      <c r="AE375" s="40">
        <v>1</v>
      </c>
      <c r="AF375" s="65"/>
      <c r="AG375" s="35">
        <v>0</v>
      </c>
      <c r="AH375" s="36">
        <v>0</v>
      </c>
      <c r="AI375" s="37"/>
      <c r="AJ375" s="35">
        <v>19</v>
      </c>
      <c r="AK375" s="36">
        <v>14.400000000000002</v>
      </c>
      <c r="AL375" s="35">
        <v>19</v>
      </c>
      <c r="AM375" s="36">
        <v>14.400000000000002</v>
      </c>
      <c r="AN375" s="35">
        <v>19</v>
      </c>
      <c r="AO375" s="36">
        <v>14.400000000000002</v>
      </c>
      <c r="AP375" s="37"/>
      <c r="AQ375" s="35">
        <v>33</v>
      </c>
      <c r="AR375" s="36">
        <v>0</v>
      </c>
      <c r="AS375" s="35">
        <v>33</v>
      </c>
      <c r="AT375" s="36">
        <v>0</v>
      </c>
      <c r="AU375" s="35">
        <v>33</v>
      </c>
      <c r="AV375" s="36">
        <v>0</v>
      </c>
      <c r="AW375" s="35">
        <v>33</v>
      </c>
      <c r="AX375" s="36">
        <v>0</v>
      </c>
      <c r="AY375" s="35">
        <v>33</v>
      </c>
      <c r="AZ375" s="36">
        <v>0</v>
      </c>
      <c r="BB375" s="40">
        <v>0</v>
      </c>
      <c r="BC375" s="65"/>
      <c r="BD375" s="35">
        <v>0</v>
      </c>
      <c r="BE375" s="36">
        <v>0</v>
      </c>
      <c r="BF375" s="37"/>
      <c r="BG375" s="415">
        <v>0</v>
      </c>
      <c r="BH375" s="353">
        <v>0</v>
      </c>
      <c r="BI375" s="415">
        <v>0</v>
      </c>
      <c r="BJ375" s="353">
        <v>0</v>
      </c>
      <c r="BK375" s="415">
        <v>0</v>
      </c>
      <c r="BL375" s="353">
        <v>0</v>
      </c>
      <c r="BM375" s="416"/>
      <c r="BN375" s="415">
        <v>0</v>
      </c>
      <c r="BO375" s="353">
        <v>0</v>
      </c>
      <c r="BP375" s="415">
        <v>0</v>
      </c>
      <c r="BQ375" s="353">
        <v>0</v>
      </c>
      <c r="BR375" s="415">
        <v>0</v>
      </c>
      <c r="BS375" s="353">
        <v>0</v>
      </c>
      <c r="BT375" s="415">
        <v>0</v>
      </c>
      <c r="BU375" s="353">
        <v>0</v>
      </c>
      <c r="BV375" s="415">
        <v>0</v>
      </c>
      <c r="BW375" s="353">
        <v>0</v>
      </c>
      <c r="BY375" s="80"/>
      <c r="BZ375" s="65"/>
      <c r="CA375" s="40" t="s">
        <v>3</v>
      </c>
      <c r="CB375" s="65"/>
      <c r="CC375" s="40">
        <v>-17.831404958677684</v>
      </c>
      <c r="CD375" s="40">
        <v>-17.831404958677684</v>
      </c>
      <c r="CE375" s="40">
        <v>-17.831404958677684</v>
      </c>
      <c r="CF375" s="65"/>
      <c r="CG375" s="40">
        <v>-32.231404958677686</v>
      </c>
      <c r="CH375" s="40">
        <v>-32.231404958677686</v>
      </c>
      <c r="CI375" s="40">
        <v>-32.231404958677686</v>
      </c>
      <c r="CJ375" s="40">
        <v>-32.231404958677686</v>
      </c>
      <c r="CK375" s="40">
        <v>-32.231404958677686</v>
      </c>
    </row>
    <row r="376" spans="1:89" s="2" customFormat="1">
      <c r="A376" s="196" t="s">
        <v>1091</v>
      </c>
      <c r="B376" s="211" t="s">
        <v>1092</v>
      </c>
      <c r="C376" s="211" t="s">
        <v>772</v>
      </c>
      <c r="D376" s="41">
        <v>176</v>
      </c>
      <c r="E376" s="41">
        <v>0</v>
      </c>
      <c r="F376" s="22" t="s">
        <v>1084</v>
      </c>
      <c r="G376" s="40">
        <v>24</v>
      </c>
      <c r="H376" s="388">
        <v>175.20661157024793</v>
      </c>
      <c r="I376" s="321"/>
      <c r="J376" s="40" t="s">
        <v>3</v>
      </c>
      <c r="K376" s="36" t="s">
        <v>3</v>
      </c>
      <c r="L376" s="37"/>
      <c r="M376" s="35">
        <v>29</v>
      </c>
      <c r="N376" s="136">
        <v>4.8000000000000007</v>
      </c>
      <c r="O376" s="35">
        <v>0</v>
      </c>
      <c r="P376" s="136">
        <v>2.9000000000000004</v>
      </c>
      <c r="Q376" s="37">
        <v>0</v>
      </c>
      <c r="R376" s="136">
        <v>2.1</v>
      </c>
      <c r="S376" s="37"/>
      <c r="T376" s="35">
        <v>0</v>
      </c>
      <c r="U376" s="136">
        <v>6</v>
      </c>
      <c r="V376" s="35">
        <v>0</v>
      </c>
      <c r="W376" s="136">
        <v>5.2</v>
      </c>
      <c r="X376" s="35">
        <v>0</v>
      </c>
      <c r="Y376" s="149">
        <v>4</v>
      </c>
      <c r="Z376" s="35">
        <v>0</v>
      </c>
      <c r="AA376" s="136">
        <v>3.9000000000000004</v>
      </c>
      <c r="AB376" s="37">
        <v>0</v>
      </c>
      <c r="AC376" s="136">
        <v>3.9000000000000004</v>
      </c>
      <c r="AD376" s="37"/>
      <c r="AE376" s="40">
        <v>1</v>
      </c>
      <c r="AF376" s="65"/>
      <c r="AG376" s="35">
        <v>0</v>
      </c>
      <c r="AH376" s="36">
        <v>0</v>
      </c>
      <c r="AI376" s="37"/>
      <c r="AJ376" s="35">
        <v>32</v>
      </c>
      <c r="AK376" s="36">
        <v>115.20000000000002</v>
      </c>
      <c r="AL376" s="35">
        <v>106</v>
      </c>
      <c r="AM376" s="36">
        <v>69.600000000000009</v>
      </c>
      <c r="AN376" s="37">
        <v>126</v>
      </c>
      <c r="AO376" s="36">
        <v>50.400000000000006</v>
      </c>
      <c r="AP376" s="37"/>
      <c r="AQ376" s="35">
        <v>32</v>
      </c>
      <c r="AR376" s="36">
        <v>144</v>
      </c>
      <c r="AS376" s="35">
        <v>51</v>
      </c>
      <c r="AT376" s="36">
        <v>124.80000000000001</v>
      </c>
      <c r="AU376" s="37">
        <v>80</v>
      </c>
      <c r="AV376" s="36">
        <v>96</v>
      </c>
      <c r="AW376" s="37">
        <v>82</v>
      </c>
      <c r="AX376" s="36">
        <v>93.600000000000009</v>
      </c>
      <c r="AY376" s="37">
        <v>82</v>
      </c>
      <c r="AZ376" s="36">
        <v>93.600000000000009</v>
      </c>
      <c r="BB376" s="40">
        <v>0</v>
      </c>
      <c r="BC376" s="65"/>
      <c r="BD376" s="35">
        <v>0</v>
      </c>
      <c r="BE376" s="36">
        <v>0</v>
      </c>
      <c r="BF376" s="37"/>
      <c r="BG376" s="415">
        <v>0</v>
      </c>
      <c r="BH376" s="353">
        <v>0</v>
      </c>
      <c r="BI376" s="415">
        <v>0</v>
      </c>
      <c r="BJ376" s="353">
        <v>0</v>
      </c>
      <c r="BK376" s="415">
        <v>0</v>
      </c>
      <c r="BL376" s="353">
        <v>0</v>
      </c>
      <c r="BM376" s="416"/>
      <c r="BN376" s="415">
        <v>0</v>
      </c>
      <c r="BO376" s="353">
        <v>0</v>
      </c>
      <c r="BP376" s="415">
        <v>0</v>
      </c>
      <c r="BQ376" s="353">
        <v>0</v>
      </c>
      <c r="BR376" s="415">
        <v>0</v>
      </c>
      <c r="BS376" s="353">
        <v>0</v>
      </c>
      <c r="BT376" s="415">
        <v>0</v>
      </c>
      <c r="BU376" s="353">
        <v>0</v>
      </c>
      <c r="BV376" s="415">
        <v>0</v>
      </c>
      <c r="BW376" s="353">
        <v>0</v>
      </c>
      <c r="BY376" s="80"/>
      <c r="BZ376" s="65"/>
      <c r="CA376" s="40" t="s">
        <v>3</v>
      </c>
      <c r="CB376" s="65"/>
      <c r="CC376" s="40">
        <v>-31.006611570247912</v>
      </c>
      <c r="CD376" s="40">
        <v>-105.60661157024792</v>
      </c>
      <c r="CE376" s="40">
        <v>-124.80661157024792</v>
      </c>
      <c r="CF376" s="65"/>
      <c r="CG376" s="40">
        <v>-31.206611570247929</v>
      </c>
      <c r="CH376" s="40">
        <v>-50.406611570247918</v>
      </c>
      <c r="CI376" s="40">
        <v>-79.206611570247929</v>
      </c>
      <c r="CJ376" s="40">
        <v>-81.606611570247921</v>
      </c>
      <c r="CK376" s="40">
        <v>-81.606611570247921</v>
      </c>
    </row>
    <row r="377" spans="1:89" s="2" customFormat="1">
      <c r="A377" s="196" t="s">
        <v>1109</v>
      </c>
      <c r="B377" s="211" t="s">
        <v>1104</v>
      </c>
      <c r="C377" s="211" t="s">
        <v>773</v>
      </c>
      <c r="D377" s="41">
        <v>482</v>
      </c>
      <c r="E377" s="41">
        <v>0</v>
      </c>
      <c r="F377" s="41" t="s">
        <v>1105</v>
      </c>
      <c r="G377" s="413">
        <v>24</v>
      </c>
      <c r="H377" s="414">
        <v>419.83471074380168</v>
      </c>
      <c r="I377" s="321"/>
      <c r="J377" s="40" t="s">
        <v>3</v>
      </c>
      <c r="K377" s="36" t="s">
        <v>3</v>
      </c>
      <c r="L377" s="37"/>
      <c r="M377" s="35">
        <v>139</v>
      </c>
      <c r="N377" s="136">
        <v>8.3000000000000007</v>
      </c>
      <c r="O377" s="35">
        <v>19</v>
      </c>
      <c r="P377" s="136">
        <v>10.8</v>
      </c>
      <c r="Q377" s="37">
        <v>19</v>
      </c>
      <c r="R377" s="136">
        <v>9.8000000000000007</v>
      </c>
      <c r="S377" s="37"/>
      <c r="T377" s="35">
        <v>0</v>
      </c>
      <c r="U377" s="136">
        <v>14.3</v>
      </c>
      <c r="V377" s="35">
        <v>0</v>
      </c>
      <c r="W377" s="136">
        <v>12</v>
      </c>
      <c r="X377" s="35">
        <v>0</v>
      </c>
      <c r="Y377" s="149">
        <v>12</v>
      </c>
      <c r="Z377" s="35">
        <v>0</v>
      </c>
      <c r="AA377" s="136">
        <v>12</v>
      </c>
      <c r="AB377" s="37">
        <v>0</v>
      </c>
      <c r="AC377" s="136">
        <v>12</v>
      </c>
      <c r="AD377" s="37"/>
      <c r="AE377" s="40">
        <v>62</v>
      </c>
      <c r="AF377" s="65"/>
      <c r="AG377" s="35">
        <v>0</v>
      </c>
      <c r="AH377" s="36">
        <v>0</v>
      </c>
      <c r="AI377" s="37"/>
      <c r="AJ377" s="35">
        <v>144</v>
      </c>
      <c r="AK377" s="36">
        <v>199.20000000000002</v>
      </c>
      <c r="AL377" s="35">
        <v>204</v>
      </c>
      <c r="AM377" s="36">
        <v>259.20000000000005</v>
      </c>
      <c r="AN377" s="35">
        <v>228</v>
      </c>
      <c r="AO377" s="36">
        <v>235.20000000000002</v>
      </c>
      <c r="AP377" s="37"/>
      <c r="AQ377" s="35">
        <v>139</v>
      </c>
      <c r="AR377" s="36">
        <v>343.20000000000005</v>
      </c>
      <c r="AS377" s="35">
        <v>194</v>
      </c>
      <c r="AT377" s="36">
        <v>288</v>
      </c>
      <c r="AU377" s="35">
        <v>194</v>
      </c>
      <c r="AV377" s="36">
        <v>288</v>
      </c>
      <c r="AW377" s="35">
        <v>194</v>
      </c>
      <c r="AX377" s="36">
        <v>288</v>
      </c>
      <c r="AY377" s="35">
        <v>194</v>
      </c>
      <c r="AZ377" s="36">
        <v>288</v>
      </c>
      <c r="BB377" s="40">
        <v>0</v>
      </c>
      <c r="BC377" s="65"/>
      <c r="BD377" s="35">
        <v>0</v>
      </c>
      <c r="BE377" s="36">
        <v>0</v>
      </c>
      <c r="BF377" s="37"/>
      <c r="BG377" s="415">
        <v>0</v>
      </c>
      <c r="BH377" s="353">
        <v>0</v>
      </c>
      <c r="BI377" s="415">
        <v>0</v>
      </c>
      <c r="BJ377" s="353">
        <v>0</v>
      </c>
      <c r="BK377" s="415">
        <v>0</v>
      </c>
      <c r="BL377" s="353">
        <v>0</v>
      </c>
      <c r="BM377" s="416"/>
      <c r="BN377" s="415">
        <v>0</v>
      </c>
      <c r="BO377" s="353">
        <v>0</v>
      </c>
      <c r="BP377" s="415">
        <v>0</v>
      </c>
      <c r="BQ377" s="353">
        <v>0</v>
      </c>
      <c r="BR377" s="415">
        <v>0</v>
      </c>
      <c r="BS377" s="353">
        <v>0</v>
      </c>
      <c r="BT377" s="415">
        <v>0</v>
      </c>
      <c r="BU377" s="353">
        <v>0</v>
      </c>
      <c r="BV377" s="415">
        <v>0</v>
      </c>
      <c r="BW377" s="353">
        <v>0</v>
      </c>
      <c r="BY377" s="80"/>
      <c r="BZ377" s="65"/>
      <c r="CA377" s="40" t="s">
        <v>3</v>
      </c>
      <c r="CB377" s="65"/>
      <c r="CC377" s="40">
        <v>-81.634710743801634</v>
      </c>
      <c r="CD377" s="40">
        <v>-141.63471074380163</v>
      </c>
      <c r="CE377" s="40">
        <v>-165.63471074380166</v>
      </c>
      <c r="CF377" s="65"/>
      <c r="CG377" s="40">
        <v>-76.634710743801634</v>
      </c>
      <c r="CH377" s="40">
        <v>-131.83471074380168</v>
      </c>
      <c r="CI377" s="40">
        <v>-131.83471074380168</v>
      </c>
      <c r="CJ377" s="40">
        <v>-131.83471074380168</v>
      </c>
      <c r="CK377" s="40">
        <v>-131.83471074380168</v>
      </c>
    </row>
    <row r="378" spans="1:89" s="2" customFormat="1">
      <c r="A378" s="196" t="s">
        <v>1110</v>
      </c>
      <c r="B378" s="211" t="s">
        <v>1104</v>
      </c>
      <c r="C378" s="211" t="s">
        <v>773</v>
      </c>
      <c r="D378" s="41">
        <v>482</v>
      </c>
      <c r="E378" s="41">
        <v>0</v>
      </c>
      <c r="F378" s="22" t="s">
        <v>1105</v>
      </c>
      <c r="G378" s="40">
        <v>30</v>
      </c>
      <c r="H378" s="388">
        <v>419.83471074380168</v>
      </c>
      <c r="I378" s="321"/>
      <c r="J378" s="40" t="s">
        <v>3</v>
      </c>
      <c r="K378" s="36" t="s">
        <v>3</v>
      </c>
      <c r="L378" s="37"/>
      <c r="M378" s="35">
        <v>139</v>
      </c>
      <c r="N378" s="136">
        <v>6.7</v>
      </c>
      <c r="O378" s="35">
        <v>19</v>
      </c>
      <c r="P378" s="136">
        <v>8.7000000000000011</v>
      </c>
      <c r="Q378" s="37">
        <v>19</v>
      </c>
      <c r="R378" s="136">
        <v>7.9</v>
      </c>
      <c r="S378" s="37"/>
      <c r="T378" s="35">
        <v>0</v>
      </c>
      <c r="U378" s="136">
        <v>11.5</v>
      </c>
      <c r="V378" s="35">
        <v>0</v>
      </c>
      <c r="W378" s="136">
        <v>9.6000000000000014</v>
      </c>
      <c r="X378" s="35">
        <v>0</v>
      </c>
      <c r="Y378" s="149">
        <v>9.6000000000000014</v>
      </c>
      <c r="Z378" s="35">
        <v>0</v>
      </c>
      <c r="AA378" s="136">
        <v>9.6000000000000014</v>
      </c>
      <c r="AB378" s="37">
        <v>0</v>
      </c>
      <c r="AC378" s="136">
        <v>9.6000000000000014</v>
      </c>
      <c r="AD378" s="37"/>
      <c r="AE378" s="40">
        <v>62</v>
      </c>
      <c r="AF378" s="65"/>
      <c r="AG378" s="35">
        <v>0</v>
      </c>
      <c r="AH378" s="36">
        <v>0</v>
      </c>
      <c r="AI378" s="37"/>
      <c r="AJ378" s="35">
        <v>142</v>
      </c>
      <c r="AK378" s="36">
        <v>201</v>
      </c>
      <c r="AL378" s="35">
        <v>202</v>
      </c>
      <c r="AM378" s="36">
        <v>261.00000000000006</v>
      </c>
      <c r="AN378" s="37">
        <v>226</v>
      </c>
      <c r="AO378" s="36">
        <v>237</v>
      </c>
      <c r="AP378" s="37"/>
      <c r="AQ378" s="35">
        <v>137</v>
      </c>
      <c r="AR378" s="36">
        <v>345</v>
      </c>
      <c r="AS378" s="35">
        <v>194</v>
      </c>
      <c r="AT378" s="36">
        <v>288.00000000000006</v>
      </c>
      <c r="AU378" s="37">
        <v>194</v>
      </c>
      <c r="AV378" s="36">
        <v>288.00000000000006</v>
      </c>
      <c r="AW378" s="37">
        <v>194</v>
      </c>
      <c r="AX378" s="36">
        <v>288.00000000000006</v>
      </c>
      <c r="AY378" s="37">
        <v>194</v>
      </c>
      <c r="AZ378" s="36">
        <v>288.00000000000006</v>
      </c>
      <c r="BB378" s="40">
        <v>0</v>
      </c>
      <c r="BC378" s="65"/>
      <c r="BD378" s="35">
        <v>0</v>
      </c>
      <c r="BE378" s="36">
        <v>0</v>
      </c>
      <c r="BF378" s="37"/>
      <c r="BG378" s="415">
        <v>0</v>
      </c>
      <c r="BH378" s="353">
        <v>0</v>
      </c>
      <c r="BI378" s="415">
        <v>0</v>
      </c>
      <c r="BJ378" s="353">
        <v>0</v>
      </c>
      <c r="BK378" s="415">
        <v>0</v>
      </c>
      <c r="BL378" s="353">
        <v>0</v>
      </c>
      <c r="BM378" s="416"/>
      <c r="BN378" s="415">
        <v>0</v>
      </c>
      <c r="BO378" s="353">
        <v>0</v>
      </c>
      <c r="BP378" s="415">
        <v>0</v>
      </c>
      <c r="BQ378" s="353">
        <v>0</v>
      </c>
      <c r="BR378" s="415">
        <v>0</v>
      </c>
      <c r="BS378" s="353">
        <v>0</v>
      </c>
      <c r="BT378" s="415">
        <v>0</v>
      </c>
      <c r="BU378" s="353">
        <v>1.7763568394002505E-15</v>
      </c>
      <c r="BV378" s="415">
        <v>0</v>
      </c>
      <c r="BW378" s="353">
        <v>1.7763568394002505E-15</v>
      </c>
      <c r="BY378" s="80"/>
      <c r="BZ378" s="65"/>
      <c r="CA378" s="40" t="s">
        <v>3</v>
      </c>
      <c r="CB378" s="65"/>
      <c r="CC378" s="40">
        <v>-79.834710743801679</v>
      </c>
      <c r="CD378" s="40">
        <v>-139.83471074380162</v>
      </c>
      <c r="CE378" s="40">
        <v>-163.83471074380168</v>
      </c>
      <c r="CF378" s="65"/>
      <c r="CG378" s="40">
        <v>-74.834710743801679</v>
      </c>
      <c r="CH378" s="40">
        <v>-131.83471074380162</v>
      </c>
      <c r="CI378" s="40">
        <v>-131.83471074380162</v>
      </c>
      <c r="CJ378" s="40">
        <v>-131.83471074380162</v>
      </c>
      <c r="CK378" s="40">
        <v>-131.83471074380162</v>
      </c>
    </row>
    <row r="379" spans="1:89" s="2" customFormat="1">
      <c r="A379" s="196" t="s">
        <v>1176</v>
      </c>
      <c r="B379" s="211" t="s">
        <v>664</v>
      </c>
      <c r="C379" s="211" t="s">
        <v>618</v>
      </c>
      <c r="D379" s="41">
        <v>553</v>
      </c>
      <c r="E379" s="41">
        <v>0</v>
      </c>
      <c r="F379" s="41" t="s">
        <v>1177</v>
      </c>
      <c r="G379" s="413">
        <v>24</v>
      </c>
      <c r="H379" s="414">
        <v>412.39669421487605</v>
      </c>
      <c r="I379" s="321"/>
      <c r="J379" s="40" t="s">
        <v>3</v>
      </c>
      <c r="K379" s="36" t="s">
        <v>3</v>
      </c>
      <c r="L379" s="37"/>
      <c r="M379" s="35">
        <v>139</v>
      </c>
      <c r="N379" s="136">
        <v>8.3000000000000007</v>
      </c>
      <c r="O379" s="35">
        <v>19</v>
      </c>
      <c r="P379" s="136">
        <v>10.200000000000001</v>
      </c>
      <c r="Q379" s="37">
        <v>19</v>
      </c>
      <c r="R379" s="136">
        <v>9.3000000000000007</v>
      </c>
      <c r="S379" s="37"/>
      <c r="T379" s="35">
        <v>0</v>
      </c>
      <c r="U379" s="136">
        <v>14.100000000000001</v>
      </c>
      <c r="V379" s="35">
        <v>0</v>
      </c>
      <c r="W379" s="136">
        <v>10</v>
      </c>
      <c r="X379" s="35">
        <v>0</v>
      </c>
      <c r="Y379" s="149">
        <v>10</v>
      </c>
      <c r="Z379" s="35">
        <v>0</v>
      </c>
      <c r="AA379" s="136">
        <v>10</v>
      </c>
      <c r="AB379" s="37">
        <v>0</v>
      </c>
      <c r="AC379" s="136">
        <v>10</v>
      </c>
      <c r="AD379" s="37"/>
      <c r="AE379" s="40">
        <v>141</v>
      </c>
      <c r="AF379" s="65"/>
      <c r="AG379" s="35">
        <v>0</v>
      </c>
      <c r="AH379" s="36">
        <v>0</v>
      </c>
      <c r="AI379" s="37"/>
      <c r="AJ379" s="35">
        <v>215</v>
      </c>
      <c r="AK379" s="36">
        <v>199.20000000000002</v>
      </c>
      <c r="AL379" s="35">
        <v>289</v>
      </c>
      <c r="AM379" s="36">
        <v>244.8</v>
      </c>
      <c r="AN379" s="35">
        <v>311</v>
      </c>
      <c r="AO379" s="36">
        <v>223.20000000000002</v>
      </c>
      <c r="AP379" s="37"/>
      <c r="AQ379" s="35">
        <v>215</v>
      </c>
      <c r="AR379" s="36">
        <v>338.40000000000003</v>
      </c>
      <c r="AS379" s="35">
        <v>313</v>
      </c>
      <c r="AT379" s="36">
        <v>240</v>
      </c>
      <c r="AU379" s="35">
        <v>313</v>
      </c>
      <c r="AV379" s="36">
        <v>240</v>
      </c>
      <c r="AW379" s="35">
        <v>313</v>
      </c>
      <c r="AX379" s="36">
        <v>240</v>
      </c>
      <c r="AY379" s="35">
        <v>313</v>
      </c>
      <c r="AZ379" s="36">
        <v>240</v>
      </c>
      <c r="BB379" s="40">
        <v>0</v>
      </c>
      <c r="BC379" s="65"/>
      <c r="BD379" s="35">
        <v>0</v>
      </c>
      <c r="BE379" s="36">
        <v>0</v>
      </c>
      <c r="BF379" s="37"/>
      <c r="BG379" s="415">
        <v>0</v>
      </c>
      <c r="BH379" s="353">
        <v>0</v>
      </c>
      <c r="BI379" s="415">
        <v>0</v>
      </c>
      <c r="BJ379" s="353">
        <v>0</v>
      </c>
      <c r="BK379" s="415">
        <v>0</v>
      </c>
      <c r="BL379" s="353">
        <v>0</v>
      </c>
      <c r="BM379" s="416"/>
      <c r="BN379" s="415">
        <v>0</v>
      </c>
      <c r="BO379" s="353">
        <v>0</v>
      </c>
      <c r="BP379" s="415">
        <v>0</v>
      </c>
      <c r="BQ379" s="353">
        <v>0</v>
      </c>
      <c r="BR379" s="415">
        <v>0</v>
      </c>
      <c r="BS379" s="353">
        <v>0</v>
      </c>
      <c r="BT379" s="415">
        <v>0</v>
      </c>
      <c r="BU379" s="353">
        <v>0</v>
      </c>
      <c r="BV379" s="415">
        <v>0</v>
      </c>
      <c r="BW379" s="353">
        <v>0</v>
      </c>
      <c r="BY379" s="80"/>
      <c r="BZ379" s="65"/>
      <c r="CA379" s="40" t="s">
        <v>3</v>
      </c>
      <c r="CB379" s="65"/>
      <c r="CC379" s="40">
        <v>-74.196694214876004</v>
      </c>
      <c r="CD379" s="40">
        <v>-148.59669421487604</v>
      </c>
      <c r="CE379" s="40">
        <v>-170.19669421487603</v>
      </c>
      <c r="CF379" s="65"/>
      <c r="CG379" s="40">
        <v>-73.996694214876015</v>
      </c>
      <c r="CH379" s="40">
        <v>-172.39669421487605</v>
      </c>
      <c r="CI379" s="40">
        <v>-172.39669421487605</v>
      </c>
      <c r="CJ379" s="40">
        <v>-172.39669421487605</v>
      </c>
      <c r="CK379" s="40">
        <v>-172.39669421487605</v>
      </c>
    </row>
    <row r="380" spans="1:89" s="2" customFormat="1">
      <c r="A380" s="196" t="s">
        <v>1178</v>
      </c>
      <c r="B380" s="211" t="s">
        <v>664</v>
      </c>
      <c r="C380" s="211" t="s">
        <v>618</v>
      </c>
      <c r="D380" s="41">
        <v>553</v>
      </c>
      <c r="E380" s="41">
        <v>0</v>
      </c>
      <c r="F380" s="22" t="s">
        <v>1177</v>
      </c>
      <c r="G380" s="40">
        <v>30</v>
      </c>
      <c r="H380" s="388">
        <v>412.39669421487605</v>
      </c>
      <c r="I380" s="321"/>
      <c r="J380" s="40" t="s">
        <v>3</v>
      </c>
      <c r="K380" s="36" t="s">
        <v>3</v>
      </c>
      <c r="L380" s="37"/>
      <c r="M380" s="35">
        <v>139</v>
      </c>
      <c r="N380" s="136">
        <v>6.7</v>
      </c>
      <c r="O380" s="35">
        <v>19</v>
      </c>
      <c r="P380" s="136">
        <v>8.2000000000000011</v>
      </c>
      <c r="Q380" s="37">
        <v>19</v>
      </c>
      <c r="R380" s="136">
        <v>7.5</v>
      </c>
      <c r="S380" s="37"/>
      <c r="T380" s="35">
        <v>0</v>
      </c>
      <c r="U380" s="136">
        <v>11.3</v>
      </c>
      <c r="V380" s="35">
        <v>0</v>
      </c>
      <c r="W380" s="136">
        <v>8</v>
      </c>
      <c r="X380" s="35">
        <v>0</v>
      </c>
      <c r="Y380" s="149">
        <v>8</v>
      </c>
      <c r="Z380" s="35">
        <v>0</v>
      </c>
      <c r="AA380" s="136">
        <v>8</v>
      </c>
      <c r="AB380" s="37">
        <v>0</v>
      </c>
      <c r="AC380" s="136">
        <v>8</v>
      </c>
      <c r="AD380" s="37"/>
      <c r="AE380" s="40">
        <v>141</v>
      </c>
      <c r="AF380" s="65"/>
      <c r="AG380" s="35">
        <v>0</v>
      </c>
      <c r="AH380" s="36">
        <v>0</v>
      </c>
      <c r="AI380" s="37"/>
      <c r="AJ380" s="35">
        <v>213</v>
      </c>
      <c r="AK380" s="36">
        <v>201</v>
      </c>
      <c r="AL380" s="35">
        <v>288</v>
      </c>
      <c r="AM380" s="36">
        <v>246.00000000000003</v>
      </c>
      <c r="AN380" s="37">
        <v>309</v>
      </c>
      <c r="AO380" s="36">
        <v>225</v>
      </c>
      <c r="AP380" s="37"/>
      <c r="AQ380" s="35">
        <v>214</v>
      </c>
      <c r="AR380" s="36">
        <v>339</v>
      </c>
      <c r="AS380" s="35">
        <v>313</v>
      </c>
      <c r="AT380" s="36">
        <v>240</v>
      </c>
      <c r="AU380" s="37">
        <v>313</v>
      </c>
      <c r="AV380" s="36">
        <v>240</v>
      </c>
      <c r="AW380" s="37">
        <v>313</v>
      </c>
      <c r="AX380" s="36">
        <v>240</v>
      </c>
      <c r="AY380" s="37">
        <v>313</v>
      </c>
      <c r="AZ380" s="36">
        <v>240</v>
      </c>
      <c r="BB380" s="40">
        <v>0</v>
      </c>
      <c r="BC380" s="65"/>
      <c r="BD380" s="35">
        <v>0</v>
      </c>
      <c r="BE380" s="36">
        <v>0</v>
      </c>
      <c r="BF380" s="37"/>
      <c r="BG380" s="415">
        <v>0</v>
      </c>
      <c r="BH380" s="353">
        <v>0</v>
      </c>
      <c r="BI380" s="415">
        <v>0</v>
      </c>
      <c r="BJ380" s="353">
        <v>0</v>
      </c>
      <c r="BK380" s="415">
        <v>0</v>
      </c>
      <c r="BL380" s="353">
        <v>0</v>
      </c>
      <c r="BM380" s="416"/>
      <c r="BN380" s="415">
        <v>0</v>
      </c>
      <c r="BO380" s="353">
        <v>0</v>
      </c>
      <c r="BP380" s="415">
        <v>0</v>
      </c>
      <c r="BQ380" s="353">
        <v>0</v>
      </c>
      <c r="BR380" s="415">
        <v>0</v>
      </c>
      <c r="BS380" s="353">
        <v>0</v>
      </c>
      <c r="BT380" s="415">
        <v>0</v>
      </c>
      <c r="BU380" s="353">
        <v>0</v>
      </c>
      <c r="BV380" s="415">
        <v>0</v>
      </c>
      <c r="BW380" s="353">
        <v>0</v>
      </c>
      <c r="BY380" s="80"/>
      <c r="BZ380" s="65"/>
      <c r="CA380" s="40" t="s">
        <v>3</v>
      </c>
      <c r="CB380" s="65"/>
      <c r="CC380" s="40">
        <v>-72.39669421487605</v>
      </c>
      <c r="CD380" s="40">
        <v>-147.39669421487605</v>
      </c>
      <c r="CE380" s="40">
        <v>-168.39669421487605</v>
      </c>
      <c r="CF380" s="65"/>
      <c r="CG380" s="40">
        <v>-73.39669421487605</v>
      </c>
      <c r="CH380" s="40">
        <v>-172.39669421487605</v>
      </c>
      <c r="CI380" s="40">
        <v>-172.39669421487605</v>
      </c>
      <c r="CJ380" s="40">
        <v>-172.39669421487605</v>
      </c>
      <c r="CK380" s="40">
        <v>-172.39669421487605</v>
      </c>
    </row>
    <row r="381" spans="1:89" s="2" customFormat="1">
      <c r="A381" s="196" t="s">
        <v>1090</v>
      </c>
      <c r="B381" s="211" t="s">
        <v>1089</v>
      </c>
      <c r="C381" s="435" t="s">
        <v>774</v>
      </c>
      <c r="D381" s="41">
        <v>33</v>
      </c>
      <c r="E381" s="41">
        <v>0</v>
      </c>
      <c r="F381" s="41" t="s">
        <v>1084</v>
      </c>
      <c r="G381" s="413">
        <v>24</v>
      </c>
      <c r="H381" s="414">
        <v>40.495867768595041</v>
      </c>
      <c r="I381" s="321"/>
      <c r="J381" s="40" t="s">
        <v>3</v>
      </c>
      <c r="K381" s="36" t="s">
        <v>3</v>
      </c>
      <c r="L381" s="37"/>
      <c r="M381" s="35">
        <v>0</v>
      </c>
      <c r="N381" s="136">
        <v>0.9</v>
      </c>
      <c r="O381" s="35">
        <v>0</v>
      </c>
      <c r="P381" s="136">
        <v>0.9</v>
      </c>
      <c r="Q381" s="37">
        <v>0</v>
      </c>
      <c r="R381" s="136">
        <v>0.9</v>
      </c>
      <c r="S381" s="37"/>
      <c r="T381" s="35">
        <v>0</v>
      </c>
      <c r="U381" s="136">
        <v>0.5</v>
      </c>
      <c r="V381" s="35">
        <v>0</v>
      </c>
      <c r="W381" s="136">
        <v>0.5</v>
      </c>
      <c r="X381" s="35">
        <v>0</v>
      </c>
      <c r="Y381" s="149">
        <v>0.5</v>
      </c>
      <c r="Z381" s="35">
        <v>0</v>
      </c>
      <c r="AA381" s="136">
        <v>0.4</v>
      </c>
      <c r="AB381" s="37">
        <v>0</v>
      </c>
      <c r="AC381" s="136">
        <v>0.4</v>
      </c>
      <c r="AD381" s="37"/>
      <c r="AE381" s="40">
        <v>-7</v>
      </c>
      <c r="AF381" s="65"/>
      <c r="AG381" s="35">
        <v>0</v>
      </c>
      <c r="AH381" s="36">
        <v>0</v>
      </c>
      <c r="AI381" s="37"/>
      <c r="AJ381" s="35">
        <v>11</v>
      </c>
      <c r="AK381" s="36">
        <v>21.6</v>
      </c>
      <c r="AL381" s="35">
        <v>11</v>
      </c>
      <c r="AM381" s="36">
        <v>21.6</v>
      </c>
      <c r="AN381" s="35">
        <v>11</v>
      </c>
      <c r="AO381" s="36">
        <v>21.6</v>
      </c>
      <c r="AP381" s="37"/>
      <c r="AQ381" s="35">
        <v>21</v>
      </c>
      <c r="AR381" s="36">
        <v>12</v>
      </c>
      <c r="AS381" s="35">
        <v>21</v>
      </c>
      <c r="AT381" s="36">
        <v>12</v>
      </c>
      <c r="AU381" s="35">
        <v>21</v>
      </c>
      <c r="AV381" s="36">
        <v>12</v>
      </c>
      <c r="AW381" s="35">
        <v>23</v>
      </c>
      <c r="AX381" s="36">
        <v>9.6000000000000014</v>
      </c>
      <c r="AY381" s="35">
        <v>23</v>
      </c>
      <c r="AZ381" s="36">
        <v>9.6000000000000014</v>
      </c>
      <c r="BB381" s="40">
        <v>0</v>
      </c>
      <c r="BC381" s="65"/>
      <c r="BD381" s="35">
        <v>0</v>
      </c>
      <c r="BE381" s="36">
        <v>0</v>
      </c>
      <c r="BF381" s="37"/>
      <c r="BG381" s="415">
        <v>0</v>
      </c>
      <c r="BH381" s="353">
        <v>0</v>
      </c>
      <c r="BI381" s="415">
        <v>0</v>
      </c>
      <c r="BJ381" s="353">
        <v>0</v>
      </c>
      <c r="BK381" s="415">
        <v>0</v>
      </c>
      <c r="BL381" s="353">
        <v>0</v>
      </c>
      <c r="BM381" s="416"/>
      <c r="BN381" s="415">
        <v>0</v>
      </c>
      <c r="BO381" s="353">
        <v>0</v>
      </c>
      <c r="BP381" s="415">
        <v>0</v>
      </c>
      <c r="BQ381" s="353">
        <v>0</v>
      </c>
      <c r="BR381" s="415">
        <v>0</v>
      </c>
      <c r="BS381" s="353">
        <v>0</v>
      </c>
      <c r="BT381" s="415">
        <v>0</v>
      </c>
      <c r="BU381" s="353">
        <v>0</v>
      </c>
      <c r="BV381" s="415">
        <v>0</v>
      </c>
      <c r="BW381" s="353">
        <v>0</v>
      </c>
      <c r="BY381" s="80"/>
      <c r="BZ381" s="65"/>
      <c r="CA381" s="40" t="s">
        <v>3</v>
      </c>
      <c r="CB381" s="65"/>
      <c r="CC381" s="40">
        <v>-18.895867768595039</v>
      </c>
      <c r="CD381" s="40">
        <v>-18.895867768595039</v>
      </c>
      <c r="CE381" s="40">
        <v>-18.895867768595039</v>
      </c>
      <c r="CF381" s="65"/>
      <c r="CG381" s="40">
        <v>-28.495867768595041</v>
      </c>
      <c r="CH381" s="40">
        <v>-28.495867768595041</v>
      </c>
      <c r="CI381" s="40">
        <v>-28.495867768595041</v>
      </c>
      <c r="CJ381" s="40">
        <v>-30.895867768595039</v>
      </c>
      <c r="CK381" s="40">
        <v>-30.895867768595039</v>
      </c>
    </row>
    <row r="382" spans="1:89" s="2" customFormat="1">
      <c r="A382" s="196" t="s">
        <v>1117</v>
      </c>
      <c r="B382" s="211" t="s">
        <v>60</v>
      </c>
      <c r="C382" s="211" t="s">
        <v>624</v>
      </c>
      <c r="D382" s="41">
        <v>643</v>
      </c>
      <c r="E382" s="41">
        <v>0</v>
      </c>
      <c r="F382" s="41" t="s">
        <v>1105</v>
      </c>
      <c r="G382" s="413">
        <v>24</v>
      </c>
      <c r="H382" s="414">
        <v>446.28099173553721</v>
      </c>
      <c r="I382" s="321"/>
      <c r="J382" s="40" t="s">
        <v>3</v>
      </c>
      <c r="K382" s="36" t="s">
        <v>3</v>
      </c>
      <c r="L382" s="37"/>
      <c r="M382" s="35">
        <v>169</v>
      </c>
      <c r="N382" s="136">
        <v>10</v>
      </c>
      <c r="O382" s="35">
        <v>19</v>
      </c>
      <c r="P382" s="136">
        <v>13.3</v>
      </c>
      <c r="Q382" s="37">
        <v>19</v>
      </c>
      <c r="R382" s="136">
        <v>12.4</v>
      </c>
      <c r="S382" s="37"/>
      <c r="T382" s="35">
        <v>0</v>
      </c>
      <c r="U382" s="136">
        <v>17.2</v>
      </c>
      <c r="V382" s="35">
        <v>0</v>
      </c>
      <c r="W382" s="136">
        <v>13.5</v>
      </c>
      <c r="X382" s="35">
        <v>0</v>
      </c>
      <c r="Y382" s="149">
        <v>13.5</v>
      </c>
      <c r="Z382" s="35">
        <v>0</v>
      </c>
      <c r="AA382" s="136">
        <v>13.4</v>
      </c>
      <c r="AB382" s="37">
        <v>0</v>
      </c>
      <c r="AC382" s="136">
        <v>13.4</v>
      </c>
      <c r="AD382" s="37"/>
      <c r="AE382" s="40">
        <v>197</v>
      </c>
      <c r="AF382" s="65"/>
      <c r="AG382" s="35">
        <v>0</v>
      </c>
      <c r="AH382" s="36">
        <v>0</v>
      </c>
      <c r="AI382" s="37"/>
      <c r="AJ382" s="35">
        <v>234</v>
      </c>
      <c r="AK382" s="36">
        <v>240</v>
      </c>
      <c r="AL382" s="35">
        <v>305</v>
      </c>
      <c r="AM382" s="36">
        <v>319.20000000000005</v>
      </c>
      <c r="AN382" s="37">
        <v>326</v>
      </c>
      <c r="AO382" s="36">
        <v>297.60000000000002</v>
      </c>
      <c r="AP382" s="37"/>
      <c r="AQ382" s="35">
        <v>230</v>
      </c>
      <c r="AR382" s="36">
        <v>412.79999999999995</v>
      </c>
      <c r="AS382" s="35">
        <v>319</v>
      </c>
      <c r="AT382" s="36">
        <v>324</v>
      </c>
      <c r="AU382" s="37">
        <v>319</v>
      </c>
      <c r="AV382" s="36">
        <v>324</v>
      </c>
      <c r="AW382" s="37">
        <v>321</v>
      </c>
      <c r="AX382" s="36">
        <v>321.60000000000002</v>
      </c>
      <c r="AY382" s="37">
        <v>321</v>
      </c>
      <c r="AZ382" s="36">
        <v>321.60000000000002</v>
      </c>
      <c r="BB382" s="40">
        <v>0</v>
      </c>
      <c r="BC382" s="65"/>
      <c r="BD382" s="35">
        <v>0</v>
      </c>
      <c r="BE382" s="36">
        <v>0</v>
      </c>
      <c r="BF382" s="37"/>
      <c r="BG382" s="415">
        <v>0</v>
      </c>
      <c r="BH382" s="353">
        <v>0</v>
      </c>
      <c r="BI382" s="415">
        <v>0</v>
      </c>
      <c r="BJ382" s="353">
        <v>0</v>
      </c>
      <c r="BK382" s="415">
        <v>0</v>
      </c>
      <c r="BL382" s="353">
        <v>0</v>
      </c>
      <c r="BM382" s="416"/>
      <c r="BN382" s="415">
        <v>0</v>
      </c>
      <c r="BO382" s="353">
        <v>0</v>
      </c>
      <c r="BP382" s="415">
        <v>0</v>
      </c>
      <c r="BQ382" s="353">
        <v>0</v>
      </c>
      <c r="BR382" s="415">
        <v>0</v>
      </c>
      <c r="BS382" s="353">
        <v>0</v>
      </c>
      <c r="BT382" s="415">
        <v>0</v>
      </c>
      <c r="BU382" s="353">
        <v>0</v>
      </c>
      <c r="BV382" s="415">
        <v>0</v>
      </c>
      <c r="BW382" s="353">
        <v>0</v>
      </c>
      <c r="BY382" s="80"/>
      <c r="BZ382" s="65"/>
      <c r="CA382" s="40" t="s">
        <v>3</v>
      </c>
      <c r="CB382" s="65"/>
      <c r="CC382" s="40">
        <v>-37.280991735537214</v>
      </c>
      <c r="CD382" s="40">
        <v>-108.08099173553717</v>
      </c>
      <c r="CE382" s="40">
        <v>-129.68099173553719</v>
      </c>
      <c r="CF382" s="65"/>
      <c r="CG382" s="40">
        <v>-33.480991735537259</v>
      </c>
      <c r="CH382" s="40">
        <v>-122.28099173553721</v>
      </c>
      <c r="CI382" s="40">
        <v>-122.28099173553721</v>
      </c>
      <c r="CJ382" s="40">
        <v>-124.68099173553719</v>
      </c>
      <c r="CK382" s="40">
        <v>-124.68099173553719</v>
      </c>
    </row>
    <row r="383" spans="1:89" s="2" customFormat="1">
      <c r="A383" s="196" t="s">
        <v>1118</v>
      </c>
      <c r="B383" s="211" t="s">
        <v>60</v>
      </c>
      <c r="C383" s="211" t="s">
        <v>624</v>
      </c>
      <c r="D383" s="41">
        <v>643</v>
      </c>
      <c r="E383" s="41">
        <v>0</v>
      </c>
      <c r="F383" s="22" t="s">
        <v>1105</v>
      </c>
      <c r="G383" s="40">
        <v>30</v>
      </c>
      <c r="H383" s="388">
        <v>446.28099173553721</v>
      </c>
      <c r="I383" s="321"/>
      <c r="J383" s="40" t="s">
        <v>3</v>
      </c>
      <c r="K383" s="36" t="s">
        <v>3</v>
      </c>
      <c r="L383" s="37"/>
      <c r="M383" s="35">
        <v>169</v>
      </c>
      <c r="N383" s="136">
        <v>8</v>
      </c>
      <c r="O383" s="35">
        <v>19</v>
      </c>
      <c r="P383" s="136">
        <v>10.700000000000001</v>
      </c>
      <c r="Q383" s="37">
        <v>19</v>
      </c>
      <c r="R383" s="136">
        <v>10</v>
      </c>
      <c r="S383" s="37"/>
      <c r="T383" s="35">
        <v>0</v>
      </c>
      <c r="U383" s="136">
        <v>13.8</v>
      </c>
      <c r="V383" s="35">
        <v>0</v>
      </c>
      <c r="W383" s="136">
        <v>10.8</v>
      </c>
      <c r="X383" s="35">
        <v>0</v>
      </c>
      <c r="Y383" s="149">
        <v>10.8</v>
      </c>
      <c r="Z383" s="35">
        <v>0</v>
      </c>
      <c r="AA383" s="136">
        <v>10.700000000000001</v>
      </c>
      <c r="AB383" s="37">
        <v>0</v>
      </c>
      <c r="AC383" s="136">
        <v>10.700000000000001</v>
      </c>
      <c r="AD383" s="37"/>
      <c r="AE383" s="40">
        <v>197</v>
      </c>
      <c r="AF383" s="65"/>
      <c r="AG383" s="35">
        <v>0</v>
      </c>
      <c r="AH383" s="36">
        <v>0</v>
      </c>
      <c r="AI383" s="37"/>
      <c r="AJ383" s="35">
        <v>234</v>
      </c>
      <c r="AK383" s="36">
        <v>240</v>
      </c>
      <c r="AL383" s="35">
        <v>303</v>
      </c>
      <c r="AM383" s="36">
        <v>321.00000000000006</v>
      </c>
      <c r="AN383" s="35">
        <v>324</v>
      </c>
      <c r="AO383" s="36">
        <v>300</v>
      </c>
      <c r="AP383" s="37"/>
      <c r="AQ383" s="35">
        <v>229</v>
      </c>
      <c r="AR383" s="36">
        <v>414</v>
      </c>
      <c r="AS383" s="35">
        <v>319</v>
      </c>
      <c r="AT383" s="36">
        <v>324</v>
      </c>
      <c r="AU383" s="35">
        <v>319</v>
      </c>
      <c r="AV383" s="36">
        <v>324</v>
      </c>
      <c r="AW383" s="35">
        <v>322</v>
      </c>
      <c r="AX383" s="36">
        <v>321.00000000000006</v>
      </c>
      <c r="AY383" s="35">
        <v>322</v>
      </c>
      <c r="AZ383" s="36">
        <v>321.00000000000006</v>
      </c>
      <c r="BB383" s="40">
        <v>0</v>
      </c>
      <c r="BC383" s="65"/>
      <c r="BD383" s="35">
        <v>0</v>
      </c>
      <c r="BE383" s="36">
        <v>0</v>
      </c>
      <c r="BF383" s="37"/>
      <c r="BG383" s="415">
        <v>0</v>
      </c>
      <c r="BH383" s="353">
        <v>0</v>
      </c>
      <c r="BI383" s="415">
        <v>0</v>
      </c>
      <c r="BJ383" s="353">
        <v>0</v>
      </c>
      <c r="BK383" s="415">
        <v>0</v>
      </c>
      <c r="BL383" s="353">
        <v>0</v>
      </c>
      <c r="BM383" s="416"/>
      <c r="BN383" s="415">
        <v>0</v>
      </c>
      <c r="BO383" s="353">
        <v>0</v>
      </c>
      <c r="BP383" s="415">
        <v>0</v>
      </c>
      <c r="BQ383" s="353">
        <v>0</v>
      </c>
      <c r="BR383" s="415">
        <v>0</v>
      </c>
      <c r="BS383" s="353">
        <v>0</v>
      </c>
      <c r="BT383" s="415">
        <v>0</v>
      </c>
      <c r="BU383" s="353">
        <v>0</v>
      </c>
      <c r="BV383" s="415">
        <v>0</v>
      </c>
      <c r="BW383" s="353">
        <v>0</v>
      </c>
      <c r="BY383" s="80"/>
      <c r="BZ383" s="65"/>
      <c r="CA383" s="40" t="s">
        <v>3</v>
      </c>
      <c r="CB383" s="65"/>
      <c r="CC383" s="40">
        <v>-37.280991735537214</v>
      </c>
      <c r="CD383" s="40">
        <v>-106.28099173553716</v>
      </c>
      <c r="CE383" s="40">
        <v>-127.28099173553721</v>
      </c>
      <c r="CF383" s="65"/>
      <c r="CG383" s="40">
        <v>-32.280991735537214</v>
      </c>
      <c r="CH383" s="40">
        <v>-122.28099173553721</v>
      </c>
      <c r="CI383" s="40">
        <v>-122.28099173553721</v>
      </c>
      <c r="CJ383" s="40">
        <v>-125.28099173553716</v>
      </c>
      <c r="CK383" s="40">
        <v>-125.28099173553716</v>
      </c>
    </row>
    <row r="384" spans="1:89" s="2" customFormat="1">
      <c r="A384" s="196" t="s">
        <v>1121</v>
      </c>
      <c r="B384" s="211" t="s">
        <v>664</v>
      </c>
      <c r="C384" s="211" t="s">
        <v>520</v>
      </c>
      <c r="D384" s="41">
        <v>174</v>
      </c>
      <c r="E384" s="41">
        <v>0</v>
      </c>
      <c r="F384" s="41" t="s">
        <v>1105</v>
      </c>
      <c r="G384" s="413">
        <v>24</v>
      </c>
      <c r="H384" s="414">
        <v>157.85123966942149</v>
      </c>
      <c r="I384" s="321"/>
      <c r="J384" s="40" t="s">
        <v>3</v>
      </c>
      <c r="K384" s="36" t="s">
        <v>3</v>
      </c>
      <c r="L384" s="37"/>
      <c r="M384" s="35">
        <v>29</v>
      </c>
      <c r="N384" s="136">
        <v>4.2</v>
      </c>
      <c r="O384" s="35">
        <v>0</v>
      </c>
      <c r="P384" s="136">
        <v>2.1</v>
      </c>
      <c r="Q384" s="37">
        <v>0</v>
      </c>
      <c r="R384" s="136">
        <v>1.5</v>
      </c>
      <c r="S384" s="37"/>
      <c r="T384" s="35">
        <v>0</v>
      </c>
      <c r="U384" s="136">
        <v>5.6000000000000005</v>
      </c>
      <c r="V384" s="35">
        <v>0</v>
      </c>
      <c r="W384" s="136">
        <v>1.7000000000000002</v>
      </c>
      <c r="X384" s="35">
        <v>0</v>
      </c>
      <c r="Y384" s="149">
        <v>1.7000000000000002</v>
      </c>
      <c r="Z384" s="35">
        <v>0</v>
      </c>
      <c r="AA384" s="136">
        <v>1.7000000000000002</v>
      </c>
      <c r="AB384" s="37">
        <v>0</v>
      </c>
      <c r="AC384" s="136">
        <v>1.7000000000000002</v>
      </c>
      <c r="AD384" s="37"/>
      <c r="AE384" s="40">
        <v>16</v>
      </c>
      <c r="AF384" s="65"/>
      <c r="AG384" s="35">
        <v>0</v>
      </c>
      <c r="AH384" s="36">
        <v>0</v>
      </c>
      <c r="AI384" s="37"/>
      <c r="AJ384" s="35">
        <v>44</v>
      </c>
      <c r="AK384" s="36">
        <v>100.80000000000001</v>
      </c>
      <c r="AL384" s="35">
        <v>124</v>
      </c>
      <c r="AM384" s="36">
        <v>50.400000000000006</v>
      </c>
      <c r="AN384" s="37">
        <v>138</v>
      </c>
      <c r="AO384" s="36">
        <v>36</v>
      </c>
      <c r="AP384" s="37"/>
      <c r="AQ384" s="35">
        <v>40</v>
      </c>
      <c r="AR384" s="36">
        <v>134.4</v>
      </c>
      <c r="AS384" s="35">
        <v>133</v>
      </c>
      <c r="AT384" s="36">
        <v>40.800000000000004</v>
      </c>
      <c r="AU384" s="37">
        <v>133</v>
      </c>
      <c r="AV384" s="36">
        <v>40.800000000000004</v>
      </c>
      <c r="AW384" s="37">
        <v>133</v>
      </c>
      <c r="AX384" s="36">
        <v>40.800000000000004</v>
      </c>
      <c r="AY384" s="37">
        <v>133</v>
      </c>
      <c r="AZ384" s="36">
        <v>40.800000000000004</v>
      </c>
      <c r="BB384" s="40">
        <v>0</v>
      </c>
      <c r="BC384" s="65"/>
      <c r="BD384" s="35">
        <v>0</v>
      </c>
      <c r="BE384" s="36">
        <v>0</v>
      </c>
      <c r="BF384" s="37"/>
      <c r="BG384" s="415">
        <v>0</v>
      </c>
      <c r="BH384" s="353">
        <v>0</v>
      </c>
      <c r="BI384" s="415">
        <v>0</v>
      </c>
      <c r="BJ384" s="353">
        <v>0</v>
      </c>
      <c r="BK384" s="415">
        <v>0</v>
      </c>
      <c r="BL384" s="353">
        <v>0</v>
      </c>
      <c r="BM384" s="416"/>
      <c r="BN384" s="415">
        <v>0</v>
      </c>
      <c r="BO384" s="353">
        <v>0</v>
      </c>
      <c r="BP384" s="415">
        <v>0</v>
      </c>
      <c r="BQ384" s="353">
        <v>0</v>
      </c>
      <c r="BR384" s="415">
        <v>0</v>
      </c>
      <c r="BS384" s="353">
        <v>0</v>
      </c>
      <c r="BT384" s="415">
        <v>0</v>
      </c>
      <c r="BU384" s="353">
        <v>0.10000000000000009</v>
      </c>
      <c r="BV384" s="415">
        <v>0</v>
      </c>
      <c r="BW384" s="353">
        <v>0.10000000000000009</v>
      </c>
      <c r="BY384" s="80"/>
      <c r="BZ384" s="65"/>
      <c r="CA384" s="40" t="s">
        <v>3</v>
      </c>
      <c r="CB384" s="65"/>
      <c r="CC384" s="40">
        <v>-28.051239669421477</v>
      </c>
      <c r="CD384" s="40">
        <v>-107.45123966942148</v>
      </c>
      <c r="CE384" s="40">
        <v>-121.85123966942149</v>
      </c>
      <c r="CF384" s="65"/>
      <c r="CG384" s="40">
        <v>-23.451239669421483</v>
      </c>
      <c r="CH384" s="40">
        <v>-117.05123966942148</v>
      </c>
      <c r="CI384" s="40">
        <v>-117.05123966942148</v>
      </c>
      <c r="CJ384" s="40">
        <v>-117.05123966942148</v>
      </c>
      <c r="CK384" s="40">
        <v>-117.05123966942148</v>
      </c>
    </row>
    <row r="385" spans="1:89" s="2" customFormat="1">
      <c r="A385" s="196" t="s">
        <v>1122</v>
      </c>
      <c r="B385" s="211" t="s">
        <v>664</v>
      </c>
      <c r="C385" s="211" t="s">
        <v>520</v>
      </c>
      <c r="D385" s="41">
        <v>174</v>
      </c>
      <c r="E385" s="41">
        <v>0</v>
      </c>
      <c r="F385" s="22" t="s">
        <v>1105</v>
      </c>
      <c r="G385" s="40">
        <v>30</v>
      </c>
      <c r="H385" s="388">
        <v>157.85123966942149</v>
      </c>
      <c r="I385" s="321"/>
      <c r="J385" s="40" t="s">
        <v>3</v>
      </c>
      <c r="K385" s="36" t="s">
        <v>3</v>
      </c>
      <c r="L385" s="37"/>
      <c r="M385" s="35">
        <v>29</v>
      </c>
      <c r="N385" s="136">
        <v>3.4000000000000004</v>
      </c>
      <c r="O385" s="35">
        <v>0</v>
      </c>
      <c r="P385" s="136">
        <v>1.7000000000000002</v>
      </c>
      <c r="Q385" s="37">
        <v>0</v>
      </c>
      <c r="R385" s="136">
        <v>1.2000000000000002</v>
      </c>
      <c r="S385" s="37"/>
      <c r="T385" s="35">
        <v>0</v>
      </c>
      <c r="U385" s="136">
        <v>4.5</v>
      </c>
      <c r="V385" s="35">
        <v>0</v>
      </c>
      <c r="W385" s="136">
        <v>1.4000000000000001</v>
      </c>
      <c r="X385" s="35">
        <v>0</v>
      </c>
      <c r="Y385" s="149">
        <v>1.4000000000000001</v>
      </c>
      <c r="Z385" s="35">
        <v>0</v>
      </c>
      <c r="AA385" s="136">
        <v>1.4000000000000001</v>
      </c>
      <c r="AB385" s="37">
        <v>0</v>
      </c>
      <c r="AC385" s="136">
        <v>1.4000000000000001</v>
      </c>
      <c r="AD385" s="37"/>
      <c r="AE385" s="40">
        <v>16</v>
      </c>
      <c r="AF385" s="65"/>
      <c r="AG385" s="35">
        <v>0</v>
      </c>
      <c r="AH385" s="36">
        <v>0</v>
      </c>
      <c r="AI385" s="37"/>
      <c r="AJ385" s="35">
        <v>43</v>
      </c>
      <c r="AK385" s="36">
        <v>102.00000000000001</v>
      </c>
      <c r="AL385" s="35">
        <v>123</v>
      </c>
      <c r="AM385" s="36">
        <v>51.000000000000007</v>
      </c>
      <c r="AN385" s="35">
        <v>138</v>
      </c>
      <c r="AO385" s="36">
        <v>36.000000000000007</v>
      </c>
      <c r="AP385" s="37"/>
      <c r="AQ385" s="35">
        <v>39</v>
      </c>
      <c r="AR385" s="36">
        <v>135</v>
      </c>
      <c r="AS385" s="35">
        <v>132</v>
      </c>
      <c r="AT385" s="36">
        <v>42.000000000000007</v>
      </c>
      <c r="AU385" s="35">
        <v>132</v>
      </c>
      <c r="AV385" s="36">
        <v>42.000000000000007</v>
      </c>
      <c r="AW385" s="35">
        <v>132</v>
      </c>
      <c r="AX385" s="36">
        <v>42.000000000000007</v>
      </c>
      <c r="AY385" s="35">
        <v>132</v>
      </c>
      <c r="AZ385" s="36">
        <v>42.000000000000007</v>
      </c>
      <c r="BB385" s="40">
        <v>0</v>
      </c>
      <c r="BC385" s="65"/>
      <c r="BD385" s="35">
        <v>0</v>
      </c>
      <c r="BE385" s="36">
        <v>0</v>
      </c>
      <c r="BF385" s="37"/>
      <c r="BG385" s="415">
        <v>0</v>
      </c>
      <c r="BH385" s="353">
        <v>0</v>
      </c>
      <c r="BI385" s="415">
        <v>0</v>
      </c>
      <c r="BJ385" s="353">
        <v>0</v>
      </c>
      <c r="BK385" s="415">
        <v>0</v>
      </c>
      <c r="BL385" s="353">
        <v>0</v>
      </c>
      <c r="BM385" s="416"/>
      <c r="BN385" s="415">
        <v>0</v>
      </c>
      <c r="BO385" s="353">
        <v>0</v>
      </c>
      <c r="BP385" s="415">
        <v>0</v>
      </c>
      <c r="BQ385" s="353">
        <v>0</v>
      </c>
      <c r="BR385" s="415">
        <v>0</v>
      </c>
      <c r="BS385" s="353">
        <v>0</v>
      </c>
      <c r="BT385" s="415">
        <v>0</v>
      </c>
      <c r="BU385" s="353">
        <v>0.10000000000000009</v>
      </c>
      <c r="BV385" s="415">
        <v>0</v>
      </c>
      <c r="BW385" s="353">
        <v>0.10000000000000009</v>
      </c>
      <c r="BY385" s="80"/>
      <c r="BZ385" s="65"/>
      <c r="CA385" s="40" t="s">
        <v>3</v>
      </c>
      <c r="CB385" s="65"/>
      <c r="CC385" s="40">
        <v>-26.851239669421489</v>
      </c>
      <c r="CD385" s="40">
        <v>-106.85123966942149</v>
      </c>
      <c r="CE385" s="40">
        <v>-121.85123966942149</v>
      </c>
      <c r="CF385" s="65"/>
      <c r="CG385" s="40">
        <v>-22.851239669421489</v>
      </c>
      <c r="CH385" s="40">
        <v>-115.85123966942149</v>
      </c>
      <c r="CI385" s="40">
        <v>-115.85123966942149</v>
      </c>
      <c r="CJ385" s="40">
        <v>-115.85123966942149</v>
      </c>
      <c r="CK385" s="40">
        <v>-115.85123966942149</v>
      </c>
    </row>
    <row r="386" spans="1:89" s="2" customFormat="1">
      <c r="A386" s="196" t="s">
        <v>1123</v>
      </c>
      <c r="B386" s="211" t="s">
        <v>664</v>
      </c>
      <c r="C386" s="435" t="s">
        <v>775</v>
      </c>
      <c r="D386" s="41">
        <v>188</v>
      </c>
      <c r="E386" s="41">
        <v>0</v>
      </c>
      <c r="F386" s="41" t="s">
        <v>1105</v>
      </c>
      <c r="G386" s="413">
        <v>24</v>
      </c>
      <c r="H386" s="414">
        <v>187.60330578512398</v>
      </c>
      <c r="I386" s="321"/>
      <c r="J386" s="40" t="s">
        <v>3</v>
      </c>
      <c r="K386" s="36" t="s">
        <v>3</v>
      </c>
      <c r="L386" s="37"/>
      <c r="M386" s="35">
        <v>29</v>
      </c>
      <c r="N386" s="136">
        <v>5.6000000000000005</v>
      </c>
      <c r="O386" s="35">
        <v>0</v>
      </c>
      <c r="P386" s="136">
        <v>3.6</v>
      </c>
      <c r="Q386" s="37">
        <v>0</v>
      </c>
      <c r="R386" s="136">
        <v>2.7</v>
      </c>
      <c r="S386" s="37"/>
      <c r="T386" s="35">
        <v>0</v>
      </c>
      <c r="U386" s="136">
        <v>6.9</v>
      </c>
      <c r="V386" s="35">
        <v>0</v>
      </c>
      <c r="W386" s="136">
        <v>3.1</v>
      </c>
      <c r="X386" s="35">
        <v>0</v>
      </c>
      <c r="Y386" s="149">
        <v>3.1</v>
      </c>
      <c r="Z386" s="35">
        <v>0</v>
      </c>
      <c r="AA386" s="136">
        <v>3.1</v>
      </c>
      <c r="AB386" s="37">
        <v>0</v>
      </c>
      <c r="AC386" s="136">
        <v>3.1</v>
      </c>
      <c r="AD386" s="37"/>
      <c r="AE386" s="40">
        <v>0</v>
      </c>
      <c r="AF386" s="65"/>
      <c r="AG386" s="35">
        <v>0</v>
      </c>
      <c r="AH386" s="36">
        <v>0</v>
      </c>
      <c r="AI386" s="37"/>
      <c r="AJ386" s="35">
        <v>25</v>
      </c>
      <c r="AK386" s="36">
        <v>134.4</v>
      </c>
      <c r="AL386" s="35">
        <v>102</v>
      </c>
      <c r="AM386" s="36">
        <v>86.4</v>
      </c>
      <c r="AN386" s="37">
        <v>123</v>
      </c>
      <c r="AO386" s="36">
        <v>64.800000000000011</v>
      </c>
      <c r="AP386" s="37"/>
      <c r="AQ386" s="35">
        <v>22</v>
      </c>
      <c r="AR386" s="36">
        <v>165.60000000000002</v>
      </c>
      <c r="AS386" s="35">
        <v>114</v>
      </c>
      <c r="AT386" s="36">
        <v>74.400000000000006</v>
      </c>
      <c r="AU386" s="37">
        <v>114</v>
      </c>
      <c r="AV386" s="36">
        <v>74.400000000000006</v>
      </c>
      <c r="AW386" s="37">
        <v>114</v>
      </c>
      <c r="AX386" s="36">
        <v>74.400000000000006</v>
      </c>
      <c r="AY386" s="37">
        <v>114</v>
      </c>
      <c r="AZ386" s="36">
        <v>74.400000000000006</v>
      </c>
      <c r="BB386" s="40">
        <v>0</v>
      </c>
      <c r="BC386" s="65"/>
      <c r="BD386" s="35">
        <v>0</v>
      </c>
      <c r="BE386" s="36">
        <v>0</v>
      </c>
      <c r="BF386" s="37"/>
      <c r="BG386" s="415">
        <v>0</v>
      </c>
      <c r="BH386" s="353">
        <v>0</v>
      </c>
      <c r="BI386" s="415">
        <v>0</v>
      </c>
      <c r="BJ386" s="353">
        <v>0</v>
      </c>
      <c r="BK386" s="415">
        <v>0</v>
      </c>
      <c r="BL386" s="353">
        <v>0</v>
      </c>
      <c r="BM386" s="416"/>
      <c r="BN386" s="415">
        <v>0</v>
      </c>
      <c r="BO386" s="353">
        <v>0</v>
      </c>
      <c r="BP386" s="415">
        <v>0</v>
      </c>
      <c r="BQ386" s="353">
        <v>0</v>
      </c>
      <c r="BR386" s="415">
        <v>0</v>
      </c>
      <c r="BS386" s="353">
        <v>0</v>
      </c>
      <c r="BT386" s="415">
        <v>0</v>
      </c>
      <c r="BU386" s="353">
        <v>0</v>
      </c>
      <c r="BV386" s="415">
        <v>0</v>
      </c>
      <c r="BW386" s="353">
        <v>0</v>
      </c>
      <c r="BY386" s="80"/>
      <c r="BZ386" s="65"/>
      <c r="CA386" s="40" t="s">
        <v>3</v>
      </c>
      <c r="CB386" s="65"/>
      <c r="CC386" s="40">
        <v>-24.203305785123973</v>
      </c>
      <c r="CD386" s="40">
        <v>-101.20330578512397</v>
      </c>
      <c r="CE386" s="40">
        <v>-122.80330578512397</v>
      </c>
      <c r="CF386" s="65"/>
      <c r="CG386" s="40">
        <v>-22.003305785123956</v>
      </c>
      <c r="CH386" s="40">
        <v>-113.20330578512397</v>
      </c>
      <c r="CI386" s="40">
        <v>-113.20330578512397</v>
      </c>
      <c r="CJ386" s="40">
        <v>-113.20330578512397</v>
      </c>
      <c r="CK386" s="40">
        <v>-113.20330578512397</v>
      </c>
    </row>
    <row r="387" spans="1:89" s="2" customFormat="1">
      <c r="A387" s="196" t="s">
        <v>1124</v>
      </c>
      <c r="B387" s="211" t="s">
        <v>664</v>
      </c>
      <c r="C387" s="435" t="s">
        <v>775</v>
      </c>
      <c r="D387" s="41">
        <v>188</v>
      </c>
      <c r="E387" s="41">
        <v>0</v>
      </c>
      <c r="F387" s="22" t="s">
        <v>1105</v>
      </c>
      <c r="G387" s="40">
        <v>30</v>
      </c>
      <c r="H387" s="388">
        <v>187.60330578512398</v>
      </c>
      <c r="I387" s="321"/>
      <c r="J387" s="40" t="s">
        <v>3</v>
      </c>
      <c r="K387" s="36" t="s">
        <v>3</v>
      </c>
      <c r="L387" s="37"/>
      <c r="M387" s="35">
        <v>29</v>
      </c>
      <c r="N387" s="136">
        <v>4.5</v>
      </c>
      <c r="O387" s="35">
        <v>0</v>
      </c>
      <c r="P387" s="136">
        <v>2.9000000000000004</v>
      </c>
      <c r="Q387" s="37">
        <v>0</v>
      </c>
      <c r="R387" s="136">
        <v>2.2000000000000002</v>
      </c>
      <c r="S387" s="37"/>
      <c r="T387" s="35">
        <v>0</v>
      </c>
      <c r="U387" s="136">
        <v>5.6000000000000005</v>
      </c>
      <c r="V387" s="35">
        <v>0</v>
      </c>
      <c r="W387" s="136">
        <v>2.5</v>
      </c>
      <c r="X387" s="35">
        <v>0</v>
      </c>
      <c r="Y387" s="149">
        <v>2.5</v>
      </c>
      <c r="Z387" s="35">
        <v>0</v>
      </c>
      <c r="AA387" s="136">
        <v>2.5</v>
      </c>
      <c r="AB387" s="37">
        <v>0</v>
      </c>
      <c r="AC387" s="136">
        <v>2.5</v>
      </c>
      <c r="AD387" s="37"/>
      <c r="AE387" s="40">
        <v>0</v>
      </c>
      <c r="AF387" s="65"/>
      <c r="AG387" s="35">
        <v>0</v>
      </c>
      <c r="AH387" s="36">
        <v>0</v>
      </c>
      <c r="AI387" s="37"/>
      <c r="AJ387" s="35">
        <v>24</v>
      </c>
      <c r="AK387" s="36">
        <v>135</v>
      </c>
      <c r="AL387" s="35">
        <v>101</v>
      </c>
      <c r="AM387" s="36">
        <v>87.000000000000014</v>
      </c>
      <c r="AN387" s="35">
        <v>122</v>
      </c>
      <c r="AO387" s="36">
        <v>66</v>
      </c>
      <c r="AP387" s="37"/>
      <c r="AQ387" s="35">
        <v>20</v>
      </c>
      <c r="AR387" s="36">
        <v>168.00000000000003</v>
      </c>
      <c r="AS387" s="35">
        <v>113</v>
      </c>
      <c r="AT387" s="36">
        <v>75</v>
      </c>
      <c r="AU387" s="35">
        <v>113</v>
      </c>
      <c r="AV387" s="36">
        <v>75</v>
      </c>
      <c r="AW387" s="35">
        <v>113</v>
      </c>
      <c r="AX387" s="36">
        <v>75</v>
      </c>
      <c r="AY387" s="35">
        <v>113</v>
      </c>
      <c r="AZ387" s="36">
        <v>75</v>
      </c>
      <c r="BB387" s="40">
        <v>0</v>
      </c>
      <c r="BC387" s="65"/>
      <c r="BD387" s="35">
        <v>0</v>
      </c>
      <c r="BE387" s="36">
        <v>0</v>
      </c>
      <c r="BF387" s="37"/>
      <c r="BG387" s="415">
        <v>0</v>
      </c>
      <c r="BH387" s="353">
        <v>0</v>
      </c>
      <c r="BI387" s="415">
        <v>0</v>
      </c>
      <c r="BJ387" s="353">
        <v>0</v>
      </c>
      <c r="BK387" s="415">
        <v>0</v>
      </c>
      <c r="BL387" s="353">
        <v>0</v>
      </c>
      <c r="BM387" s="416"/>
      <c r="BN387" s="415">
        <v>0</v>
      </c>
      <c r="BO387" s="353">
        <v>0</v>
      </c>
      <c r="BP387" s="415">
        <v>0</v>
      </c>
      <c r="BQ387" s="353">
        <v>0</v>
      </c>
      <c r="BR387" s="415">
        <v>0</v>
      </c>
      <c r="BS387" s="353">
        <v>0</v>
      </c>
      <c r="BT387" s="415">
        <v>0</v>
      </c>
      <c r="BU387" s="353">
        <v>0</v>
      </c>
      <c r="BV387" s="415">
        <v>0</v>
      </c>
      <c r="BW387" s="353">
        <v>0</v>
      </c>
      <c r="BY387" s="80"/>
      <c r="BZ387" s="65"/>
      <c r="CA387" s="40" t="s">
        <v>3</v>
      </c>
      <c r="CB387" s="65"/>
      <c r="CC387" s="40">
        <v>-23.603305785123979</v>
      </c>
      <c r="CD387" s="40">
        <v>-100.60330578512396</v>
      </c>
      <c r="CE387" s="40">
        <v>-121.60330578512398</v>
      </c>
      <c r="CF387" s="65"/>
      <c r="CG387" s="40">
        <v>-19.60330578512395</v>
      </c>
      <c r="CH387" s="40">
        <v>-112.60330578512398</v>
      </c>
      <c r="CI387" s="40">
        <v>-112.60330578512398</v>
      </c>
      <c r="CJ387" s="40">
        <v>-112.60330578512398</v>
      </c>
      <c r="CK387" s="40">
        <v>-112.60330578512398</v>
      </c>
    </row>
    <row r="388" spans="1:89" s="2" customFormat="1">
      <c r="A388" s="196" t="s">
        <v>1125</v>
      </c>
      <c r="B388" s="211" t="s">
        <v>664</v>
      </c>
      <c r="C388" s="211" t="s">
        <v>623</v>
      </c>
      <c r="D388" s="41">
        <v>374</v>
      </c>
      <c r="E388" s="41">
        <v>0</v>
      </c>
      <c r="F388" s="41" t="s">
        <v>1105</v>
      </c>
      <c r="G388" s="413">
        <v>24</v>
      </c>
      <c r="H388" s="414">
        <v>333.88429752066116</v>
      </c>
      <c r="I388" s="321"/>
      <c r="J388" s="40" t="s">
        <v>3</v>
      </c>
      <c r="K388" s="36" t="s">
        <v>3</v>
      </c>
      <c r="L388" s="37"/>
      <c r="M388" s="35">
        <v>109</v>
      </c>
      <c r="N388" s="136">
        <v>6.7</v>
      </c>
      <c r="O388" s="35">
        <v>19</v>
      </c>
      <c r="P388" s="136">
        <v>7.3000000000000007</v>
      </c>
      <c r="Q388" s="37">
        <v>19</v>
      </c>
      <c r="R388" s="136">
        <v>6.7</v>
      </c>
      <c r="S388" s="37"/>
      <c r="T388" s="35">
        <v>0</v>
      </c>
      <c r="U388" s="136">
        <v>11.200000000000001</v>
      </c>
      <c r="V388" s="35">
        <v>0</v>
      </c>
      <c r="W388" s="136">
        <v>7.3000000000000007</v>
      </c>
      <c r="X388" s="35">
        <v>0</v>
      </c>
      <c r="Y388" s="149">
        <v>7.3000000000000007</v>
      </c>
      <c r="Z388" s="35">
        <v>0</v>
      </c>
      <c r="AA388" s="136">
        <v>7.2</v>
      </c>
      <c r="AB388" s="37">
        <v>0</v>
      </c>
      <c r="AC388" s="136">
        <v>7.2</v>
      </c>
      <c r="AD388" s="37"/>
      <c r="AE388" s="40">
        <v>40</v>
      </c>
      <c r="AF388" s="65"/>
      <c r="AG388" s="35">
        <v>0</v>
      </c>
      <c r="AH388" s="36">
        <v>0</v>
      </c>
      <c r="AI388" s="37"/>
      <c r="AJ388" s="35">
        <v>104</v>
      </c>
      <c r="AK388" s="36">
        <v>160.80000000000001</v>
      </c>
      <c r="AL388" s="35">
        <v>180</v>
      </c>
      <c r="AM388" s="36">
        <v>175.20000000000002</v>
      </c>
      <c r="AN388" s="37">
        <v>194</v>
      </c>
      <c r="AO388" s="36">
        <v>160.80000000000001</v>
      </c>
      <c r="AP388" s="37"/>
      <c r="AQ388" s="35">
        <v>105</v>
      </c>
      <c r="AR388" s="36">
        <v>268.8</v>
      </c>
      <c r="AS388" s="35">
        <v>199</v>
      </c>
      <c r="AT388" s="36">
        <v>175.20000000000002</v>
      </c>
      <c r="AU388" s="37">
        <v>199</v>
      </c>
      <c r="AV388" s="36">
        <v>175.20000000000002</v>
      </c>
      <c r="AW388" s="37">
        <v>201</v>
      </c>
      <c r="AX388" s="36">
        <v>172.8</v>
      </c>
      <c r="AY388" s="37">
        <v>201</v>
      </c>
      <c r="AZ388" s="36">
        <v>172.8</v>
      </c>
      <c r="BB388" s="40">
        <v>0</v>
      </c>
      <c r="BC388" s="65"/>
      <c r="BD388" s="35">
        <v>0</v>
      </c>
      <c r="BE388" s="36">
        <v>0</v>
      </c>
      <c r="BF388" s="37"/>
      <c r="BG388" s="415">
        <v>0</v>
      </c>
      <c r="BH388" s="353">
        <v>0</v>
      </c>
      <c r="BI388" s="415">
        <v>0</v>
      </c>
      <c r="BJ388" s="353">
        <v>0</v>
      </c>
      <c r="BK388" s="415">
        <v>0</v>
      </c>
      <c r="BL388" s="353">
        <v>0</v>
      </c>
      <c r="BM388" s="416"/>
      <c r="BN388" s="415">
        <v>0</v>
      </c>
      <c r="BO388" s="353">
        <v>0</v>
      </c>
      <c r="BP388" s="415">
        <v>0</v>
      </c>
      <c r="BQ388" s="353">
        <v>0</v>
      </c>
      <c r="BR388" s="415">
        <v>0</v>
      </c>
      <c r="BS388" s="353">
        <v>0</v>
      </c>
      <c r="BT388" s="415">
        <v>0</v>
      </c>
      <c r="BU388" s="353">
        <v>-0.10000000000000053</v>
      </c>
      <c r="BV388" s="415">
        <v>0</v>
      </c>
      <c r="BW388" s="353">
        <v>-0.10000000000000053</v>
      </c>
      <c r="BY388" s="80"/>
      <c r="BZ388" s="65"/>
      <c r="CA388" s="40" t="s">
        <v>3</v>
      </c>
      <c r="CB388" s="65"/>
      <c r="CC388" s="40">
        <v>-64.084297520661153</v>
      </c>
      <c r="CD388" s="40">
        <v>-139.68429752066115</v>
      </c>
      <c r="CE388" s="40">
        <v>-154.08429752066115</v>
      </c>
      <c r="CF388" s="65"/>
      <c r="CG388" s="40">
        <v>-65.084297520661153</v>
      </c>
      <c r="CH388" s="40">
        <v>-158.68429752066115</v>
      </c>
      <c r="CI388" s="40">
        <v>-158.68429752066115</v>
      </c>
      <c r="CJ388" s="40">
        <v>-161.08429752066115</v>
      </c>
      <c r="CK388" s="40">
        <v>-161.08429752066115</v>
      </c>
    </row>
    <row r="389" spans="1:89" s="2" customFormat="1">
      <c r="A389" s="196" t="s">
        <v>1126</v>
      </c>
      <c r="B389" s="211" t="s">
        <v>664</v>
      </c>
      <c r="C389" s="211" t="s">
        <v>623</v>
      </c>
      <c r="D389" s="41">
        <v>374</v>
      </c>
      <c r="E389" s="41">
        <v>0</v>
      </c>
      <c r="F389" s="22" t="s">
        <v>1105</v>
      </c>
      <c r="G389" s="40">
        <v>30</v>
      </c>
      <c r="H389" s="388">
        <v>333.88429752066116</v>
      </c>
      <c r="I389" s="321"/>
      <c r="J389" s="40" t="s">
        <v>3</v>
      </c>
      <c r="K389" s="36" t="s">
        <v>3</v>
      </c>
      <c r="L389" s="37"/>
      <c r="M389" s="35">
        <v>109</v>
      </c>
      <c r="N389" s="136">
        <v>5.4</v>
      </c>
      <c r="O389" s="35">
        <v>19</v>
      </c>
      <c r="P389" s="136">
        <v>5.9</v>
      </c>
      <c r="Q389" s="37">
        <v>19</v>
      </c>
      <c r="R389" s="136">
        <v>5.4</v>
      </c>
      <c r="S389" s="37"/>
      <c r="T389" s="35">
        <v>0</v>
      </c>
      <c r="U389" s="136">
        <v>9</v>
      </c>
      <c r="V389" s="35">
        <v>0</v>
      </c>
      <c r="W389" s="136">
        <v>5.9</v>
      </c>
      <c r="X389" s="35">
        <v>0</v>
      </c>
      <c r="Y389" s="149">
        <v>5.9</v>
      </c>
      <c r="Z389" s="35">
        <v>0</v>
      </c>
      <c r="AA389" s="136">
        <v>5.8000000000000007</v>
      </c>
      <c r="AB389" s="37">
        <v>0</v>
      </c>
      <c r="AC389" s="136">
        <v>5.8000000000000007</v>
      </c>
      <c r="AD389" s="37"/>
      <c r="AE389" s="40">
        <v>40</v>
      </c>
      <c r="AF389" s="65"/>
      <c r="AG389" s="35">
        <v>0</v>
      </c>
      <c r="AH389" s="36">
        <v>0</v>
      </c>
      <c r="AI389" s="37"/>
      <c r="AJ389" s="35">
        <v>103</v>
      </c>
      <c r="AK389" s="36">
        <v>162</v>
      </c>
      <c r="AL389" s="35">
        <v>178</v>
      </c>
      <c r="AM389" s="36">
        <v>177</v>
      </c>
      <c r="AN389" s="35">
        <v>193</v>
      </c>
      <c r="AO389" s="36">
        <v>162</v>
      </c>
      <c r="AP389" s="37"/>
      <c r="AQ389" s="35">
        <v>104</v>
      </c>
      <c r="AR389" s="36">
        <v>270</v>
      </c>
      <c r="AS389" s="35">
        <v>197</v>
      </c>
      <c r="AT389" s="36">
        <v>177</v>
      </c>
      <c r="AU389" s="35">
        <v>197</v>
      </c>
      <c r="AV389" s="36">
        <v>177</v>
      </c>
      <c r="AW389" s="35">
        <v>200</v>
      </c>
      <c r="AX389" s="36">
        <v>174.00000000000003</v>
      </c>
      <c r="AY389" s="35">
        <v>200</v>
      </c>
      <c r="AZ389" s="36">
        <v>174.00000000000003</v>
      </c>
      <c r="BB389" s="40">
        <v>0</v>
      </c>
      <c r="BC389" s="65"/>
      <c r="BD389" s="35">
        <v>0</v>
      </c>
      <c r="BE389" s="36">
        <v>0</v>
      </c>
      <c r="BF389" s="37"/>
      <c r="BG389" s="415">
        <v>0</v>
      </c>
      <c r="BH389" s="353">
        <v>0</v>
      </c>
      <c r="BI389" s="415">
        <v>0</v>
      </c>
      <c r="BJ389" s="353">
        <v>0</v>
      </c>
      <c r="BK389" s="415">
        <v>0</v>
      </c>
      <c r="BL389" s="353">
        <v>0</v>
      </c>
      <c r="BM389" s="416"/>
      <c r="BN389" s="415">
        <v>0</v>
      </c>
      <c r="BO389" s="353">
        <v>0</v>
      </c>
      <c r="BP389" s="415">
        <v>0</v>
      </c>
      <c r="BQ389" s="353">
        <v>0</v>
      </c>
      <c r="BR389" s="415">
        <v>0</v>
      </c>
      <c r="BS389" s="353">
        <v>0</v>
      </c>
      <c r="BT389" s="415">
        <v>0</v>
      </c>
      <c r="BU389" s="353">
        <v>0</v>
      </c>
      <c r="BV389" s="415">
        <v>0</v>
      </c>
      <c r="BW389" s="353">
        <v>0</v>
      </c>
      <c r="BY389" s="80"/>
      <c r="BZ389" s="65"/>
      <c r="CA389" s="40" t="s">
        <v>3</v>
      </c>
      <c r="CB389" s="65"/>
      <c r="CC389" s="40">
        <v>-62.884297520661164</v>
      </c>
      <c r="CD389" s="40">
        <v>-137.88429752066116</v>
      </c>
      <c r="CE389" s="40">
        <v>-152.88429752066116</v>
      </c>
      <c r="CF389" s="65"/>
      <c r="CG389" s="40">
        <v>-63.884297520661164</v>
      </c>
      <c r="CH389" s="40">
        <v>-156.88429752066116</v>
      </c>
      <c r="CI389" s="40">
        <v>-156.88429752066116</v>
      </c>
      <c r="CJ389" s="40">
        <v>-159.88429752066114</v>
      </c>
      <c r="CK389" s="40">
        <v>-159.88429752066114</v>
      </c>
    </row>
    <row r="390" spans="1:89" s="2" customFormat="1">
      <c r="A390" s="196" t="s">
        <v>1138</v>
      </c>
      <c r="B390" s="211" t="s">
        <v>60</v>
      </c>
      <c r="C390" s="211" t="s">
        <v>776</v>
      </c>
      <c r="D390" s="41">
        <v>61</v>
      </c>
      <c r="E390" s="41">
        <v>0</v>
      </c>
      <c r="F390" s="22" t="s">
        <v>1136</v>
      </c>
      <c r="G390" s="40">
        <v>24</v>
      </c>
      <c r="H390" s="388">
        <v>48.760330578512395</v>
      </c>
      <c r="I390" s="321"/>
      <c r="J390" s="40" t="s">
        <v>3</v>
      </c>
      <c r="K390" s="36" t="s">
        <v>3</v>
      </c>
      <c r="L390" s="37"/>
      <c r="M390" s="35">
        <v>0</v>
      </c>
      <c r="N390" s="136">
        <v>1.2000000000000002</v>
      </c>
      <c r="O390" s="35">
        <v>0</v>
      </c>
      <c r="P390" s="136">
        <v>1.2000000000000002</v>
      </c>
      <c r="Q390" s="37">
        <v>0</v>
      </c>
      <c r="R390" s="136">
        <v>1.2000000000000002</v>
      </c>
      <c r="S390" s="37"/>
      <c r="T390" s="35">
        <v>0</v>
      </c>
      <c r="U390" s="136">
        <v>0</v>
      </c>
      <c r="V390" s="35">
        <v>0</v>
      </c>
      <c r="W390" s="136">
        <v>0</v>
      </c>
      <c r="X390" s="35">
        <v>0</v>
      </c>
      <c r="Y390" s="149">
        <v>0</v>
      </c>
      <c r="Z390" s="35">
        <v>0</v>
      </c>
      <c r="AA390" s="136">
        <v>0</v>
      </c>
      <c r="AB390" s="37">
        <v>0</v>
      </c>
      <c r="AC390" s="136">
        <v>0</v>
      </c>
      <c r="AD390" s="37"/>
      <c r="AE390" s="40">
        <v>12</v>
      </c>
      <c r="AF390" s="65"/>
      <c r="AG390" s="35">
        <v>0</v>
      </c>
      <c r="AH390" s="36">
        <v>0</v>
      </c>
      <c r="AI390" s="37"/>
      <c r="AJ390" s="35">
        <v>32</v>
      </c>
      <c r="AK390" s="36">
        <v>28.800000000000004</v>
      </c>
      <c r="AL390" s="35">
        <v>32</v>
      </c>
      <c r="AM390" s="36">
        <v>28.800000000000004</v>
      </c>
      <c r="AN390" s="37">
        <v>32</v>
      </c>
      <c r="AO390" s="36">
        <v>28.800000000000004</v>
      </c>
      <c r="AP390" s="37"/>
      <c r="AQ390" s="35">
        <v>61</v>
      </c>
      <c r="AR390" s="36">
        <v>0</v>
      </c>
      <c r="AS390" s="35">
        <v>61</v>
      </c>
      <c r="AT390" s="36">
        <v>0</v>
      </c>
      <c r="AU390" s="37">
        <v>61</v>
      </c>
      <c r="AV390" s="36">
        <v>0</v>
      </c>
      <c r="AW390" s="37">
        <v>61</v>
      </c>
      <c r="AX390" s="36">
        <v>0</v>
      </c>
      <c r="AY390" s="37">
        <v>61</v>
      </c>
      <c r="AZ390" s="36">
        <v>0</v>
      </c>
      <c r="BB390" s="40">
        <v>0</v>
      </c>
      <c r="BC390" s="65"/>
      <c r="BD390" s="35">
        <v>0</v>
      </c>
      <c r="BE390" s="36">
        <v>0</v>
      </c>
      <c r="BF390" s="37"/>
      <c r="BG390" s="415">
        <v>0</v>
      </c>
      <c r="BH390" s="353">
        <v>0</v>
      </c>
      <c r="BI390" s="415">
        <v>0</v>
      </c>
      <c r="BJ390" s="353">
        <v>0</v>
      </c>
      <c r="BK390" s="415">
        <v>0</v>
      </c>
      <c r="BL390" s="353">
        <v>0</v>
      </c>
      <c r="BM390" s="416"/>
      <c r="BN390" s="415">
        <v>0</v>
      </c>
      <c r="BO390" s="353">
        <v>0</v>
      </c>
      <c r="BP390" s="415">
        <v>0</v>
      </c>
      <c r="BQ390" s="353">
        <v>0</v>
      </c>
      <c r="BR390" s="415">
        <v>0</v>
      </c>
      <c r="BS390" s="353">
        <v>0</v>
      </c>
      <c r="BT390" s="415">
        <v>0</v>
      </c>
      <c r="BU390" s="353">
        <v>0</v>
      </c>
      <c r="BV390" s="415">
        <v>0</v>
      </c>
      <c r="BW390" s="353">
        <v>0</v>
      </c>
      <c r="BY390" s="80"/>
      <c r="BZ390" s="65"/>
      <c r="CA390" s="40" t="s">
        <v>3</v>
      </c>
      <c r="CB390" s="65"/>
      <c r="CC390" s="40">
        <v>-19.960330578512391</v>
      </c>
      <c r="CD390" s="40">
        <v>-19.960330578512391</v>
      </c>
      <c r="CE390" s="40">
        <v>-19.960330578512391</v>
      </c>
      <c r="CF390" s="65"/>
      <c r="CG390" s="40">
        <v>-48.760330578512395</v>
      </c>
      <c r="CH390" s="40">
        <v>-48.760330578512395</v>
      </c>
      <c r="CI390" s="40">
        <v>-48.760330578512395</v>
      </c>
      <c r="CJ390" s="40">
        <v>-48.760330578512395</v>
      </c>
      <c r="CK390" s="40">
        <v>-48.760330578512395</v>
      </c>
    </row>
    <row r="391" spans="1:89" s="2" customFormat="1">
      <c r="A391" s="196" t="s">
        <v>1164</v>
      </c>
      <c r="B391" s="211" t="s">
        <v>60</v>
      </c>
      <c r="C391" s="211" t="s">
        <v>547</v>
      </c>
      <c r="D391" s="41">
        <v>421</v>
      </c>
      <c r="E391" s="41">
        <v>2.5</v>
      </c>
      <c r="F391" s="41" t="s">
        <v>1140</v>
      </c>
      <c r="G391" s="413">
        <v>24</v>
      </c>
      <c r="H391" s="414">
        <v>420.6611570247934</v>
      </c>
      <c r="I391" s="321"/>
      <c r="J391" s="40" t="s">
        <v>3</v>
      </c>
      <c r="K391" s="36" t="s">
        <v>3</v>
      </c>
      <c r="L391" s="37"/>
      <c r="M391" s="35">
        <v>139</v>
      </c>
      <c r="N391" s="136">
        <v>8.3000000000000007</v>
      </c>
      <c r="O391" s="35">
        <v>19</v>
      </c>
      <c r="P391" s="136">
        <v>10.8</v>
      </c>
      <c r="Q391" s="37">
        <v>19</v>
      </c>
      <c r="R391" s="136">
        <v>9.8000000000000007</v>
      </c>
      <c r="S391" s="37"/>
      <c r="T391" s="35">
        <v>0</v>
      </c>
      <c r="U391" s="136">
        <v>14.3</v>
      </c>
      <c r="V391" s="35">
        <v>0</v>
      </c>
      <c r="W391" s="136">
        <v>10.4</v>
      </c>
      <c r="X391" s="35">
        <v>0</v>
      </c>
      <c r="Y391" s="149">
        <v>10.4</v>
      </c>
      <c r="Z391" s="35">
        <v>0</v>
      </c>
      <c r="AA391" s="136">
        <v>10.3</v>
      </c>
      <c r="AB391" s="37">
        <v>0</v>
      </c>
      <c r="AC391" s="136">
        <v>10.3</v>
      </c>
      <c r="AD391" s="37"/>
      <c r="AE391" s="40">
        <v>0</v>
      </c>
      <c r="AF391" s="65"/>
      <c r="AG391" s="35">
        <v>0</v>
      </c>
      <c r="AH391" s="36">
        <v>0</v>
      </c>
      <c r="AI391" s="37"/>
      <c r="AJ391" s="35">
        <v>83</v>
      </c>
      <c r="AK391" s="36">
        <v>199.20000000000002</v>
      </c>
      <c r="AL391" s="35">
        <v>143</v>
      </c>
      <c r="AM391" s="36">
        <v>259.20000000000005</v>
      </c>
      <c r="AN391" s="35">
        <v>167</v>
      </c>
      <c r="AO391" s="36">
        <v>235.20000000000002</v>
      </c>
      <c r="AP391" s="37"/>
      <c r="AQ391" s="35">
        <v>78</v>
      </c>
      <c r="AR391" s="36">
        <v>343.20000000000005</v>
      </c>
      <c r="AS391" s="35">
        <v>171</v>
      </c>
      <c r="AT391" s="36">
        <v>249.60000000000002</v>
      </c>
      <c r="AU391" s="35">
        <v>171</v>
      </c>
      <c r="AV391" s="36">
        <v>249.60000000000002</v>
      </c>
      <c r="AW391" s="35">
        <v>174</v>
      </c>
      <c r="AX391" s="36">
        <v>247.20000000000002</v>
      </c>
      <c r="AY391" s="35">
        <v>174</v>
      </c>
      <c r="AZ391" s="36">
        <v>247.20000000000002</v>
      </c>
      <c r="BB391" s="40">
        <v>0</v>
      </c>
      <c r="BC391" s="65"/>
      <c r="BD391" s="35">
        <v>0</v>
      </c>
      <c r="BE391" s="36">
        <v>0</v>
      </c>
      <c r="BF391" s="37"/>
      <c r="BG391" s="415">
        <v>0</v>
      </c>
      <c r="BH391" s="353">
        <v>0</v>
      </c>
      <c r="BI391" s="415">
        <v>0</v>
      </c>
      <c r="BJ391" s="353">
        <v>0</v>
      </c>
      <c r="BK391" s="415">
        <v>0</v>
      </c>
      <c r="BL391" s="353">
        <v>0</v>
      </c>
      <c r="BM391" s="416"/>
      <c r="BN391" s="415">
        <v>0</v>
      </c>
      <c r="BO391" s="353">
        <v>0</v>
      </c>
      <c r="BP391" s="415">
        <v>0</v>
      </c>
      <c r="BQ391" s="353">
        <v>0</v>
      </c>
      <c r="BR391" s="415">
        <v>0</v>
      </c>
      <c r="BS391" s="353">
        <v>0</v>
      </c>
      <c r="BT391" s="415">
        <v>0</v>
      </c>
      <c r="BU391" s="353">
        <v>2</v>
      </c>
      <c r="BV391" s="415">
        <v>0</v>
      </c>
      <c r="BW391" s="353">
        <v>2</v>
      </c>
      <c r="BY391" s="80"/>
      <c r="BZ391" s="65"/>
      <c r="CA391" s="40" t="s">
        <v>3</v>
      </c>
      <c r="CB391" s="65"/>
      <c r="CC391" s="40">
        <v>-82.461157024793351</v>
      </c>
      <c r="CD391" s="40">
        <v>-142.46115702479335</v>
      </c>
      <c r="CE391" s="40">
        <v>-166.46115702479338</v>
      </c>
      <c r="CF391" s="65"/>
      <c r="CG391" s="40">
        <v>-77.461157024793351</v>
      </c>
      <c r="CH391" s="40">
        <v>-171.06115702479337</v>
      </c>
      <c r="CI391" s="40">
        <v>-171.06115702479337</v>
      </c>
      <c r="CJ391" s="40">
        <v>-173.46115702479338</v>
      </c>
      <c r="CK391" s="40">
        <v>-173.46115702479338</v>
      </c>
    </row>
    <row r="392" spans="1:89" s="2" customFormat="1">
      <c r="A392" s="196" t="s">
        <v>1165</v>
      </c>
      <c r="B392" s="211" t="s">
        <v>60</v>
      </c>
      <c r="C392" s="211" t="s">
        <v>547</v>
      </c>
      <c r="D392" s="41">
        <v>421</v>
      </c>
      <c r="E392" s="41">
        <v>2.5</v>
      </c>
      <c r="F392" s="22" t="s">
        <v>1140</v>
      </c>
      <c r="G392" s="40">
        <v>30</v>
      </c>
      <c r="H392" s="388">
        <v>420.6611570247934</v>
      </c>
      <c r="I392" s="321"/>
      <c r="J392" s="40" t="s">
        <v>3</v>
      </c>
      <c r="K392" s="36" t="s">
        <v>3</v>
      </c>
      <c r="L392" s="37"/>
      <c r="M392" s="35">
        <v>139</v>
      </c>
      <c r="N392" s="136">
        <v>6.7</v>
      </c>
      <c r="O392" s="35">
        <v>19</v>
      </c>
      <c r="P392" s="136">
        <v>8.7000000000000011</v>
      </c>
      <c r="Q392" s="37">
        <v>19</v>
      </c>
      <c r="R392" s="136">
        <v>7.9</v>
      </c>
      <c r="S392" s="37"/>
      <c r="T392" s="35">
        <v>0</v>
      </c>
      <c r="U392" s="136">
        <v>11.5</v>
      </c>
      <c r="V392" s="35">
        <v>0</v>
      </c>
      <c r="W392" s="136">
        <v>8.4</v>
      </c>
      <c r="X392" s="35">
        <v>0</v>
      </c>
      <c r="Y392" s="149">
        <v>8.4</v>
      </c>
      <c r="Z392" s="35">
        <v>0</v>
      </c>
      <c r="AA392" s="136">
        <v>8.2000000000000011</v>
      </c>
      <c r="AB392" s="37">
        <v>0</v>
      </c>
      <c r="AC392" s="136">
        <v>8.2000000000000011</v>
      </c>
      <c r="AD392" s="37"/>
      <c r="AE392" s="40">
        <v>0</v>
      </c>
      <c r="AF392" s="65"/>
      <c r="AG392" s="35">
        <v>0</v>
      </c>
      <c r="AH392" s="36">
        <v>0</v>
      </c>
      <c r="AI392" s="37"/>
      <c r="AJ392" s="35">
        <v>81</v>
      </c>
      <c r="AK392" s="36">
        <v>201</v>
      </c>
      <c r="AL392" s="35">
        <v>141</v>
      </c>
      <c r="AM392" s="36">
        <v>261.00000000000006</v>
      </c>
      <c r="AN392" s="37">
        <v>165</v>
      </c>
      <c r="AO392" s="36">
        <v>237</v>
      </c>
      <c r="AP392" s="37"/>
      <c r="AQ392" s="35">
        <v>76</v>
      </c>
      <c r="AR392" s="36">
        <v>345</v>
      </c>
      <c r="AS392" s="35">
        <v>169</v>
      </c>
      <c r="AT392" s="36">
        <v>252</v>
      </c>
      <c r="AU392" s="37">
        <v>169</v>
      </c>
      <c r="AV392" s="36">
        <v>252</v>
      </c>
      <c r="AW392" s="37">
        <v>175</v>
      </c>
      <c r="AX392" s="36">
        <v>246.00000000000003</v>
      </c>
      <c r="AY392" s="37">
        <v>175</v>
      </c>
      <c r="AZ392" s="36">
        <v>246.00000000000003</v>
      </c>
      <c r="BB392" s="40">
        <v>0</v>
      </c>
      <c r="BC392" s="65"/>
      <c r="BD392" s="35">
        <v>0</v>
      </c>
      <c r="BE392" s="36">
        <v>0</v>
      </c>
      <c r="BF392" s="37"/>
      <c r="BG392" s="415">
        <v>0</v>
      </c>
      <c r="BH392" s="353">
        <v>0</v>
      </c>
      <c r="BI392" s="415">
        <v>0</v>
      </c>
      <c r="BJ392" s="353">
        <v>0</v>
      </c>
      <c r="BK392" s="415">
        <v>0</v>
      </c>
      <c r="BL392" s="353">
        <v>0</v>
      </c>
      <c r="BM392" s="416"/>
      <c r="BN392" s="415">
        <v>0</v>
      </c>
      <c r="BO392" s="353">
        <v>0</v>
      </c>
      <c r="BP392" s="415">
        <v>0</v>
      </c>
      <c r="BQ392" s="353">
        <v>0</v>
      </c>
      <c r="BR392" s="415">
        <v>0</v>
      </c>
      <c r="BS392" s="353">
        <v>0</v>
      </c>
      <c r="BT392" s="415">
        <v>0</v>
      </c>
      <c r="BU392" s="353">
        <v>1.6000000000000005</v>
      </c>
      <c r="BV392" s="415">
        <v>0</v>
      </c>
      <c r="BW392" s="353">
        <v>1.6000000000000005</v>
      </c>
      <c r="BY392" s="80"/>
      <c r="BZ392" s="65"/>
      <c r="CA392" s="40" t="s">
        <v>3</v>
      </c>
      <c r="CB392" s="65"/>
      <c r="CC392" s="40">
        <v>-80.661157024793397</v>
      </c>
      <c r="CD392" s="40">
        <v>-140.66115702479334</v>
      </c>
      <c r="CE392" s="40">
        <v>-164.6611570247934</v>
      </c>
      <c r="CF392" s="65"/>
      <c r="CG392" s="40">
        <v>-75.661157024793397</v>
      </c>
      <c r="CH392" s="40">
        <v>-168.6611570247934</v>
      </c>
      <c r="CI392" s="40">
        <v>-168.6611570247934</v>
      </c>
      <c r="CJ392" s="40">
        <v>-174.66115702479337</v>
      </c>
      <c r="CK392" s="40">
        <v>-174.66115702479337</v>
      </c>
    </row>
    <row r="393" spans="1:89" s="2" customFormat="1">
      <c r="A393" s="196" t="s">
        <v>1166</v>
      </c>
      <c r="B393" s="211" t="s">
        <v>60</v>
      </c>
      <c r="C393" s="211" t="s">
        <v>660</v>
      </c>
      <c r="D393" s="41">
        <v>315</v>
      </c>
      <c r="E393" s="41">
        <v>2.5</v>
      </c>
      <c r="F393" s="41" t="s">
        <v>1140</v>
      </c>
      <c r="G393" s="413">
        <v>24</v>
      </c>
      <c r="H393" s="414">
        <v>253.71900826446281</v>
      </c>
      <c r="I393" s="321"/>
      <c r="J393" s="40" t="s">
        <v>3</v>
      </c>
      <c r="K393" s="36" t="s">
        <v>3</v>
      </c>
      <c r="L393" s="37"/>
      <c r="M393" s="35">
        <v>39</v>
      </c>
      <c r="N393" s="136">
        <v>7.1000000000000005</v>
      </c>
      <c r="O393" s="35">
        <v>0</v>
      </c>
      <c r="P393" s="136">
        <v>5.4</v>
      </c>
      <c r="Q393" s="37">
        <v>0</v>
      </c>
      <c r="R393" s="136">
        <v>4.6000000000000005</v>
      </c>
      <c r="S393" s="37"/>
      <c r="T393" s="35">
        <v>0</v>
      </c>
      <c r="U393" s="136">
        <v>8.7000000000000011</v>
      </c>
      <c r="V393" s="35">
        <v>0</v>
      </c>
      <c r="W393" s="136">
        <v>5.8000000000000007</v>
      </c>
      <c r="X393" s="35">
        <v>0</v>
      </c>
      <c r="Y393" s="149">
        <v>5.8000000000000007</v>
      </c>
      <c r="Z393" s="35">
        <v>0</v>
      </c>
      <c r="AA393" s="136">
        <v>5.8000000000000007</v>
      </c>
      <c r="AB393" s="37">
        <v>0</v>
      </c>
      <c r="AC393" s="136">
        <v>5.8000000000000007</v>
      </c>
      <c r="AD393" s="37"/>
      <c r="AE393" s="40">
        <v>61</v>
      </c>
      <c r="AF393" s="65"/>
      <c r="AG393" s="35">
        <v>0</v>
      </c>
      <c r="AH393" s="36">
        <v>0</v>
      </c>
      <c r="AI393" s="37"/>
      <c r="AJ393" s="35">
        <v>106</v>
      </c>
      <c r="AK393" s="36">
        <v>170.4</v>
      </c>
      <c r="AL393" s="35">
        <v>185</v>
      </c>
      <c r="AM393" s="36">
        <v>129.60000000000002</v>
      </c>
      <c r="AN393" s="35">
        <v>205</v>
      </c>
      <c r="AO393" s="36">
        <v>110.4</v>
      </c>
      <c r="AP393" s="37"/>
      <c r="AQ393" s="35">
        <v>106</v>
      </c>
      <c r="AR393" s="36">
        <v>208.8</v>
      </c>
      <c r="AS393" s="35">
        <v>176</v>
      </c>
      <c r="AT393" s="36">
        <v>139.20000000000002</v>
      </c>
      <c r="AU393" s="35">
        <v>176</v>
      </c>
      <c r="AV393" s="36">
        <v>139.20000000000002</v>
      </c>
      <c r="AW393" s="35">
        <v>176</v>
      </c>
      <c r="AX393" s="36">
        <v>139.20000000000002</v>
      </c>
      <c r="AY393" s="35">
        <v>176</v>
      </c>
      <c r="AZ393" s="36">
        <v>139.20000000000002</v>
      </c>
      <c r="BB393" s="40">
        <v>0</v>
      </c>
      <c r="BC393" s="65"/>
      <c r="BD393" s="35">
        <v>0</v>
      </c>
      <c r="BE393" s="36">
        <v>0</v>
      </c>
      <c r="BF393" s="37"/>
      <c r="BG393" s="415">
        <v>0</v>
      </c>
      <c r="BH393" s="353">
        <v>0</v>
      </c>
      <c r="BI393" s="415">
        <v>0</v>
      </c>
      <c r="BJ393" s="353">
        <v>0</v>
      </c>
      <c r="BK393" s="415">
        <v>0</v>
      </c>
      <c r="BL393" s="353">
        <v>0</v>
      </c>
      <c r="BM393" s="416"/>
      <c r="BN393" s="415">
        <v>0</v>
      </c>
      <c r="BO393" s="353">
        <v>0</v>
      </c>
      <c r="BP393" s="415">
        <v>0</v>
      </c>
      <c r="BQ393" s="353">
        <v>0</v>
      </c>
      <c r="BR393" s="415">
        <v>0</v>
      </c>
      <c r="BS393" s="353">
        <v>0</v>
      </c>
      <c r="BT393" s="415">
        <v>0</v>
      </c>
      <c r="BU393" s="353">
        <v>0</v>
      </c>
      <c r="BV393" s="415">
        <v>0</v>
      </c>
      <c r="BW393" s="353">
        <v>0</v>
      </c>
      <c r="BY393" s="80"/>
      <c r="BZ393" s="65"/>
      <c r="CA393" s="40" t="s">
        <v>3</v>
      </c>
      <c r="CB393" s="65"/>
      <c r="CC393" s="40">
        <v>-44.319008264462809</v>
      </c>
      <c r="CD393" s="40">
        <v>-124.11900826446279</v>
      </c>
      <c r="CE393" s="40">
        <v>-143.31900826446281</v>
      </c>
      <c r="CF393" s="65"/>
      <c r="CG393" s="40">
        <v>-44.919008264462803</v>
      </c>
      <c r="CH393" s="40">
        <v>-114.5190082644628</v>
      </c>
      <c r="CI393" s="40">
        <v>-114.5190082644628</v>
      </c>
      <c r="CJ393" s="40">
        <v>-114.5190082644628</v>
      </c>
      <c r="CK393" s="40">
        <v>-114.5190082644628</v>
      </c>
    </row>
    <row r="394" spans="1:89" s="2" customFormat="1">
      <c r="A394" s="196" t="s">
        <v>1167</v>
      </c>
      <c r="B394" s="211" t="s">
        <v>60</v>
      </c>
      <c r="C394" s="211" t="s">
        <v>661</v>
      </c>
      <c r="D394" s="41">
        <v>373</v>
      </c>
      <c r="E394" s="41">
        <v>2.5</v>
      </c>
      <c r="F394" s="22" t="s">
        <v>1140</v>
      </c>
      <c r="G394" s="40">
        <v>24</v>
      </c>
      <c r="H394" s="388">
        <v>333.05785123966945</v>
      </c>
      <c r="I394" s="321"/>
      <c r="J394" s="40" t="s">
        <v>3</v>
      </c>
      <c r="K394" s="36" t="s">
        <v>3</v>
      </c>
      <c r="L394" s="37"/>
      <c r="M394" s="35">
        <v>109</v>
      </c>
      <c r="N394" s="136">
        <v>6.5</v>
      </c>
      <c r="O394" s="35">
        <v>19</v>
      </c>
      <c r="P394" s="136">
        <v>7.3000000000000007</v>
      </c>
      <c r="Q394" s="37">
        <v>19</v>
      </c>
      <c r="R394" s="136">
        <v>6.5</v>
      </c>
      <c r="S394" s="37"/>
      <c r="T394" s="35">
        <v>0</v>
      </c>
      <c r="U394" s="136">
        <v>11.200000000000001</v>
      </c>
      <c r="V394" s="35">
        <v>0</v>
      </c>
      <c r="W394" s="136">
        <v>8.3000000000000007</v>
      </c>
      <c r="X394" s="35">
        <v>0</v>
      </c>
      <c r="Y394" s="149">
        <v>8.3000000000000007</v>
      </c>
      <c r="Z394" s="35">
        <v>0</v>
      </c>
      <c r="AA394" s="136">
        <v>8.3000000000000007</v>
      </c>
      <c r="AB394" s="37">
        <v>0</v>
      </c>
      <c r="AC394" s="136">
        <v>8.3000000000000007</v>
      </c>
      <c r="AD394" s="37"/>
      <c r="AE394" s="40">
        <v>40</v>
      </c>
      <c r="AF394" s="65"/>
      <c r="AG394" s="35">
        <v>0</v>
      </c>
      <c r="AH394" s="36">
        <v>0</v>
      </c>
      <c r="AI394" s="37"/>
      <c r="AJ394" s="35">
        <v>108</v>
      </c>
      <c r="AK394" s="36">
        <v>156</v>
      </c>
      <c r="AL394" s="35">
        <v>179</v>
      </c>
      <c r="AM394" s="36">
        <v>175.20000000000002</v>
      </c>
      <c r="AN394" s="37">
        <v>198</v>
      </c>
      <c r="AO394" s="36">
        <v>156</v>
      </c>
      <c r="AP394" s="37"/>
      <c r="AQ394" s="35">
        <v>104</v>
      </c>
      <c r="AR394" s="36">
        <v>268.8</v>
      </c>
      <c r="AS394" s="35">
        <v>174</v>
      </c>
      <c r="AT394" s="36">
        <v>199.20000000000002</v>
      </c>
      <c r="AU394" s="37">
        <v>174</v>
      </c>
      <c r="AV394" s="36">
        <v>199.20000000000002</v>
      </c>
      <c r="AW394" s="37">
        <v>174</v>
      </c>
      <c r="AX394" s="36">
        <v>199.20000000000002</v>
      </c>
      <c r="AY394" s="37">
        <v>174</v>
      </c>
      <c r="AZ394" s="36">
        <v>199.20000000000002</v>
      </c>
      <c r="BB394" s="40">
        <v>0</v>
      </c>
      <c r="BC394" s="65"/>
      <c r="BD394" s="35">
        <v>0</v>
      </c>
      <c r="BE394" s="36">
        <v>0</v>
      </c>
      <c r="BF394" s="37"/>
      <c r="BG394" s="415">
        <v>0</v>
      </c>
      <c r="BH394" s="353">
        <v>0</v>
      </c>
      <c r="BI394" s="415">
        <v>0</v>
      </c>
      <c r="BJ394" s="353">
        <v>0</v>
      </c>
      <c r="BK394" s="415">
        <v>0</v>
      </c>
      <c r="BL394" s="353">
        <v>0</v>
      </c>
      <c r="BM394" s="416"/>
      <c r="BN394" s="415">
        <v>0</v>
      </c>
      <c r="BO394" s="353">
        <v>0</v>
      </c>
      <c r="BP394" s="415">
        <v>0</v>
      </c>
      <c r="BQ394" s="353">
        <v>0</v>
      </c>
      <c r="BR394" s="415">
        <v>0</v>
      </c>
      <c r="BS394" s="353">
        <v>0</v>
      </c>
      <c r="BT394" s="415">
        <v>0</v>
      </c>
      <c r="BU394" s="353">
        <v>0</v>
      </c>
      <c r="BV394" s="415">
        <v>0</v>
      </c>
      <c r="BW394" s="353">
        <v>0</v>
      </c>
      <c r="BY394" s="80"/>
      <c r="BZ394" s="65"/>
      <c r="CA394" s="40" t="s">
        <v>3</v>
      </c>
      <c r="CB394" s="65"/>
      <c r="CC394" s="40">
        <v>-68.057851239669446</v>
      </c>
      <c r="CD394" s="40">
        <v>-138.85785123966943</v>
      </c>
      <c r="CE394" s="40">
        <v>-158.05785123966945</v>
      </c>
      <c r="CF394" s="65"/>
      <c r="CG394" s="40">
        <v>-64.257851239669435</v>
      </c>
      <c r="CH394" s="40">
        <v>-133.85785123966943</v>
      </c>
      <c r="CI394" s="40">
        <v>-133.85785123966943</v>
      </c>
      <c r="CJ394" s="40">
        <v>-133.85785123966943</v>
      </c>
      <c r="CK394" s="40">
        <v>-133.85785123966943</v>
      </c>
    </row>
    <row r="395" spans="1:89" s="2" customFormat="1">
      <c r="A395" s="196" t="s">
        <v>1168</v>
      </c>
      <c r="B395" s="211" t="s">
        <v>60</v>
      </c>
      <c r="C395" s="211" t="s">
        <v>662</v>
      </c>
      <c r="D395" s="41">
        <v>338</v>
      </c>
      <c r="E395" s="41">
        <v>2.5</v>
      </c>
      <c r="F395" s="41" t="s">
        <v>1140</v>
      </c>
      <c r="G395" s="413">
        <v>24</v>
      </c>
      <c r="H395" s="414">
        <v>296.69421487603307</v>
      </c>
      <c r="I395" s="321"/>
      <c r="J395" s="40" t="s">
        <v>3</v>
      </c>
      <c r="K395" s="36" t="s">
        <v>3</v>
      </c>
      <c r="L395" s="37"/>
      <c r="M395" s="35">
        <v>99</v>
      </c>
      <c r="N395" s="136">
        <v>5.6000000000000005</v>
      </c>
      <c r="O395" s="35">
        <v>19</v>
      </c>
      <c r="P395" s="136">
        <v>5.8000000000000007</v>
      </c>
      <c r="Q395" s="37">
        <v>19</v>
      </c>
      <c r="R395" s="136">
        <v>5</v>
      </c>
      <c r="S395" s="37"/>
      <c r="T395" s="35">
        <v>0</v>
      </c>
      <c r="U395" s="136">
        <v>9.6000000000000014</v>
      </c>
      <c r="V395" s="35">
        <v>0</v>
      </c>
      <c r="W395" s="136">
        <v>6.7</v>
      </c>
      <c r="X395" s="35">
        <v>0</v>
      </c>
      <c r="Y395" s="149">
        <v>6.7</v>
      </c>
      <c r="Z395" s="35">
        <v>0</v>
      </c>
      <c r="AA395" s="136">
        <v>6.6000000000000005</v>
      </c>
      <c r="AB395" s="37">
        <v>0</v>
      </c>
      <c r="AC395" s="136">
        <v>6.6000000000000005</v>
      </c>
      <c r="AD395" s="37"/>
      <c r="AE395" s="40">
        <v>41</v>
      </c>
      <c r="AF395" s="65"/>
      <c r="AG395" s="35">
        <v>0</v>
      </c>
      <c r="AH395" s="36">
        <v>0</v>
      </c>
      <c r="AI395" s="37"/>
      <c r="AJ395" s="35">
        <v>105</v>
      </c>
      <c r="AK395" s="36">
        <v>134.4</v>
      </c>
      <c r="AL395" s="35">
        <v>180</v>
      </c>
      <c r="AM395" s="36">
        <v>139.20000000000002</v>
      </c>
      <c r="AN395" s="35">
        <v>199</v>
      </c>
      <c r="AO395" s="36">
        <v>120</v>
      </c>
      <c r="AP395" s="37"/>
      <c r="AQ395" s="35">
        <v>108</v>
      </c>
      <c r="AR395" s="36">
        <v>230.40000000000003</v>
      </c>
      <c r="AS395" s="35">
        <v>177</v>
      </c>
      <c r="AT395" s="36">
        <v>160.80000000000001</v>
      </c>
      <c r="AU395" s="35">
        <v>177</v>
      </c>
      <c r="AV395" s="36">
        <v>160.80000000000001</v>
      </c>
      <c r="AW395" s="35">
        <v>180</v>
      </c>
      <c r="AX395" s="36">
        <v>158.4</v>
      </c>
      <c r="AY395" s="35">
        <v>180</v>
      </c>
      <c r="AZ395" s="36">
        <v>158.4</v>
      </c>
      <c r="BB395" s="40">
        <v>0</v>
      </c>
      <c r="BC395" s="65"/>
      <c r="BD395" s="35">
        <v>0</v>
      </c>
      <c r="BE395" s="36">
        <v>0</v>
      </c>
      <c r="BF395" s="37"/>
      <c r="BG395" s="415">
        <v>0</v>
      </c>
      <c r="BH395" s="353">
        <v>0</v>
      </c>
      <c r="BI395" s="415">
        <v>0</v>
      </c>
      <c r="BJ395" s="353">
        <v>0</v>
      </c>
      <c r="BK395" s="415">
        <v>0</v>
      </c>
      <c r="BL395" s="353">
        <v>0</v>
      </c>
      <c r="BM395" s="416"/>
      <c r="BN395" s="415">
        <v>0</v>
      </c>
      <c r="BO395" s="353">
        <v>0</v>
      </c>
      <c r="BP395" s="415">
        <v>0</v>
      </c>
      <c r="BQ395" s="353">
        <v>0</v>
      </c>
      <c r="BR395" s="415">
        <v>0</v>
      </c>
      <c r="BS395" s="353">
        <v>0</v>
      </c>
      <c r="BT395" s="415">
        <v>0</v>
      </c>
      <c r="BU395" s="353">
        <v>0</v>
      </c>
      <c r="BV395" s="415">
        <v>0</v>
      </c>
      <c r="BW395" s="353">
        <v>0</v>
      </c>
      <c r="BY395" s="80"/>
      <c r="BZ395" s="65"/>
      <c r="CA395" s="40" t="s">
        <v>3</v>
      </c>
      <c r="CB395" s="65"/>
      <c r="CC395" s="40">
        <v>-63.294214876033067</v>
      </c>
      <c r="CD395" s="40">
        <v>-138.49421487603306</v>
      </c>
      <c r="CE395" s="40">
        <v>-157.69421487603307</v>
      </c>
      <c r="CF395" s="65"/>
      <c r="CG395" s="40">
        <v>-66.294214876033038</v>
      </c>
      <c r="CH395" s="40">
        <v>-135.89421487603306</v>
      </c>
      <c r="CI395" s="40">
        <v>-135.89421487603306</v>
      </c>
      <c r="CJ395" s="40">
        <v>-138.29421487603307</v>
      </c>
      <c r="CK395" s="40">
        <v>-138.29421487603307</v>
      </c>
    </row>
    <row r="396" spans="1:89" s="2" customFormat="1">
      <c r="A396" s="196" t="s">
        <v>1169</v>
      </c>
      <c r="B396" s="211" t="s">
        <v>60</v>
      </c>
      <c r="C396" s="211" t="s">
        <v>647</v>
      </c>
      <c r="D396" s="41">
        <v>207</v>
      </c>
      <c r="E396" s="41">
        <v>2.5</v>
      </c>
      <c r="F396" s="22" t="s">
        <v>1140</v>
      </c>
      <c r="G396" s="40">
        <v>24</v>
      </c>
      <c r="H396" s="388">
        <v>181.81818181818181</v>
      </c>
      <c r="I396" s="321"/>
      <c r="J396" s="40" t="s">
        <v>3</v>
      </c>
      <c r="K396" s="36" t="s">
        <v>3</v>
      </c>
      <c r="L396" s="37"/>
      <c r="M396" s="35">
        <v>29</v>
      </c>
      <c r="N396" s="136">
        <v>5</v>
      </c>
      <c r="O396" s="35">
        <v>0</v>
      </c>
      <c r="P396" s="136">
        <v>3.1</v>
      </c>
      <c r="Q396" s="37">
        <v>0</v>
      </c>
      <c r="R396" s="136">
        <v>2.3000000000000003</v>
      </c>
      <c r="S396" s="37"/>
      <c r="T396" s="35">
        <v>0</v>
      </c>
      <c r="U396" s="136">
        <v>6.5</v>
      </c>
      <c r="V396" s="35">
        <v>0</v>
      </c>
      <c r="W396" s="136">
        <v>3.4000000000000004</v>
      </c>
      <c r="X396" s="35">
        <v>0</v>
      </c>
      <c r="Y396" s="149">
        <v>3.4000000000000004</v>
      </c>
      <c r="Z396" s="35">
        <v>0</v>
      </c>
      <c r="AA396" s="136">
        <v>3.3000000000000003</v>
      </c>
      <c r="AB396" s="37">
        <v>0</v>
      </c>
      <c r="AC396" s="136">
        <v>3.3000000000000003</v>
      </c>
      <c r="AD396" s="37"/>
      <c r="AE396" s="40">
        <v>25</v>
      </c>
      <c r="AF396" s="65"/>
      <c r="AG396" s="35">
        <v>0</v>
      </c>
      <c r="AH396" s="36">
        <v>0</v>
      </c>
      <c r="AI396" s="37"/>
      <c r="AJ396" s="35">
        <v>58</v>
      </c>
      <c r="AK396" s="36">
        <v>120</v>
      </c>
      <c r="AL396" s="35">
        <v>133</v>
      </c>
      <c r="AM396" s="36">
        <v>74.400000000000006</v>
      </c>
      <c r="AN396" s="37">
        <v>152</v>
      </c>
      <c r="AO396" s="36">
        <v>55.2</v>
      </c>
      <c r="AP396" s="37"/>
      <c r="AQ396" s="35">
        <v>51</v>
      </c>
      <c r="AR396" s="36">
        <v>156</v>
      </c>
      <c r="AS396" s="35">
        <v>125</v>
      </c>
      <c r="AT396" s="36">
        <v>81.600000000000009</v>
      </c>
      <c r="AU396" s="37">
        <v>125</v>
      </c>
      <c r="AV396" s="36">
        <v>81.600000000000009</v>
      </c>
      <c r="AW396" s="37">
        <v>128</v>
      </c>
      <c r="AX396" s="36">
        <v>79.2</v>
      </c>
      <c r="AY396" s="37">
        <v>128</v>
      </c>
      <c r="AZ396" s="36">
        <v>79.2</v>
      </c>
      <c r="BB396" s="40">
        <v>0</v>
      </c>
      <c r="BC396" s="65"/>
      <c r="BD396" s="35">
        <v>0</v>
      </c>
      <c r="BE396" s="36">
        <v>0</v>
      </c>
      <c r="BF396" s="37"/>
      <c r="BG396" s="415">
        <v>0</v>
      </c>
      <c r="BH396" s="353">
        <v>0</v>
      </c>
      <c r="BI396" s="415">
        <v>0</v>
      </c>
      <c r="BJ396" s="353">
        <v>0</v>
      </c>
      <c r="BK396" s="415">
        <v>0</v>
      </c>
      <c r="BL396" s="353">
        <v>0</v>
      </c>
      <c r="BM396" s="416"/>
      <c r="BN396" s="415">
        <v>0</v>
      </c>
      <c r="BO396" s="353">
        <v>0</v>
      </c>
      <c r="BP396" s="415">
        <v>0</v>
      </c>
      <c r="BQ396" s="353">
        <v>0</v>
      </c>
      <c r="BR396" s="415">
        <v>0</v>
      </c>
      <c r="BS396" s="353">
        <v>0</v>
      </c>
      <c r="BT396" s="415">
        <v>0</v>
      </c>
      <c r="BU396" s="353">
        <v>0</v>
      </c>
      <c r="BV396" s="415">
        <v>0</v>
      </c>
      <c r="BW396" s="353">
        <v>0</v>
      </c>
      <c r="BY396" s="80"/>
      <c r="BZ396" s="65"/>
      <c r="CA396" s="40" t="s">
        <v>3</v>
      </c>
      <c r="CB396" s="65"/>
      <c r="CC396" s="40">
        <v>-32.818181818181813</v>
      </c>
      <c r="CD396" s="40">
        <v>-107.41818181818181</v>
      </c>
      <c r="CE396" s="40">
        <v>-126.61818181818181</v>
      </c>
      <c r="CF396" s="65"/>
      <c r="CG396" s="40">
        <v>-25.818181818181813</v>
      </c>
      <c r="CH396" s="40">
        <v>-100.2181818181818</v>
      </c>
      <c r="CI396" s="40">
        <v>-100.2181818181818</v>
      </c>
      <c r="CJ396" s="40">
        <v>-102.61818181818181</v>
      </c>
      <c r="CK396" s="40">
        <v>-102.61818181818181</v>
      </c>
    </row>
    <row r="397" spans="1:89" s="2" customFormat="1">
      <c r="A397" s="196" t="s">
        <v>1170</v>
      </c>
      <c r="B397" s="211" t="s">
        <v>60</v>
      </c>
      <c r="C397" s="211" t="s">
        <v>663</v>
      </c>
      <c r="D397" s="41">
        <v>626</v>
      </c>
      <c r="E397" s="41">
        <v>2.5</v>
      </c>
      <c r="F397" s="41" t="s">
        <v>1140</v>
      </c>
      <c r="G397" s="413">
        <v>24</v>
      </c>
      <c r="H397" s="414">
        <v>525.61983471074382</v>
      </c>
      <c r="I397" s="321"/>
      <c r="J397" s="40" t="s">
        <v>3</v>
      </c>
      <c r="K397" s="36" t="s">
        <v>3</v>
      </c>
      <c r="L397" s="37"/>
      <c r="M397" s="35">
        <v>219</v>
      </c>
      <c r="N397" s="136">
        <v>8.7000000000000011</v>
      </c>
      <c r="O397" s="35">
        <v>139</v>
      </c>
      <c r="P397" s="136">
        <v>9.1</v>
      </c>
      <c r="Q397" s="37">
        <v>139</v>
      </c>
      <c r="R397" s="136">
        <v>8.3000000000000007</v>
      </c>
      <c r="S397" s="37"/>
      <c r="T397" s="35">
        <v>0</v>
      </c>
      <c r="U397" s="136">
        <v>17.8</v>
      </c>
      <c r="V397" s="35">
        <v>0</v>
      </c>
      <c r="W397" s="136">
        <v>13.3</v>
      </c>
      <c r="X397" s="35">
        <v>0</v>
      </c>
      <c r="Y397" s="149">
        <v>13.3</v>
      </c>
      <c r="Z397" s="35">
        <v>0</v>
      </c>
      <c r="AA397" s="136">
        <v>14.9</v>
      </c>
      <c r="AB397" s="37">
        <v>0</v>
      </c>
      <c r="AC397" s="136">
        <v>14.9</v>
      </c>
      <c r="AD397" s="37"/>
      <c r="AE397" s="40">
        <v>100</v>
      </c>
      <c r="AF397" s="65"/>
      <c r="AG397" s="35">
        <v>0</v>
      </c>
      <c r="AH397" s="36">
        <v>0</v>
      </c>
      <c r="AI397" s="37"/>
      <c r="AJ397" s="35">
        <v>198</v>
      </c>
      <c r="AK397" s="36">
        <v>208.8</v>
      </c>
      <c r="AL397" s="35">
        <v>269</v>
      </c>
      <c r="AM397" s="36">
        <v>218.39999999999998</v>
      </c>
      <c r="AN397" s="35">
        <v>288</v>
      </c>
      <c r="AO397" s="36">
        <v>199.20000000000002</v>
      </c>
      <c r="AP397" s="37"/>
      <c r="AQ397" s="35">
        <v>199</v>
      </c>
      <c r="AR397" s="36">
        <v>427.20000000000005</v>
      </c>
      <c r="AS397" s="35">
        <v>307</v>
      </c>
      <c r="AT397" s="36">
        <v>319.20000000000005</v>
      </c>
      <c r="AU397" s="35">
        <v>307</v>
      </c>
      <c r="AV397" s="36">
        <v>319.20000000000005</v>
      </c>
      <c r="AW397" s="35">
        <v>268</v>
      </c>
      <c r="AX397" s="36">
        <v>357.6</v>
      </c>
      <c r="AY397" s="35">
        <v>268</v>
      </c>
      <c r="AZ397" s="36">
        <v>357.6</v>
      </c>
      <c r="BB397" s="40">
        <v>0</v>
      </c>
      <c r="BC397" s="65"/>
      <c r="BD397" s="35">
        <v>0</v>
      </c>
      <c r="BE397" s="36">
        <v>0</v>
      </c>
      <c r="BF397" s="37"/>
      <c r="BG397" s="415">
        <v>0</v>
      </c>
      <c r="BH397" s="353">
        <v>0</v>
      </c>
      <c r="BI397" s="415">
        <v>0</v>
      </c>
      <c r="BJ397" s="353">
        <v>0</v>
      </c>
      <c r="BK397" s="415">
        <v>0</v>
      </c>
      <c r="BL397" s="353">
        <v>0</v>
      </c>
      <c r="BM397" s="416"/>
      <c r="BN397" s="415">
        <v>0</v>
      </c>
      <c r="BO397" s="353">
        <v>0</v>
      </c>
      <c r="BP397" s="415">
        <v>0</v>
      </c>
      <c r="BQ397" s="353">
        <v>0</v>
      </c>
      <c r="BR397" s="415">
        <v>0</v>
      </c>
      <c r="BS397" s="353">
        <v>0</v>
      </c>
      <c r="BT397" s="415">
        <v>0</v>
      </c>
      <c r="BU397" s="353">
        <v>0</v>
      </c>
      <c r="BV397" s="415">
        <v>0</v>
      </c>
      <c r="BW397" s="353">
        <v>0</v>
      </c>
      <c r="BY397" s="80"/>
      <c r="BZ397" s="65"/>
      <c r="CA397" s="40" t="s">
        <v>3</v>
      </c>
      <c r="CB397" s="65"/>
      <c r="CC397" s="40">
        <v>-97.819834710743805</v>
      </c>
      <c r="CD397" s="40">
        <v>-168.21983471074384</v>
      </c>
      <c r="CE397" s="40">
        <v>-187.41983471074377</v>
      </c>
      <c r="CF397" s="65"/>
      <c r="CG397" s="40">
        <v>-98.419834710743771</v>
      </c>
      <c r="CH397" s="40">
        <v>-206.41983471074377</v>
      </c>
      <c r="CI397" s="40">
        <v>-206.41983471074377</v>
      </c>
      <c r="CJ397" s="40">
        <v>-168.01983471074379</v>
      </c>
      <c r="CK397" s="40">
        <v>-168.01983471074379</v>
      </c>
    </row>
    <row r="398" spans="1:89" s="2" customFormat="1">
      <c r="A398" s="196" t="s">
        <v>1111</v>
      </c>
      <c r="B398" s="211" t="s">
        <v>1104</v>
      </c>
      <c r="C398" s="211" t="s">
        <v>777</v>
      </c>
      <c r="D398" s="41">
        <v>482</v>
      </c>
      <c r="E398" s="41">
        <v>0</v>
      </c>
      <c r="F398" s="41" t="s">
        <v>1105</v>
      </c>
      <c r="G398" s="413">
        <v>24</v>
      </c>
      <c r="H398" s="414">
        <v>419.83471074380168</v>
      </c>
      <c r="I398" s="321"/>
      <c r="J398" s="40" t="s">
        <v>3</v>
      </c>
      <c r="K398" s="36" t="s">
        <v>3</v>
      </c>
      <c r="L398" s="37"/>
      <c r="M398" s="35">
        <v>139</v>
      </c>
      <c r="N398" s="136">
        <v>8.3000000000000007</v>
      </c>
      <c r="O398" s="35">
        <v>19</v>
      </c>
      <c r="P398" s="136">
        <v>10.8</v>
      </c>
      <c r="Q398" s="37">
        <v>19</v>
      </c>
      <c r="R398" s="136">
        <v>9.8000000000000007</v>
      </c>
      <c r="S398" s="37"/>
      <c r="T398" s="35">
        <v>0</v>
      </c>
      <c r="U398" s="136">
        <v>14.3</v>
      </c>
      <c r="V398" s="35">
        <v>0</v>
      </c>
      <c r="W398" s="136">
        <v>12</v>
      </c>
      <c r="X398" s="35">
        <v>0</v>
      </c>
      <c r="Y398" s="149">
        <v>12</v>
      </c>
      <c r="Z398" s="35">
        <v>0</v>
      </c>
      <c r="AA398" s="136">
        <v>12</v>
      </c>
      <c r="AB398" s="37">
        <v>0</v>
      </c>
      <c r="AC398" s="136">
        <v>12</v>
      </c>
      <c r="AD398" s="37"/>
      <c r="AE398" s="40">
        <v>62</v>
      </c>
      <c r="AF398" s="65"/>
      <c r="AG398" s="35">
        <v>0</v>
      </c>
      <c r="AH398" s="36">
        <v>0</v>
      </c>
      <c r="AI398" s="37"/>
      <c r="AJ398" s="35">
        <v>144</v>
      </c>
      <c r="AK398" s="36">
        <v>199.20000000000002</v>
      </c>
      <c r="AL398" s="35">
        <v>204</v>
      </c>
      <c r="AM398" s="36">
        <v>259.20000000000005</v>
      </c>
      <c r="AN398" s="37">
        <v>228</v>
      </c>
      <c r="AO398" s="36">
        <v>235.20000000000002</v>
      </c>
      <c r="AP398" s="37"/>
      <c r="AQ398" s="35">
        <v>139</v>
      </c>
      <c r="AR398" s="36">
        <v>343.20000000000005</v>
      </c>
      <c r="AS398" s="35">
        <v>194</v>
      </c>
      <c r="AT398" s="36">
        <v>288</v>
      </c>
      <c r="AU398" s="37">
        <v>194</v>
      </c>
      <c r="AV398" s="36">
        <v>288</v>
      </c>
      <c r="AW398" s="37">
        <v>194</v>
      </c>
      <c r="AX398" s="36">
        <v>288</v>
      </c>
      <c r="AY398" s="37">
        <v>194</v>
      </c>
      <c r="AZ398" s="36">
        <v>288</v>
      </c>
      <c r="BB398" s="40">
        <v>0</v>
      </c>
      <c r="BC398" s="65"/>
      <c r="BD398" s="35">
        <v>0</v>
      </c>
      <c r="BE398" s="36">
        <v>0</v>
      </c>
      <c r="BF398" s="37"/>
      <c r="BG398" s="415">
        <v>0</v>
      </c>
      <c r="BH398" s="353">
        <v>0</v>
      </c>
      <c r="BI398" s="415">
        <v>0</v>
      </c>
      <c r="BJ398" s="353">
        <v>0</v>
      </c>
      <c r="BK398" s="415">
        <v>0</v>
      </c>
      <c r="BL398" s="353">
        <v>0</v>
      </c>
      <c r="BM398" s="416"/>
      <c r="BN398" s="415">
        <v>0</v>
      </c>
      <c r="BO398" s="353">
        <v>0</v>
      </c>
      <c r="BP398" s="415">
        <v>0</v>
      </c>
      <c r="BQ398" s="353">
        <v>0</v>
      </c>
      <c r="BR398" s="415">
        <v>0</v>
      </c>
      <c r="BS398" s="353">
        <v>0</v>
      </c>
      <c r="BT398" s="415">
        <v>0</v>
      </c>
      <c r="BU398" s="353">
        <v>0</v>
      </c>
      <c r="BV398" s="415">
        <v>0</v>
      </c>
      <c r="BW398" s="353">
        <v>0</v>
      </c>
      <c r="BY398" s="80"/>
      <c r="BZ398" s="65"/>
      <c r="CA398" s="40" t="s">
        <v>3</v>
      </c>
      <c r="CB398" s="65"/>
      <c r="CC398" s="40">
        <v>-81.634710743801634</v>
      </c>
      <c r="CD398" s="40">
        <v>-141.63471074380163</v>
      </c>
      <c r="CE398" s="40">
        <v>-165.63471074380166</v>
      </c>
      <c r="CF398" s="65"/>
      <c r="CG398" s="40">
        <v>-76.634710743801634</v>
      </c>
      <c r="CH398" s="40">
        <v>-131.83471074380168</v>
      </c>
      <c r="CI398" s="40">
        <v>-131.83471074380168</v>
      </c>
      <c r="CJ398" s="40">
        <v>-131.83471074380168</v>
      </c>
      <c r="CK398" s="40">
        <v>-131.83471074380168</v>
      </c>
    </row>
    <row r="399" spans="1:89" s="2" customFormat="1">
      <c r="A399" s="196" t="s">
        <v>1112</v>
      </c>
      <c r="B399" s="211" t="s">
        <v>1104</v>
      </c>
      <c r="C399" s="211" t="s">
        <v>777</v>
      </c>
      <c r="D399" s="41">
        <v>482</v>
      </c>
      <c r="E399" s="41">
        <v>0</v>
      </c>
      <c r="F399" s="22" t="s">
        <v>1105</v>
      </c>
      <c r="G399" s="40">
        <v>30</v>
      </c>
      <c r="H399" s="388">
        <v>419.83471074380168</v>
      </c>
      <c r="I399" s="321"/>
      <c r="J399" s="40" t="s">
        <v>3</v>
      </c>
      <c r="K399" s="36" t="s">
        <v>3</v>
      </c>
      <c r="L399" s="37"/>
      <c r="M399" s="35">
        <v>139</v>
      </c>
      <c r="N399" s="136">
        <v>6.7</v>
      </c>
      <c r="O399" s="35">
        <v>19</v>
      </c>
      <c r="P399" s="136">
        <v>8.7000000000000011</v>
      </c>
      <c r="Q399" s="37">
        <v>19</v>
      </c>
      <c r="R399" s="136">
        <v>7.9</v>
      </c>
      <c r="S399" s="37"/>
      <c r="T399" s="35">
        <v>0</v>
      </c>
      <c r="U399" s="136">
        <v>11.5</v>
      </c>
      <c r="V399" s="35">
        <v>0</v>
      </c>
      <c r="W399" s="136">
        <v>9.6000000000000014</v>
      </c>
      <c r="X399" s="35">
        <v>0</v>
      </c>
      <c r="Y399" s="149">
        <v>9.6000000000000014</v>
      </c>
      <c r="Z399" s="35">
        <v>0</v>
      </c>
      <c r="AA399" s="136">
        <v>9.6000000000000014</v>
      </c>
      <c r="AB399" s="37">
        <v>0</v>
      </c>
      <c r="AC399" s="136">
        <v>9.6000000000000014</v>
      </c>
      <c r="AD399" s="37"/>
      <c r="AE399" s="40">
        <v>62</v>
      </c>
      <c r="AF399" s="65"/>
      <c r="AG399" s="35">
        <v>0</v>
      </c>
      <c r="AH399" s="36">
        <v>0</v>
      </c>
      <c r="AI399" s="37"/>
      <c r="AJ399" s="35">
        <v>142</v>
      </c>
      <c r="AK399" s="36">
        <v>201</v>
      </c>
      <c r="AL399" s="35">
        <v>202</v>
      </c>
      <c r="AM399" s="36">
        <v>261.00000000000006</v>
      </c>
      <c r="AN399" s="35">
        <v>226</v>
      </c>
      <c r="AO399" s="36">
        <v>237</v>
      </c>
      <c r="AP399" s="37"/>
      <c r="AQ399" s="35">
        <v>137</v>
      </c>
      <c r="AR399" s="36">
        <v>345</v>
      </c>
      <c r="AS399" s="35">
        <v>194</v>
      </c>
      <c r="AT399" s="36">
        <v>288.00000000000006</v>
      </c>
      <c r="AU399" s="35">
        <v>194</v>
      </c>
      <c r="AV399" s="36">
        <v>288.00000000000006</v>
      </c>
      <c r="AW399" s="35">
        <v>194</v>
      </c>
      <c r="AX399" s="36">
        <v>288.00000000000006</v>
      </c>
      <c r="AY399" s="35">
        <v>194</v>
      </c>
      <c r="AZ399" s="36">
        <v>288.00000000000006</v>
      </c>
      <c r="BB399" s="40">
        <v>0</v>
      </c>
      <c r="BC399" s="65"/>
      <c r="BD399" s="35">
        <v>0</v>
      </c>
      <c r="BE399" s="36">
        <v>0</v>
      </c>
      <c r="BF399" s="37"/>
      <c r="BG399" s="415">
        <v>0</v>
      </c>
      <c r="BH399" s="353">
        <v>0</v>
      </c>
      <c r="BI399" s="415">
        <v>0</v>
      </c>
      <c r="BJ399" s="353">
        <v>0</v>
      </c>
      <c r="BK399" s="415">
        <v>0</v>
      </c>
      <c r="BL399" s="353">
        <v>0</v>
      </c>
      <c r="BM399" s="416"/>
      <c r="BN399" s="415">
        <v>0</v>
      </c>
      <c r="BO399" s="353">
        <v>0</v>
      </c>
      <c r="BP399" s="415">
        <v>0</v>
      </c>
      <c r="BQ399" s="353">
        <v>0</v>
      </c>
      <c r="BR399" s="415">
        <v>0</v>
      </c>
      <c r="BS399" s="353">
        <v>0</v>
      </c>
      <c r="BT399" s="415">
        <v>0</v>
      </c>
      <c r="BU399" s="353">
        <v>1.7763568394002505E-15</v>
      </c>
      <c r="BV399" s="415">
        <v>0</v>
      </c>
      <c r="BW399" s="353">
        <v>1.7763568394002505E-15</v>
      </c>
      <c r="BY399" s="80"/>
      <c r="BZ399" s="65"/>
      <c r="CA399" s="40" t="s">
        <v>3</v>
      </c>
      <c r="CB399" s="65"/>
      <c r="CC399" s="40">
        <v>-79.834710743801679</v>
      </c>
      <c r="CD399" s="40">
        <v>-139.83471074380162</v>
      </c>
      <c r="CE399" s="40">
        <v>-163.83471074380168</v>
      </c>
      <c r="CF399" s="65"/>
      <c r="CG399" s="40">
        <v>-74.834710743801679</v>
      </c>
      <c r="CH399" s="40">
        <v>-131.83471074380162</v>
      </c>
      <c r="CI399" s="40">
        <v>-131.83471074380162</v>
      </c>
      <c r="CJ399" s="40">
        <v>-131.83471074380162</v>
      </c>
      <c r="CK399" s="40">
        <v>-131.83471074380162</v>
      </c>
    </row>
    <row r="400" spans="1:89" s="2" customFormat="1">
      <c r="A400" s="196" t="s">
        <v>1095</v>
      </c>
      <c r="B400" s="211" t="s">
        <v>55</v>
      </c>
      <c r="C400" s="211" t="s">
        <v>506</v>
      </c>
      <c r="D400" s="41">
        <v>41</v>
      </c>
      <c r="E400" s="41">
        <v>0</v>
      </c>
      <c r="F400" s="41" t="s">
        <v>1084</v>
      </c>
      <c r="G400" s="413">
        <v>24</v>
      </c>
      <c r="H400" s="414">
        <v>62.809917355371901</v>
      </c>
      <c r="I400" s="321"/>
      <c r="J400" s="40" t="s">
        <v>3</v>
      </c>
      <c r="K400" s="36" t="s">
        <v>3</v>
      </c>
      <c r="L400" s="37"/>
      <c r="M400" s="35">
        <v>0</v>
      </c>
      <c r="N400" s="136">
        <v>0.9</v>
      </c>
      <c r="O400" s="35">
        <v>0</v>
      </c>
      <c r="P400" s="136">
        <v>0.9</v>
      </c>
      <c r="Q400" s="37">
        <v>0</v>
      </c>
      <c r="R400" s="136">
        <v>0.9</v>
      </c>
      <c r="S400" s="37"/>
      <c r="T400" s="35">
        <v>0</v>
      </c>
      <c r="U400" s="136">
        <v>1.7000000000000002</v>
      </c>
      <c r="V400" s="35">
        <v>0</v>
      </c>
      <c r="W400" s="136">
        <v>1.7000000000000002</v>
      </c>
      <c r="X400" s="35">
        <v>0</v>
      </c>
      <c r="Y400" s="149">
        <v>1.7000000000000002</v>
      </c>
      <c r="Z400" s="35">
        <v>0</v>
      </c>
      <c r="AA400" s="136">
        <v>1.7000000000000002</v>
      </c>
      <c r="AB400" s="37">
        <v>0</v>
      </c>
      <c r="AC400" s="136">
        <v>1.7000000000000002</v>
      </c>
      <c r="AD400" s="37"/>
      <c r="AE400" s="40">
        <v>-22</v>
      </c>
      <c r="AF400" s="65"/>
      <c r="AG400" s="35">
        <v>0</v>
      </c>
      <c r="AH400" s="36">
        <v>0</v>
      </c>
      <c r="AI400" s="37"/>
      <c r="AJ400" s="35">
        <v>19</v>
      </c>
      <c r="AK400" s="36">
        <v>21.6</v>
      </c>
      <c r="AL400" s="35">
        <v>19</v>
      </c>
      <c r="AM400" s="36">
        <v>21.6</v>
      </c>
      <c r="AN400" s="37">
        <v>19</v>
      </c>
      <c r="AO400" s="36">
        <v>21.6</v>
      </c>
      <c r="AP400" s="37"/>
      <c r="AQ400" s="35">
        <v>0</v>
      </c>
      <c r="AR400" s="36">
        <v>40.800000000000004</v>
      </c>
      <c r="AS400" s="35">
        <v>0</v>
      </c>
      <c r="AT400" s="36">
        <v>40.800000000000004</v>
      </c>
      <c r="AU400" s="37">
        <v>0</v>
      </c>
      <c r="AV400" s="36">
        <v>40.800000000000004</v>
      </c>
      <c r="AW400" s="37">
        <v>0</v>
      </c>
      <c r="AX400" s="36">
        <v>40.800000000000004</v>
      </c>
      <c r="AY400" s="37">
        <v>0</v>
      </c>
      <c r="AZ400" s="36">
        <v>40.800000000000004</v>
      </c>
      <c r="BB400" s="40">
        <v>0</v>
      </c>
      <c r="BC400" s="65"/>
      <c r="BD400" s="35">
        <v>0</v>
      </c>
      <c r="BE400" s="36">
        <v>0</v>
      </c>
      <c r="BF400" s="37"/>
      <c r="BG400" s="415">
        <v>0</v>
      </c>
      <c r="BH400" s="353">
        <v>0</v>
      </c>
      <c r="BI400" s="415">
        <v>0</v>
      </c>
      <c r="BJ400" s="353">
        <v>0</v>
      </c>
      <c r="BK400" s="415">
        <v>0</v>
      </c>
      <c r="BL400" s="353">
        <v>0</v>
      </c>
      <c r="BM400" s="416"/>
      <c r="BN400" s="415">
        <v>0</v>
      </c>
      <c r="BO400" s="353">
        <v>0</v>
      </c>
      <c r="BP400" s="415">
        <v>0</v>
      </c>
      <c r="BQ400" s="353">
        <v>0</v>
      </c>
      <c r="BR400" s="415">
        <v>0</v>
      </c>
      <c r="BS400" s="353">
        <v>0</v>
      </c>
      <c r="BT400" s="415">
        <v>0</v>
      </c>
      <c r="BU400" s="353">
        <v>0</v>
      </c>
      <c r="BV400" s="415">
        <v>0</v>
      </c>
      <c r="BW400" s="353">
        <v>0</v>
      </c>
      <c r="BY400" s="80"/>
      <c r="BZ400" s="65"/>
      <c r="CA400" s="40" t="s">
        <v>3</v>
      </c>
      <c r="CB400" s="65"/>
      <c r="CC400" s="40">
        <v>-41.2099173553719</v>
      </c>
      <c r="CD400" s="40">
        <v>-41.2099173553719</v>
      </c>
      <c r="CE400" s="40">
        <v>-41.2099173553719</v>
      </c>
      <c r="CF400" s="65"/>
      <c r="CG400" s="40">
        <v>-22.009917355371897</v>
      </c>
      <c r="CH400" s="40">
        <v>-22.009917355371897</v>
      </c>
      <c r="CI400" s="40">
        <v>-22.009917355371897</v>
      </c>
      <c r="CJ400" s="40">
        <v>-22.009917355371897</v>
      </c>
      <c r="CK400" s="40">
        <v>-22.009917355371897</v>
      </c>
    </row>
    <row r="401" spans="1:89" s="2" customFormat="1">
      <c r="A401" s="196" t="s">
        <v>994</v>
      </c>
      <c r="B401" s="211" t="s">
        <v>79</v>
      </c>
      <c r="C401" s="211" t="s">
        <v>530</v>
      </c>
      <c r="D401" s="41">
        <v>447</v>
      </c>
      <c r="E401" s="41">
        <v>0</v>
      </c>
      <c r="F401" s="41" t="s">
        <v>986</v>
      </c>
      <c r="G401" s="413">
        <v>24</v>
      </c>
      <c r="H401" s="414">
        <v>541.32231404958679</v>
      </c>
      <c r="I401" s="321"/>
      <c r="J401" s="40" t="s">
        <v>3</v>
      </c>
      <c r="K401" s="36" t="s">
        <v>3</v>
      </c>
      <c r="L401" s="37"/>
      <c r="M401" s="35">
        <v>229</v>
      </c>
      <c r="N401" s="136">
        <v>9.1</v>
      </c>
      <c r="O401" s="35">
        <v>139</v>
      </c>
      <c r="P401" s="136">
        <v>10</v>
      </c>
      <c r="Q401" s="37">
        <v>139</v>
      </c>
      <c r="R401" s="136">
        <v>9.1</v>
      </c>
      <c r="S401" s="37"/>
      <c r="T401" s="35">
        <v>0</v>
      </c>
      <c r="U401" s="136">
        <v>18.600000000000001</v>
      </c>
      <c r="V401" s="35">
        <v>0</v>
      </c>
      <c r="W401" s="136">
        <v>15</v>
      </c>
      <c r="X401" s="35">
        <v>0</v>
      </c>
      <c r="Y401" s="149">
        <v>15</v>
      </c>
      <c r="Z401" s="35">
        <v>0</v>
      </c>
      <c r="AA401" s="136">
        <v>15</v>
      </c>
      <c r="AB401" s="37">
        <v>0</v>
      </c>
      <c r="AC401" s="136">
        <v>15</v>
      </c>
      <c r="AD401" s="37"/>
      <c r="AE401" s="40">
        <v>-94</v>
      </c>
      <c r="AF401" s="65"/>
      <c r="AG401" s="35">
        <v>0</v>
      </c>
      <c r="AH401" s="36">
        <v>0</v>
      </c>
      <c r="AI401" s="37"/>
      <c r="AJ401" s="35">
        <v>0</v>
      </c>
      <c r="AK401" s="36">
        <v>218.39999999999998</v>
      </c>
      <c r="AL401" s="35">
        <v>68</v>
      </c>
      <c r="AM401" s="36">
        <v>240</v>
      </c>
      <c r="AN401" s="35">
        <v>90</v>
      </c>
      <c r="AO401" s="36">
        <v>218.39999999999998</v>
      </c>
      <c r="AP401" s="37"/>
      <c r="AQ401" s="35">
        <v>1</v>
      </c>
      <c r="AR401" s="36">
        <v>446.40000000000003</v>
      </c>
      <c r="AS401" s="35">
        <v>87</v>
      </c>
      <c r="AT401" s="36">
        <v>360</v>
      </c>
      <c r="AU401" s="35">
        <v>87</v>
      </c>
      <c r="AV401" s="36">
        <v>360</v>
      </c>
      <c r="AW401" s="35">
        <v>87</v>
      </c>
      <c r="AX401" s="36">
        <v>360</v>
      </c>
      <c r="AY401" s="35">
        <v>87</v>
      </c>
      <c r="AZ401" s="36">
        <v>360</v>
      </c>
      <c r="BB401" s="40">
        <v>0</v>
      </c>
      <c r="BC401" s="65"/>
      <c r="BD401" s="35">
        <v>0</v>
      </c>
      <c r="BE401" s="36">
        <v>0</v>
      </c>
      <c r="BF401" s="37"/>
      <c r="BG401" s="415">
        <v>0</v>
      </c>
      <c r="BH401" s="353">
        <v>0</v>
      </c>
      <c r="BI401" s="415">
        <v>0</v>
      </c>
      <c r="BJ401" s="353">
        <v>0</v>
      </c>
      <c r="BK401" s="415">
        <v>0</v>
      </c>
      <c r="BL401" s="353">
        <v>0</v>
      </c>
      <c r="BM401" s="416"/>
      <c r="BN401" s="415">
        <v>0</v>
      </c>
      <c r="BO401" s="353">
        <v>0</v>
      </c>
      <c r="BP401" s="415">
        <v>0</v>
      </c>
      <c r="BQ401" s="353">
        <v>0</v>
      </c>
      <c r="BR401" s="415">
        <v>0</v>
      </c>
      <c r="BS401" s="353">
        <v>0</v>
      </c>
      <c r="BT401" s="415">
        <v>0</v>
      </c>
      <c r="BU401" s="353">
        <v>0</v>
      </c>
      <c r="BV401" s="415">
        <v>0</v>
      </c>
      <c r="BW401" s="353">
        <v>0</v>
      </c>
      <c r="BY401" s="80"/>
      <c r="BZ401" s="65"/>
      <c r="CA401" s="40" t="s">
        <v>3</v>
      </c>
      <c r="CB401" s="65"/>
      <c r="CC401" s="40">
        <v>-93.922314049586817</v>
      </c>
      <c r="CD401" s="40">
        <v>-162.32231404958679</v>
      </c>
      <c r="CE401" s="40">
        <v>-183.92231404958682</v>
      </c>
      <c r="CF401" s="65"/>
      <c r="CG401" s="40">
        <v>-94.92231404958676</v>
      </c>
      <c r="CH401" s="40">
        <v>-181.32231404958679</v>
      </c>
      <c r="CI401" s="40">
        <v>-181.32231404958679</v>
      </c>
      <c r="CJ401" s="40">
        <v>-181.32231404958679</v>
      </c>
      <c r="CK401" s="40">
        <v>-181.32231404958679</v>
      </c>
    </row>
    <row r="402" spans="1:89" s="2" customFormat="1">
      <c r="A402" s="196" t="s">
        <v>995</v>
      </c>
      <c r="B402" s="211" t="s">
        <v>79</v>
      </c>
      <c r="C402" s="211" t="s">
        <v>530</v>
      </c>
      <c r="D402" s="41">
        <v>447</v>
      </c>
      <c r="E402" s="41">
        <v>0</v>
      </c>
      <c r="F402" s="22" t="s">
        <v>986</v>
      </c>
      <c r="G402" s="40">
        <v>30</v>
      </c>
      <c r="H402" s="388">
        <v>541.32231404958679</v>
      </c>
      <c r="I402" s="321"/>
      <c r="J402" s="40" t="s">
        <v>3</v>
      </c>
      <c r="K402" s="36" t="s">
        <v>3</v>
      </c>
      <c r="L402" s="37"/>
      <c r="M402" s="35">
        <v>229</v>
      </c>
      <c r="N402" s="136">
        <v>7.3000000000000007</v>
      </c>
      <c r="O402" s="35">
        <v>139</v>
      </c>
      <c r="P402" s="136">
        <v>8</v>
      </c>
      <c r="Q402" s="37">
        <v>139</v>
      </c>
      <c r="R402" s="136">
        <v>7.3000000000000007</v>
      </c>
      <c r="S402" s="37"/>
      <c r="T402" s="35">
        <v>0</v>
      </c>
      <c r="U402" s="136">
        <v>14.9</v>
      </c>
      <c r="V402" s="35">
        <v>0</v>
      </c>
      <c r="W402" s="136">
        <v>12</v>
      </c>
      <c r="X402" s="35">
        <v>0</v>
      </c>
      <c r="Y402" s="149">
        <v>12</v>
      </c>
      <c r="Z402" s="35">
        <v>0</v>
      </c>
      <c r="AA402" s="136">
        <v>12</v>
      </c>
      <c r="AB402" s="37">
        <v>0</v>
      </c>
      <c r="AC402" s="136">
        <v>12</v>
      </c>
      <c r="AD402" s="37"/>
      <c r="AE402" s="40">
        <v>-94</v>
      </c>
      <c r="AF402" s="65"/>
      <c r="AG402" s="35">
        <v>0</v>
      </c>
      <c r="AH402" s="36">
        <v>0</v>
      </c>
      <c r="AI402" s="37"/>
      <c r="AJ402" s="35">
        <v>-1</v>
      </c>
      <c r="AK402" s="36">
        <v>219.00000000000003</v>
      </c>
      <c r="AL402" s="35">
        <v>68</v>
      </c>
      <c r="AM402" s="36">
        <v>240</v>
      </c>
      <c r="AN402" s="37">
        <v>89</v>
      </c>
      <c r="AO402" s="36">
        <v>219.00000000000003</v>
      </c>
      <c r="AP402" s="37"/>
      <c r="AQ402" s="35">
        <v>0</v>
      </c>
      <c r="AR402" s="36">
        <v>447</v>
      </c>
      <c r="AS402" s="35">
        <v>87</v>
      </c>
      <c r="AT402" s="36">
        <v>360</v>
      </c>
      <c r="AU402" s="37">
        <v>87</v>
      </c>
      <c r="AV402" s="36">
        <v>360</v>
      </c>
      <c r="AW402" s="37">
        <v>87</v>
      </c>
      <c r="AX402" s="36">
        <v>360</v>
      </c>
      <c r="AY402" s="37">
        <v>87</v>
      </c>
      <c r="AZ402" s="36">
        <v>360</v>
      </c>
      <c r="BB402" s="40">
        <v>0</v>
      </c>
      <c r="BC402" s="65"/>
      <c r="BD402" s="35">
        <v>0</v>
      </c>
      <c r="BE402" s="36">
        <v>0</v>
      </c>
      <c r="BF402" s="37"/>
      <c r="BG402" s="415">
        <v>0</v>
      </c>
      <c r="BH402" s="353">
        <v>0</v>
      </c>
      <c r="BI402" s="415">
        <v>0</v>
      </c>
      <c r="BJ402" s="353">
        <v>0</v>
      </c>
      <c r="BK402" s="415">
        <v>0</v>
      </c>
      <c r="BL402" s="353">
        <v>0</v>
      </c>
      <c r="BM402" s="416"/>
      <c r="BN402" s="415">
        <v>0</v>
      </c>
      <c r="BO402" s="353">
        <v>0</v>
      </c>
      <c r="BP402" s="415">
        <v>0</v>
      </c>
      <c r="BQ402" s="353">
        <v>0</v>
      </c>
      <c r="BR402" s="415">
        <v>0</v>
      </c>
      <c r="BS402" s="353">
        <v>0</v>
      </c>
      <c r="BT402" s="415">
        <v>0</v>
      </c>
      <c r="BU402" s="353">
        <v>0</v>
      </c>
      <c r="BV402" s="415">
        <v>0</v>
      </c>
      <c r="BW402" s="353">
        <v>0</v>
      </c>
      <c r="BY402" s="80"/>
      <c r="BZ402" s="65"/>
      <c r="CA402" s="40" t="s">
        <v>3</v>
      </c>
      <c r="CB402" s="65"/>
      <c r="CC402" s="40">
        <v>-93.322314049586794</v>
      </c>
      <c r="CD402" s="40">
        <v>-162.32231404958679</v>
      </c>
      <c r="CE402" s="40">
        <v>-183.32231404958679</v>
      </c>
      <c r="CF402" s="65"/>
      <c r="CG402" s="40">
        <v>-94.322314049586794</v>
      </c>
      <c r="CH402" s="40">
        <v>-181.32231404958679</v>
      </c>
      <c r="CI402" s="40">
        <v>-181.32231404958679</v>
      </c>
      <c r="CJ402" s="40">
        <v>-181.32231404958679</v>
      </c>
      <c r="CK402" s="40">
        <v>-181.32231404958679</v>
      </c>
    </row>
    <row r="403" spans="1:89" s="2" customFormat="1">
      <c r="A403" s="196" t="s">
        <v>996</v>
      </c>
      <c r="B403" s="211" t="s">
        <v>79</v>
      </c>
      <c r="C403" s="211" t="s">
        <v>778</v>
      </c>
      <c r="D403" s="41">
        <v>542</v>
      </c>
      <c r="E403" s="41">
        <v>0</v>
      </c>
      <c r="F403" s="41" t="s">
        <v>986</v>
      </c>
      <c r="G403" s="413">
        <v>24</v>
      </c>
      <c r="H403" s="414">
        <v>541.32231404958679</v>
      </c>
      <c r="I403" s="321"/>
      <c r="J403" s="40" t="s">
        <v>3</v>
      </c>
      <c r="K403" s="36" t="s">
        <v>3</v>
      </c>
      <c r="L403" s="37"/>
      <c r="M403" s="35">
        <v>229</v>
      </c>
      <c r="N403" s="136">
        <v>9.1</v>
      </c>
      <c r="O403" s="35">
        <v>139</v>
      </c>
      <c r="P403" s="136">
        <v>10</v>
      </c>
      <c r="Q403" s="37">
        <v>139</v>
      </c>
      <c r="R403" s="136">
        <v>9.1</v>
      </c>
      <c r="S403" s="37"/>
      <c r="T403" s="35">
        <v>0</v>
      </c>
      <c r="U403" s="136">
        <v>18.600000000000001</v>
      </c>
      <c r="V403" s="35">
        <v>0</v>
      </c>
      <c r="W403" s="136">
        <v>14.5</v>
      </c>
      <c r="X403" s="35">
        <v>0</v>
      </c>
      <c r="Y403" s="149">
        <v>14.5</v>
      </c>
      <c r="Z403" s="35">
        <v>0</v>
      </c>
      <c r="AA403" s="136">
        <v>14.5</v>
      </c>
      <c r="AB403" s="37">
        <v>0</v>
      </c>
      <c r="AC403" s="136">
        <v>14.5</v>
      </c>
      <c r="AD403" s="37"/>
      <c r="AE403" s="40">
        <v>1</v>
      </c>
      <c r="AF403" s="65"/>
      <c r="AG403" s="35">
        <v>0</v>
      </c>
      <c r="AH403" s="36">
        <v>0</v>
      </c>
      <c r="AI403" s="37"/>
      <c r="AJ403" s="35">
        <v>95</v>
      </c>
      <c r="AK403" s="36">
        <v>218.39999999999998</v>
      </c>
      <c r="AL403" s="35">
        <v>163</v>
      </c>
      <c r="AM403" s="36">
        <v>240</v>
      </c>
      <c r="AN403" s="35">
        <v>185</v>
      </c>
      <c r="AO403" s="36">
        <v>218.39999999999998</v>
      </c>
      <c r="AP403" s="37"/>
      <c r="AQ403" s="35">
        <v>96</v>
      </c>
      <c r="AR403" s="36">
        <v>446.40000000000003</v>
      </c>
      <c r="AS403" s="35">
        <v>194</v>
      </c>
      <c r="AT403" s="36">
        <v>348</v>
      </c>
      <c r="AU403" s="35">
        <v>194</v>
      </c>
      <c r="AV403" s="36">
        <v>348</v>
      </c>
      <c r="AW403" s="35">
        <v>194</v>
      </c>
      <c r="AX403" s="36">
        <v>348</v>
      </c>
      <c r="AY403" s="35">
        <v>194</v>
      </c>
      <c r="AZ403" s="36">
        <v>348</v>
      </c>
      <c r="BB403" s="40">
        <v>0</v>
      </c>
      <c r="BC403" s="65"/>
      <c r="BD403" s="35">
        <v>0</v>
      </c>
      <c r="BE403" s="36">
        <v>0</v>
      </c>
      <c r="BF403" s="37"/>
      <c r="BG403" s="415">
        <v>0</v>
      </c>
      <c r="BH403" s="353">
        <v>0</v>
      </c>
      <c r="BI403" s="415">
        <v>0</v>
      </c>
      <c r="BJ403" s="353">
        <v>0</v>
      </c>
      <c r="BK403" s="415">
        <v>0</v>
      </c>
      <c r="BL403" s="353">
        <v>0</v>
      </c>
      <c r="BM403" s="416"/>
      <c r="BN403" s="415">
        <v>0</v>
      </c>
      <c r="BO403" s="353">
        <v>0</v>
      </c>
      <c r="BP403" s="415">
        <v>0</v>
      </c>
      <c r="BQ403" s="353">
        <v>0</v>
      </c>
      <c r="BR403" s="415">
        <v>0</v>
      </c>
      <c r="BS403" s="353">
        <v>0</v>
      </c>
      <c r="BT403" s="415">
        <v>0</v>
      </c>
      <c r="BU403" s="353">
        <v>0</v>
      </c>
      <c r="BV403" s="415">
        <v>0</v>
      </c>
      <c r="BW403" s="353">
        <v>0</v>
      </c>
      <c r="BY403" s="80"/>
      <c r="BZ403" s="65"/>
      <c r="CA403" s="40" t="s">
        <v>3</v>
      </c>
      <c r="CB403" s="65"/>
      <c r="CC403" s="40">
        <v>-93.922314049586817</v>
      </c>
      <c r="CD403" s="40">
        <v>-162.32231404958679</v>
      </c>
      <c r="CE403" s="40">
        <v>-183.92231404958682</v>
      </c>
      <c r="CF403" s="65"/>
      <c r="CG403" s="40">
        <v>-94.92231404958676</v>
      </c>
      <c r="CH403" s="40">
        <v>-193.32231404958679</v>
      </c>
      <c r="CI403" s="40">
        <v>-193.32231404958679</v>
      </c>
      <c r="CJ403" s="40">
        <v>-193.32231404958679</v>
      </c>
      <c r="CK403" s="40">
        <v>-193.32231404958679</v>
      </c>
    </row>
    <row r="404" spans="1:89" s="2" customFormat="1">
      <c r="A404" s="196" t="s">
        <v>997</v>
      </c>
      <c r="B404" s="211" t="s">
        <v>79</v>
      </c>
      <c r="C404" s="211" t="s">
        <v>778</v>
      </c>
      <c r="D404" s="41">
        <v>542</v>
      </c>
      <c r="E404" s="41">
        <v>0</v>
      </c>
      <c r="F404" s="22" t="s">
        <v>986</v>
      </c>
      <c r="G404" s="40">
        <v>30</v>
      </c>
      <c r="H404" s="388">
        <v>541.32231404958679</v>
      </c>
      <c r="I404" s="321"/>
      <c r="J404" s="40" t="s">
        <v>3</v>
      </c>
      <c r="K404" s="36" t="s">
        <v>3</v>
      </c>
      <c r="L404" s="37"/>
      <c r="M404" s="35">
        <v>229</v>
      </c>
      <c r="N404" s="136">
        <v>7.3000000000000007</v>
      </c>
      <c r="O404" s="35">
        <v>139</v>
      </c>
      <c r="P404" s="136">
        <v>8</v>
      </c>
      <c r="Q404" s="37">
        <v>139</v>
      </c>
      <c r="R404" s="136">
        <v>7.3000000000000007</v>
      </c>
      <c r="S404" s="37"/>
      <c r="T404" s="35">
        <v>0</v>
      </c>
      <c r="U404" s="136">
        <v>14.9</v>
      </c>
      <c r="V404" s="35">
        <v>0</v>
      </c>
      <c r="W404" s="136">
        <v>11.600000000000001</v>
      </c>
      <c r="X404" s="35">
        <v>0</v>
      </c>
      <c r="Y404" s="149">
        <v>11.600000000000001</v>
      </c>
      <c r="Z404" s="35">
        <v>0</v>
      </c>
      <c r="AA404" s="136">
        <v>11.600000000000001</v>
      </c>
      <c r="AB404" s="37">
        <v>0</v>
      </c>
      <c r="AC404" s="136">
        <v>11.600000000000001</v>
      </c>
      <c r="AD404" s="37"/>
      <c r="AE404" s="40">
        <v>1</v>
      </c>
      <c r="AF404" s="65"/>
      <c r="AG404" s="35">
        <v>0</v>
      </c>
      <c r="AH404" s="36">
        <v>0</v>
      </c>
      <c r="AI404" s="37"/>
      <c r="AJ404" s="35">
        <v>94</v>
      </c>
      <c r="AK404" s="36">
        <v>219.00000000000003</v>
      </c>
      <c r="AL404" s="35">
        <v>163</v>
      </c>
      <c r="AM404" s="36">
        <v>240</v>
      </c>
      <c r="AN404" s="37">
        <v>184</v>
      </c>
      <c r="AO404" s="36">
        <v>219.00000000000003</v>
      </c>
      <c r="AP404" s="37"/>
      <c r="AQ404" s="35">
        <v>95</v>
      </c>
      <c r="AR404" s="36">
        <v>447</v>
      </c>
      <c r="AS404" s="35">
        <v>194</v>
      </c>
      <c r="AT404" s="36">
        <v>348.00000000000006</v>
      </c>
      <c r="AU404" s="37">
        <v>194</v>
      </c>
      <c r="AV404" s="36">
        <v>348.00000000000006</v>
      </c>
      <c r="AW404" s="37">
        <v>194</v>
      </c>
      <c r="AX404" s="36">
        <v>348.00000000000006</v>
      </c>
      <c r="AY404" s="37">
        <v>194</v>
      </c>
      <c r="AZ404" s="36">
        <v>348.00000000000006</v>
      </c>
      <c r="BB404" s="40">
        <v>0</v>
      </c>
      <c r="BC404" s="65"/>
      <c r="BD404" s="35">
        <v>0</v>
      </c>
      <c r="BE404" s="36">
        <v>0</v>
      </c>
      <c r="BF404" s="37"/>
      <c r="BG404" s="415">
        <v>0</v>
      </c>
      <c r="BH404" s="353">
        <v>0</v>
      </c>
      <c r="BI404" s="415">
        <v>0</v>
      </c>
      <c r="BJ404" s="353">
        <v>0</v>
      </c>
      <c r="BK404" s="415">
        <v>0</v>
      </c>
      <c r="BL404" s="353">
        <v>0</v>
      </c>
      <c r="BM404" s="416"/>
      <c r="BN404" s="415">
        <v>0</v>
      </c>
      <c r="BO404" s="353">
        <v>0</v>
      </c>
      <c r="BP404" s="415">
        <v>0</v>
      </c>
      <c r="BQ404" s="353">
        <v>0</v>
      </c>
      <c r="BR404" s="415">
        <v>0</v>
      </c>
      <c r="BS404" s="353">
        <v>0</v>
      </c>
      <c r="BT404" s="415">
        <v>0</v>
      </c>
      <c r="BU404" s="353">
        <v>0</v>
      </c>
      <c r="BV404" s="415">
        <v>0</v>
      </c>
      <c r="BW404" s="353">
        <v>0</v>
      </c>
      <c r="BY404" s="80"/>
      <c r="BZ404" s="65"/>
      <c r="CA404" s="40" t="s">
        <v>3</v>
      </c>
      <c r="CB404" s="65"/>
      <c r="CC404" s="40">
        <v>-93.322314049586794</v>
      </c>
      <c r="CD404" s="40">
        <v>-162.32231404958679</v>
      </c>
      <c r="CE404" s="40">
        <v>-183.32231404958679</v>
      </c>
      <c r="CF404" s="65"/>
      <c r="CG404" s="40">
        <v>-94.322314049586794</v>
      </c>
      <c r="CH404" s="40">
        <v>-193.32231404958674</v>
      </c>
      <c r="CI404" s="40">
        <v>-193.32231404958674</v>
      </c>
      <c r="CJ404" s="40">
        <v>-193.32231404958674</v>
      </c>
      <c r="CK404" s="40">
        <v>-193.32231404958674</v>
      </c>
    </row>
    <row r="405" spans="1:89" s="2" customFormat="1">
      <c r="A405" s="196" t="s">
        <v>998</v>
      </c>
      <c r="B405" s="211" t="s">
        <v>79</v>
      </c>
      <c r="C405" s="211" t="s">
        <v>531</v>
      </c>
      <c r="D405" s="41">
        <v>366</v>
      </c>
      <c r="E405" s="41">
        <v>0</v>
      </c>
      <c r="F405" s="41" t="s">
        <v>986</v>
      </c>
      <c r="G405" s="413">
        <v>24</v>
      </c>
      <c r="H405" s="414">
        <v>442.14876033057851</v>
      </c>
      <c r="I405" s="321"/>
      <c r="J405" s="40" t="s">
        <v>3</v>
      </c>
      <c r="K405" s="36" t="s">
        <v>3</v>
      </c>
      <c r="L405" s="37"/>
      <c r="M405" s="35">
        <v>149</v>
      </c>
      <c r="N405" s="136">
        <v>8.9</v>
      </c>
      <c r="O405" s="35">
        <v>19</v>
      </c>
      <c r="P405" s="136">
        <v>11.4</v>
      </c>
      <c r="Q405" s="37">
        <v>19</v>
      </c>
      <c r="R405" s="136">
        <v>10.8</v>
      </c>
      <c r="S405" s="37"/>
      <c r="T405" s="35">
        <v>0</v>
      </c>
      <c r="U405" s="136">
        <v>15.3</v>
      </c>
      <c r="V405" s="35">
        <v>0</v>
      </c>
      <c r="W405" s="136">
        <v>11.4</v>
      </c>
      <c r="X405" s="35">
        <v>0</v>
      </c>
      <c r="Y405" s="149">
        <v>11.4</v>
      </c>
      <c r="Z405" s="35">
        <v>0</v>
      </c>
      <c r="AA405" s="136">
        <v>12.4</v>
      </c>
      <c r="AB405" s="37">
        <v>0</v>
      </c>
      <c r="AC405" s="136">
        <v>12.4</v>
      </c>
      <c r="AD405" s="37"/>
      <c r="AE405" s="40">
        <v>-76</v>
      </c>
      <c r="AF405" s="65"/>
      <c r="AG405" s="35">
        <v>0</v>
      </c>
      <c r="AH405" s="36">
        <v>0</v>
      </c>
      <c r="AI405" s="37"/>
      <c r="AJ405" s="35">
        <v>3</v>
      </c>
      <c r="AK405" s="36">
        <v>213.60000000000002</v>
      </c>
      <c r="AL405" s="35">
        <v>73</v>
      </c>
      <c r="AM405" s="36">
        <v>273.60000000000002</v>
      </c>
      <c r="AN405" s="35">
        <v>88</v>
      </c>
      <c r="AO405" s="36">
        <v>259.20000000000005</v>
      </c>
      <c r="AP405" s="37"/>
      <c r="AQ405" s="35">
        <v>-1</v>
      </c>
      <c r="AR405" s="36">
        <v>367.20000000000005</v>
      </c>
      <c r="AS405" s="35">
        <v>92</v>
      </c>
      <c r="AT405" s="36">
        <v>273.60000000000002</v>
      </c>
      <c r="AU405" s="35">
        <v>92</v>
      </c>
      <c r="AV405" s="36">
        <v>273.60000000000002</v>
      </c>
      <c r="AW405" s="35">
        <v>68</v>
      </c>
      <c r="AX405" s="36">
        <v>297.60000000000002</v>
      </c>
      <c r="AY405" s="35">
        <v>68</v>
      </c>
      <c r="AZ405" s="36">
        <v>297.60000000000002</v>
      </c>
      <c r="BB405" s="40">
        <v>0</v>
      </c>
      <c r="BC405" s="65"/>
      <c r="BD405" s="35">
        <v>0</v>
      </c>
      <c r="BE405" s="36">
        <v>0</v>
      </c>
      <c r="BF405" s="37"/>
      <c r="BG405" s="415">
        <v>0</v>
      </c>
      <c r="BH405" s="353">
        <v>0</v>
      </c>
      <c r="BI405" s="415">
        <v>0</v>
      </c>
      <c r="BJ405" s="353">
        <v>0</v>
      </c>
      <c r="BK405" s="415">
        <v>0</v>
      </c>
      <c r="BL405" s="353">
        <v>0</v>
      </c>
      <c r="BM405" s="416"/>
      <c r="BN405" s="415">
        <v>0</v>
      </c>
      <c r="BO405" s="353">
        <v>0</v>
      </c>
      <c r="BP405" s="415">
        <v>0</v>
      </c>
      <c r="BQ405" s="353">
        <v>0</v>
      </c>
      <c r="BR405" s="415">
        <v>0</v>
      </c>
      <c r="BS405" s="353">
        <v>0</v>
      </c>
      <c r="BT405" s="415">
        <v>0</v>
      </c>
      <c r="BU405" s="353">
        <v>0</v>
      </c>
      <c r="BV405" s="415">
        <v>0</v>
      </c>
      <c r="BW405" s="353">
        <v>0</v>
      </c>
      <c r="BY405" s="80"/>
      <c r="BZ405" s="65"/>
      <c r="CA405" s="40" t="s">
        <v>3</v>
      </c>
      <c r="CB405" s="65"/>
      <c r="CC405" s="40">
        <v>-79.548760330578489</v>
      </c>
      <c r="CD405" s="40">
        <v>-149.54876033057849</v>
      </c>
      <c r="CE405" s="40">
        <v>-163.94876033057847</v>
      </c>
      <c r="CF405" s="65"/>
      <c r="CG405" s="40">
        <v>-74.948760330578466</v>
      </c>
      <c r="CH405" s="40">
        <v>-168.54876033057849</v>
      </c>
      <c r="CI405" s="40">
        <v>-168.54876033057849</v>
      </c>
      <c r="CJ405" s="40">
        <v>-144.54876033057849</v>
      </c>
      <c r="CK405" s="40">
        <v>-144.54876033057849</v>
      </c>
    </row>
    <row r="406" spans="1:89" s="2" customFormat="1">
      <c r="A406" s="196" t="s">
        <v>999</v>
      </c>
      <c r="B406" s="211" t="s">
        <v>79</v>
      </c>
      <c r="C406" s="211" t="s">
        <v>531</v>
      </c>
      <c r="D406" s="41">
        <v>366</v>
      </c>
      <c r="E406" s="41">
        <v>0</v>
      </c>
      <c r="F406" s="22" t="s">
        <v>986</v>
      </c>
      <c r="G406" s="40">
        <v>30</v>
      </c>
      <c r="H406" s="388">
        <v>442.14876033057851</v>
      </c>
      <c r="I406" s="321"/>
      <c r="J406" s="40" t="s">
        <v>3</v>
      </c>
      <c r="K406" s="36" t="s">
        <v>3</v>
      </c>
      <c r="L406" s="37"/>
      <c r="M406" s="35">
        <v>149</v>
      </c>
      <c r="N406" s="136">
        <v>7.2</v>
      </c>
      <c r="O406" s="35">
        <v>19</v>
      </c>
      <c r="P406" s="136">
        <v>9.2000000000000011</v>
      </c>
      <c r="Q406" s="37">
        <v>19</v>
      </c>
      <c r="R406" s="136">
        <v>8.7000000000000011</v>
      </c>
      <c r="S406" s="37"/>
      <c r="T406" s="35">
        <v>0</v>
      </c>
      <c r="U406" s="136">
        <v>12.3</v>
      </c>
      <c r="V406" s="35">
        <v>0</v>
      </c>
      <c r="W406" s="136">
        <v>9.2000000000000011</v>
      </c>
      <c r="X406" s="35">
        <v>0</v>
      </c>
      <c r="Y406" s="149">
        <v>9.2000000000000011</v>
      </c>
      <c r="Z406" s="35">
        <v>0</v>
      </c>
      <c r="AA406" s="136">
        <v>9.9</v>
      </c>
      <c r="AB406" s="37">
        <v>0</v>
      </c>
      <c r="AC406" s="136">
        <v>9.9</v>
      </c>
      <c r="AD406" s="37"/>
      <c r="AE406" s="40">
        <v>-76</v>
      </c>
      <c r="AF406" s="65"/>
      <c r="AG406" s="35">
        <v>0</v>
      </c>
      <c r="AH406" s="36">
        <v>0</v>
      </c>
      <c r="AI406" s="37"/>
      <c r="AJ406" s="35">
        <v>1</v>
      </c>
      <c r="AK406" s="36">
        <v>216</v>
      </c>
      <c r="AL406" s="35">
        <v>71</v>
      </c>
      <c r="AM406" s="36">
        <v>276.00000000000006</v>
      </c>
      <c r="AN406" s="37">
        <v>86</v>
      </c>
      <c r="AO406" s="36">
        <v>261.00000000000006</v>
      </c>
      <c r="AP406" s="37"/>
      <c r="AQ406" s="35">
        <v>-3</v>
      </c>
      <c r="AR406" s="36">
        <v>369</v>
      </c>
      <c r="AS406" s="35">
        <v>90</v>
      </c>
      <c r="AT406" s="36">
        <v>276.00000000000006</v>
      </c>
      <c r="AU406" s="37">
        <v>90</v>
      </c>
      <c r="AV406" s="36">
        <v>276.00000000000006</v>
      </c>
      <c r="AW406" s="37">
        <v>69</v>
      </c>
      <c r="AX406" s="36">
        <v>297</v>
      </c>
      <c r="AY406" s="37">
        <v>69</v>
      </c>
      <c r="AZ406" s="36">
        <v>297</v>
      </c>
      <c r="BB406" s="40">
        <v>0</v>
      </c>
      <c r="BC406" s="65"/>
      <c r="BD406" s="35">
        <v>0</v>
      </c>
      <c r="BE406" s="36">
        <v>0</v>
      </c>
      <c r="BF406" s="37"/>
      <c r="BG406" s="415">
        <v>0</v>
      </c>
      <c r="BH406" s="353">
        <v>0</v>
      </c>
      <c r="BI406" s="415">
        <v>0</v>
      </c>
      <c r="BJ406" s="353">
        <v>0</v>
      </c>
      <c r="BK406" s="415">
        <v>0</v>
      </c>
      <c r="BL406" s="353">
        <v>0</v>
      </c>
      <c r="BM406" s="416"/>
      <c r="BN406" s="415">
        <v>0</v>
      </c>
      <c r="BO406" s="353">
        <v>0</v>
      </c>
      <c r="BP406" s="415">
        <v>0</v>
      </c>
      <c r="BQ406" s="353">
        <v>0</v>
      </c>
      <c r="BR406" s="415">
        <v>0</v>
      </c>
      <c r="BS406" s="353">
        <v>0</v>
      </c>
      <c r="BT406" s="415">
        <v>0</v>
      </c>
      <c r="BU406" s="353">
        <v>0</v>
      </c>
      <c r="BV406" s="415">
        <v>0</v>
      </c>
      <c r="BW406" s="353">
        <v>0</v>
      </c>
      <c r="BY406" s="80"/>
      <c r="BZ406" s="65"/>
      <c r="CA406" s="40" t="s">
        <v>3</v>
      </c>
      <c r="CB406" s="65"/>
      <c r="CC406" s="40">
        <v>-77.148760330578511</v>
      </c>
      <c r="CD406" s="40">
        <v>-147.14876033057845</v>
      </c>
      <c r="CE406" s="40">
        <v>-162.14876033057845</v>
      </c>
      <c r="CF406" s="65"/>
      <c r="CG406" s="40">
        <v>-73.148760330578511</v>
      </c>
      <c r="CH406" s="40">
        <v>-166.14876033057845</v>
      </c>
      <c r="CI406" s="40">
        <v>-166.14876033057845</v>
      </c>
      <c r="CJ406" s="40">
        <v>-145.14876033057851</v>
      </c>
      <c r="CK406" s="40">
        <v>-145.14876033057851</v>
      </c>
    </row>
    <row r="407" spans="1:89" s="2" customFormat="1">
      <c r="A407" s="196" t="s">
        <v>1000</v>
      </c>
      <c r="B407" s="211" t="s">
        <v>79</v>
      </c>
      <c r="C407" s="211" t="s">
        <v>779</v>
      </c>
      <c r="D407" s="41">
        <v>443</v>
      </c>
      <c r="E407" s="41">
        <v>0</v>
      </c>
      <c r="F407" s="41" t="s">
        <v>986</v>
      </c>
      <c r="G407" s="413">
        <v>24</v>
      </c>
      <c r="H407" s="414">
        <v>442.14876033057851</v>
      </c>
      <c r="I407" s="321"/>
      <c r="J407" s="40" t="s">
        <v>3</v>
      </c>
      <c r="K407" s="36" t="s">
        <v>3</v>
      </c>
      <c r="L407" s="37"/>
      <c r="M407" s="35">
        <v>149</v>
      </c>
      <c r="N407" s="136">
        <v>8.9</v>
      </c>
      <c r="O407" s="35">
        <v>19</v>
      </c>
      <c r="P407" s="136">
        <v>11.4</v>
      </c>
      <c r="Q407" s="37">
        <v>19</v>
      </c>
      <c r="R407" s="136">
        <v>10.8</v>
      </c>
      <c r="S407" s="37"/>
      <c r="T407" s="35">
        <v>0</v>
      </c>
      <c r="U407" s="136">
        <v>15.3</v>
      </c>
      <c r="V407" s="35">
        <v>0</v>
      </c>
      <c r="W407" s="136">
        <v>11.4</v>
      </c>
      <c r="X407" s="35">
        <v>0</v>
      </c>
      <c r="Y407" s="149">
        <v>11.4</v>
      </c>
      <c r="Z407" s="35">
        <v>0</v>
      </c>
      <c r="AA407" s="136">
        <v>12.4</v>
      </c>
      <c r="AB407" s="37">
        <v>0</v>
      </c>
      <c r="AC407" s="136">
        <v>12.4</v>
      </c>
      <c r="AD407" s="37"/>
      <c r="AE407" s="40">
        <v>1</v>
      </c>
      <c r="AF407" s="65"/>
      <c r="AG407" s="35">
        <v>0</v>
      </c>
      <c r="AH407" s="36">
        <v>0</v>
      </c>
      <c r="AI407" s="37"/>
      <c r="AJ407" s="35">
        <v>80</v>
      </c>
      <c r="AK407" s="36">
        <v>213.60000000000002</v>
      </c>
      <c r="AL407" s="35">
        <v>150</v>
      </c>
      <c r="AM407" s="36">
        <v>273.60000000000002</v>
      </c>
      <c r="AN407" s="35">
        <v>165</v>
      </c>
      <c r="AO407" s="36">
        <v>259.20000000000005</v>
      </c>
      <c r="AP407" s="37"/>
      <c r="AQ407" s="35">
        <v>76</v>
      </c>
      <c r="AR407" s="36">
        <v>367.20000000000005</v>
      </c>
      <c r="AS407" s="35">
        <v>169</v>
      </c>
      <c r="AT407" s="36">
        <v>273.60000000000002</v>
      </c>
      <c r="AU407" s="35">
        <v>169</v>
      </c>
      <c r="AV407" s="36">
        <v>273.60000000000002</v>
      </c>
      <c r="AW407" s="35">
        <v>145</v>
      </c>
      <c r="AX407" s="36">
        <v>297.60000000000002</v>
      </c>
      <c r="AY407" s="35">
        <v>145</v>
      </c>
      <c r="AZ407" s="36">
        <v>297.60000000000002</v>
      </c>
      <c r="BB407" s="40">
        <v>0</v>
      </c>
      <c r="BC407" s="65"/>
      <c r="BD407" s="35">
        <v>0</v>
      </c>
      <c r="BE407" s="36">
        <v>0</v>
      </c>
      <c r="BF407" s="37"/>
      <c r="BG407" s="415">
        <v>0</v>
      </c>
      <c r="BH407" s="353">
        <v>0</v>
      </c>
      <c r="BI407" s="415">
        <v>0</v>
      </c>
      <c r="BJ407" s="353">
        <v>0</v>
      </c>
      <c r="BK407" s="415">
        <v>0</v>
      </c>
      <c r="BL407" s="353">
        <v>0</v>
      </c>
      <c r="BM407" s="416"/>
      <c r="BN407" s="415">
        <v>0</v>
      </c>
      <c r="BO407" s="353">
        <v>0</v>
      </c>
      <c r="BP407" s="415">
        <v>0</v>
      </c>
      <c r="BQ407" s="353">
        <v>0</v>
      </c>
      <c r="BR407" s="415">
        <v>0</v>
      </c>
      <c r="BS407" s="353">
        <v>0</v>
      </c>
      <c r="BT407" s="415">
        <v>0</v>
      </c>
      <c r="BU407" s="353">
        <v>0</v>
      </c>
      <c r="BV407" s="415">
        <v>0</v>
      </c>
      <c r="BW407" s="353">
        <v>0</v>
      </c>
      <c r="BY407" s="80"/>
      <c r="BZ407" s="65"/>
      <c r="CA407" s="40" t="s">
        <v>3</v>
      </c>
      <c r="CB407" s="65"/>
      <c r="CC407" s="40">
        <v>-79.548760330578489</v>
      </c>
      <c r="CD407" s="40">
        <v>-149.54876033057849</v>
      </c>
      <c r="CE407" s="40">
        <v>-163.94876033057847</v>
      </c>
      <c r="CF407" s="65"/>
      <c r="CG407" s="40">
        <v>-74.948760330578466</v>
      </c>
      <c r="CH407" s="40">
        <v>-168.54876033057849</v>
      </c>
      <c r="CI407" s="40">
        <v>-168.54876033057849</v>
      </c>
      <c r="CJ407" s="40">
        <v>-144.54876033057849</v>
      </c>
      <c r="CK407" s="40">
        <v>-144.54876033057849</v>
      </c>
    </row>
    <row r="408" spans="1:89" s="2" customFormat="1">
      <c r="A408" s="196" t="s">
        <v>1001</v>
      </c>
      <c r="B408" s="211" t="s">
        <v>79</v>
      </c>
      <c r="C408" s="211" t="s">
        <v>779</v>
      </c>
      <c r="D408" s="41">
        <v>443</v>
      </c>
      <c r="E408" s="41">
        <v>0</v>
      </c>
      <c r="F408" s="22" t="s">
        <v>986</v>
      </c>
      <c r="G408" s="40">
        <v>30</v>
      </c>
      <c r="H408" s="388">
        <v>442.14876033057851</v>
      </c>
      <c r="I408" s="321"/>
      <c r="J408" s="40" t="s">
        <v>3</v>
      </c>
      <c r="K408" s="36" t="s">
        <v>3</v>
      </c>
      <c r="L408" s="37"/>
      <c r="M408" s="35">
        <v>149</v>
      </c>
      <c r="N408" s="136">
        <v>7.2</v>
      </c>
      <c r="O408" s="35">
        <v>19</v>
      </c>
      <c r="P408" s="136">
        <v>9.2000000000000011</v>
      </c>
      <c r="Q408" s="37">
        <v>19</v>
      </c>
      <c r="R408" s="136">
        <v>8.7000000000000011</v>
      </c>
      <c r="S408" s="37"/>
      <c r="T408" s="35">
        <v>0</v>
      </c>
      <c r="U408" s="136">
        <v>12.3</v>
      </c>
      <c r="V408" s="35">
        <v>0</v>
      </c>
      <c r="W408" s="136">
        <v>9.2000000000000011</v>
      </c>
      <c r="X408" s="35">
        <v>0</v>
      </c>
      <c r="Y408" s="149">
        <v>9.2000000000000011</v>
      </c>
      <c r="Z408" s="35">
        <v>0</v>
      </c>
      <c r="AA408" s="136">
        <v>9.9</v>
      </c>
      <c r="AB408" s="37">
        <v>0</v>
      </c>
      <c r="AC408" s="136">
        <v>9.9</v>
      </c>
      <c r="AD408" s="37"/>
      <c r="AE408" s="40">
        <v>1</v>
      </c>
      <c r="AF408" s="65"/>
      <c r="AG408" s="35">
        <v>0</v>
      </c>
      <c r="AH408" s="36">
        <v>0</v>
      </c>
      <c r="AI408" s="37"/>
      <c r="AJ408" s="35">
        <v>78</v>
      </c>
      <c r="AK408" s="36">
        <v>216</v>
      </c>
      <c r="AL408" s="35">
        <v>148</v>
      </c>
      <c r="AM408" s="36">
        <v>276.00000000000006</v>
      </c>
      <c r="AN408" s="37">
        <v>163</v>
      </c>
      <c r="AO408" s="36">
        <v>261.00000000000006</v>
      </c>
      <c r="AP408" s="37"/>
      <c r="AQ408" s="35">
        <v>74</v>
      </c>
      <c r="AR408" s="36">
        <v>369</v>
      </c>
      <c r="AS408" s="35">
        <v>167</v>
      </c>
      <c r="AT408" s="36">
        <v>276.00000000000006</v>
      </c>
      <c r="AU408" s="37">
        <v>167</v>
      </c>
      <c r="AV408" s="36">
        <v>276.00000000000006</v>
      </c>
      <c r="AW408" s="37">
        <v>146</v>
      </c>
      <c r="AX408" s="36">
        <v>297</v>
      </c>
      <c r="AY408" s="37">
        <v>146</v>
      </c>
      <c r="AZ408" s="36">
        <v>297</v>
      </c>
      <c r="BB408" s="40">
        <v>0</v>
      </c>
      <c r="BC408" s="65"/>
      <c r="BD408" s="35">
        <v>0</v>
      </c>
      <c r="BE408" s="36">
        <v>0</v>
      </c>
      <c r="BF408" s="37"/>
      <c r="BG408" s="415">
        <v>0</v>
      </c>
      <c r="BH408" s="353">
        <v>0</v>
      </c>
      <c r="BI408" s="415">
        <v>0</v>
      </c>
      <c r="BJ408" s="353">
        <v>0</v>
      </c>
      <c r="BK408" s="415">
        <v>0</v>
      </c>
      <c r="BL408" s="353">
        <v>0</v>
      </c>
      <c r="BM408" s="416"/>
      <c r="BN408" s="415">
        <v>0</v>
      </c>
      <c r="BO408" s="353">
        <v>0</v>
      </c>
      <c r="BP408" s="415">
        <v>0</v>
      </c>
      <c r="BQ408" s="353">
        <v>0</v>
      </c>
      <c r="BR408" s="415">
        <v>0</v>
      </c>
      <c r="BS408" s="353">
        <v>0</v>
      </c>
      <c r="BT408" s="415">
        <v>0</v>
      </c>
      <c r="BU408" s="353">
        <v>0</v>
      </c>
      <c r="BV408" s="415">
        <v>0</v>
      </c>
      <c r="BW408" s="353">
        <v>0</v>
      </c>
      <c r="BY408" s="80"/>
      <c r="BZ408" s="65"/>
      <c r="CA408" s="40" t="s">
        <v>3</v>
      </c>
      <c r="CB408" s="65"/>
      <c r="CC408" s="40">
        <v>-77.148760330578511</v>
      </c>
      <c r="CD408" s="40">
        <v>-147.14876033057845</v>
      </c>
      <c r="CE408" s="40">
        <v>-162.14876033057845</v>
      </c>
      <c r="CF408" s="65"/>
      <c r="CG408" s="40">
        <v>-73.148760330578511</v>
      </c>
      <c r="CH408" s="40">
        <v>-166.14876033057845</v>
      </c>
      <c r="CI408" s="40">
        <v>-166.14876033057845</v>
      </c>
      <c r="CJ408" s="40">
        <v>-145.14876033057851</v>
      </c>
      <c r="CK408" s="40">
        <v>-145.14876033057851</v>
      </c>
    </row>
    <row r="409" spans="1:89" s="2" customFormat="1">
      <c r="A409" s="196" t="s">
        <v>1002</v>
      </c>
      <c r="B409" s="211" t="s">
        <v>79</v>
      </c>
      <c r="C409" s="211" t="s">
        <v>541</v>
      </c>
      <c r="D409" s="41">
        <v>770</v>
      </c>
      <c r="E409" s="41">
        <v>0</v>
      </c>
      <c r="F409" s="41" t="s">
        <v>986</v>
      </c>
      <c r="G409" s="413">
        <v>24</v>
      </c>
      <c r="H409" s="414">
        <v>769.42148760330576</v>
      </c>
      <c r="I409" s="321"/>
      <c r="J409" s="40" t="s">
        <v>3</v>
      </c>
      <c r="K409" s="36" t="s">
        <v>3</v>
      </c>
      <c r="L409" s="37"/>
      <c r="M409" s="35">
        <v>319</v>
      </c>
      <c r="N409" s="136">
        <v>13.3</v>
      </c>
      <c r="O409" s="35">
        <v>189</v>
      </c>
      <c r="P409" s="136">
        <v>15.3</v>
      </c>
      <c r="Q409" s="37">
        <v>189</v>
      </c>
      <c r="R409" s="136">
        <v>14.5</v>
      </c>
      <c r="S409" s="37"/>
      <c r="T409" s="35">
        <v>0</v>
      </c>
      <c r="U409" s="136">
        <v>26.5</v>
      </c>
      <c r="V409" s="35">
        <v>0</v>
      </c>
      <c r="W409" s="136">
        <v>22.5</v>
      </c>
      <c r="X409" s="35">
        <v>0</v>
      </c>
      <c r="Y409" s="149">
        <v>22.5</v>
      </c>
      <c r="Z409" s="35">
        <v>0</v>
      </c>
      <c r="AA409" s="136">
        <v>22.5</v>
      </c>
      <c r="AB409" s="37">
        <v>0</v>
      </c>
      <c r="AC409" s="136">
        <v>22.5</v>
      </c>
      <c r="AD409" s="37"/>
      <c r="AE409" s="40">
        <v>1</v>
      </c>
      <c r="AF409" s="65"/>
      <c r="AG409" s="35">
        <v>0</v>
      </c>
      <c r="AH409" s="36">
        <v>0</v>
      </c>
      <c r="AI409" s="37"/>
      <c r="AJ409" s="35">
        <v>132</v>
      </c>
      <c r="AK409" s="36">
        <v>319.20000000000005</v>
      </c>
      <c r="AL409" s="35">
        <v>214</v>
      </c>
      <c r="AM409" s="36">
        <v>367.20000000000005</v>
      </c>
      <c r="AN409" s="35">
        <v>233</v>
      </c>
      <c r="AO409" s="36">
        <v>348</v>
      </c>
      <c r="AP409" s="37"/>
      <c r="AQ409" s="35">
        <v>134</v>
      </c>
      <c r="AR409" s="36">
        <v>636</v>
      </c>
      <c r="AS409" s="35">
        <v>230</v>
      </c>
      <c r="AT409" s="36">
        <v>540</v>
      </c>
      <c r="AU409" s="35">
        <v>230</v>
      </c>
      <c r="AV409" s="36">
        <v>540</v>
      </c>
      <c r="AW409" s="35">
        <v>230</v>
      </c>
      <c r="AX409" s="36">
        <v>540</v>
      </c>
      <c r="AY409" s="35">
        <v>230</v>
      </c>
      <c r="AZ409" s="36">
        <v>540</v>
      </c>
      <c r="BB409" s="40">
        <v>0</v>
      </c>
      <c r="BC409" s="65"/>
      <c r="BD409" s="35">
        <v>0</v>
      </c>
      <c r="BE409" s="36">
        <v>0</v>
      </c>
      <c r="BF409" s="37"/>
      <c r="BG409" s="415">
        <v>0</v>
      </c>
      <c r="BH409" s="353">
        <v>0</v>
      </c>
      <c r="BI409" s="415">
        <v>0</v>
      </c>
      <c r="BJ409" s="353">
        <v>0</v>
      </c>
      <c r="BK409" s="415">
        <v>0</v>
      </c>
      <c r="BL409" s="353">
        <v>0</v>
      </c>
      <c r="BM409" s="416"/>
      <c r="BN409" s="415">
        <v>0</v>
      </c>
      <c r="BO409" s="353">
        <v>0</v>
      </c>
      <c r="BP409" s="415">
        <v>0</v>
      </c>
      <c r="BQ409" s="353">
        <v>0</v>
      </c>
      <c r="BR409" s="415">
        <v>0</v>
      </c>
      <c r="BS409" s="353">
        <v>0</v>
      </c>
      <c r="BT409" s="415">
        <v>0</v>
      </c>
      <c r="BU409" s="353">
        <v>0</v>
      </c>
      <c r="BV409" s="415">
        <v>0</v>
      </c>
      <c r="BW409" s="353">
        <v>0</v>
      </c>
      <c r="BY409" s="80"/>
      <c r="BZ409" s="65"/>
      <c r="CA409" s="40" t="s">
        <v>3</v>
      </c>
      <c r="CB409" s="65"/>
      <c r="CC409" s="40">
        <v>-131.22148760330572</v>
      </c>
      <c r="CD409" s="40">
        <v>-213.22148760330572</v>
      </c>
      <c r="CE409" s="40">
        <v>-232.42148760330576</v>
      </c>
      <c r="CF409" s="65"/>
      <c r="CG409" s="40">
        <v>-133.42148760330576</v>
      </c>
      <c r="CH409" s="40">
        <v>-229.42148760330576</v>
      </c>
      <c r="CI409" s="40">
        <v>-229.42148760330576</v>
      </c>
      <c r="CJ409" s="40">
        <v>-229.42148760330576</v>
      </c>
      <c r="CK409" s="40">
        <v>-229.42148760330576</v>
      </c>
    </row>
    <row r="410" spans="1:89" s="2" customFormat="1">
      <c r="A410" s="196" t="s">
        <v>1003</v>
      </c>
      <c r="B410" s="211" t="s">
        <v>79</v>
      </c>
      <c r="C410" s="211" t="s">
        <v>541</v>
      </c>
      <c r="D410" s="41">
        <v>770</v>
      </c>
      <c r="E410" s="41">
        <v>0</v>
      </c>
      <c r="F410" s="22" t="s">
        <v>986</v>
      </c>
      <c r="G410" s="40">
        <v>30</v>
      </c>
      <c r="H410" s="388">
        <v>769.42148760330576</v>
      </c>
      <c r="I410" s="321"/>
      <c r="J410" s="40" t="s">
        <v>3</v>
      </c>
      <c r="K410" s="36" t="s">
        <v>3</v>
      </c>
      <c r="L410" s="37"/>
      <c r="M410" s="35">
        <v>319</v>
      </c>
      <c r="N410" s="136">
        <v>10.700000000000001</v>
      </c>
      <c r="O410" s="35">
        <v>189</v>
      </c>
      <c r="P410" s="136">
        <v>12.3</v>
      </c>
      <c r="Q410" s="37">
        <v>189</v>
      </c>
      <c r="R410" s="136">
        <v>11.600000000000001</v>
      </c>
      <c r="S410" s="37"/>
      <c r="T410" s="35">
        <v>0</v>
      </c>
      <c r="U410" s="136">
        <v>21.200000000000003</v>
      </c>
      <c r="V410" s="35">
        <v>0</v>
      </c>
      <c r="W410" s="136">
        <v>18</v>
      </c>
      <c r="X410" s="35">
        <v>0</v>
      </c>
      <c r="Y410" s="149">
        <v>18</v>
      </c>
      <c r="Z410" s="35">
        <v>0</v>
      </c>
      <c r="AA410" s="136">
        <v>18</v>
      </c>
      <c r="AB410" s="37">
        <v>0</v>
      </c>
      <c r="AC410" s="136">
        <v>18</v>
      </c>
      <c r="AD410" s="37"/>
      <c r="AE410" s="40">
        <v>1</v>
      </c>
      <c r="AF410" s="65"/>
      <c r="AG410" s="35">
        <v>0</v>
      </c>
      <c r="AH410" s="36">
        <v>0</v>
      </c>
      <c r="AI410" s="37"/>
      <c r="AJ410" s="35">
        <v>130</v>
      </c>
      <c r="AK410" s="36">
        <v>321.00000000000006</v>
      </c>
      <c r="AL410" s="35">
        <v>212</v>
      </c>
      <c r="AM410" s="36">
        <v>369</v>
      </c>
      <c r="AN410" s="37">
        <v>233</v>
      </c>
      <c r="AO410" s="36">
        <v>348.00000000000006</v>
      </c>
      <c r="AP410" s="37"/>
      <c r="AQ410" s="35">
        <v>134</v>
      </c>
      <c r="AR410" s="36">
        <v>636.00000000000011</v>
      </c>
      <c r="AS410" s="35">
        <v>230</v>
      </c>
      <c r="AT410" s="36">
        <v>540</v>
      </c>
      <c r="AU410" s="37">
        <v>230</v>
      </c>
      <c r="AV410" s="36">
        <v>540</v>
      </c>
      <c r="AW410" s="37">
        <v>230</v>
      </c>
      <c r="AX410" s="36">
        <v>540</v>
      </c>
      <c r="AY410" s="37">
        <v>230</v>
      </c>
      <c r="AZ410" s="36">
        <v>540</v>
      </c>
      <c r="BB410" s="40">
        <v>0</v>
      </c>
      <c r="BC410" s="65"/>
      <c r="BD410" s="35">
        <v>0</v>
      </c>
      <c r="BE410" s="36">
        <v>0</v>
      </c>
      <c r="BF410" s="37"/>
      <c r="BG410" s="415">
        <v>0</v>
      </c>
      <c r="BH410" s="353">
        <v>0</v>
      </c>
      <c r="BI410" s="415">
        <v>0</v>
      </c>
      <c r="BJ410" s="353">
        <v>0</v>
      </c>
      <c r="BK410" s="415">
        <v>0</v>
      </c>
      <c r="BL410" s="353">
        <v>0</v>
      </c>
      <c r="BM410" s="416"/>
      <c r="BN410" s="415">
        <v>0</v>
      </c>
      <c r="BO410" s="353">
        <v>0</v>
      </c>
      <c r="BP410" s="415">
        <v>0</v>
      </c>
      <c r="BQ410" s="353">
        <v>0</v>
      </c>
      <c r="BR410" s="415">
        <v>0</v>
      </c>
      <c r="BS410" s="353">
        <v>0</v>
      </c>
      <c r="BT410" s="415">
        <v>0</v>
      </c>
      <c r="BU410" s="353">
        <v>0</v>
      </c>
      <c r="BV410" s="415">
        <v>0</v>
      </c>
      <c r="BW410" s="353">
        <v>0</v>
      </c>
      <c r="BY410" s="80"/>
      <c r="BZ410" s="65"/>
      <c r="CA410" s="40" t="s">
        <v>3</v>
      </c>
      <c r="CB410" s="65"/>
      <c r="CC410" s="40">
        <v>-129.42148760330576</v>
      </c>
      <c r="CD410" s="40">
        <v>-211.42148760330576</v>
      </c>
      <c r="CE410" s="40">
        <v>-232.42148760330576</v>
      </c>
      <c r="CF410" s="65"/>
      <c r="CG410" s="40">
        <v>-133.42148760330565</v>
      </c>
      <c r="CH410" s="40">
        <v>-229.42148760330576</v>
      </c>
      <c r="CI410" s="40">
        <v>-229.42148760330576</v>
      </c>
      <c r="CJ410" s="40">
        <v>-229.42148760330576</v>
      </c>
      <c r="CK410" s="40">
        <v>-229.42148760330576</v>
      </c>
    </row>
    <row r="411" spans="1:89" s="2" customFormat="1">
      <c r="A411" s="196" t="s">
        <v>1004</v>
      </c>
      <c r="B411" s="211" t="s">
        <v>79</v>
      </c>
      <c r="C411" s="211" t="s">
        <v>780</v>
      </c>
      <c r="D411" s="41">
        <v>653</v>
      </c>
      <c r="E411" s="41">
        <v>0</v>
      </c>
      <c r="F411" s="41" t="s">
        <v>986</v>
      </c>
      <c r="G411" s="413">
        <v>24</v>
      </c>
      <c r="H411" s="414">
        <v>595.04132231404958</v>
      </c>
      <c r="I411" s="321"/>
      <c r="J411" s="40" t="s">
        <v>3</v>
      </c>
      <c r="K411" s="36" t="s">
        <v>3</v>
      </c>
      <c r="L411" s="37"/>
      <c r="M411" s="35">
        <v>249</v>
      </c>
      <c r="N411" s="136">
        <v>10.4</v>
      </c>
      <c r="O411" s="35">
        <v>149</v>
      </c>
      <c r="P411" s="136">
        <v>11.4</v>
      </c>
      <c r="Q411" s="37">
        <v>149</v>
      </c>
      <c r="R411" s="136">
        <v>10.8</v>
      </c>
      <c r="S411" s="37"/>
      <c r="T411" s="35">
        <v>0</v>
      </c>
      <c r="U411" s="136">
        <v>20.700000000000003</v>
      </c>
      <c r="V411" s="35">
        <v>0</v>
      </c>
      <c r="W411" s="136">
        <v>16.5</v>
      </c>
      <c r="X411" s="35">
        <v>0</v>
      </c>
      <c r="Y411" s="149">
        <v>16.5</v>
      </c>
      <c r="Z411" s="35">
        <v>0</v>
      </c>
      <c r="AA411" s="136">
        <v>16.5</v>
      </c>
      <c r="AB411" s="37">
        <v>0</v>
      </c>
      <c r="AC411" s="136">
        <v>16.5</v>
      </c>
      <c r="AD411" s="37"/>
      <c r="AE411" s="40">
        <v>58</v>
      </c>
      <c r="AF411" s="65"/>
      <c r="AG411" s="35">
        <v>0</v>
      </c>
      <c r="AH411" s="36">
        <v>0</v>
      </c>
      <c r="AI411" s="37"/>
      <c r="AJ411" s="35">
        <v>154</v>
      </c>
      <c r="AK411" s="36">
        <v>249.60000000000002</v>
      </c>
      <c r="AL411" s="35">
        <v>230</v>
      </c>
      <c r="AM411" s="36">
        <v>273.60000000000002</v>
      </c>
      <c r="AN411" s="35">
        <v>245</v>
      </c>
      <c r="AO411" s="36">
        <v>259.20000000000005</v>
      </c>
      <c r="AP411" s="37"/>
      <c r="AQ411" s="35">
        <v>156</v>
      </c>
      <c r="AR411" s="36">
        <v>496.80000000000007</v>
      </c>
      <c r="AS411" s="35">
        <v>257</v>
      </c>
      <c r="AT411" s="36">
        <v>396</v>
      </c>
      <c r="AU411" s="35">
        <v>257</v>
      </c>
      <c r="AV411" s="36">
        <v>396</v>
      </c>
      <c r="AW411" s="35">
        <v>257</v>
      </c>
      <c r="AX411" s="36">
        <v>396</v>
      </c>
      <c r="AY411" s="35">
        <v>257</v>
      </c>
      <c r="AZ411" s="36">
        <v>396</v>
      </c>
      <c r="BB411" s="40">
        <v>0</v>
      </c>
      <c r="BC411" s="65"/>
      <c r="BD411" s="35">
        <v>0</v>
      </c>
      <c r="BE411" s="36">
        <v>0</v>
      </c>
      <c r="BF411" s="37"/>
      <c r="BG411" s="415">
        <v>0</v>
      </c>
      <c r="BH411" s="353">
        <v>0</v>
      </c>
      <c r="BI411" s="415">
        <v>0</v>
      </c>
      <c r="BJ411" s="353">
        <v>0</v>
      </c>
      <c r="BK411" s="415">
        <v>0</v>
      </c>
      <c r="BL411" s="353">
        <v>0</v>
      </c>
      <c r="BM411" s="416"/>
      <c r="BN411" s="415">
        <v>0</v>
      </c>
      <c r="BO411" s="353">
        <v>0</v>
      </c>
      <c r="BP411" s="415">
        <v>0</v>
      </c>
      <c r="BQ411" s="353">
        <v>0</v>
      </c>
      <c r="BR411" s="415">
        <v>0</v>
      </c>
      <c r="BS411" s="353">
        <v>0</v>
      </c>
      <c r="BT411" s="415">
        <v>0</v>
      </c>
      <c r="BU411" s="353">
        <v>0</v>
      </c>
      <c r="BV411" s="415">
        <v>0</v>
      </c>
      <c r="BW411" s="353">
        <v>0</v>
      </c>
      <c r="BY411" s="80"/>
      <c r="BZ411" s="65"/>
      <c r="CA411" s="40" t="s">
        <v>3</v>
      </c>
      <c r="CB411" s="65"/>
      <c r="CC411" s="40">
        <v>-96.441322314049557</v>
      </c>
      <c r="CD411" s="40">
        <v>-172.44132231404956</v>
      </c>
      <c r="CE411" s="40">
        <v>-186.84132231404953</v>
      </c>
      <c r="CF411" s="65"/>
      <c r="CG411" s="40">
        <v>-98.241322314049512</v>
      </c>
      <c r="CH411" s="40">
        <v>-199.04132231404958</v>
      </c>
      <c r="CI411" s="40">
        <v>-199.04132231404958</v>
      </c>
      <c r="CJ411" s="40">
        <v>-199.04132231404958</v>
      </c>
      <c r="CK411" s="40">
        <v>-199.04132231404958</v>
      </c>
    </row>
    <row r="412" spans="1:89" s="2" customFormat="1">
      <c r="A412" s="196" t="s">
        <v>1005</v>
      </c>
      <c r="B412" s="211" t="s">
        <v>79</v>
      </c>
      <c r="C412" s="211" t="s">
        <v>780</v>
      </c>
      <c r="D412" s="41">
        <v>653</v>
      </c>
      <c r="E412" s="41">
        <v>0</v>
      </c>
      <c r="F412" s="22" t="s">
        <v>986</v>
      </c>
      <c r="G412" s="40">
        <v>30</v>
      </c>
      <c r="H412" s="388">
        <v>595.04132231404958</v>
      </c>
      <c r="I412" s="321"/>
      <c r="J412" s="40" t="s">
        <v>3</v>
      </c>
      <c r="K412" s="36" t="s">
        <v>3</v>
      </c>
      <c r="L412" s="37"/>
      <c r="M412" s="35">
        <v>249</v>
      </c>
      <c r="N412" s="136">
        <v>8.4</v>
      </c>
      <c r="O412" s="35">
        <v>149</v>
      </c>
      <c r="P412" s="136">
        <v>9.2000000000000011</v>
      </c>
      <c r="Q412" s="37">
        <v>149</v>
      </c>
      <c r="R412" s="136">
        <v>8.7000000000000011</v>
      </c>
      <c r="S412" s="37"/>
      <c r="T412" s="35">
        <v>0</v>
      </c>
      <c r="U412" s="136">
        <v>16.600000000000001</v>
      </c>
      <c r="V412" s="35">
        <v>0</v>
      </c>
      <c r="W412" s="136">
        <v>13.200000000000001</v>
      </c>
      <c r="X412" s="35">
        <v>0</v>
      </c>
      <c r="Y412" s="149">
        <v>13.200000000000001</v>
      </c>
      <c r="Z412" s="35">
        <v>0</v>
      </c>
      <c r="AA412" s="136">
        <v>13.200000000000001</v>
      </c>
      <c r="AB412" s="37">
        <v>0</v>
      </c>
      <c r="AC412" s="136">
        <v>13.200000000000001</v>
      </c>
      <c r="AD412" s="37"/>
      <c r="AE412" s="40">
        <v>58</v>
      </c>
      <c r="AF412" s="65"/>
      <c r="AG412" s="35">
        <v>0</v>
      </c>
      <c r="AH412" s="36">
        <v>0</v>
      </c>
      <c r="AI412" s="37"/>
      <c r="AJ412" s="35">
        <v>152</v>
      </c>
      <c r="AK412" s="36">
        <v>252</v>
      </c>
      <c r="AL412" s="35">
        <v>228</v>
      </c>
      <c r="AM412" s="36">
        <v>276.00000000000006</v>
      </c>
      <c r="AN412" s="37">
        <v>243</v>
      </c>
      <c r="AO412" s="36">
        <v>261.00000000000006</v>
      </c>
      <c r="AP412" s="37"/>
      <c r="AQ412" s="35">
        <v>155</v>
      </c>
      <c r="AR412" s="36">
        <v>498.00000000000006</v>
      </c>
      <c r="AS412" s="35">
        <v>257</v>
      </c>
      <c r="AT412" s="36">
        <v>396.00000000000006</v>
      </c>
      <c r="AU412" s="37">
        <v>257</v>
      </c>
      <c r="AV412" s="36">
        <v>396.00000000000006</v>
      </c>
      <c r="AW412" s="37">
        <v>257</v>
      </c>
      <c r="AX412" s="36">
        <v>396.00000000000006</v>
      </c>
      <c r="AY412" s="37">
        <v>257</v>
      </c>
      <c r="AZ412" s="36">
        <v>396.00000000000006</v>
      </c>
      <c r="BB412" s="40">
        <v>0</v>
      </c>
      <c r="BC412" s="65"/>
      <c r="BD412" s="35">
        <v>0</v>
      </c>
      <c r="BE412" s="36">
        <v>0</v>
      </c>
      <c r="BF412" s="37"/>
      <c r="BG412" s="415">
        <v>0</v>
      </c>
      <c r="BH412" s="353">
        <v>0</v>
      </c>
      <c r="BI412" s="415">
        <v>0</v>
      </c>
      <c r="BJ412" s="353">
        <v>0</v>
      </c>
      <c r="BK412" s="415">
        <v>0</v>
      </c>
      <c r="BL412" s="353">
        <v>0</v>
      </c>
      <c r="BM412" s="416"/>
      <c r="BN412" s="415">
        <v>0</v>
      </c>
      <c r="BO412" s="353">
        <v>0</v>
      </c>
      <c r="BP412" s="415">
        <v>0</v>
      </c>
      <c r="BQ412" s="353">
        <v>0</v>
      </c>
      <c r="BR412" s="415">
        <v>0</v>
      </c>
      <c r="BS412" s="353">
        <v>0</v>
      </c>
      <c r="BT412" s="415">
        <v>0</v>
      </c>
      <c r="BU412" s="353">
        <v>0</v>
      </c>
      <c r="BV412" s="415">
        <v>0</v>
      </c>
      <c r="BW412" s="353">
        <v>0</v>
      </c>
      <c r="BY412" s="80"/>
      <c r="BZ412" s="65"/>
      <c r="CA412" s="40" t="s">
        <v>3</v>
      </c>
      <c r="CB412" s="65"/>
      <c r="CC412" s="40">
        <v>-94.04132231404958</v>
      </c>
      <c r="CD412" s="40">
        <v>-170.04132231404952</v>
      </c>
      <c r="CE412" s="40">
        <v>-185.04132231404952</v>
      </c>
      <c r="CF412" s="65"/>
      <c r="CG412" s="40">
        <v>-97.041322314049523</v>
      </c>
      <c r="CH412" s="40">
        <v>-199.04132231404952</v>
      </c>
      <c r="CI412" s="40">
        <v>-199.04132231404952</v>
      </c>
      <c r="CJ412" s="40">
        <v>-199.04132231404952</v>
      </c>
      <c r="CK412" s="40">
        <v>-199.04132231404952</v>
      </c>
    </row>
    <row r="413" spans="1:89" s="2" customFormat="1">
      <c r="A413" s="196" t="s">
        <v>1006</v>
      </c>
      <c r="B413" s="211" t="s">
        <v>79</v>
      </c>
      <c r="C413" s="211" t="s">
        <v>781</v>
      </c>
      <c r="D413" s="41">
        <v>778</v>
      </c>
      <c r="E413" s="41">
        <v>0</v>
      </c>
      <c r="F413" s="41" t="s">
        <v>986</v>
      </c>
      <c r="G413" s="413">
        <v>24</v>
      </c>
      <c r="H413" s="414">
        <v>777.68595041322317</v>
      </c>
      <c r="I413" s="321"/>
      <c r="J413" s="40" t="s">
        <v>3</v>
      </c>
      <c r="K413" s="36" t="s">
        <v>3</v>
      </c>
      <c r="L413" s="37"/>
      <c r="M413" s="35">
        <v>329</v>
      </c>
      <c r="N413" s="136">
        <v>13.100000000000001</v>
      </c>
      <c r="O413" s="35">
        <v>189</v>
      </c>
      <c r="P413" s="136">
        <v>16</v>
      </c>
      <c r="Q413" s="37">
        <v>189</v>
      </c>
      <c r="R413" s="136">
        <v>14.9</v>
      </c>
      <c r="S413" s="37"/>
      <c r="T413" s="35">
        <v>0</v>
      </c>
      <c r="U413" s="136">
        <v>26.700000000000003</v>
      </c>
      <c r="V413" s="35">
        <v>0</v>
      </c>
      <c r="W413" s="136">
        <v>22.5</v>
      </c>
      <c r="X413" s="35">
        <v>0</v>
      </c>
      <c r="Y413" s="149">
        <v>22.5</v>
      </c>
      <c r="Z413" s="35">
        <v>0</v>
      </c>
      <c r="AA413" s="136">
        <v>22.5</v>
      </c>
      <c r="AB413" s="37">
        <v>0</v>
      </c>
      <c r="AC413" s="136">
        <v>22.5</v>
      </c>
      <c r="AD413" s="37"/>
      <c r="AE413" s="40">
        <v>0</v>
      </c>
      <c r="AF413" s="65"/>
      <c r="AG413" s="35">
        <v>0</v>
      </c>
      <c r="AH413" s="36">
        <v>0</v>
      </c>
      <c r="AI413" s="37"/>
      <c r="AJ413" s="35">
        <v>135</v>
      </c>
      <c r="AK413" s="36">
        <v>314.40000000000003</v>
      </c>
      <c r="AL413" s="35">
        <v>205</v>
      </c>
      <c r="AM413" s="36">
        <v>384</v>
      </c>
      <c r="AN413" s="35">
        <v>231</v>
      </c>
      <c r="AO413" s="36">
        <v>357.6</v>
      </c>
      <c r="AP413" s="37"/>
      <c r="AQ413" s="35">
        <v>137</v>
      </c>
      <c r="AR413" s="36">
        <v>640.80000000000007</v>
      </c>
      <c r="AS413" s="35">
        <v>238</v>
      </c>
      <c r="AT413" s="36">
        <v>540</v>
      </c>
      <c r="AU413" s="35">
        <v>238</v>
      </c>
      <c r="AV413" s="36">
        <v>540</v>
      </c>
      <c r="AW413" s="35">
        <v>238</v>
      </c>
      <c r="AX413" s="36">
        <v>540</v>
      </c>
      <c r="AY413" s="35">
        <v>238</v>
      </c>
      <c r="AZ413" s="36">
        <v>540</v>
      </c>
      <c r="BB413" s="40">
        <v>0</v>
      </c>
      <c r="BC413" s="65"/>
      <c r="BD413" s="35">
        <v>0</v>
      </c>
      <c r="BE413" s="36">
        <v>0</v>
      </c>
      <c r="BF413" s="37"/>
      <c r="BG413" s="415">
        <v>0</v>
      </c>
      <c r="BH413" s="353">
        <v>0</v>
      </c>
      <c r="BI413" s="415">
        <v>0</v>
      </c>
      <c r="BJ413" s="353">
        <v>0</v>
      </c>
      <c r="BK413" s="415">
        <v>0</v>
      </c>
      <c r="BL413" s="353">
        <v>0</v>
      </c>
      <c r="BM413" s="416"/>
      <c r="BN413" s="415">
        <v>0</v>
      </c>
      <c r="BO413" s="353">
        <v>0</v>
      </c>
      <c r="BP413" s="415">
        <v>0</v>
      </c>
      <c r="BQ413" s="353">
        <v>0</v>
      </c>
      <c r="BR413" s="415">
        <v>0</v>
      </c>
      <c r="BS413" s="353">
        <v>0</v>
      </c>
      <c r="BT413" s="415">
        <v>0</v>
      </c>
      <c r="BU413" s="353">
        <v>0</v>
      </c>
      <c r="BV413" s="415">
        <v>0</v>
      </c>
      <c r="BW413" s="353">
        <v>0</v>
      </c>
      <c r="BY413" s="80"/>
      <c r="BZ413" s="65"/>
      <c r="CA413" s="40" t="s">
        <v>3</v>
      </c>
      <c r="CB413" s="65"/>
      <c r="CC413" s="40">
        <v>-134.28595041322308</v>
      </c>
      <c r="CD413" s="40">
        <v>-204.68595041322317</v>
      </c>
      <c r="CE413" s="40">
        <v>-231.08595041322315</v>
      </c>
      <c r="CF413" s="65"/>
      <c r="CG413" s="40">
        <v>-136.8859504132231</v>
      </c>
      <c r="CH413" s="40">
        <v>-237.68595041322317</v>
      </c>
      <c r="CI413" s="40">
        <v>-237.68595041322317</v>
      </c>
      <c r="CJ413" s="40">
        <v>-237.68595041322317</v>
      </c>
      <c r="CK413" s="40">
        <v>-237.68595041322317</v>
      </c>
    </row>
    <row r="414" spans="1:89" s="2" customFormat="1">
      <c r="A414" s="196" t="s">
        <v>1007</v>
      </c>
      <c r="B414" s="211" t="s">
        <v>79</v>
      </c>
      <c r="C414" s="211" t="s">
        <v>781</v>
      </c>
      <c r="D414" s="41">
        <v>778</v>
      </c>
      <c r="E414" s="41">
        <v>0</v>
      </c>
      <c r="F414" s="22" t="s">
        <v>986</v>
      </c>
      <c r="G414" s="40">
        <v>30</v>
      </c>
      <c r="H414" s="388">
        <v>777.68595041322317</v>
      </c>
      <c r="I414" s="321"/>
      <c r="J414" s="40" t="s">
        <v>3</v>
      </c>
      <c r="K414" s="36" t="s">
        <v>3</v>
      </c>
      <c r="L414" s="37"/>
      <c r="M414" s="35">
        <v>329</v>
      </c>
      <c r="N414" s="136">
        <v>10.5</v>
      </c>
      <c r="O414" s="35">
        <v>189</v>
      </c>
      <c r="P414" s="136">
        <v>12.8</v>
      </c>
      <c r="Q414" s="37">
        <v>189</v>
      </c>
      <c r="R414" s="136">
        <v>12</v>
      </c>
      <c r="S414" s="37"/>
      <c r="T414" s="35">
        <v>0</v>
      </c>
      <c r="U414" s="136">
        <v>21.400000000000002</v>
      </c>
      <c r="V414" s="35">
        <v>0</v>
      </c>
      <c r="W414" s="136">
        <v>18</v>
      </c>
      <c r="X414" s="35">
        <v>0</v>
      </c>
      <c r="Y414" s="149">
        <v>18</v>
      </c>
      <c r="Z414" s="35">
        <v>0</v>
      </c>
      <c r="AA414" s="136">
        <v>18</v>
      </c>
      <c r="AB414" s="37">
        <v>0</v>
      </c>
      <c r="AC414" s="136">
        <v>18</v>
      </c>
      <c r="AD414" s="37"/>
      <c r="AE414" s="40">
        <v>0</v>
      </c>
      <c r="AF414" s="65"/>
      <c r="AG414" s="35">
        <v>0</v>
      </c>
      <c r="AH414" s="36">
        <v>0</v>
      </c>
      <c r="AI414" s="37"/>
      <c r="AJ414" s="35">
        <v>134</v>
      </c>
      <c r="AK414" s="36">
        <v>315</v>
      </c>
      <c r="AL414" s="35">
        <v>205</v>
      </c>
      <c r="AM414" s="36">
        <v>384</v>
      </c>
      <c r="AN414" s="37">
        <v>229</v>
      </c>
      <c r="AO414" s="36">
        <v>360</v>
      </c>
      <c r="AP414" s="37"/>
      <c r="AQ414" s="35">
        <v>136</v>
      </c>
      <c r="AR414" s="36">
        <v>642.00000000000011</v>
      </c>
      <c r="AS414" s="35">
        <v>238</v>
      </c>
      <c r="AT414" s="36">
        <v>540</v>
      </c>
      <c r="AU414" s="37">
        <v>238</v>
      </c>
      <c r="AV414" s="36">
        <v>540</v>
      </c>
      <c r="AW414" s="37">
        <v>238</v>
      </c>
      <c r="AX414" s="36">
        <v>540</v>
      </c>
      <c r="AY414" s="37">
        <v>238</v>
      </c>
      <c r="AZ414" s="36">
        <v>540</v>
      </c>
      <c r="BB414" s="40">
        <v>0</v>
      </c>
      <c r="BC414" s="65"/>
      <c r="BD414" s="35">
        <v>0</v>
      </c>
      <c r="BE414" s="36">
        <v>0</v>
      </c>
      <c r="BF414" s="37"/>
      <c r="BG414" s="415">
        <v>0</v>
      </c>
      <c r="BH414" s="353">
        <v>0</v>
      </c>
      <c r="BI414" s="415">
        <v>0</v>
      </c>
      <c r="BJ414" s="353">
        <v>0</v>
      </c>
      <c r="BK414" s="415">
        <v>0</v>
      </c>
      <c r="BL414" s="353">
        <v>0</v>
      </c>
      <c r="BM414" s="416"/>
      <c r="BN414" s="415">
        <v>0</v>
      </c>
      <c r="BO414" s="353">
        <v>0</v>
      </c>
      <c r="BP414" s="415">
        <v>0</v>
      </c>
      <c r="BQ414" s="353">
        <v>0</v>
      </c>
      <c r="BR414" s="415">
        <v>0</v>
      </c>
      <c r="BS414" s="353">
        <v>0</v>
      </c>
      <c r="BT414" s="415">
        <v>0</v>
      </c>
      <c r="BU414" s="353">
        <v>0</v>
      </c>
      <c r="BV414" s="415">
        <v>0</v>
      </c>
      <c r="BW414" s="353">
        <v>0</v>
      </c>
      <c r="BY414" s="80"/>
      <c r="BZ414" s="65"/>
      <c r="CA414" s="40" t="s">
        <v>3</v>
      </c>
      <c r="CB414" s="65"/>
      <c r="CC414" s="40">
        <v>-133.68595041322317</v>
      </c>
      <c r="CD414" s="40">
        <v>-204.68595041322317</v>
      </c>
      <c r="CE414" s="40">
        <v>-228.68595041322317</v>
      </c>
      <c r="CF414" s="65"/>
      <c r="CG414" s="40">
        <v>-135.68595041322305</v>
      </c>
      <c r="CH414" s="40">
        <v>-237.68595041322317</v>
      </c>
      <c r="CI414" s="40">
        <v>-237.68595041322317</v>
      </c>
      <c r="CJ414" s="40">
        <v>-237.68595041322317</v>
      </c>
      <c r="CK414" s="40">
        <v>-237.68595041322317</v>
      </c>
    </row>
    <row r="415" spans="1:89" s="2" customFormat="1">
      <c r="A415" s="196" t="s">
        <v>1127</v>
      </c>
      <c r="B415" s="211" t="s">
        <v>189</v>
      </c>
      <c r="C415" s="435" t="s">
        <v>782</v>
      </c>
      <c r="D415" s="41">
        <v>25</v>
      </c>
      <c r="E415" s="41">
        <v>0</v>
      </c>
      <c r="F415" s="41" t="s">
        <v>1128</v>
      </c>
      <c r="G415" s="413">
        <v>24</v>
      </c>
      <c r="H415" s="414">
        <v>32.231404958677686</v>
      </c>
      <c r="I415" s="321"/>
      <c r="J415" s="40" t="s">
        <v>3</v>
      </c>
      <c r="K415" s="36" t="s">
        <v>3</v>
      </c>
      <c r="L415" s="37"/>
      <c r="M415" s="35">
        <v>0</v>
      </c>
      <c r="N415" s="136">
        <v>0.60000000000000009</v>
      </c>
      <c r="O415" s="35">
        <v>0</v>
      </c>
      <c r="P415" s="136">
        <v>0.60000000000000009</v>
      </c>
      <c r="Q415" s="37">
        <v>0</v>
      </c>
      <c r="R415" s="136">
        <v>0.60000000000000009</v>
      </c>
      <c r="S415" s="37"/>
      <c r="T415" s="35">
        <v>0</v>
      </c>
      <c r="U415" s="136">
        <v>0.5</v>
      </c>
      <c r="V415" s="35">
        <v>0</v>
      </c>
      <c r="W415" s="136">
        <v>0.5</v>
      </c>
      <c r="X415" s="35">
        <v>0</v>
      </c>
      <c r="Y415" s="149">
        <v>0.5</v>
      </c>
      <c r="Z415" s="35">
        <v>0</v>
      </c>
      <c r="AA415" s="136">
        <v>0.4</v>
      </c>
      <c r="AB415" s="37">
        <v>0</v>
      </c>
      <c r="AC415" s="136">
        <v>0.4</v>
      </c>
      <c r="AD415" s="37"/>
      <c r="AE415" s="40">
        <v>-7</v>
      </c>
      <c r="AF415" s="65"/>
      <c r="AG415" s="35">
        <v>0</v>
      </c>
      <c r="AH415" s="36">
        <v>0</v>
      </c>
      <c r="AI415" s="37"/>
      <c r="AJ415" s="35">
        <v>11</v>
      </c>
      <c r="AK415" s="36">
        <v>14.400000000000002</v>
      </c>
      <c r="AL415" s="35">
        <v>11</v>
      </c>
      <c r="AM415" s="36">
        <v>14.400000000000002</v>
      </c>
      <c r="AN415" s="35">
        <v>11</v>
      </c>
      <c r="AO415" s="36">
        <v>14.400000000000002</v>
      </c>
      <c r="AP415" s="37"/>
      <c r="AQ415" s="35">
        <v>13</v>
      </c>
      <c r="AR415" s="36">
        <v>12</v>
      </c>
      <c r="AS415" s="35">
        <v>13</v>
      </c>
      <c r="AT415" s="36">
        <v>12</v>
      </c>
      <c r="AU415" s="35">
        <v>13</v>
      </c>
      <c r="AV415" s="36">
        <v>12</v>
      </c>
      <c r="AW415" s="35">
        <v>15</v>
      </c>
      <c r="AX415" s="36">
        <v>9.6000000000000014</v>
      </c>
      <c r="AY415" s="35">
        <v>15</v>
      </c>
      <c r="AZ415" s="36">
        <v>9.6000000000000014</v>
      </c>
      <c r="BB415" s="40">
        <v>0</v>
      </c>
      <c r="BC415" s="65"/>
      <c r="BD415" s="35">
        <v>0</v>
      </c>
      <c r="BE415" s="36">
        <v>0</v>
      </c>
      <c r="BF415" s="37"/>
      <c r="BG415" s="415">
        <v>0</v>
      </c>
      <c r="BH415" s="353">
        <v>0</v>
      </c>
      <c r="BI415" s="415">
        <v>0</v>
      </c>
      <c r="BJ415" s="353">
        <v>0</v>
      </c>
      <c r="BK415" s="415">
        <v>0</v>
      </c>
      <c r="BL415" s="353">
        <v>0</v>
      </c>
      <c r="BM415" s="416"/>
      <c r="BN415" s="415">
        <v>0</v>
      </c>
      <c r="BO415" s="353">
        <v>0</v>
      </c>
      <c r="BP415" s="415">
        <v>0</v>
      </c>
      <c r="BQ415" s="353">
        <v>0</v>
      </c>
      <c r="BR415" s="415">
        <v>0</v>
      </c>
      <c r="BS415" s="353">
        <v>0</v>
      </c>
      <c r="BT415" s="415">
        <v>0</v>
      </c>
      <c r="BU415" s="353">
        <v>0</v>
      </c>
      <c r="BV415" s="415">
        <v>0</v>
      </c>
      <c r="BW415" s="353">
        <v>0</v>
      </c>
      <c r="BY415" s="80"/>
      <c r="BZ415" s="65"/>
      <c r="CA415" s="40" t="s">
        <v>3</v>
      </c>
      <c r="CB415" s="65"/>
      <c r="CC415" s="40">
        <v>-17.831404958677684</v>
      </c>
      <c r="CD415" s="40">
        <v>-17.831404958677684</v>
      </c>
      <c r="CE415" s="40">
        <v>-17.831404958677684</v>
      </c>
      <c r="CF415" s="65"/>
      <c r="CG415" s="40">
        <v>-20.231404958677686</v>
      </c>
      <c r="CH415" s="40">
        <v>-20.231404958677686</v>
      </c>
      <c r="CI415" s="40">
        <v>-20.231404958677686</v>
      </c>
      <c r="CJ415" s="40">
        <v>-22.631404958677685</v>
      </c>
      <c r="CK415" s="40">
        <v>-22.631404958677685</v>
      </c>
    </row>
    <row r="416" spans="1:89" s="2" customFormat="1">
      <c r="A416" s="196" t="s">
        <v>1096</v>
      </c>
      <c r="B416" s="211" t="s">
        <v>55</v>
      </c>
      <c r="C416" s="211" t="s">
        <v>556</v>
      </c>
      <c r="D416" s="41">
        <v>91</v>
      </c>
      <c r="E416" s="41">
        <v>0</v>
      </c>
      <c r="F416" s="22" t="s">
        <v>1084</v>
      </c>
      <c r="G416" s="40">
        <v>24</v>
      </c>
      <c r="H416" s="388">
        <v>84.297520661157023</v>
      </c>
      <c r="I416" s="321"/>
      <c r="J416" s="40" t="s">
        <v>3</v>
      </c>
      <c r="K416" s="36" t="s">
        <v>3</v>
      </c>
      <c r="L416" s="37"/>
      <c r="M416" s="35">
        <v>0</v>
      </c>
      <c r="N416" s="136">
        <v>2.9000000000000004</v>
      </c>
      <c r="O416" s="35">
        <v>0</v>
      </c>
      <c r="P416" s="136">
        <v>0.30000000000000004</v>
      </c>
      <c r="Q416" s="37">
        <v>0</v>
      </c>
      <c r="R416" s="136">
        <v>0.30000000000000004</v>
      </c>
      <c r="S416" s="37"/>
      <c r="T416" s="35">
        <v>0</v>
      </c>
      <c r="U416" s="136">
        <v>3.4000000000000004</v>
      </c>
      <c r="V416" s="35">
        <v>0</v>
      </c>
      <c r="W416" s="136">
        <v>3.4000000000000004</v>
      </c>
      <c r="X416" s="35">
        <v>0</v>
      </c>
      <c r="Y416" s="149">
        <v>3.4000000000000004</v>
      </c>
      <c r="Z416" s="35">
        <v>0</v>
      </c>
      <c r="AA416" s="136">
        <v>3.3000000000000003</v>
      </c>
      <c r="AB416" s="37">
        <v>0</v>
      </c>
      <c r="AC416" s="136">
        <v>3.3000000000000003</v>
      </c>
      <c r="AD416" s="37"/>
      <c r="AE416" s="40">
        <v>7</v>
      </c>
      <c r="AF416" s="65"/>
      <c r="AG416" s="35">
        <v>0</v>
      </c>
      <c r="AH416" s="36">
        <v>0</v>
      </c>
      <c r="AI416" s="37"/>
      <c r="AJ416" s="35">
        <v>21</v>
      </c>
      <c r="AK416" s="36">
        <v>69.600000000000009</v>
      </c>
      <c r="AL416" s="35">
        <v>84</v>
      </c>
      <c r="AM416" s="36">
        <v>7.2000000000000011</v>
      </c>
      <c r="AN416" s="37">
        <v>84</v>
      </c>
      <c r="AO416" s="36">
        <v>7.2000000000000011</v>
      </c>
      <c r="AP416" s="37"/>
      <c r="AQ416" s="35">
        <v>9</v>
      </c>
      <c r="AR416" s="36">
        <v>81.600000000000009</v>
      </c>
      <c r="AS416" s="35">
        <v>9</v>
      </c>
      <c r="AT416" s="36">
        <v>81.600000000000009</v>
      </c>
      <c r="AU416" s="37">
        <v>9</v>
      </c>
      <c r="AV416" s="36">
        <v>81.600000000000009</v>
      </c>
      <c r="AW416" s="37">
        <v>12</v>
      </c>
      <c r="AX416" s="36">
        <v>79.2</v>
      </c>
      <c r="AY416" s="37">
        <v>12</v>
      </c>
      <c r="AZ416" s="36">
        <v>79.2</v>
      </c>
      <c r="BB416" s="40">
        <v>0</v>
      </c>
      <c r="BC416" s="65"/>
      <c r="BD416" s="35">
        <v>0</v>
      </c>
      <c r="BE416" s="36">
        <v>0</v>
      </c>
      <c r="BF416" s="37"/>
      <c r="BG416" s="415">
        <v>0</v>
      </c>
      <c r="BH416" s="353">
        <v>0</v>
      </c>
      <c r="BI416" s="415">
        <v>0</v>
      </c>
      <c r="BJ416" s="353">
        <v>0</v>
      </c>
      <c r="BK416" s="415">
        <v>0</v>
      </c>
      <c r="BL416" s="353">
        <v>0</v>
      </c>
      <c r="BM416" s="416"/>
      <c r="BN416" s="415">
        <v>0</v>
      </c>
      <c r="BO416" s="353">
        <v>0</v>
      </c>
      <c r="BP416" s="415">
        <v>0</v>
      </c>
      <c r="BQ416" s="353">
        <v>0</v>
      </c>
      <c r="BR416" s="415">
        <v>0</v>
      </c>
      <c r="BS416" s="353">
        <v>0</v>
      </c>
      <c r="BT416" s="415">
        <v>0</v>
      </c>
      <c r="BU416" s="353">
        <v>0</v>
      </c>
      <c r="BV416" s="415">
        <v>0</v>
      </c>
      <c r="BW416" s="353">
        <v>0</v>
      </c>
      <c r="BY416" s="80"/>
      <c r="BZ416" s="65"/>
      <c r="CA416" s="40" t="s">
        <v>3</v>
      </c>
      <c r="CB416" s="65"/>
      <c r="CC416" s="40">
        <v>-14.697520661157014</v>
      </c>
      <c r="CD416" s="40">
        <v>-77.09752066115702</v>
      </c>
      <c r="CE416" s="40">
        <v>-77.09752066115702</v>
      </c>
      <c r="CF416" s="65"/>
      <c r="CG416" s="40">
        <v>-2.6975206611570144</v>
      </c>
      <c r="CH416" s="40">
        <v>-2.6975206611570144</v>
      </c>
      <c r="CI416" s="40">
        <v>-2.6975206611570144</v>
      </c>
      <c r="CJ416" s="40">
        <v>-5.0975206611570201</v>
      </c>
      <c r="CK416" s="40">
        <v>-5.0975206611570201</v>
      </c>
    </row>
    <row r="417" spans="1:89" s="2" customFormat="1">
      <c r="A417" s="196" t="s">
        <v>1097</v>
      </c>
      <c r="B417" s="211" t="s">
        <v>55</v>
      </c>
      <c r="C417" s="211" t="s">
        <v>480</v>
      </c>
      <c r="D417" s="41">
        <v>48</v>
      </c>
      <c r="E417" s="41">
        <v>0</v>
      </c>
      <c r="F417" s="41" t="s">
        <v>1084</v>
      </c>
      <c r="G417" s="413">
        <v>24</v>
      </c>
      <c r="H417" s="414">
        <v>90.082644628099175</v>
      </c>
      <c r="I417" s="321"/>
      <c r="J417" s="40" t="s">
        <v>3</v>
      </c>
      <c r="K417" s="36" t="s">
        <v>3</v>
      </c>
      <c r="L417" s="37"/>
      <c r="M417" s="35">
        <v>0</v>
      </c>
      <c r="N417" s="136">
        <v>1.2000000000000002</v>
      </c>
      <c r="O417" s="35">
        <v>0</v>
      </c>
      <c r="P417" s="136">
        <v>1.2000000000000002</v>
      </c>
      <c r="Q417" s="37">
        <v>0</v>
      </c>
      <c r="R417" s="136">
        <v>1.2000000000000002</v>
      </c>
      <c r="S417" s="37"/>
      <c r="T417" s="35">
        <v>0</v>
      </c>
      <c r="U417" s="136">
        <v>2.5</v>
      </c>
      <c r="V417" s="35">
        <v>0</v>
      </c>
      <c r="W417" s="136">
        <v>2.5</v>
      </c>
      <c r="X417" s="35">
        <v>0</v>
      </c>
      <c r="Y417" s="149">
        <v>2.5</v>
      </c>
      <c r="Z417" s="35">
        <v>0</v>
      </c>
      <c r="AA417" s="136">
        <v>2.5</v>
      </c>
      <c r="AB417" s="37">
        <v>0</v>
      </c>
      <c r="AC417" s="136">
        <v>2.5</v>
      </c>
      <c r="AD417" s="37"/>
      <c r="AE417" s="40">
        <v>-42</v>
      </c>
      <c r="AF417" s="65"/>
      <c r="AG417" s="35">
        <v>0</v>
      </c>
      <c r="AH417" s="36">
        <v>0</v>
      </c>
      <c r="AI417" s="37"/>
      <c r="AJ417" s="35">
        <v>19</v>
      </c>
      <c r="AK417" s="36">
        <v>28.800000000000004</v>
      </c>
      <c r="AL417" s="35">
        <v>19</v>
      </c>
      <c r="AM417" s="36">
        <v>28.800000000000004</v>
      </c>
      <c r="AN417" s="35">
        <v>19</v>
      </c>
      <c r="AO417" s="36">
        <v>28.800000000000004</v>
      </c>
      <c r="AP417" s="37"/>
      <c r="AQ417" s="35">
        <v>-12</v>
      </c>
      <c r="AR417" s="36">
        <v>60</v>
      </c>
      <c r="AS417" s="35">
        <v>-12</v>
      </c>
      <c r="AT417" s="36">
        <v>60</v>
      </c>
      <c r="AU417" s="35">
        <v>-12</v>
      </c>
      <c r="AV417" s="36">
        <v>60</v>
      </c>
      <c r="AW417" s="35">
        <v>-12</v>
      </c>
      <c r="AX417" s="36">
        <v>60</v>
      </c>
      <c r="AY417" s="35">
        <v>-12</v>
      </c>
      <c r="AZ417" s="36">
        <v>60</v>
      </c>
      <c r="BB417" s="40">
        <v>0</v>
      </c>
      <c r="BC417" s="65"/>
      <c r="BD417" s="35">
        <v>0</v>
      </c>
      <c r="BE417" s="36">
        <v>0</v>
      </c>
      <c r="BF417" s="37"/>
      <c r="BG417" s="415">
        <v>0</v>
      </c>
      <c r="BH417" s="353">
        <v>0</v>
      </c>
      <c r="BI417" s="415">
        <v>0</v>
      </c>
      <c r="BJ417" s="353">
        <v>0</v>
      </c>
      <c r="BK417" s="415">
        <v>0</v>
      </c>
      <c r="BL417" s="353">
        <v>0</v>
      </c>
      <c r="BM417" s="416"/>
      <c r="BN417" s="415">
        <v>0</v>
      </c>
      <c r="BO417" s="353">
        <v>0</v>
      </c>
      <c r="BP417" s="415">
        <v>0</v>
      </c>
      <c r="BQ417" s="353">
        <v>0</v>
      </c>
      <c r="BR417" s="415">
        <v>0</v>
      </c>
      <c r="BS417" s="353">
        <v>0</v>
      </c>
      <c r="BT417" s="415">
        <v>0</v>
      </c>
      <c r="BU417" s="353">
        <v>0</v>
      </c>
      <c r="BV417" s="415">
        <v>0</v>
      </c>
      <c r="BW417" s="353">
        <v>0</v>
      </c>
      <c r="BY417" s="80"/>
      <c r="BZ417" s="65"/>
      <c r="CA417" s="40" t="s">
        <v>3</v>
      </c>
      <c r="CB417" s="65"/>
      <c r="CC417" s="40">
        <v>-61.28264462809917</v>
      </c>
      <c r="CD417" s="40">
        <v>-61.28264462809917</v>
      </c>
      <c r="CE417" s="40">
        <v>-61.28264462809917</v>
      </c>
      <c r="CF417" s="65"/>
      <c r="CG417" s="40">
        <v>-30.082644628099175</v>
      </c>
      <c r="CH417" s="40">
        <v>-30.082644628099175</v>
      </c>
      <c r="CI417" s="40">
        <v>-30.082644628099175</v>
      </c>
      <c r="CJ417" s="40">
        <v>-30.082644628099175</v>
      </c>
      <c r="CK417" s="40">
        <v>-30.082644628099175</v>
      </c>
    </row>
    <row r="418" spans="1:89" s="2" customFormat="1">
      <c r="A418" s="196" t="s">
        <v>985</v>
      </c>
      <c r="B418" s="211" t="s">
        <v>112</v>
      </c>
      <c r="C418" s="211" t="s">
        <v>468</v>
      </c>
      <c r="D418" s="41">
        <v>304</v>
      </c>
      <c r="E418" s="41">
        <v>0</v>
      </c>
      <c r="F418" s="41" t="s">
        <v>986</v>
      </c>
      <c r="G418" s="413">
        <v>24</v>
      </c>
      <c r="H418" s="414">
        <v>303.30578512396693</v>
      </c>
      <c r="I418" s="321"/>
      <c r="J418" s="40" t="s">
        <v>3</v>
      </c>
      <c r="K418" s="36" t="s">
        <v>3</v>
      </c>
      <c r="L418" s="37"/>
      <c r="M418" s="35">
        <v>99</v>
      </c>
      <c r="N418" s="136">
        <v>5.6000000000000005</v>
      </c>
      <c r="O418" s="35">
        <v>19</v>
      </c>
      <c r="P418" s="136">
        <v>6</v>
      </c>
      <c r="Q418" s="37">
        <v>19</v>
      </c>
      <c r="R418" s="136">
        <v>5.2</v>
      </c>
      <c r="S418" s="37"/>
      <c r="T418" s="35">
        <v>0</v>
      </c>
      <c r="U418" s="136">
        <v>10</v>
      </c>
      <c r="V418" s="35">
        <v>0</v>
      </c>
      <c r="W418" s="136">
        <v>6.2</v>
      </c>
      <c r="X418" s="35">
        <v>0</v>
      </c>
      <c r="Y418" s="149">
        <v>6.2</v>
      </c>
      <c r="Z418" s="35">
        <v>0</v>
      </c>
      <c r="AA418" s="136">
        <v>6.2</v>
      </c>
      <c r="AB418" s="37">
        <v>0</v>
      </c>
      <c r="AC418" s="136">
        <v>6.2</v>
      </c>
      <c r="AD418" s="37"/>
      <c r="AE418" s="40">
        <v>1</v>
      </c>
      <c r="AF418" s="65"/>
      <c r="AG418" s="35">
        <v>0</v>
      </c>
      <c r="AH418" s="36">
        <v>0</v>
      </c>
      <c r="AI418" s="37"/>
      <c r="AJ418" s="35">
        <v>71</v>
      </c>
      <c r="AK418" s="36">
        <v>134.4</v>
      </c>
      <c r="AL418" s="35">
        <v>141</v>
      </c>
      <c r="AM418" s="36">
        <v>144</v>
      </c>
      <c r="AN418" s="37">
        <v>160</v>
      </c>
      <c r="AO418" s="36">
        <v>124.80000000000001</v>
      </c>
      <c r="AP418" s="37"/>
      <c r="AQ418" s="35">
        <v>64</v>
      </c>
      <c r="AR418" s="36">
        <v>240</v>
      </c>
      <c r="AS418" s="35">
        <v>155</v>
      </c>
      <c r="AT418" s="36">
        <v>148.80000000000001</v>
      </c>
      <c r="AU418" s="37">
        <v>155</v>
      </c>
      <c r="AV418" s="36">
        <v>148.80000000000001</v>
      </c>
      <c r="AW418" s="37">
        <v>155</v>
      </c>
      <c r="AX418" s="36">
        <v>148.80000000000001</v>
      </c>
      <c r="AY418" s="37">
        <v>155</v>
      </c>
      <c r="AZ418" s="36">
        <v>148.80000000000001</v>
      </c>
      <c r="BB418" s="40">
        <v>0</v>
      </c>
      <c r="BC418" s="65"/>
      <c r="BD418" s="35">
        <v>0</v>
      </c>
      <c r="BE418" s="36">
        <v>0</v>
      </c>
      <c r="BF418" s="37"/>
      <c r="BG418" s="415">
        <v>0</v>
      </c>
      <c r="BH418" s="353">
        <v>0</v>
      </c>
      <c r="BI418" s="415">
        <v>0</v>
      </c>
      <c r="BJ418" s="353">
        <v>0</v>
      </c>
      <c r="BK418" s="415">
        <v>0</v>
      </c>
      <c r="BL418" s="353">
        <v>0</v>
      </c>
      <c r="BM418" s="416"/>
      <c r="BN418" s="415">
        <v>0</v>
      </c>
      <c r="BO418" s="353">
        <v>0</v>
      </c>
      <c r="BP418" s="415">
        <v>0</v>
      </c>
      <c r="BQ418" s="353">
        <v>0</v>
      </c>
      <c r="BR418" s="415">
        <v>0</v>
      </c>
      <c r="BS418" s="353">
        <v>0</v>
      </c>
      <c r="BT418" s="415">
        <v>0</v>
      </c>
      <c r="BU418" s="353">
        <v>-0.10000000000000053</v>
      </c>
      <c r="BV418" s="415">
        <v>0</v>
      </c>
      <c r="BW418" s="353">
        <v>-0.10000000000000053</v>
      </c>
      <c r="BY418" s="80"/>
      <c r="BZ418" s="65"/>
      <c r="CA418" s="40" t="s">
        <v>3</v>
      </c>
      <c r="CB418" s="65"/>
      <c r="CC418" s="40">
        <v>-69.905785123966922</v>
      </c>
      <c r="CD418" s="40">
        <v>-140.30578512396693</v>
      </c>
      <c r="CE418" s="40">
        <v>-159.50578512396692</v>
      </c>
      <c r="CF418" s="65"/>
      <c r="CG418" s="40">
        <v>-63.305785123966928</v>
      </c>
      <c r="CH418" s="40">
        <v>-154.50578512396692</v>
      </c>
      <c r="CI418" s="40">
        <v>-154.50578512396692</v>
      </c>
      <c r="CJ418" s="40">
        <v>-154.50578512396692</v>
      </c>
      <c r="CK418" s="40">
        <v>-154.50578512396692</v>
      </c>
    </row>
    <row r="419" spans="1:89" s="2" customFormat="1">
      <c r="A419" s="196" t="s">
        <v>987</v>
      </c>
      <c r="B419" s="211" t="s">
        <v>112</v>
      </c>
      <c r="C419" s="211" t="s">
        <v>468</v>
      </c>
      <c r="D419" s="41">
        <v>304</v>
      </c>
      <c r="E419" s="41">
        <v>0</v>
      </c>
      <c r="F419" s="22" t="s">
        <v>986</v>
      </c>
      <c r="G419" s="40">
        <v>30</v>
      </c>
      <c r="H419" s="388">
        <v>303.30578512396693</v>
      </c>
      <c r="I419" s="321"/>
      <c r="J419" s="40" t="s">
        <v>3</v>
      </c>
      <c r="K419" s="36" t="s">
        <v>3</v>
      </c>
      <c r="L419" s="37"/>
      <c r="M419" s="35">
        <v>99</v>
      </c>
      <c r="N419" s="136">
        <v>4.5</v>
      </c>
      <c r="O419" s="35">
        <v>19</v>
      </c>
      <c r="P419" s="136">
        <v>4.8000000000000007</v>
      </c>
      <c r="Q419" s="37">
        <v>19</v>
      </c>
      <c r="R419" s="136">
        <v>4.2</v>
      </c>
      <c r="S419" s="37"/>
      <c r="T419" s="35">
        <v>0</v>
      </c>
      <c r="U419" s="136">
        <v>8</v>
      </c>
      <c r="V419" s="35">
        <v>0</v>
      </c>
      <c r="W419" s="136">
        <v>5</v>
      </c>
      <c r="X419" s="35">
        <v>0</v>
      </c>
      <c r="Y419" s="149">
        <v>5</v>
      </c>
      <c r="Z419" s="35">
        <v>0</v>
      </c>
      <c r="AA419" s="136">
        <v>5</v>
      </c>
      <c r="AB419" s="37">
        <v>0</v>
      </c>
      <c r="AC419" s="136">
        <v>5</v>
      </c>
      <c r="AD419" s="37"/>
      <c r="AE419" s="40">
        <v>1</v>
      </c>
      <c r="AF419" s="65"/>
      <c r="AG419" s="35">
        <v>0</v>
      </c>
      <c r="AH419" s="36">
        <v>0</v>
      </c>
      <c r="AI419" s="37"/>
      <c r="AJ419" s="35">
        <v>70</v>
      </c>
      <c r="AK419" s="36">
        <v>135</v>
      </c>
      <c r="AL419" s="35">
        <v>141</v>
      </c>
      <c r="AM419" s="36">
        <v>144.00000000000003</v>
      </c>
      <c r="AN419" s="35">
        <v>159</v>
      </c>
      <c r="AO419" s="36">
        <v>126</v>
      </c>
      <c r="AP419" s="37"/>
      <c r="AQ419" s="35">
        <v>64</v>
      </c>
      <c r="AR419" s="36">
        <v>240</v>
      </c>
      <c r="AS419" s="35">
        <v>154</v>
      </c>
      <c r="AT419" s="36">
        <v>150</v>
      </c>
      <c r="AU419" s="35">
        <v>154</v>
      </c>
      <c r="AV419" s="36">
        <v>150</v>
      </c>
      <c r="AW419" s="35">
        <v>154</v>
      </c>
      <c r="AX419" s="36">
        <v>150</v>
      </c>
      <c r="AY419" s="35">
        <v>154</v>
      </c>
      <c r="AZ419" s="36">
        <v>150</v>
      </c>
      <c r="BB419" s="40">
        <v>0</v>
      </c>
      <c r="BC419" s="65"/>
      <c r="BD419" s="35">
        <v>0</v>
      </c>
      <c r="BE419" s="36">
        <v>0</v>
      </c>
      <c r="BF419" s="37"/>
      <c r="BG419" s="415">
        <v>0</v>
      </c>
      <c r="BH419" s="353">
        <v>0</v>
      </c>
      <c r="BI419" s="415">
        <v>0</v>
      </c>
      <c r="BJ419" s="353">
        <v>0</v>
      </c>
      <c r="BK419" s="415">
        <v>0</v>
      </c>
      <c r="BL419" s="353">
        <v>0</v>
      </c>
      <c r="BM419" s="416"/>
      <c r="BN419" s="415">
        <v>0</v>
      </c>
      <c r="BO419" s="353">
        <v>0</v>
      </c>
      <c r="BP419" s="415">
        <v>0</v>
      </c>
      <c r="BQ419" s="353">
        <v>0</v>
      </c>
      <c r="BR419" s="415">
        <v>0</v>
      </c>
      <c r="BS419" s="353">
        <v>0</v>
      </c>
      <c r="BT419" s="415">
        <v>0</v>
      </c>
      <c r="BU419" s="353">
        <v>0</v>
      </c>
      <c r="BV419" s="415">
        <v>0</v>
      </c>
      <c r="BW419" s="353">
        <v>0</v>
      </c>
      <c r="BY419" s="80"/>
      <c r="BZ419" s="65"/>
      <c r="CA419" s="40" t="s">
        <v>3</v>
      </c>
      <c r="CB419" s="65"/>
      <c r="CC419" s="40">
        <v>-69.305785123966928</v>
      </c>
      <c r="CD419" s="40">
        <v>-140.3057851239669</v>
      </c>
      <c r="CE419" s="40">
        <v>-158.30578512396693</v>
      </c>
      <c r="CF419" s="65"/>
      <c r="CG419" s="40">
        <v>-63.305785123966928</v>
      </c>
      <c r="CH419" s="40">
        <v>-153.30578512396693</v>
      </c>
      <c r="CI419" s="40">
        <v>-153.30578512396693</v>
      </c>
      <c r="CJ419" s="40">
        <v>-153.30578512396693</v>
      </c>
      <c r="CK419" s="40">
        <v>-153.30578512396693</v>
      </c>
    </row>
    <row r="420" spans="1:89" s="2" customFormat="1">
      <c r="A420" s="196" t="s">
        <v>1179</v>
      </c>
      <c r="B420" s="211" t="s">
        <v>664</v>
      </c>
      <c r="C420" s="211" t="s">
        <v>539</v>
      </c>
      <c r="D420" s="41">
        <v>459</v>
      </c>
      <c r="E420" s="41">
        <v>0</v>
      </c>
      <c r="F420" s="41" t="s">
        <v>1177</v>
      </c>
      <c r="G420" s="413">
        <v>24</v>
      </c>
      <c r="H420" s="414">
        <v>303.30578512396693</v>
      </c>
      <c r="I420" s="321"/>
      <c r="J420" s="40" t="s">
        <v>3</v>
      </c>
      <c r="K420" s="36" t="s">
        <v>3</v>
      </c>
      <c r="L420" s="37"/>
      <c r="M420" s="35">
        <v>99</v>
      </c>
      <c r="N420" s="136">
        <v>5.6000000000000005</v>
      </c>
      <c r="O420" s="35">
        <v>19</v>
      </c>
      <c r="P420" s="136">
        <v>6</v>
      </c>
      <c r="Q420" s="37">
        <v>19</v>
      </c>
      <c r="R420" s="136">
        <v>5.2</v>
      </c>
      <c r="S420" s="37"/>
      <c r="T420" s="35">
        <v>0</v>
      </c>
      <c r="U420" s="136">
        <v>10</v>
      </c>
      <c r="V420" s="35">
        <v>0</v>
      </c>
      <c r="W420" s="136">
        <v>6.2</v>
      </c>
      <c r="X420" s="35">
        <v>0</v>
      </c>
      <c r="Y420" s="149">
        <v>6</v>
      </c>
      <c r="Z420" s="35">
        <v>0</v>
      </c>
      <c r="AA420" s="136">
        <v>8.8000000000000007</v>
      </c>
      <c r="AB420" s="37">
        <v>0</v>
      </c>
      <c r="AC420" s="136">
        <v>8.8000000000000007</v>
      </c>
      <c r="AD420" s="37"/>
      <c r="AE420" s="40">
        <v>156</v>
      </c>
      <c r="AF420" s="65"/>
      <c r="AG420" s="35">
        <v>0</v>
      </c>
      <c r="AH420" s="36">
        <v>0</v>
      </c>
      <c r="AI420" s="37"/>
      <c r="AJ420" s="35">
        <v>226</v>
      </c>
      <c r="AK420" s="36">
        <v>134.4</v>
      </c>
      <c r="AL420" s="35">
        <v>296</v>
      </c>
      <c r="AM420" s="36">
        <v>144</v>
      </c>
      <c r="AN420" s="37">
        <v>315</v>
      </c>
      <c r="AO420" s="36">
        <v>124.80000000000001</v>
      </c>
      <c r="AP420" s="37"/>
      <c r="AQ420" s="35">
        <v>219</v>
      </c>
      <c r="AR420" s="36">
        <v>240</v>
      </c>
      <c r="AS420" s="35">
        <v>310</v>
      </c>
      <c r="AT420" s="36">
        <v>148.80000000000001</v>
      </c>
      <c r="AU420" s="37">
        <v>315</v>
      </c>
      <c r="AV420" s="36">
        <v>144</v>
      </c>
      <c r="AW420" s="37">
        <v>248</v>
      </c>
      <c r="AX420" s="36">
        <v>211.20000000000002</v>
      </c>
      <c r="AY420" s="37">
        <v>248</v>
      </c>
      <c r="AZ420" s="36">
        <v>211.20000000000002</v>
      </c>
      <c r="BB420" s="40">
        <v>0</v>
      </c>
      <c r="BC420" s="65"/>
      <c r="BD420" s="35">
        <v>0</v>
      </c>
      <c r="BE420" s="36">
        <v>0</v>
      </c>
      <c r="BF420" s="37"/>
      <c r="BG420" s="415">
        <v>0</v>
      </c>
      <c r="BH420" s="353">
        <v>0</v>
      </c>
      <c r="BI420" s="415">
        <v>0</v>
      </c>
      <c r="BJ420" s="353">
        <v>0</v>
      </c>
      <c r="BK420" s="415">
        <v>0</v>
      </c>
      <c r="BL420" s="353">
        <v>0</v>
      </c>
      <c r="BM420" s="416"/>
      <c r="BN420" s="415">
        <v>0</v>
      </c>
      <c r="BO420" s="353">
        <v>0</v>
      </c>
      <c r="BP420" s="415">
        <v>0</v>
      </c>
      <c r="BQ420" s="353">
        <v>0</v>
      </c>
      <c r="BR420" s="415">
        <v>0</v>
      </c>
      <c r="BS420" s="353">
        <v>0</v>
      </c>
      <c r="BT420" s="415">
        <v>0</v>
      </c>
      <c r="BU420" s="353">
        <v>0</v>
      </c>
      <c r="BV420" s="415">
        <v>0</v>
      </c>
      <c r="BW420" s="353">
        <v>0</v>
      </c>
      <c r="BY420" s="80"/>
      <c r="BZ420" s="65"/>
      <c r="CA420" s="40" t="s">
        <v>3</v>
      </c>
      <c r="CB420" s="65"/>
      <c r="CC420" s="40">
        <v>-69.905785123966922</v>
      </c>
      <c r="CD420" s="40">
        <v>-140.30578512396693</v>
      </c>
      <c r="CE420" s="40">
        <v>-159.50578512396692</v>
      </c>
      <c r="CF420" s="65"/>
      <c r="CG420" s="40">
        <v>-63.305785123966928</v>
      </c>
      <c r="CH420" s="40">
        <v>-154.50578512396692</v>
      </c>
      <c r="CI420" s="40">
        <v>-159.30578512396693</v>
      </c>
      <c r="CJ420" s="40">
        <v>-92.105785123966911</v>
      </c>
      <c r="CK420" s="40">
        <v>-92.105785123966911</v>
      </c>
    </row>
    <row r="421" spans="1:89" s="2" customFormat="1">
      <c r="A421" s="196" t="s">
        <v>1180</v>
      </c>
      <c r="B421" s="211" t="s">
        <v>664</v>
      </c>
      <c r="C421" s="211" t="s">
        <v>539</v>
      </c>
      <c r="D421" s="41">
        <v>459</v>
      </c>
      <c r="E421" s="41">
        <v>0</v>
      </c>
      <c r="F421" s="22" t="s">
        <v>1177</v>
      </c>
      <c r="G421" s="40">
        <v>30</v>
      </c>
      <c r="H421" s="388">
        <v>303.30578512396693</v>
      </c>
      <c r="I421" s="321"/>
      <c r="J421" s="40" t="s">
        <v>3</v>
      </c>
      <c r="K421" s="36" t="s">
        <v>3</v>
      </c>
      <c r="L421" s="37"/>
      <c r="M421" s="35">
        <v>99</v>
      </c>
      <c r="N421" s="136">
        <v>4.5</v>
      </c>
      <c r="O421" s="35">
        <v>19</v>
      </c>
      <c r="P421" s="136">
        <v>4.8000000000000007</v>
      </c>
      <c r="Q421" s="37">
        <v>19</v>
      </c>
      <c r="R421" s="136">
        <v>4.2</v>
      </c>
      <c r="S421" s="37"/>
      <c r="T421" s="35">
        <v>0</v>
      </c>
      <c r="U421" s="136">
        <v>8</v>
      </c>
      <c r="V421" s="35">
        <v>0</v>
      </c>
      <c r="W421" s="136">
        <v>5</v>
      </c>
      <c r="X421" s="35">
        <v>0</v>
      </c>
      <c r="Y421" s="149">
        <v>4.8000000000000007</v>
      </c>
      <c r="Z421" s="35">
        <v>0</v>
      </c>
      <c r="AA421" s="136">
        <v>7</v>
      </c>
      <c r="AB421" s="37">
        <v>0</v>
      </c>
      <c r="AC421" s="136">
        <v>7</v>
      </c>
      <c r="AD421" s="37"/>
      <c r="AE421" s="40">
        <v>156</v>
      </c>
      <c r="AF421" s="65"/>
      <c r="AG421" s="35">
        <v>0</v>
      </c>
      <c r="AH421" s="36">
        <v>0</v>
      </c>
      <c r="AI421" s="37"/>
      <c r="AJ421" s="35">
        <v>225</v>
      </c>
      <c r="AK421" s="36">
        <v>135</v>
      </c>
      <c r="AL421" s="35">
        <v>296</v>
      </c>
      <c r="AM421" s="36">
        <v>144.00000000000003</v>
      </c>
      <c r="AN421" s="35">
        <v>314</v>
      </c>
      <c r="AO421" s="36">
        <v>126</v>
      </c>
      <c r="AP421" s="37"/>
      <c r="AQ421" s="35">
        <v>219</v>
      </c>
      <c r="AR421" s="36">
        <v>240</v>
      </c>
      <c r="AS421" s="35">
        <v>309</v>
      </c>
      <c r="AT421" s="36">
        <v>150</v>
      </c>
      <c r="AU421" s="35">
        <v>315</v>
      </c>
      <c r="AV421" s="36">
        <v>144.00000000000003</v>
      </c>
      <c r="AW421" s="35">
        <v>249</v>
      </c>
      <c r="AX421" s="36">
        <v>210</v>
      </c>
      <c r="AY421" s="35">
        <v>249</v>
      </c>
      <c r="AZ421" s="36">
        <v>210</v>
      </c>
      <c r="BB421" s="40">
        <v>0</v>
      </c>
      <c r="BC421" s="65"/>
      <c r="BD421" s="35">
        <v>0</v>
      </c>
      <c r="BE421" s="36">
        <v>0</v>
      </c>
      <c r="BF421" s="37"/>
      <c r="BG421" s="415">
        <v>0</v>
      </c>
      <c r="BH421" s="353">
        <v>0</v>
      </c>
      <c r="BI421" s="415">
        <v>0</v>
      </c>
      <c r="BJ421" s="353">
        <v>0</v>
      </c>
      <c r="BK421" s="415">
        <v>0</v>
      </c>
      <c r="BL421" s="353">
        <v>0</v>
      </c>
      <c r="BM421" s="416"/>
      <c r="BN421" s="415">
        <v>0</v>
      </c>
      <c r="BO421" s="353">
        <v>0</v>
      </c>
      <c r="BP421" s="415">
        <v>0</v>
      </c>
      <c r="BQ421" s="353">
        <v>0</v>
      </c>
      <c r="BR421" s="415">
        <v>0</v>
      </c>
      <c r="BS421" s="353">
        <v>0</v>
      </c>
      <c r="BT421" s="415">
        <v>0</v>
      </c>
      <c r="BU421" s="353">
        <v>0</v>
      </c>
      <c r="BV421" s="415">
        <v>0</v>
      </c>
      <c r="BW421" s="353">
        <v>0</v>
      </c>
      <c r="BY421" s="80"/>
      <c r="BZ421" s="65"/>
      <c r="CA421" s="40" t="s">
        <v>3</v>
      </c>
      <c r="CB421" s="65"/>
      <c r="CC421" s="40">
        <v>-69.305785123966928</v>
      </c>
      <c r="CD421" s="40">
        <v>-140.3057851239669</v>
      </c>
      <c r="CE421" s="40">
        <v>-158.30578512396693</v>
      </c>
      <c r="CF421" s="65"/>
      <c r="CG421" s="40">
        <v>-63.305785123966928</v>
      </c>
      <c r="CH421" s="40">
        <v>-153.30578512396693</v>
      </c>
      <c r="CI421" s="40">
        <v>-159.3057851239669</v>
      </c>
      <c r="CJ421" s="40">
        <v>-93.305785123966928</v>
      </c>
      <c r="CK421" s="40">
        <v>-93.305785123966928</v>
      </c>
    </row>
    <row r="422" spans="1:89" s="2" customFormat="1">
      <c r="A422" s="196" t="s">
        <v>1181</v>
      </c>
      <c r="B422" s="211" t="s">
        <v>664</v>
      </c>
      <c r="C422" s="211" t="s">
        <v>646</v>
      </c>
      <c r="D422" s="41">
        <v>516</v>
      </c>
      <c r="E422" s="41">
        <v>0</v>
      </c>
      <c r="F422" s="41" t="s">
        <v>1177</v>
      </c>
      <c r="G422" s="413">
        <v>24</v>
      </c>
      <c r="H422" s="414">
        <v>385.1239669421488</v>
      </c>
      <c r="I422" s="321"/>
      <c r="J422" s="40" t="s">
        <v>3</v>
      </c>
      <c r="K422" s="36" t="s">
        <v>3</v>
      </c>
      <c r="L422" s="37"/>
      <c r="M422" s="35">
        <v>129</v>
      </c>
      <c r="N422" s="136">
        <v>8.1</v>
      </c>
      <c r="O422" s="35">
        <v>19</v>
      </c>
      <c r="P422" s="136">
        <v>9.8000000000000007</v>
      </c>
      <c r="Q422" s="37">
        <v>19</v>
      </c>
      <c r="R422" s="136">
        <v>8.7000000000000011</v>
      </c>
      <c r="S422" s="37"/>
      <c r="T422" s="35">
        <v>0</v>
      </c>
      <c r="U422" s="136">
        <v>13.5</v>
      </c>
      <c r="V422" s="35">
        <v>0</v>
      </c>
      <c r="W422" s="136">
        <v>10.4</v>
      </c>
      <c r="X422" s="35">
        <v>0</v>
      </c>
      <c r="Y422" s="149">
        <v>9.5</v>
      </c>
      <c r="Z422" s="35">
        <v>0</v>
      </c>
      <c r="AA422" s="136">
        <v>10.3</v>
      </c>
      <c r="AB422" s="37">
        <v>0</v>
      </c>
      <c r="AC422" s="136">
        <v>10.3</v>
      </c>
      <c r="AD422" s="37"/>
      <c r="AE422" s="40">
        <v>131</v>
      </c>
      <c r="AF422" s="65"/>
      <c r="AG422" s="35">
        <v>0</v>
      </c>
      <c r="AH422" s="36">
        <v>0</v>
      </c>
      <c r="AI422" s="37"/>
      <c r="AJ422" s="35">
        <v>193</v>
      </c>
      <c r="AK422" s="36">
        <v>194.39999999999998</v>
      </c>
      <c r="AL422" s="35">
        <v>262</v>
      </c>
      <c r="AM422" s="36">
        <v>235.20000000000002</v>
      </c>
      <c r="AN422" s="37">
        <v>288</v>
      </c>
      <c r="AO422" s="36">
        <v>208.8</v>
      </c>
      <c r="AP422" s="37"/>
      <c r="AQ422" s="35">
        <v>192</v>
      </c>
      <c r="AR422" s="36">
        <v>324</v>
      </c>
      <c r="AS422" s="35">
        <v>266</v>
      </c>
      <c r="AT422" s="36">
        <v>249.60000000000002</v>
      </c>
      <c r="AU422" s="37">
        <v>288</v>
      </c>
      <c r="AV422" s="36">
        <v>228</v>
      </c>
      <c r="AW422" s="37">
        <v>269</v>
      </c>
      <c r="AX422" s="36">
        <v>247.20000000000002</v>
      </c>
      <c r="AY422" s="37">
        <v>269</v>
      </c>
      <c r="AZ422" s="36">
        <v>247.20000000000002</v>
      </c>
      <c r="BB422" s="40">
        <v>0</v>
      </c>
      <c r="BC422" s="65"/>
      <c r="BD422" s="35">
        <v>0</v>
      </c>
      <c r="BE422" s="36">
        <v>0</v>
      </c>
      <c r="BF422" s="37"/>
      <c r="BG422" s="415">
        <v>0</v>
      </c>
      <c r="BH422" s="353">
        <v>0</v>
      </c>
      <c r="BI422" s="415">
        <v>0</v>
      </c>
      <c r="BJ422" s="353">
        <v>0</v>
      </c>
      <c r="BK422" s="415">
        <v>0</v>
      </c>
      <c r="BL422" s="353">
        <v>0</v>
      </c>
      <c r="BM422" s="416"/>
      <c r="BN422" s="415">
        <v>0</v>
      </c>
      <c r="BO422" s="353">
        <v>0</v>
      </c>
      <c r="BP422" s="415">
        <v>0</v>
      </c>
      <c r="BQ422" s="353">
        <v>0</v>
      </c>
      <c r="BR422" s="415">
        <v>0</v>
      </c>
      <c r="BS422" s="353">
        <v>0</v>
      </c>
      <c r="BT422" s="415">
        <v>0</v>
      </c>
      <c r="BU422" s="353">
        <v>-9.9999999999999645E-2</v>
      </c>
      <c r="BV422" s="415">
        <v>0</v>
      </c>
      <c r="BW422" s="353">
        <v>-9.9999999999999645E-2</v>
      </c>
      <c r="BY422" s="80"/>
      <c r="BZ422" s="65"/>
      <c r="CA422" s="40" t="s">
        <v>3</v>
      </c>
      <c r="CB422" s="65"/>
      <c r="CC422" s="40">
        <v>-61.72396694214882</v>
      </c>
      <c r="CD422" s="40">
        <v>-130.92396694214878</v>
      </c>
      <c r="CE422" s="40">
        <v>-157.32396694214879</v>
      </c>
      <c r="CF422" s="65"/>
      <c r="CG422" s="40">
        <v>-61.123966942148797</v>
      </c>
      <c r="CH422" s="40">
        <v>-135.52396694214877</v>
      </c>
      <c r="CI422" s="40">
        <v>-157.1239669421488</v>
      </c>
      <c r="CJ422" s="40">
        <v>-137.92396694214878</v>
      </c>
      <c r="CK422" s="40">
        <v>-137.92396694214878</v>
      </c>
    </row>
    <row r="423" spans="1:89" s="2" customFormat="1">
      <c r="A423" s="196" t="s">
        <v>1182</v>
      </c>
      <c r="B423" s="211" t="s">
        <v>664</v>
      </c>
      <c r="C423" s="211" t="s">
        <v>646</v>
      </c>
      <c r="D423" s="41">
        <v>516</v>
      </c>
      <c r="E423" s="41">
        <v>0</v>
      </c>
      <c r="F423" s="22" t="s">
        <v>1177</v>
      </c>
      <c r="G423" s="40">
        <v>30</v>
      </c>
      <c r="H423" s="388">
        <v>385.1239669421488</v>
      </c>
      <c r="I423" s="321"/>
      <c r="J423" s="40" t="s">
        <v>3</v>
      </c>
      <c r="K423" s="36" t="s">
        <v>3</v>
      </c>
      <c r="L423" s="37"/>
      <c r="M423" s="35">
        <v>129</v>
      </c>
      <c r="N423" s="136">
        <v>6.5</v>
      </c>
      <c r="O423" s="35">
        <v>19</v>
      </c>
      <c r="P423" s="136">
        <v>7.9</v>
      </c>
      <c r="Q423" s="37">
        <v>19</v>
      </c>
      <c r="R423" s="136">
        <v>7</v>
      </c>
      <c r="S423" s="37"/>
      <c r="T423" s="35">
        <v>0</v>
      </c>
      <c r="U423" s="136">
        <v>10.8</v>
      </c>
      <c r="V423" s="35">
        <v>0</v>
      </c>
      <c r="W423" s="136">
        <v>8.4</v>
      </c>
      <c r="X423" s="35">
        <v>0</v>
      </c>
      <c r="Y423" s="149">
        <v>7.6000000000000005</v>
      </c>
      <c r="Z423" s="35">
        <v>0</v>
      </c>
      <c r="AA423" s="136">
        <v>8.2000000000000011</v>
      </c>
      <c r="AB423" s="37">
        <v>0</v>
      </c>
      <c r="AC423" s="136">
        <v>8.2000000000000011</v>
      </c>
      <c r="AD423" s="37"/>
      <c r="AE423" s="40">
        <v>131</v>
      </c>
      <c r="AF423" s="65"/>
      <c r="AG423" s="35">
        <v>0</v>
      </c>
      <c r="AH423" s="36">
        <v>0</v>
      </c>
      <c r="AI423" s="37"/>
      <c r="AJ423" s="35">
        <v>192</v>
      </c>
      <c r="AK423" s="36">
        <v>195</v>
      </c>
      <c r="AL423" s="35">
        <v>260</v>
      </c>
      <c r="AM423" s="36">
        <v>237</v>
      </c>
      <c r="AN423" s="35">
        <v>287</v>
      </c>
      <c r="AO423" s="36">
        <v>210</v>
      </c>
      <c r="AP423" s="37"/>
      <c r="AQ423" s="35">
        <v>192</v>
      </c>
      <c r="AR423" s="36">
        <v>324</v>
      </c>
      <c r="AS423" s="35">
        <v>264</v>
      </c>
      <c r="AT423" s="36">
        <v>252</v>
      </c>
      <c r="AU423" s="35">
        <v>288</v>
      </c>
      <c r="AV423" s="36">
        <v>228.00000000000003</v>
      </c>
      <c r="AW423" s="35">
        <v>270</v>
      </c>
      <c r="AX423" s="36">
        <v>246.00000000000003</v>
      </c>
      <c r="AY423" s="35">
        <v>270</v>
      </c>
      <c r="AZ423" s="36">
        <v>246.00000000000003</v>
      </c>
      <c r="BB423" s="40">
        <v>0</v>
      </c>
      <c r="BC423" s="65"/>
      <c r="BD423" s="35">
        <v>0</v>
      </c>
      <c r="BE423" s="36">
        <v>0</v>
      </c>
      <c r="BF423" s="37"/>
      <c r="BG423" s="415">
        <v>0</v>
      </c>
      <c r="BH423" s="353">
        <v>0</v>
      </c>
      <c r="BI423" s="415">
        <v>0</v>
      </c>
      <c r="BJ423" s="353">
        <v>0</v>
      </c>
      <c r="BK423" s="415">
        <v>0</v>
      </c>
      <c r="BL423" s="353">
        <v>0</v>
      </c>
      <c r="BM423" s="416"/>
      <c r="BN423" s="415">
        <v>0</v>
      </c>
      <c r="BO423" s="353">
        <v>0</v>
      </c>
      <c r="BP423" s="415">
        <v>0</v>
      </c>
      <c r="BQ423" s="353">
        <v>0</v>
      </c>
      <c r="BR423" s="415">
        <v>0</v>
      </c>
      <c r="BS423" s="353">
        <v>0</v>
      </c>
      <c r="BT423" s="415">
        <v>0</v>
      </c>
      <c r="BU423" s="353">
        <v>-9.9999999999999645E-2</v>
      </c>
      <c r="BV423" s="415">
        <v>0</v>
      </c>
      <c r="BW423" s="353">
        <v>-9.9999999999999645E-2</v>
      </c>
      <c r="BY423" s="80"/>
      <c r="BZ423" s="65"/>
      <c r="CA423" s="40" t="s">
        <v>3</v>
      </c>
      <c r="CB423" s="65"/>
      <c r="CC423" s="40">
        <v>-61.123966942148797</v>
      </c>
      <c r="CD423" s="40">
        <v>-129.1239669421488</v>
      </c>
      <c r="CE423" s="40">
        <v>-156.1239669421488</v>
      </c>
      <c r="CF423" s="65"/>
      <c r="CG423" s="40">
        <v>-61.123966942148797</v>
      </c>
      <c r="CH423" s="40">
        <v>-133.1239669421488</v>
      </c>
      <c r="CI423" s="40">
        <v>-157.12396694214877</v>
      </c>
      <c r="CJ423" s="40">
        <v>-139.12396694214877</v>
      </c>
      <c r="CK423" s="40">
        <v>-139.12396694214877</v>
      </c>
    </row>
    <row r="424" spans="1:89" s="2" customFormat="1">
      <c r="A424" s="196" t="s">
        <v>1171</v>
      </c>
      <c r="B424" s="211" t="s">
        <v>664</v>
      </c>
      <c r="C424" s="211" t="s">
        <v>577</v>
      </c>
      <c r="D424" s="41">
        <v>93</v>
      </c>
      <c r="E424" s="41">
        <v>2.5</v>
      </c>
      <c r="F424" s="22" t="s">
        <v>1140</v>
      </c>
      <c r="G424" s="40">
        <v>24</v>
      </c>
      <c r="H424" s="388">
        <v>66.11570247933885</v>
      </c>
      <c r="I424" s="321"/>
      <c r="J424" s="40" t="s">
        <v>3</v>
      </c>
      <c r="K424" s="36" t="s">
        <v>3</v>
      </c>
      <c r="L424" s="37"/>
      <c r="M424" s="35">
        <v>0</v>
      </c>
      <c r="N424" s="136">
        <v>1.8</v>
      </c>
      <c r="O424" s="35">
        <v>0</v>
      </c>
      <c r="P424" s="136">
        <v>1.8</v>
      </c>
      <c r="Q424" s="37">
        <v>0</v>
      </c>
      <c r="R424" s="136">
        <v>1.8</v>
      </c>
      <c r="S424" s="37"/>
      <c r="T424" s="35">
        <v>0</v>
      </c>
      <c r="U424" s="136">
        <v>0</v>
      </c>
      <c r="V424" s="35">
        <v>0</v>
      </c>
      <c r="W424" s="136">
        <v>0</v>
      </c>
      <c r="X424" s="35">
        <v>0</v>
      </c>
      <c r="Y424" s="149">
        <v>0</v>
      </c>
      <c r="Z424" s="35">
        <v>0</v>
      </c>
      <c r="AA424" s="136">
        <v>0</v>
      </c>
      <c r="AB424" s="37">
        <v>0</v>
      </c>
      <c r="AC424" s="136">
        <v>0</v>
      </c>
      <c r="AD424" s="37"/>
      <c r="AE424" s="40">
        <v>27</v>
      </c>
      <c r="AF424" s="65"/>
      <c r="AG424" s="35">
        <v>0</v>
      </c>
      <c r="AH424" s="36">
        <v>0</v>
      </c>
      <c r="AI424" s="37"/>
      <c r="AJ424" s="35">
        <v>50</v>
      </c>
      <c r="AK424" s="36">
        <v>43.2</v>
      </c>
      <c r="AL424" s="35">
        <v>50</v>
      </c>
      <c r="AM424" s="36">
        <v>43.2</v>
      </c>
      <c r="AN424" s="37">
        <v>50</v>
      </c>
      <c r="AO424" s="36">
        <v>43.2</v>
      </c>
      <c r="AP424" s="37"/>
      <c r="AQ424" s="35">
        <v>93</v>
      </c>
      <c r="AR424" s="36">
        <v>0</v>
      </c>
      <c r="AS424" s="35">
        <v>93</v>
      </c>
      <c r="AT424" s="36">
        <v>0</v>
      </c>
      <c r="AU424" s="37">
        <v>93</v>
      </c>
      <c r="AV424" s="36">
        <v>0</v>
      </c>
      <c r="AW424" s="37">
        <v>93</v>
      </c>
      <c r="AX424" s="36">
        <v>0</v>
      </c>
      <c r="AY424" s="37">
        <v>93</v>
      </c>
      <c r="AZ424" s="36">
        <v>0</v>
      </c>
      <c r="BB424" s="40">
        <v>0</v>
      </c>
      <c r="BC424" s="65"/>
      <c r="BD424" s="35">
        <v>0</v>
      </c>
      <c r="BE424" s="36">
        <v>0</v>
      </c>
      <c r="BF424" s="37"/>
      <c r="BG424" s="415">
        <v>0</v>
      </c>
      <c r="BH424" s="353">
        <v>0</v>
      </c>
      <c r="BI424" s="415">
        <v>0</v>
      </c>
      <c r="BJ424" s="353">
        <v>0</v>
      </c>
      <c r="BK424" s="415">
        <v>0</v>
      </c>
      <c r="BL424" s="353">
        <v>0</v>
      </c>
      <c r="BM424" s="416"/>
      <c r="BN424" s="415">
        <v>0</v>
      </c>
      <c r="BO424" s="353">
        <v>0</v>
      </c>
      <c r="BP424" s="415">
        <v>0</v>
      </c>
      <c r="BQ424" s="353">
        <v>0</v>
      </c>
      <c r="BR424" s="415">
        <v>0</v>
      </c>
      <c r="BS424" s="353">
        <v>0</v>
      </c>
      <c r="BT424" s="415">
        <v>0</v>
      </c>
      <c r="BU424" s="353">
        <v>0</v>
      </c>
      <c r="BV424" s="415">
        <v>0</v>
      </c>
      <c r="BW424" s="353">
        <v>0</v>
      </c>
      <c r="BY424" s="80"/>
      <c r="BZ424" s="65"/>
      <c r="CA424" s="40" t="s">
        <v>3</v>
      </c>
      <c r="CB424" s="65"/>
      <c r="CC424" s="40">
        <v>-22.915702479338847</v>
      </c>
      <c r="CD424" s="40">
        <v>-22.915702479338847</v>
      </c>
      <c r="CE424" s="40">
        <v>-22.915702479338847</v>
      </c>
      <c r="CF424" s="65"/>
      <c r="CG424" s="40">
        <v>-66.11570247933885</v>
      </c>
      <c r="CH424" s="40">
        <v>-66.11570247933885</v>
      </c>
      <c r="CI424" s="40">
        <v>-66.11570247933885</v>
      </c>
      <c r="CJ424" s="40">
        <v>-66.11570247933885</v>
      </c>
      <c r="CK424" s="40">
        <v>-66.11570247933885</v>
      </c>
    </row>
    <row r="425" spans="1:89" s="2" customFormat="1">
      <c r="A425" s="196" t="s">
        <v>1172</v>
      </c>
      <c r="B425" s="211" t="s">
        <v>664</v>
      </c>
      <c r="C425" s="435" t="s">
        <v>784</v>
      </c>
      <c r="D425" s="41">
        <v>110</v>
      </c>
      <c r="E425" s="41">
        <v>2.5</v>
      </c>
      <c r="F425" s="41" t="s">
        <v>1140</v>
      </c>
      <c r="G425" s="413">
        <v>24</v>
      </c>
      <c r="H425" s="414">
        <v>89.256198347107443</v>
      </c>
      <c r="I425" s="321"/>
      <c r="J425" s="40" t="s">
        <v>3</v>
      </c>
      <c r="K425" s="36" t="s">
        <v>3</v>
      </c>
      <c r="L425" s="37"/>
      <c r="M425" s="35">
        <v>0</v>
      </c>
      <c r="N425" s="136">
        <v>3.1</v>
      </c>
      <c r="O425" s="35">
        <v>0</v>
      </c>
      <c r="P425" s="136">
        <v>0.30000000000000004</v>
      </c>
      <c r="Q425" s="37">
        <v>0</v>
      </c>
      <c r="R425" s="136">
        <v>0.30000000000000004</v>
      </c>
      <c r="S425" s="37"/>
      <c r="T425" s="35">
        <v>0</v>
      </c>
      <c r="U425" s="136">
        <v>3.4000000000000004</v>
      </c>
      <c r="V425" s="35">
        <v>0</v>
      </c>
      <c r="W425" s="136">
        <v>2.5</v>
      </c>
      <c r="X425" s="35">
        <v>0</v>
      </c>
      <c r="Y425" s="149">
        <v>1.3</v>
      </c>
      <c r="Z425" s="35">
        <v>0</v>
      </c>
      <c r="AA425" s="136">
        <v>1.2000000000000002</v>
      </c>
      <c r="AB425" s="37">
        <v>0</v>
      </c>
      <c r="AC425" s="136">
        <v>1.2000000000000002</v>
      </c>
      <c r="AD425" s="37"/>
      <c r="AE425" s="40">
        <v>21</v>
      </c>
      <c r="AF425" s="65"/>
      <c r="AG425" s="35">
        <v>0</v>
      </c>
      <c r="AH425" s="36">
        <v>0</v>
      </c>
      <c r="AI425" s="37"/>
      <c r="AJ425" s="35">
        <v>36</v>
      </c>
      <c r="AK425" s="36">
        <v>74.400000000000006</v>
      </c>
      <c r="AL425" s="35">
        <v>103</v>
      </c>
      <c r="AM425" s="36">
        <v>7.2000000000000011</v>
      </c>
      <c r="AN425" s="35">
        <v>103</v>
      </c>
      <c r="AO425" s="36">
        <v>7.2000000000000011</v>
      </c>
      <c r="AP425" s="37"/>
      <c r="AQ425" s="35">
        <v>28</v>
      </c>
      <c r="AR425" s="36">
        <v>81.600000000000009</v>
      </c>
      <c r="AS425" s="35">
        <v>50</v>
      </c>
      <c r="AT425" s="36">
        <v>60</v>
      </c>
      <c r="AU425" s="35">
        <v>79</v>
      </c>
      <c r="AV425" s="36">
        <v>31.200000000000003</v>
      </c>
      <c r="AW425" s="35">
        <v>81</v>
      </c>
      <c r="AX425" s="36">
        <v>28.800000000000004</v>
      </c>
      <c r="AY425" s="35">
        <v>81</v>
      </c>
      <c r="AZ425" s="36">
        <v>28.800000000000004</v>
      </c>
      <c r="BB425" s="40">
        <v>0</v>
      </c>
      <c r="BC425" s="65"/>
      <c r="BD425" s="35">
        <v>0</v>
      </c>
      <c r="BE425" s="36">
        <v>0</v>
      </c>
      <c r="BF425" s="37"/>
      <c r="BG425" s="415">
        <v>0</v>
      </c>
      <c r="BH425" s="353">
        <v>0</v>
      </c>
      <c r="BI425" s="415">
        <v>0</v>
      </c>
      <c r="BJ425" s="353">
        <v>0</v>
      </c>
      <c r="BK425" s="415">
        <v>0</v>
      </c>
      <c r="BL425" s="353">
        <v>0</v>
      </c>
      <c r="BM425" s="416"/>
      <c r="BN425" s="415">
        <v>0</v>
      </c>
      <c r="BO425" s="353">
        <v>0</v>
      </c>
      <c r="BP425" s="415">
        <v>0</v>
      </c>
      <c r="BQ425" s="353">
        <v>0</v>
      </c>
      <c r="BR425" s="415">
        <v>0</v>
      </c>
      <c r="BS425" s="353">
        <v>0</v>
      </c>
      <c r="BT425" s="415">
        <v>0</v>
      </c>
      <c r="BU425" s="353">
        <v>0</v>
      </c>
      <c r="BV425" s="415">
        <v>0</v>
      </c>
      <c r="BW425" s="353">
        <v>0</v>
      </c>
      <c r="BY425" s="80"/>
      <c r="BZ425" s="65"/>
      <c r="CA425" s="40" t="s">
        <v>3</v>
      </c>
      <c r="CB425" s="65"/>
      <c r="CC425" s="40">
        <v>-14.856198347107437</v>
      </c>
      <c r="CD425" s="40">
        <v>-82.05619834710744</v>
      </c>
      <c r="CE425" s="40">
        <v>-82.05619834710744</v>
      </c>
      <c r="CF425" s="65"/>
      <c r="CG425" s="40">
        <v>-7.6561983471074342</v>
      </c>
      <c r="CH425" s="40">
        <v>-29.256198347107443</v>
      </c>
      <c r="CI425" s="40">
        <v>-58.05619834710744</v>
      </c>
      <c r="CJ425" s="40">
        <v>-60.456198347107438</v>
      </c>
      <c r="CK425" s="40">
        <v>-60.456198347107438</v>
      </c>
    </row>
    <row r="426" spans="1:89" s="2" customFormat="1">
      <c r="A426" s="196" t="s">
        <v>1173</v>
      </c>
      <c r="B426" s="211" t="s">
        <v>664</v>
      </c>
      <c r="C426" s="211" t="s">
        <v>785</v>
      </c>
      <c r="D426" s="41">
        <v>64</v>
      </c>
      <c r="E426" s="41">
        <v>2.5</v>
      </c>
      <c r="F426" s="22" t="s">
        <v>1140</v>
      </c>
      <c r="G426" s="40">
        <v>24</v>
      </c>
      <c r="H426" s="388">
        <v>58.677685950413228</v>
      </c>
      <c r="I426" s="321"/>
      <c r="J426" s="40" t="s">
        <v>3</v>
      </c>
      <c r="K426" s="36" t="s">
        <v>3</v>
      </c>
      <c r="L426" s="37"/>
      <c r="M426" s="35">
        <v>0</v>
      </c>
      <c r="N426" s="136">
        <v>1.5</v>
      </c>
      <c r="O426" s="35">
        <v>0</v>
      </c>
      <c r="P426" s="136">
        <v>1.5</v>
      </c>
      <c r="Q426" s="37">
        <v>0</v>
      </c>
      <c r="R426" s="136">
        <v>1.5</v>
      </c>
      <c r="S426" s="37"/>
      <c r="T426" s="35">
        <v>0</v>
      </c>
      <c r="U426" s="136">
        <v>0.5</v>
      </c>
      <c r="V426" s="35">
        <v>0</v>
      </c>
      <c r="W426" s="136">
        <v>0.5</v>
      </c>
      <c r="X426" s="35">
        <v>0</v>
      </c>
      <c r="Y426" s="149">
        <v>0.5</v>
      </c>
      <c r="Z426" s="35">
        <v>0</v>
      </c>
      <c r="AA426" s="136">
        <v>0.4</v>
      </c>
      <c r="AB426" s="37">
        <v>0</v>
      </c>
      <c r="AC426" s="136">
        <v>0.4</v>
      </c>
      <c r="AD426" s="37"/>
      <c r="AE426" s="40">
        <v>5</v>
      </c>
      <c r="AF426" s="65"/>
      <c r="AG426" s="35">
        <v>0</v>
      </c>
      <c r="AH426" s="36">
        <v>0</v>
      </c>
      <c r="AI426" s="37"/>
      <c r="AJ426" s="35">
        <v>28</v>
      </c>
      <c r="AK426" s="36">
        <v>36</v>
      </c>
      <c r="AL426" s="35">
        <v>28</v>
      </c>
      <c r="AM426" s="36">
        <v>36</v>
      </c>
      <c r="AN426" s="37">
        <v>28</v>
      </c>
      <c r="AO426" s="36">
        <v>36</v>
      </c>
      <c r="AP426" s="37"/>
      <c r="AQ426" s="35">
        <v>52</v>
      </c>
      <c r="AR426" s="36">
        <v>12</v>
      </c>
      <c r="AS426" s="35">
        <v>52</v>
      </c>
      <c r="AT426" s="36">
        <v>12</v>
      </c>
      <c r="AU426" s="37">
        <v>52</v>
      </c>
      <c r="AV426" s="36">
        <v>12</v>
      </c>
      <c r="AW426" s="37">
        <v>54</v>
      </c>
      <c r="AX426" s="36">
        <v>9.6000000000000014</v>
      </c>
      <c r="AY426" s="37">
        <v>54</v>
      </c>
      <c r="AZ426" s="36">
        <v>9.6000000000000014</v>
      </c>
      <c r="BB426" s="40">
        <v>0</v>
      </c>
      <c r="BC426" s="65"/>
      <c r="BD426" s="35">
        <v>0</v>
      </c>
      <c r="BE426" s="36">
        <v>0</v>
      </c>
      <c r="BF426" s="37"/>
      <c r="BG426" s="415">
        <v>0</v>
      </c>
      <c r="BH426" s="353">
        <v>0</v>
      </c>
      <c r="BI426" s="415">
        <v>0</v>
      </c>
      <c r="BJ426" s="353">
        <v>0</v>
      </c>
      <c r="BK426" s="415">
        <v>0</v>
      </c>
      <c r="BL426" s="353">
        <v>0</v>
      </c>
      <c r="BM426" s="416"/>
      <c r="BN426" s="415">
        <v>0</v>
      </c>
      <c r="BO426" s="353">
        <v>0</v>
      </c>
      <c r="BP426" s="415">
        <v>0</v>
      </c>
      <c r="BQ426" s="353">
        <v>0</v>
      </c>
      <c r="BR426" s="415">
        <v>0</v>
      </c>
      <c r="BS426" s="353">
        <v>0</v>
      </c>
      <c r="BT426" s="415">
        <v>0</v>
      </c>
      <c r="BU426" s="353">
        <v>0</v>
      </c>
      <c r="BV426" s="415">
        <v>0</v>
      </c>
      <c r="BW426" s="353">
        <v>0</v>
      </c>
      <c r="BY426" s="80"/>
      <c r="BZ426" s="65"/>
      <c r="CA426" s="40" t="s">
        <v>3</v>
      </c>
      <c r="CB426" s="65"/>
      <c r="CC426" s="40">
        <v>-22.677685950413228</v>
      </c>
      <c r="CD426" s="40">
        <v>-22.677685950413228</v>
      </c>
      <c r="CE426" s="40">
        <v>-22.677685950413228</v>
      </c>
      <c r="CF426" s="65"/>
      <c r="CG426" s="40">
        <v>-46.677685950413228</v>
      </c>
      <c r="CH426" s="40">
        <v>-46.677685950413228</v>
      </c>
      <c r="CI426" s="40">
        <v>-46.677685950413228</v>
      </c>
      <c r="CJ426" s="40">
        <v>-49.077685950413226</v>
      </c>
      <c r="CK426" s="40">
        <v>-49.077685950413226</v>
      </c>
    </row>
    <row r="427" spans="1:89" s="2" customFormat="1">
      <c r="A427" s="196" t="s">
        <v>1098</v>
      </c>
      <c r="B427" s="211" t="s">
        <v>664</v>
      </c>
      <c r="C427" s="211" t="s">
        <v>650</v>
      </c>
      <c r="D427" s="41">
        <v>60</v>
      </c>
      <c r="E427" s="41">
        <v>0</v>
      </c>
      <c r="F427" s="22" t="s">
        <v>1099</v>
      </c>
      <c r="G427" s="40">
        <v>24</v>
      </c>
      <c r="H427" s="388">
        <v>55.371900826446286</v>
      </c>
      <c r="I427" s="321"/>
      <c r="J427" s="40" t="s">
        <v>3</v>
      </c>
      <c r="K427" s="36" t="s">
        <v>3</v>
      </c>
      <c r="L427" s="37"/>
      <c r="M427" s="35">
        <v>0</v>
      </c>
      <c r="N427" s="136">
        <v>1.4000000000000001</v>
      </c>
      <c r="O427" s="35">
        <v>0</v>
      </c>
      <c r="P427" s="136">
        <v>1.4000000000000001</v>
      </c>
      <c r="Q427" s="37">
        <v>0</v>
      </c>
      <c r="R427" s="136">
        <v>1.4000000000000001</v>
      </c>
      <c r="S427" s="37"/>
      <c r="T427" s="35">
        <v>0</v>
      </c>
      <c r="U427" s="136">
        <v>0.5</v>
      </c>
      <c r="V427" s="35">
        <v>0</v>
      </c>
      <c r="W427" s="136">
        <v>0.5</v>
      </c>
      <c r="X427" s="35">
        <v>0</v>
      </c>
      <c r="Y427" s="149">
        <v>0.5</v>
      </c>
      <c r="Z427" s="35">
        <v>0</v>
      </c>
      <c r="AA427" s="136">
        <v>0.4</v>
      </c>
      <c r="AB427" s="37">
        <v>0</v>
      </c>
      <c r="AC427" s="136">
        <v>0.4</v>
      </c>
      <c r="AD427" s="37"/>
      <c r="AE427" s="40">
        <v>5</v>
      </c>
      <c r="AF427" s="65"/>
      <c r="AG427" s="35">
        <v>0</v>
      </c>
      <c r="AH427" s="36">
        <v>0</v>
      </c>
      <c r="AI427" s="37"/>
      <c r="AJ427" s="35">
        <v>26</v>
      </c>
      <c r="AK427" s="36">
        <v>33.6</v>
      </c>
      <c r="AL427" s="35">
        <v>26</v>
      </c>
      <c r="AM427" s="36">
        <v>33.6</v>
      </c>
      <c r="AN427" s="35">
        <v>26</v>
      </c>
      <c r="AO427" s="36">
        <v>33.6</v>
      </c>
      <c r="AP427" s="37"/>
      <c r="AQ427" s="35">
        <v>48</v>
      </c>
      <c r="AR427" s="36">
        <v>12</v>
      </c>
      <c r="AS427" s="35">
        <v>48</v>
      </c>
      <c r="AT427" s="36">
        <v>12</v>
      </c>
      <c r="AU427" s="35">
        <v>48</v>
      </c>
      <c r="AV427" s="36">
        <v>12</v>
      </c>
      <c r="AW427" s="35">
        <v>50</v>
      </c>
      <c r="AX427" s="36">
        <v>9.6000000000000014</v>
      </c>
      <c r="AY427" s="35">
        <v>50</v>
      </c>
      <c r="AZ427" s="36">
        <v>9.6000000000000014</v>
      </c>
      <c r="BB427" s="40">
        <v>0</v>
      </c>
      <c r="BC427" s="65"/>
      <c r="BD427" s="35">
        <v>0</v>
      </c>
      <c r="BE427" s="36">
        <v>0</v>
      </c>
      <c r="BF427" s="37"/>
      <c r="BG427" s="415">
        <v>0</v>
      </c>
      <c r="BH427" s="353">
        <v>0</v>
      </c>
      <c r="BI427" s="415">
        <v>0</v>
      </c>
      <c r="BJ427" s="353">
        <v>0</v>
      </c>
      <c r="BK427" s="415">
        <v>0</v>
      </c>
      <c r="BL427" s="353">
        <v>0</v>
      </c>
      <c r="BM427" s="416"/>
      <c r="BN427" s="415">
        <v>0</v>
      </c>
      <c r="BO427" s="353">
        <v>0</v>
      </c>
      <c r="BP427" s="415">
        <v>0</v>
      </c>
      <c r="BQ427" s="353">
        <v>0</v>
      </c>
      <c r="BR427" s="415">
        <v>0</v>
      </c>
      <c r="BS427" s="353">
        <v>0</v>
      </c>
      <c r="BT427" s="415">
        <v>0</v>
      </c>
      <c r="BU427" s="353">
        <v>0</v>
      </c>
      <c r="BV427" s="415">
        <v>0</v>
      </c>
      <c r="BW427" s="353">
        <v>0</v>
      </c>
      <c r="BY427" s="80"/>
      <c r="BZ427" s="65"/>
      <c r="CA427" s="40" t="s">
        <v>3</v>
      </c>
      <c r="CB427" s="65"/>
      <c r="CC427" s="40">
        <v>-21.771900826446284</v>
      </c>
      <c r="CD427" s="40">
        <v>-21.771900826446284</v>
      </c>
      <c r="CE427" s="40">
        <v>-21.771900826446284</v>
      </c>
      <c r="CF427" s="65"/>
      <c r="CG427" s="40">
        <v>-43.371900826446286</v>
      </c>
      <c r="CH427" s="40">
        <v>-43.371900826446286</v>
      </c>
      <c r="CI427" s="40">
        <v>-43.371900826446286</v>
      </c>
      <c r="CJ427" s="40">
        <v>-45.771900826446284</v>
      </c>
      <c r="CK427" s="40">
        <v>-45.771900826446284</v>
      </c>
    </row>
    <row r="428" spans="1:89" s="2" customFormat="1">
      <c r="A428" s="196" t="s">
        <v>1174</v>
      </c>
      <c r="B428" s="211" t="s">
        <v>664</v>
      </c>
      <c r="C428" s="211" t="s">
        <v>562</v>
      </c>
      <c r="D428" s="41">
        <v>348</v>
      </c>
      <c r="E428" s="41">
        <v>2.5</v>
      </c>
      <c r="F428" s="41" t="s">
        <v>1140</v>
      </c>
      <c r="G428" s="413">
        <v>24</v>
      </c>
      <c r="H428" s="414">
        <v>161.98347107438016</v>
      </c>
      <c r="I428" s="321"/>
      <c r="J428" s="40" t="s">
        <v>3</v>
      </c>
      <c r="K428" s="36" t="s">
        <v>3</v>
      </c>
      <c r="L428" s="37"/>
      <c r="M428" s="35">
        <v>29</v>
      </c>
      <c r="N428" s="136">
        <v>4.4000000000000004</v>
      </c>
      <c r="O428" s="35">
        <v>0</v>
      </c>
      <c r="P428" s="136">
        <v>2.3000000000000003</v>
      </c>
      <c r="Q428" s="37">
        <v>0</v>
      </c>
      <c r="R428" s="136">
        <v>1.5</v>
      </c>
      <c r="S428" s="37"/>
      <c r="T428" s="35">
        <v>0</v>
      </c>
      <c r="U428" s="136">
        <v>5.6000000000000005</v>
      </c>
      <c r="V428" s="35">
        <v>0</v>
      </c>
      <c r="W428" s="136">
        <v>3.4000000000000004</v>
      </c>
      <c r="X428" s="35">
        <v>0</v>
      </c>
      <c r="Y428" s="149">
        <v>3.4000000000000004</v>
      </c>
      <c r="Z428" s="35">
        <v>0</v>
      </c>
      <c r="AA428" s="136">
        <v>3.3000000000000003</v>
      </c>
      <c r="AB428" s="37">
        <v>0</v>
      </c>
      <c r="AC428" s="136">
        <v>3.3000000000000003</v>
      </c>
      <c r="AD428" s="37"/>
      <c r="AE428" s="40">
        <v>186</v>
      </c>
      <c r="AF428" s="65"/>
      <c r="AG428" s="35">
        <v>0</v>
      </c>
      <c r="AH428" s="36">
        <v>0</v>
      </c>
      <c r="AI428" s="37"/>
      <c r="AJ428" s="35">
        <v>213</v>
      </c>
      <c r="AK428" s="36">
        <v>105.60000000000001</v>
      </c>
      <c r="AL428" s="35">
        <v>293</v>
      </c>
      <c r="AM428" s="36">
        <v>55.2</v>
      </c>
      <c r="AN428" s="37">
        <v>312</v>
      </c>
      <c r="AO428" s="36">
        <v>36</v>
      </c>
      <c r="AP428" s="37"/>
      <c r="AQ428" s="35">
        <v>214</v>
      </c>
      <c r="AR428" s="36">
        <v>134.4</v>
      </c>
      <c r="AS428" s="35">
        <v>266</v>
      </c>
      <c r="AT428" s="36">
        <v>81.600000000000009</v>
      </c>
      <c r="AU428" s="37">
        <v>266</v>
      </c>
      <c r="AV428" s="36">
        <v>81.600000000000009</v>
      </c>
      <c r="AW428" s="37">
        <v>269</v>
      </c>
      <c r="AX428" s="36">
        <v>79.2</v>
      </c>
      <c r="AY428" s="37">
        <v>269</v>
      </c>
      <c r="AZ428" s="36">
        <v>79.2</v>
      </c>
      <c r="BB428" s="40">
        <v>0</v>
      </c>
      <c r="BC428" s="65"/>
      <c r="BD428" s="35">
        <v>0</v>
      </c>
      <c r="BE428" s="36">
        <v>0</v>
      </c>
      <c r="BF428" s="37"/>
      <c r="BG428" s="415">
        <v>0</v>
      </c>
      <c r="BH428" s="353">
        <v>0</v>
      </c>
      <c r="BI428" s="415">
        <v>0</v>
      </c>
      <c r="BJ428" s="353">
        <v>0</v>
      </c>
      <c r="BK428" s="415">
        <v>0</v>
      </c>
      <c r="BL428" s="353">
        <v>0</v>
      </c>
      <c r="BM428" s="416"/>
      <c r="BN428" s="415">
        <v>0</v>
      </c>
      <c r="BO428" s="353">
        <v>0</v>
      </c>
      <c r="BP428" s="415">
        <v>0</v>
      </c>
      <c r="BQ428" s="353">
        <v>0</v>
      </c>
      <c r="BR428" s="415">
        <v>0</v>
      </c>
      <c r="BS428" s="353">
        <v>0</v>
      </c>
      <c r="BT428" s="415">
        <v>0</v>
      </c>
      <c r="BU428" s="353">
        <v>0</v>
      </c>
      <c r="BV428" s="415">
        <v>0</v>
      </c>
      <c r="BW428" s="353">
        <v>0</v>
      </c>
      <c r="BY428" s="80"/>
      <c r="BZ428" s="65"/>
      <c r="CA428" s="40" t="s">
        <v>3</v>
      </c>
      <c r="CB428" s="65"/>
      <c r="CC428" s="40">
        <v>-27.383471074380139</v>
      </c>
      <c r="CD428" s="40">
        <v>-106.78347107438016</v>
      </c>
      <c r="CE428" s="40">
        <v>-125.98347107438016</v>
      </c>
      <c r="CF428" s="65"/>
      <c r="CG428" s="40">
        <v>-27.583471074380157</v>
      </c>
      <c r="CH428" s="40">
        <v>-80.383471074380154</v>
      </c>
      <c r="CI428" s="40">
        <v>-80.383471074380154</v>
      </c>
      <c r="CJ428" s="40">
        <v>-82.783471074380159</v>
      </c>
      <c r="CK428" s="40">
        <v>-82.783471074380159</v>
      </c>
    </row>
    <row r="429" spans="1:89" s="2" customFormat="1" ht="13.5" thickBot="1">
      <c r="A429" s="196" t="s">
        <v>1175</v>
      </c>
      <c r="B429" s="506" t="s">
        <v>664</v>
      </c>
      <c r="C429" s="506" t="s">
        <v>605</v>
      </c>
      <c r="D429" s="507">
        <v>141</v>
      </c>
      <c r="E429" s="507">
        <v>2.5</v>
      </c>
      <c r="F429" s="508" t="s">
        <v>1140</v>
      </c>
      <c r="G429" s="509">
        <v>24</v>
      </c>
      <c r="H429" s="510">
        <v>105.78512396694215</v>
      </c>
      <c r="I429" s="511"/>
      <c r="J429" s="509" t="s">
        <v>3</v>
      </c>
      <c r="K429" s="512" t="s">
        <v>3</v>
      </c>
      <c r="L429" s="513"/>
      <c r="M429" s="514">
        <v>0</v>
      </c>
      <c r="N429" s="515">
        <v>3.8000000000000003</v>
      </c>
      <c r="O429" s="514">
        <v>0</v>
      </c>
      <c r="P429" s="515">
        <v>0.9</v>
      </c>
      <c r="Q429" s="513">
        <v>0</v>
      </c>
      <c r="R429" s="515">
        <v>0.30000000000000004</v>
      </c>
      <c r="S429" s="513"/>
      <c r="T429" s="514">
        <v>0</v>
      </c>
      <c r="U429" s="515">
        <v>4</v>
      </c>
      <c r="V429" s="514">
        <v>0</v>
      </c>
      <c r="W429" s="515">
        <v>1.7000000000000002</v>
      </c>
      <c r="X429" s="514">
        <v>0</v>
      </c>
      <c r="Y429" s="516">
        <v>1.7000000000000002</v>
      </c>
      <c r="Z429" s="514">
        <v>0</v>
      </c>
      <c r="AA429" s="515">
        <v>1.7000000000000002</v>
      </c>
      <c r="AB429" s="513">
        <v>0</v>
      </c>
      <c r="AC429" s="515">
        <v>1.7000000000000002</v>
      </c>
      <c r="AD429" s="513"/>
      <c r="AE429" s="509">
        <v>35</v>
      </c>
      <c r="AF429" s="517"/>
      <c r="AG429" s="514">
        <v>0</v>
      </c>
      <c r="AH429" s="512">
        <v>0</v>
      </c>
      <c r="AI429" s="513"/>
      <c r="AJ429" s="514">
        <v>50</v>
      </c>
      <c r="AK429" s="512">
        <v>91.2</v>
      </c>
      <c r="AL429" s="514">
        <v>119</v>
      </c>
      <c r="AM429" s="512">
        <v>21.6</v>
      </c>
      <c r="AN429" s="514">
        <v>134</v>
      </c>
      <c r="AO429" s="512">
        <v>7.2000000000000011</v>
      </c>
      <c r="AP429" s="513"/>
      <c r="AQ429" s="514">
        <v>45</v>
      </c>
      <c r="AR429" s="512">
        <v>96</v>
      </c>
      <c r="AS429" s="514">
        <v>100</v>
      </c>
      <c r="AT429" s="512">
        <v>40.800000000000004</v>
      </c>
      <c r="AU429" s="514">
        <v>100</v>
      </c>
      <c r="AV429" s="512">
        <v>40.800000000000004</v>
      </c>
      <c r="AW429" s="514">
        <v>100</v>
      </c>
      <c r="AX429" s="512">
        <v>40.800000000000004</v>
      </c>
      <c r="AY429" s="514">
        <v>100</v>
      </c>
      <c r="AZ429" s="512">
        <v>40.800000000000004</v>
      </c>
      <c r="BA429" s="518"/>
      <c r="BB429" s="509">
        <v>0</v>
      </c>
      <c r="BC429" s="517"/>
      <c r="BD429" s="514">
        <v>0</v>
      </c>
      <c r="BE429" s="512">
        <v>0</v>
      </c>
      <c r="BF429" s="513"/>
      <c r="BG429" s="519">
        <v>0</v>
      </c>
      <c r="BH429" s="520">
        <v>0</v>
      </c>
      <c r="BI429" s="519">
        <v>0</v>
      </c>
      <c r="BJ429" s="520">
        <v>0</v>
      </c>
      <c r="BK429" s="519">
        <v>0</v>
      </c>
      <c r="BL429" s="520">
        <v>0</v>
      </c>
      <c r="BM429" s="521"/>
      <c r="BN429" s="519">
        <v>0</v>
      </c>
      <c r="BO429" s="520">
        <v>0</v>
      </c>
      <c r="BP429" s="519">
        <v>0</v>
      </c>
      <c r="BQ429" s="520">
        <v>0</v>
      </c>
      <c r="BR429" s="519">
        <v>0</v>
      </c>
      <c r="BS429" s="520">
        <v>0</v>
      </c>
      <c r="BT429" s="519">
        <v>0</v>
      </c>
      <c r="BU429" s="520">
        <v>0</v>
      </c>
      <c r="BV429" s="519">
        <v>0</v>
      </c>
      <c r="BW429" s="520">
        <v>0</v>
      </c>
      <c r="BX429" s="518"/>
      <c r="BY429" s="522"/>
      <c r="BZ429" s="517"/>
      <c r="CA429" s="509" t="s">
        <v>3</v>
      </c>
      <c r="CB429" s="517"/>
      <c r="CC429" s="509">
        <v>-14.585123966942149</v>
      </c>
      <c r="CD429" s="509">
        <v>-84.185123966942143</v>
      </c>
      <c r="CE429" s="509">
        <v>-98.585123966942149</v>
      </c>
      <c r="CF429" s="517"/>
      <c r="CG429" s="509">
        <v>-9.7851239669421517</v>
      </c>
      <c r="CH429" s="509">
        <v>-64.985123966942155</v>
      </c>
      <c r="CI429" s="509">
        <v>-64.985123966942155</v>
      </c>
      <c r="CJ429" s="509">
        <v>-64.985123966942155</v>
      </c>
      <c r="CK429" s="509">
        <v>-64.985123966942155</v>
      </c>
    </row>
  </sheetData>
  <autoFilter ref="A28:CL429" xr:uid="{00000000-0001-0000-0200-000000000000}"/>
  <sortState xmlns:xlrd2="http://schemas.microsoft.com/office/spreadsheetml/2017/richdata2" ref="A29:CL429">
    <sortCondition ref="I29:I429"/>
    <sortCondition ref="C29:C429"/>
  </sortState>
  <mergeCells count="122">
    <mergeCell ref="AE22:AE26"/>
    <mergeCell ref="BG26:BH26"/>
    <mergeCell ref="BB22:BB26"/>
    <mergeCell ref="BG24:BL24"/>
    <mergeCell ref="BT26:BU26"/>
    <mergeCell ref="BN26:BO26"/>
    <mergeCell ref="BI26:BJ26"/>
    <mergeCell ref="BK26:BL26"/>
    <mergeCell ref="AJ24:AO24"/>
    <mergeCell ref="AG26:AH26"/>
    <mergeCell ref="AJ26:AK26"/>
    <mergeCell ref="AJ22:AZ22"/>
    <mergeCell ref="AN26:AO26"/>
    <mergeCell ref="O26:P26"/>
    <mergeCell ref="Q26:R26"/>
    <mergeCell ref="M24:R24"/>
    <mergeCell ref="T24:AC24"/>
    <mergeCell ref="X26:Y26"/>
    <mergeCell ref="B22:G26"/>
    <mergeCell ref="H22:H26"/>
    <mergeCell ref="J22:K24"/>
    <mergeCell ref="M22:AC22"/>
    <mergeCell ref="AB26:AC26"/>
    <mergeCell ref="J26:K26"/>
    <mergeCell ref="M26:N26"/>
    <mergeCell ref="Z26:AA26"/>
    <mergeCell ref="V26:W26"/>
    <mergeCell ref="T26:U26"/>
    <mergeCell ref="V16:W16"/>
    <mergeCell ref="Z16:AA16"/>
    <mergeCell ref="AB16:AC16"/>
    <mergeCell ref="D17:G17"/>
    <mergeCell ref="J17:K17"/>
    <mergeCell ref="M17:N17"/>
    <mergeCell ref="O17:P17"/>
    <mergeCell ref="Q17:R17"/>
    <mergeCell ref="T17:U17"/>
    <mergeCell ref="V17:W17"/>
    <mergeCell ref="Z17:AA17"/>
    <mergeCell ref="AB17:AC17"/>
    <mergeCell ref="X17:Y17"/>
    <mergeCell ref="V15:W15"/>
    <mergeCell ref="D13:G14"/>
    <mergeCell ref="Z15:AA15"/>
    <mergeCell ref="AB15:AC15"/>
    <mergeCell ref="D16:G16"/>
    <mergeCell ref="J16:K16"/>
    <mergeCell ref="M16:N16"/>
    <mergeCell ref="O16:P16"/>
    <mergeCell ref="Q16:R16"/>
    <mergeCell ref="J15:K15"/>
    <mergeCell ref="M15:N15"/>
    <mergeCell ref="O15:P15"/>
    <mergeCell ref="Q15:R15"/>
    <mergeCell ref="T15:U15"/>
    <mergeCell ref="V13:W13"/>
    <mergeCell ref="Z13:AA13"/>
    <mergeCell ref="AB13:AC13"/>
    <mergeCell ref="J14:K14"/>
    <mergeCell ref="M14:N14"/>
    <mergeCell ref="O14:P14"/>
    <mergeCell ref="Q14:R14"/>
    <mergeCell ref="X15:Y15"/>
    <mergeCell ref="X16:Y16"/>
    <mergeCell ref="T16:U16"/>
    <mergeCell ref="T7:U12"/>
    <mergeCell ref="T4:U4"/>
    <mergeCell ref="V4:W4"/>
    <mergeCell ref="Z4:AA4"/>
    <mergeCell ref="AB4:AC4"/>
    <mergeCell ref="B5:C17"/>
    <mergeCell ref="D5:G12"/>
    <mergeCell ref="H5:H12"/>
    <mergeCell ref="J5:K12"/>
    <mergeCell ref="M5:N5"/>
    <mergeCell ref="J13:K13"/>
    <mergeCell ref="M13:N13"/>
    <mergeCell ref="D15:G15"/>
    <mergeCell ref="T14:U14"/>
    <mergeCell ref="V14:W14"/>
    <mergeCell ref="O13:P13"/>
    <mergeCell ref="Q13:R13"/>
    <mergeCell ref="O5:P12"/>
    <mergeCell ref="Q5:R12"/>
    <mergeCell ref="T13:U13"/>
    <mergeCell ref="T5:U5"/>
    <mergeCell ref="V5:W12"/>
    <mergeCell ref="X5:Y12"/>
    <mergeCell ref="X13:Y13"/>
    <mergeCell ref="B2:G2"/>
    <mergeCell ref="H2:H4"/>
    <mergeCell ref="J2:K2"/>
    <mergeCell ref="M2:AC2"/>
    <mergeCell ref="J4:K4"/>
    <mergeCell ref="M4:N4"/>
    <mergeCell ref="O4:P4"/>
    <mergeCell ref="Q4:R4"/>
    <mergeCell ref="X4:Y4"/>
    <mergeCell ref="Z5:AA12"/>
    <mergeCell ref="AB5:AC12"/>
    <mergeCell ref="BY19:CK19"/>
    <mergeCell ref="CC24:CE24"/>
    <mergeCell ref="CG24:CK24"/>
    <mergeCell ref="CC22:CK22"/>
    <mergeCell ref="BB19:BW19"/>
    <mergeCell ref="AU26:AV26"/>
    <mergeCell ref="BR26:BS26"/>
    <mergeCell ref="AG22:AH24"/>
    <mergeCell ref="AS26:AT26"/>
    <mergeCell ref="AL26:AM26"/>
    <mergeCell ref="AQ24:AZ24"/>
    <mergeCell ref="AW26:AX26"/>
    <mergeCell ref="AQ26:AR26"/>
    <mergeCell ref="AY26:AZ26"/>
    <mergeCell ref="BD26:BE26"/>
    <mergeCell ref="CA22:CA24"/>
    <mergeCell ref="BP26:BQ26"/>
    <mergeCell ref="BV26:BW26"/>
    <mergeCell ref="BY22:BY26"/>
    <mergeCell ref="BD22:BE24"/>
    <mergeCell ref="BG22:BW22"/>
    <mergeCell ref="BN24:BW24"/>
  </mergeCells>
  <phoneticPr fontId="72" type="noConversion"/>
  <conditionalFormatting sqref="BB29:BW429">
    <cfRule type="cellIs" dxfId="27" priority="379" stopIfTrue="1" operator="lessThan">
      <formula>0</formula>
    </cfRule>
    <cfRule type="cellIs" dxfId="26" priority="380" stopIfTrue="1" operator="greaterThan">
      <formula>0</formula>
    </cfRule>
  </conditionalFormatting>
  <conditionalFormatting sqref="F21">
    <cfRule type="expression" dxfId="25" priority="11" stopIfTrue="1">
      <formula>ISERROR(F21)</formula>
    </cfRule>
    <cfRule type="cellIs" dxfId="24" priority="12" stopIfTrue="1" operator="lessThan">
      <formula>0</formula>
    </cfRule>
  </conditionalFormatting>
  <conditionalFormatting sqref="F4">
    <cfRule type="expression" dxfId="23" priority="9" stopIfTrue="1">
      <formula>ISERROR(F4)</formula>
    </cfRule>
    <cfRule type="cellIs" dxfId="22" priority="10" stopIfTrue="1" operator="lessThan">
      <formula>0</formula>
    </cfRule>
  </conditionalFormatting>
  <pageMargins left="0.74803149606299213" right="0.74803149606299213" top="0.98425196850393704" bottom="0.98425196850393704" header="0" footer="0"/>
  <pageSetup paperSize="8" scale="70" orientation="portrait" r:id="rId1"/>
  <headerFooter alignWithMargins="0">
    <oddFooter>&amp;C&amp;1#&amp;"Calibri"&amp;8&amp;KED7D31Orange Restricted</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87451-135E-4A69-B556-187247AE5B41}">
  <sheetPr codeName="Hoja12">
    <tabColor rgb="FFFF6600"/>
    <pageSetUpPr fitToPage="1"/>
  </sheetPr>
  <dimension ref="B2:CM32"/>
  <sheetViews>
    <sheetView showGridLines="0" zoomScale="70" zoomScaleNormal="70" workbookViewId="0">
      <selection activeCell="B5" sqref="B5:C17"/>
    </sheetView>
  </sheetViews>
  <sheetFormatPr baseColWidth="10" defaultColWidth="11.42578125" defaultRowHeight="12.75" outlineLevelCol="1"/>
  <cols>
    <col min="1" max="1" width="4.28515625" style="1" customWidth="1"/>
    <col min="2" max="2" width="15.28515625" style="195" customWidth="1"/>
    <col min="3" max="3" width="57" style="1" customWidth="1"/>
    <col min="4" max="4" width="9.28515625" style="1" customWidth="1"/>
    <col min="5" max="5" width="9" style="1" customWidth="1"/>
    <col min="6" max="6" width="17" style="1" customWidth="1"/>
    <col min="7" max="7" width="8.5703125" style="1" customWidth="1"/>
    <col min="8" max="8" width="11.28515625" style="1" customWidth="1"/>
    <col min="9" max="9" width="6.7109375" style="4" customWidth="1"/>
    <col min="10" max="10" width="8.7109375" style="1" hidden="1" customWidth="1"/>
    <col min="11" max="11" width="8.42578125" style="1" hidden="1" customWidth="1"/>
    <col min="12" max="12" width="1" style="4" hidden="1" customWidth="1"/>
    <col min="13" max="20" width="10.28515625" style="1" hidden="1" customWidth="1" outlineLevel="1"/>
    <col min="21" max="21" width="1.42578125" style="4" hidden="1" customWidth="1" collapsed="1"/>
    <col min="22" max="22" width="11.7109375" style="1" hidden="1" customWidth="1"/>
    <col min="23" max="23" width="7" style="1" hidden="1" customWidth="1"/>
    <col min="24" max="25" width="11.7109375" style="1" customWidth="1"/>
    <col min="26" max="31" width="10.28515625" style="1" customWidth="1"/>
    <col min="32" max="32" width="2" style="4" customWidth="1"/>
    <col min="33" max="33" width="8.7109375" style="1" customWidth="1"/>
    <col min="34" max="34" width="2.42578125" style="4" customWidth="1"/>
    <col min="35" max="36" width="8.7109375" style="1" hidden="1" customWidth="1"/>
    <col min="37" max="37" width="1.5703125" style="4" hidden="1" customWidth="1"/>
    <col min="38" max="45" width="9.7109375" style="1" hidden="1" customWidth="1"/>
    <col min="46" max="46" width="1.7109375" style="4" hidden="1" customWidth="1"/>
    <col min="47" max="48" width="11.28515625" style="1" hidden="1" customWidth="1"/>
    <col min="49" max="54" width="11.28515625" style="1" customWidth="1"/>
    <col min="55" max="55" width="5.28515625" style="1" customWidth="1"/>
    <col min="56" max="56" width="11.42578125" style="1" hidden="1" customWidth="1"/>
    <col min="57" max="57" width="1" style="1" hidden="1" customWidth="1"/>
    <col min="58" max="59" width="11.42578125" style="1" hidden="1" customWidth="1"/>
    <col min="60" max="60" width="1.28515625" style="1" hidden="1" customWidth="1"/>
    <col min="61" max="68" width="11.42578125" style="1" hidden="1" customWidth="1"/>
    <col min="69" max="69" width="1.42578125" style="1" hidden="1" customWidth="1"/>
    <col min="70" max="71" width="11.42578125" style="1" hidden="1" customWidth="1"/>
    <col min="72" max="77" width="11.42578125" style="1" customWidth="1"/>
    <col min="78" max="78" width="5.28515625" style="1" customWidth="1"/>
    <col min="79" max="79" width="11.28515625" style="1" hidden="1" customWidth="1"/>
    <col min="80" max="80" width="1.42578125" style="4" hidden="1" customWidth="1"/>
    <col min="81" max="81" width="18.28515625" style="1" hidden="1" customWidth="1"/>
    <col min="82" max="82" width="1.42578125" style="4" hidden="1" customWidth="1"/>
    <col min="83" max="83" width="15.7109375" style="4" hidden="1" customWidth="1"/>
    <col min="84" max="84" width="16.7109375" style="1" hidden="1" customWidth="1"/>
    <col min="85" max="86" width="15.42578125" style="1" hidden="1" customWidth="1"/>
    <col min="87" max="87" width="1.42578125" style="4" hidden="1" customWidth="1"/>
    <col min="88" max="88" width="16" style="1" hidden="1" customWidth="1"/>
    <col min="89" max="89" width="16" style="1" customWidth="1"/>
    <col min="90" max="90" width="15.5703125" style="1" customWidth="1"/>
    <col min="91" max="91" width="15.7109375" style="1" customWidth="1"/>
    <col min="92" max="16384" width="11.42578125" style="1"/>
  </cols>
  <sheetData>
    <row r="2" spans="2:31" ht="26.25">
      <c r="B2" s="582" t="s">
        <v>22</v>
      </c>
      <c r="C2" s="582"/>
      <c r="D2" s="582"/>
      <c r="E2" s="582"/>
      <c r="F2" s="582"/>
      <c r="G2" s="582"/>
      <c r="H2" s="731" t="s">
        <v>23</v>
      </c>
      <c r="J2" s="595" t="s">
        <v>30</v>
      </c>
      <c r="K2" s="596"/>
      <c r="L2" s="12"/>
      <c r="M2" s="609" t="s">
        <v>0</v>
      </c>
      <c r="N2" s="610"/>
      <c r="O2" s="610"/>
      <c r="P2" s="610"/>
      <c r="Q2" s="610"/>
      <c r="R2" s="610"/>
      <c r="S2" s="610"/>
      <c r="T2" s="610"/>
      <c r="U2" s="610"/>
      <c r="V2" s="610"/>
      <c r="W2" s="610"/>
      <c r="X2" s="610"/>
      <c r="Y2" s="610"/>
      <c r="Z2" s="610"/>
      <c r="AA2" s="610"/>
      <c r="AB2" s="610"/>
      <c r="AC2" s="610"/>
      <c r="AD2" s="610"/>
      <c r="AE2" s="596"/>
    </row>
    <row r="3" spans="2:31" customFormat="1" ht="18">
      <c r="B3" s="57"/>
      <c r="H3" s="732"/>
      <c r="M3" s="30"/>
      <c r="U3" s="28"/>
      <c r="AA3" s="13"/>
      <c r="AC3" s="13"/>
      <c r="AD3" s="13"/>
      <c r="AE3" s="13"/>
    </row>
    <row r="4" spans="2:31" s="14" customFormat="1" ht="24" thickBot="1">
      <c r="B4" s="406">
        <v>45658</v>
      </c>
      <c r="C4" s="407" t="s">
        <v>792</v>
      </c>
      <c r="D4" s="327"/>
      <c r="E4" s="327"/>
      <c r="F4" s="326"/>
      <c r="G4" s="328"/>
      <c r="H4" s="732"/>
      <c r="I4" s="11"/>
      <c r="J4" s="617" t="s">
        <v>7</v>
      </c>
      <c r="K4" s="618"/>
      <c r="L4" s="11"/>
      <c r="M4" s="553" t="s">
        <v>7</v>
      </c>
      <c r="N4" s="554"/>
      <c r="O4" s="555" t="s">
        <v>204</v>
      </c>
      <c r="P4" s="554"/>
      <c r="Q4" s="555" t="s">
        <v>9</v>
      </c>
      <c r="R4" s="554"/>
      <c r="S4" s="556" t="s">
        <v>10</v>
      </c>
      <c r="T4" s="565"/>
      <c r="U4" s="29"/>
      <c r="V4" s="553" t="s">
        <v>7</v>
      </c>
      <c r="W4" s="554"/>
      <c r="X4" s="555" t="s">
        <v>8</v>
      </c>
      <c r="Y4" s="554"/>
      <c r="Z4" s="555" t="s">
        <v>9</v>
      </c>
      <c r="AA4" s="554"/>
      <c r="AB4" s="555" t="s">
        <v>9</v>
      </c>
      <c r="AC4" s="554"/>
      <c r="AD4" s="556" t="s">
        <v>10</v>
      </c>
      <c r="AE4" s="557"/>
    </row>
    <row r="5" spans="2:31" ht="12.6" customHeight="1">
      <c r="B5" s="587" t="s">
        <v>40</v>
      </c>
      <c r="C5" s="588"/>
      <c r="D5" s="597" t="s">
        <v>4</v>
      </c>
      <c r="E5" s="597"/>
      <c r="F5" s="597"/>
      <c r="G5" s="598"/>
      <c r="H5" s="734" t="s">
        <v>12</v>
      </c>
      <c r="I5" s="6"/>
      <c r="J5" s="603" t="s">
        <v>3</v>
      </c>
      <c r="K5" s="604"/>
      <c r="L5" s="7"/>
      <c r="M5" s="736" t="s">
        <v>473</v>
      </c>
      <c r="N5" s="737"/>
      <c r="O5" s="784" t="s">
        <v>474</v>
      </c>
      <c r="P5" s="737"/>
      <c r="Q5" s="744" t="s">
        <v>475</v>
      </c>
      <c r="R5" s="745"/>
      <c r="S5" s="744" t="s">
        <v>476</v>
      </c>
      <c r="T5" s="745"/>
      <c r="U5" s="27"/>
      <c r="V5" s="750"/>
      <c r="W5" s="751"/>
      <c r="X5" s="752" t="s">
        <v>483</v>
      </c>
      <c r="Y5" s="753"/>
      <c r="Z5" s="793" t="s">
        <v>679</v>
      </c>
      <c r="AA5" s="794"/>
      <c r="AB5" s="714" t="s">
        <v>681</v>
      </c>
      <c r="AC5" s="715"/>
      <c r="AD5" s="716" t="s">
        <v>481</v>
      </c>
      <c r="AE5" s="720"/>
    </row>
    <row r="6" spans="2:31">
      <c r="B6" s="589"/>
      <c r="C6" s="590"/>
      <c r="D6" s="599"/>
      <c r="E6" s="599"/>
      <c r="F6" s="599"/>
      <c r="G6" s="600"/>
      <c r="H6" s="735"/>
      <c r="I6" s="7"/>
      <c r="J6" s="605"/>
      <c r="K6" s="606"/>
      <c r="L6" s="7"/>
      <c r="M6" s="236"/>
      <c r="N6" s="233"/>
      <c r="O6" s="785"/>
      <c r="P6" s="786"/>
      <c r="Q6" s="744"/>
      <c r="R6" s="745"/>
      <c r="S6" s="744"/>
      <c r="T6" s="745"/>
      <c r="U6" s="27"/>
      <c r="V6" s="58"/>
      <c r="W6" s="92"/>
      <c r="X6" s="744"/>
      <c r="Y6" s="754"/>
      <c r="Z6" s="795"/>
      <c r="AA6" s="796"/>
      <c r="AB6" s="716"/>
      <c r="AC6" s="717"/>
      <c r="AD6" s="716"/>
      <c r="AE6" s="720"/>
    </row>
    <row r="7" spans="2:31">
      <c r="B7" s="589"/>
      <c r="C7" s="590"/>
      <c r="D7" s="599"/>
      <c r="E7" s="599"/>
      <c r="F7" s="599"/>
      <c r="G7" s="600"/>
      <c r="H7" s="735"/>
      <c r="I7" s="7"/>
      <c r="J7" s="605"/>
      <c r="K7" s="606"/>
      <c r="L7" s="7"/>
      <c r="M7" s="237" t="s">
        <v>482</v>
      </c>
      <c r="N7" s="233"/>
      <c r="O7" s="785"/>
      <c r="P7" s="786"/>
      <c r="Q7" s="744"/>
      <c r="R7" s="745"/>
      <c r="S7" s="744"/>
      <c r="T7" s="745"/>
      <c r="U7" s="31"/>
      <c r="V7" s="733" t="s">
        <v>489</v>
      </c>
      <c r="W7" s="625"/>
      <c r="X7" s="744"/>
      <c r="Y7" s="754"/>
      <c r="Z7" s="795"/>
      <c r="AA7" s="796"/>
      <c r="AB7" s="716"/>
      <c r="AC7" s="717"/>
      <c r="AD7" s="716"/>
      <c r="AE7" s="720"/>
    </row>
    <row r="8" spans="2:31">
      <c r="B8" s="589"/>
      <c r="C8" s="590"/>
      <c r="D8" s="599"/>
      <c r="E8" s="599"/>
      <c r="F8" s="599"/>
      <c r="G8" s="600"/>
      <c r="H8" s="735"/>
      <c r="I8" s="7"/>
      <c r="J8" s="605"/>
      <c r="K8" s="606"/>
      <c r="L8" s="7"/>
      <c r="M8" s="238"/>
      <c r="N8" s="233"/>
      <c r="O8" s="785"/>
      <c r="P8" s="786"/>
      <c r="Q8" s="744"/>
      <c r="R8" s="745"/>
      <c r="S8" s="744"/>
      <c r="T8" s="745"/>
      <c r="U8" s="31"/>
      <c r="V8" s="624"/>
      <c r="W8" s="625"/>
      <c r="X8" s="744"/>
      <c r="Y8" s="754"/>
      <c r="Z8" s="795"/>
      <c r="AA8" s="796"/>
      <c r="AB8" s="716"/>
      <c r="AC8" s="717"/>
      <c r="AD8" s="716"/>
      <c r="AE8" s="720"/>
    </row>
    <row r="9" spans="2:31">
      <c r="B9" s="589"/>
      <c r="C9" s="590"/>
      <c r="D9" s="599"/>
      <c r="E9" s="599"/>
      <c r="F9" s="599"/>
      <c r="G9" s="600"/>
      <c r="H9" s="735"/>
      <c r="I9" s="7"/>
      <c r="J9" s="605"/>
      <c r="K9" s="606"/>
      <c r="L9" s="7"/>
      <c r="M9" s="237" t="s">
        <v>477</v>
      </c>
      <c r="N9" s="233"/>
      <c r="O9" s="785"/>
      <c r="P9" s="786"/>
      <c r="Q9" s="744"/>
      <c r="R9" s="745"/>
      <c r="S9" s="744"/>
      <c r="T9" s="745"/>
      <c r="U9" s="31"/>
      <c r="V9" s="624"/>
      <c r="W9" s="625"/>
      <c r="X9" s="744"/>
      <c r="Y9" s="754"/>
      <c r="Z9" s="795"/>
      <c r="AA9" s="796"/>
      <c r="AB9" s="716"/>
      <c r="AC9" s="717"/>
      <c r="AD9" s="716"/>
      <c r="AE9" s="720"/>
    </row>
    <row r="10" spans="2:31">
      <c r="B10" s="589"/>
      <c r="C10" s="590"/>
      <c r="D10" s="599"/>
      <c r="E10" s="599"/>
      <c r="F10" s="599"/>
      <c r="G10" s="600"/>
      <c r="H10" s="735"/>
      <c r="I10" s="7"/>
      <c r="J10" s="605"/>
      <c r="K10" s="606"/>
      <c r="L10" s="7"/>
      <c r="M10" s="238"/>
      <c r="N10" s="233"/>
      <c r="O10" s="785"/>
      <c r="P10" s="786"/>
      <c r="Q10" s="744"/>
      <c r="R10" s="745"/>
      <c r="S10" s="744"/>
      <c r="T10" s="745"/>
      <c r="U10" s="31"/>
      <c r="V10" s="624"/>
      <c r="W10" s="625"/>
      <c r="X10" s="744"/>
      <c r="Y10" s="754"/>
      <c r="Z10" s="795"/>
      <c r="AA10" s="796"/>
      <c r="AB10" s="716"/>
      <c r="AC10" s="717"/>
      <c r="AD10" s="716"/>
      <c r="AE10" s="720"/>
    </row>
    <row r="11" spans="2:31">
      <c r="B11" s="589"/>
      <c r="C11" s="590"/>
      <c r="D11" s="599"/>
      <c r="E11" s="599"/>
      <c r="F11" s="599"/>
      <c r="G11" s="600"/>
      <c r="H11" s="735"/>
      <c r="I11" s="7"/>
      <c r="J11" s="605"/>
      <c r="K11" s="606"/>
      <c r="L11" s="7"/>
      <c r="M11" s="237" t="s">
        <v>478</v>
      </c>
      <c r="N11" s="233"/>
      <c r="O11" s="785"/>
      <c r="P11" s="786"/>
      <c r="Q11" s="744"/>
      <c r="R11" s="745"/>
      <c r="S11" s="744"/>
      <c r="T11" s="745"/>
      <c r="U11" s="31"/>
      <c r="V11" s="624"/>
      <c r="W11" s="625"/>
      <c r="X11" s="744"/>
      <c r="Y11" s="754"/>
      <c r="Z11" s="795"/>
      <c r="AA11" s="796"/>
      <c r="AB11" s="716"/>
      <c r="AC11" s="717"/>
      <c r="AD11" s="716"/>
      <c r="AE11" s="720"/>
    </row>
    <row r="12" spans="2:31" ht="13.5" thickBot="1">
      <c r="B12" s="589"/>
      <c r="C12" s="590"/>
      <c r="D12" s="601"/>
      <c r="E12" s="601"/>
      <c r="F12" s="601"/>
      <c r="G12" s="602"/>
      <c r="H12" s="735"/>
      <c r="I12" s="7"/>
      <c r="J12" s="607"/>
      <c r="K12" s="608"/>
      <c r="L12" s="7"/>
      <c r="M12" s="234"/>
      <c r="N12" s="235"/>
      <c r="O12" s="787"/>
      <c r="P12" s="788"/>
      <c r="Q12" s="746"/>
      <c r="R12" s="747"/>
      <c r="S12" s="746"/>
      <c r="T12" s="747"/>
      <c r="U12" s="31"/>
      <c r="V12" s="626"/>
      <c r="W12" s="627"/>
      <c r="X12" s="746"/>
      <c r="Y12" s="755"/>
      <c r="Z12" s="797"/>
      <c r="AA12" s="798"/>
      <c r="AB12" s="718"/>
      <c r="AC12" s="719"/>
      <c r="AD12" s="718"/>
      <c r="AE12" s="721"/>
    </row>
    <row r="13" spans="2:31" ht="12.6" customHeight="1">
      <c r="B13" s="589"/>
      <c r="C13" s="590"/>
      <c r="D13" s="661" t="s">
        <v>334</v>
      </c>
      <c r="E13" s="662"/>
      <c r="F13" s="662"/>
      <c r="G13" s="662"/>
      <c r="H13" s="201"/>
      <c r="I13" s="7"/>
      <c r="J13" s="657" t="s">
        <v>3</v>
      </c>
      <c r="K13" s="658"/>
      <c r="L13" s="7"/>
      <c r="M13" s="738" t="s">
        <v>3</v>
      </c>
      <c r="N13" s="739"/>
      <c r="O13" s="791" t="s">
        <v>479</v>
      </c>
      <c r="P13" s="792"/>
      <c r="Q13" s="742" t="s">
        <v>475</v>
      </c>
      <c r="R13" s="743"/>
      <c r="S13" s="742" t="s">
        <v>476</v>
      </c>
      <c r="T13" s="743"/>
      <c r="U13" s="31"/>
      <c r="V13" s="748" t="s">
        <v>484</v>
      </c>
      <c r="W13" s="749"/>
      <c r="X13" s="761" t="s">
        <v>485</v>
      </c>
      <c r="Y13" s="670"/>
      <c r="Z13" s="761" t="s">
        <v>680</v>
      </c>
      <c r="AA13" s="670"/>
      <c r="AB13" s="761" t="s">
        <v>682</v>
      </c>
      <c r="AC13" s="670"/>
      <c r="AD13" s="763" t="s">
        <v>486</v>
      </c>
      <c r="AE13" s="764"/>
    </row>
    <row r="14" spans="2:31" ht="13.5" thickBot="1">
      <c r="B14" s="589"/>
      <c r="C14" s="590"/>
      <c r="D14" s="663"/>
      <c r="E14" s="664"/>
      <c r="F14" s="664"/>
      <c r="G14" s="664"/>
      <c r="H14" s="202"/>
      <c r="I14" s="7"/>
      <c r="J14" s="659" t="s">
        <v>3</v>
      </c>
      <c r="K14" s="660"/>
      <c r="L14" s="7"/>
      <c r="M14" s="628" t="s">
        <v>3</v>
      </c>
      <c r="N14" s="629"/>
      <c r="O14" s="789" t="s">
        <v>3</v>
      </c>
      <c r="P14" s="790"/>
      <c r="Q14" s="765" t="s">
        <v>3</v>
      </c>
      <c r="R14" s="766"/>
      <c r="S14" s="765" t="s">
        <v>3</v>
      </c>
      <c r="T14" s="767"/>
      <c r="U14" s="31"/>
      <c r="V14" s="740" t="s">
        <v>487</v>
      </c>
      <c r="W14" s="741"/>
      <c r="X14" s="740" t="s">
        <v>488</v>
      </c>
      <c r="Y14" s="741"/>
      <c r="Z14" s="230"/>
      <c r="AA14" s="231"/>
      <c r="AB14" s="230"/>
      <c r="AC14" s="231"/>
      <c r="AD14" s="230"/>
      <c r="AE14" s="232"/>
    </row>
    <row r="15" spans="2:31" ht="16.5" thickBot="1">
      <c r="B15" s="589"/>
      <c r="C15" s="590"/>
      <c r="D15" s="611" t="s">
        <v>27</v>
      </c>
      <c r="E15" s="611"/>
      <c r="F15" s="612"/>
      <c r="G15" s="613"/>
      <c r="H15" s="203" t="s">
        <v>3</v>
      </c>
      <c r="I15" s="10"/>
      <c r="J15" s="585" t="s">
        <v>3</v>
      </c>
      <c r="K15" s="586"/>
      <c r="L15" s="7"/>
      <c r="M15" s="583" t="s">
        <v>49</v>
      </c>
      <c r="N15" s="561"/>
      <c r="O15" s="578" t="s">
        <v>15</v>
      </c>
      <c r="P15" s="579"/>
      <c r="Q15" s="560" t="s">
        <v>15</v>
      </c>
      <c r="R15" s="561"/>
      <c r="S15" s="560" t="s">
        <v>15</v>
      </c>
      <c r="T15" s="561"/>
      <c r="U15" s="27"/>
      <c r="V15" s="583" t="s">
        <v>49</v>
      </c>
      <c r="W15" s="561"/>
      <c r="X15" s="578" t="s">
        <v>15</v>
      </c>
      <c r="Y15" s="579"/>
      <c r="Z15" s="560" t="s">
        <v>15</v>
      </c>
      <c r="AA15" s="561"/>
      <c r="AB15" s="560" t="s">
        <v>15</v>
      </c>
      <c r="AC15" s="561"/>
      <c r="AD15" s="560" t="s">
        <v>15</v>
      </c>
      <c r="AE15" s="642"/>
    </row>
    <row r="16" spans="2:31" ht="39" thickBot="1">
      <c r="B16" s="589"/>
      <c r="C16" s="590"/>
      <c r="D16" s="611" t="s">
        <v>53</v>
      </c>
      <c r="E16" s="611"/>
      <c r="F16" s="612"/>
      <c r="G16" s="613"/>
      <c r="H16" s="203" t="s">
        <v>48</v>
      </c>
      <c r="I16" s="10"/>
      <c r="J16" s="762" t="s">
        <v>491</v>
      </c>
      <c r="K16" s="604"/>
      <c r="L16" s="7"/>
      <c r="M16" s="637" t="s">
        <v>62</v>
      </c>
      <c r="N16" s="638"/>
      <c r="O16" s="558" t="s">
        <v>50</v>
      </c>
      <c r="P16" s="559"/>
      <c r="Q16" s="558" t="s">
        <v>50</v>
      </c>
      <c r="R16" s="559"/>
      <c r="S16" s="558" t="s">
        <v>50</v>
      </c>
      <c r="T16" s="559"/>
      <c r="U16" s="27"/>
      <c r="V16" s="637" t="s">
        <v>62</v>
      </c>
      <c r="W16" s="638"/>
      <c r="X16" s="558" t="s">
        <v>50</v>
      </c>
      <c r="Y16" s="559"/>
      <c r="Z16" s="558" t="s">
        <v>50</v>
      </c>
      <c r="AA16" s="559"/>
      <c r="AB16" s="558" t="s">
        <v>50</v>
      </c>
      <c r="AC16" s="559"/>
      <c r="AD16" s="558" t="s">
        <v>50</v>
      </c>
      <c r="AE16" s="634"/>
    </row>
    <row r="17" spans="2:91" ht="16.5" thickBot="1">
      <c r="B17" s="591"/>
      <c r="C17" s="592"/>
      <c r="D17" s="620" t="s">
        <v>5</v>
      </c>
      <c r="E17" s="621"/>
      <c r="F17" s="621"/>
      <c r="G17" s="621"/>
      <c r="H17" s="204" t="s">
        <v>3</v>
      </c>
      <c r="I17" s="9"/>
      <c r="J17" s="622" t="s">
        <v>3</v>
      </c>
      <c r="K17" s="586"/>
      <c r="L17" s="7"/>
      <c r="M17" s="622" t="s">
        <v>64</v>
      </c>
      <c r="N17" s="635"/>
      <c r="O17" s="636" t="s">
        <v>64</v>
      </c>
      <c r="P17" s="635"/>
      <c r="Q17" s="636" t="s">
        <v>64</v>
      </c>
      <c r="R17" s="635"/>
      <c r="S17" s="636" t="s">
        <v>64</v>
      </c>
      <c r="T17" s="635"/>
      <c r="U17" s="27"/>
      <c r="V17" s="622" t="s">
        <v>64</v>
      </c>
      <c r="W17" s="635"/>
      <c r="X17" s="636" t="s">
        <v>64</v>
      </c>
      <c r="Y17" s="635"/>
      <c r="Z17" s="636" t="s">
        <v>64</v>
      </c>
      <c r="AA17" s="635"/>
      <c r="AB17" s="636" t="s">
        <v>64</v>
      </c>
      <c r="AC17" s="635"/>
      <c r="AD17" s="636" t="s">
        <v>64</v>
      </c>
      <c r="AE17" s="586"/>
      <c r="AG17" s="46"/>
      <c r="AH17" s="7"/>
      <c r="AI17" s="50"/>
      <c r="AJ17" s="50"/>
      <c r="AK17" s="7"/>
      <c r="AL17" s="50"/>
      <c r="AM17" s="50"/>
      <c r="AN17" s="50"/>
      <c r="AO17" s="50"/>
      <c r="AP17" s="50"/>
      <c r="AQ17" s="50"/>
      <c r="AR17" s="50"/>
      <c r="AS17" s="50"/>
      <c r="AT17" s="7"/>
      <c r="AU17" s="50"/>
      <c r="AV17" s="50"/>
      <c r="AW17" s="50"/>
      <c r="AX17" s="50"/>
      <c r="AY17" s="49"/>
      <c r="AZ17" s="50"/>
      <c r="CB17" s="1"/>
      <c r="CD17" s="1"/>
      <c r="CE17" s="1"/>
      <c r="CI17" s="1"/>
    </row>
    <row r="18" spans="2:91" ht="24" thickBot="1">
      <c r="B18" s="88"/>
      <c r="C18" s="88"/>
      <c r="D18" s="239"/>
      <c r="E18" s="239"/>
      <c r="F18" s="240"/>
      <c r="G18" s="240"/>
      <c r="H18" s="241"/>
      <c r="I18" s="46"/>
      <c r="J18" s="242"/>
      <c r="K18" s="242"/>
      <c r="L18" s="46"/>
      <c r="M18" s="243"/>
      <c r="N18" s="243"/>
      <c r="O18" s="243"/>
      <c r="P18" s="243"/>
      <c r="Q18" s="243"/>
      <c r="R18" s="243"/>
      <c r="S18" s="243"/>
      <c r="T18" s="243"/>
      <c r="U18" s="46"/>
      <c r="V18" s="243"/>
      <c r="W18" s="242"/>
      <c r="X18" s="243"/>
      <c r="Y18" s="242"/>
      <c r="Z18" s="243"/>
      <c r="AA18" s="243"/>
      <c r="AB18" s="243"/>
      <c r="AC18" s="243"/>
      <c r="AD18" s="243"/>
      <c r="AE18" s="242"/>
      <c r="AG18" s="46"/>
      <c r="AH18" s="7"/>
      <c r="AI18" s="50"/>
      <c r="AJ18" s="50"/>
      <c r="AK18" s="7"/>
      <c r="AL18" s="50"/>
      <c r="AM18" s="50"/>
      <c r="AN18" s="50"/>
      <c r="AO18" s="50"/>
      <c r="AP18" s="50"/>
      <c r="AQ18" s="50"/>
      <c r="AR18" s="50"/>
      <c r="AS18" s="50"/>
      <c r="AT18" s="7"/>
      <c r="AU18" s="50"/>
      <c r="AV18" s="50"/>
      <c r="AW18" s="50"/>
      <c r="AX18" s="50"/>
      <c r="AY18" s="49"/>
      <c r="AZ18" s="50"/>
      <c r="CB18" s="1"/>
      <c r="CD18" s="1"/>
      <c r="CE18" s="1"/>
      <c r="CI18" s="1"/>
    </row>
    <row r="19" spans="2:91" ht="18.75" thickBot="1">
      <c r="B19" s="3"/>
      <c r="C19" s="66" t="s">
        <v>490</v>
      </c>
      <c r="H19" s="200"/>
      <c r="U19" s="1"/>
      <c r="BD19" s="799" t="s">
        <v>463</v>
      </c>
      <c r="BE19" s="800"/>
      <c r="BF19" s="800"/>
      <c r="BG19" s="800"/>
      <c r="BH19" s="800"/>
      <c r="BI19" s="800"/>
      <c r="BJ19" s="800"/>
      <c r="BK19" s="800"/>
      <c r="BL19" s="800"/>
      <c r="BM19" s="800"/>
      <c r="BN19" s="800"/>
      <c r="BO19" s="800"/>
      <c r="BP19" s="800"/>
      <c r="BQ19" s="800"/>
      <c r="BR19" s="800"/>
      <c r="BS19" s="800"/>
      <c r="BT19" s="800"/>
      <c r="BU19" s="800"/>
      <c r="BV19" s="800"/>
      <c r="BW19" s="800"/>
      <c r="BX19" s="800"/>
      <c r="BY19" s="801"/>
      <c r="CA19" s="523" t="s">
        <v>375</v>
      </c>
      <c r="CB19" s="524"/>
      <c r="CC19" s="524"/>
      <c r="CD19" s="524"/>
      <c r="CE19" s="524"/>
      <c r="CF19" s="524"/>
      <c r="CG19" s="524"/>
      <c r="CH19" s="524"/>
      <c r="CI19" s="524"/>
      <c r="CJ19" s="524"/>
      <c r="CK19" s="524"/>
      <c r="CL19" s="524"/>
      <c r="CM19" s="525"/>
    </row>
    <row r="20" spans="2:91" ht="14.25">
      <c r="B20" s="1"/>
      <c r="C20" s="66" t="s">
        <v>95</v>
      </c>
      <c r="D20" s="63"/>
      <c r="E20" s="63"/>
      <c r="F20" s="2"/>
      <c r="G20" s="2"/>
      <c r="H20" s="205"/>
      <c r="I20" s="2"/>
      <c r="J20" s="2"/>
      <c r="K20" s="2"/>
      <c r="L20" s="2"/>
      <c r="M20" s="2"/>
      <c r="N20" s="2"/>
      <c r="U20" s="1"/>
      <c r="CA20" s="2"/>
      <c r="CB20" s="2"/>
      <c r="CC20" s="2"/>
      <c r="CD20" s="2"/>
      <c r="CE20" s="2"/>
      <c r="CF20" s="2"/>
      <c r="CI20" s="2"/>
    </row>
    <row r="21" spans="2:91" s="137" customFormat="1" ht="15">
      <c r="B21" s="195"/>
      <c r="C21" s="208" t="s">
        <v>461</v>
      </c>
      <c r="D21" s="196"/>
      <c r="E21" s="196"/>
      <c r="F21" s="196"/>
      <c r="G21" s="196"/>
      <c r="H21" s="196"/>
      <c r="I21" s="209"/>
      <c r="J21" s="196"/>
      <c r="K21" s="196"/>
      <c r="L21" s="209"/>
      <c r="M21" s="196"/>
      <c r="N21" s="196"/>
      <c r="U21" s="209"/>
      <c r="AF21" s="209"/>
      <c r="AH21" s="209"/>
      <c r="AK21" s="209"/>
      <c r="AT21" s="209"/>
      <c r="BE21" s="137">
        <v>7</v>
      </c>
      <c r="BF21" s="137">
        <v>8</v>
      </c>
      <c r="BG21" s="137">
        <v>9</v>
      </c>
      <c r="BH21" s="137">
        <v>10</v>
      </c>
      <c r="BI21" s="138">
        <v>13</v>
      </c>
      <c r="BJ21" s="138">
        <v>14</v>
      </c>
      <c r="BK21" s="138">
        <v>15</v>
      </c>
      <c r="BL21" s="138">
        <v>16</v>
      </c>
      <c r="BM21" s="138">
        <v>17</v>
      </c>
      <c r="BN21" s="138">
        <v>18</v>
      </c>
      <c r="BO21" s="138">
        <v>19</v>
      </c>
      <c r="BP21" s="138">
        <v>20</v>
      </c>
      <c r="BQ21" s="138">
        <v>21</v>
      </c>
      <c r="BR21" s="138">
        <v>22</v>
      </c>
      <c r="BS21" s="138">
        <v>23</v>
      </c>
      <c r="BT21" s="138">
        <v>24</v>
      </c>
      <c r="BU21" s="138">
        <v>25</v>
      </c>
      <c r="BV21" s="138">
        <v>26</v>
      </c>
      <c r="BW21" s="138">
        <v>27</v>
      </c>
      <c r="BX21" s="138">
        <v>28</v>
      </c>
      <c r="BY21" s="138">
        <v>29</v>
      </c>
      <c r="CA21" s="196"/>
      <c r="CB21" s="196"/>
      <c r="CC21" s="196"/>
      <c r="CD21" s="196"/>
      <c r="CE21" s="196"/>
      <c r="CF21" s="196"/>
      <c r="CI21" s="196"/>
    </row>
    <row r="22" spans="2:91" ht="20.25">
      <c r="B22" s="217" t="s">
        <v>460</v>
      </c>
      <c r="C22" s="215"/>
      <c r="D22" s="214"/>
      <c r="E22" s="214"/>
      <c r="F22" s="214"/>
      <c r="G22" s="216"/>
      <c r="H22" s="216"/>
      <c r="I22" s="216"/>
      <c r="J22" s="216"/>
      <c r="K22" s="216"/>
      <c r="L22" s="216"/>
      <c r="M22" s="216"/>
      <c r="N22" s="216"/>
      <c r="O22" s="216"/>
      <c r="P22" s="216"/>
      <c r="Q22" s="216"/>
      <c r="R22" s="216"/>
      <c r="S22" s="216"/>
      <c r="T22" s="216"/>
      <c r="U22" s="216"/>
      <c r="V22" s="216"/>
      <c r="W22" s="216"/>
      <c r="X22" s="216"/>
      <c r="Y22" s="216"/>
      <c r="Z22" s="216"/>
      <c r="AA22" s="216"/>
      <c r="AB22" s="216"/>
      <c r="AC22" s="216"/>
      <c r="AD22" s="216"/>
      <c r="AE22" s="217"/>
      <c r="AF22" s="217"/>
      <c r="AG22" s="217"/>
      <c r="AH22" s="217"/>
      <c r="AI22" s="217"/>
      <c r="AJ22" s="217"/>
      <c r="AK22" s="217"/>
      <c r="AL22" s="217"/>
      <c r="AM22" s="217"/>
      <c r="AN22" s="217"/>
      <c r="AO22" s="217"/>
      <c r="AP22" s="217"/>
      <c r="AQ22" s="217"/>
      <c r="AR22" s="217"/>
      <c r="AS22" s="217"/>
      <c r="AT22" s="217"/>
      <c r="AU22" s="217"/>
      <c r="AV22" s="217"/>
      <c r="AW22" s="217"/>
      <c r="AX22" s="217"/>
      <c r="AY22" s="217"/>
      <c r="AZ22" s="217"/>
      <c r="BA22" s="217"/>
      <c r="BE22" s="137"/>
      <c r="BF22" s="137"/>
      <c r="BG22" s="137"/>
      <c r="BH22" s="137"/>
      <c r="BI22" s="138"/>
      <c r="BJ22" s="138"/>
      <c r="BK22" s="138"/>
      <c r="BL22" s="138"/>
      <c r="BM22" s="138"/>
      <c r="BN22" s="138"/>
      <c r="BO22" s="138"/>
      <c r="BP22" s="138"/>
      <c r="BQ22" s="138"/>
      <c r="BR22" s="138"/>
      <c r="BS22" s="138"/>
      <c r="BT22" s="138"/>
      <c r="BU22" s="138"/>
      <c r="BV22" s="138"/>
      <c r="BW22" s="138"/>
      <c r="BX22" s="138"/>
      <c r="BY22" s="138"/>
      <c r="CA22" s="2"/>
      <c r="CB22" s="2"/>
      <c r="CC22" s="2"/>
      <c r="CD22" s="2"/>
      <c r="CE22" s="2"/>
      <c r="CF22" s="2"/>
      <c r="CI22" s="2"/>
    </row>
    <row r="23" spans="2:91" ht="15" thickBot="1">
      <c r="C23" s="66"/>
      <c r="D23" s="196">
        <v>2</v>
      </c>
      <c r="E23" s="196">
        <v>3</v>
      </c>
      <c r="F23" s="196">
        <v>4</v>
      </c>
      <c r="G23" s="196">
        <v>5</v>
      </c>
      <c r="H23" s="63"/>
      <c r="I23" s="212"/>
      <c r="J23" s="63"/>
      <c r="K23" s="63"/>
      <c r="L23" s="212"/>
      <c r="M23" s="63"/>
      <c r="N23" s="63"/>
      <c r="O23" s="63"/>
      <c r="P23" s="63"/>
      <c r="Q23" s="63"/>
      <c r="R23" s="63"/>
      <c r="S23" s="63"/>
      <c r="T23" s="63"/>
      <c r="U23" s="212"/>
      <c r="V23" s="63"/>
      <c r="W23" s="63"/>
      <c r="X23" s="63"/>
      <c r="Y23" s="63"/>
      <c r="Z23" s="63"/>
      <c r="AA23" s="63"/>
      <c r="AB23" s="63"/>
      <c r="AC23" s="63"/>
      <c r="AD23" s="229"/>
      <c r="AE23" s="229"/>
      <c r="BE23" s="137"/>
      <c r="BF23" s="137"/>
      <c r="BG23" s="137"/>
      <c r="BH23" s="137"/>
      <c r="BI23" s="138"/>
      <c r="BJ23" s="138"/>
      <c r="BK23" s="138"/>
      <c r="BL23" s="138"/>
      <c r="BM23" s="138"/>
      <c r="BN23" s="138"/>
      <c r="BO23" s="138"/>
      <c r="BP23" s="138"/>
      <c r="BQ23" s="138"/>
      <c r="BR23" s="138"/>
      <c r="BS23" s="138"/>
      <c r="BT23" s="138"/>
      <c r="BU23" s="138"/>
      <c r="BV23" s="138"/>
      <c r="BW23" s="138"/>
      <c r="BX23" s="138"/>
      <c r="BY23" s="138"/>
      <c r="CA23" s="2"/>
      <c r="CB23" s="2"/>
      <c r="CC23" s="2"/>
      <c r="CD23" s="2"/>
      <c r="CE23" s="2"/>
      <c r="CF23" s="2"/>
      <c r="CI23" s="2"/>
    </row>
    <row r="24" spans="2:91" ht="18.75" thickBot="1">
      <c r="B24" s="651" t="s">
        <v>25</v>
      </c>
      <c r="C24" s="652"/>
      <c r="D24" s="652"/>
      <c r="E24" s="652"/>
      <c r="F24" s="652"/>
      <c r="G24" s="653"/>
      <c r="H24" s="526" t="s">
        <v>23</v>
      </c>
      <c r="J24" s="533" t="s">
        <v>24</v>
      </c>
      <c r="K24" s="534"/>
      <c r="L24" s="12"/>
      <c r="M24" s="533" t="s">
        <v>6</v>
      </c>
      <c r="N24" s="551"/>
      <c r="O24" s="551"/>
      <c r="P24" s="551"/>
      <c r="Q24" s="551"/>
      <c r="R24" s="551"/>
      <c r="S24" s="551"/>
      <c r="T24" s="551"/>
      <c r="U24" s="551"/>
      <c r="V24" s="551"/>
      <c r="W24" s="551"/>
      <c r="X24" s="551"/>
      <c r="Y24" s="551"/>
      <c r="Z24" s="551"/>
      <c r="AA24" s="551"/>
      <c r="AB24" s="551"/>
      <c r="AC24" s="551"/>
      <c r="AD24" s="551"/>
      <c r="AE24" s="552"/>
      <c r="AG24" s="526" t="s">
        <v>41</v>
      </c>
      <c r="AI24" s="533" t="s">
        <v>42</v>
      </c>
      <c r="AJ24" s="534"/>
      <c r="AK24" s="12"/>
      <c r="AL24" s="530" t="s">
        <v>46</v>
      </c>
      <c r="AM24" s="531"/>
      <c r="AN24" s="531"/>
      <c r="AO24" s="531"/>
      <c r="AP24" s="531"/>
      <c r="AQ24" s="531"/>
      <c r="AR24" s="531"/>
      <c r="AS24" s="531"/>
      <c r="AT24" s="531"/>
      <c r="AU24" s="531"/>
      <c r="AV24" s="531"/>
      <c r="AW24" s="531"/>
      <c r="AX24" s="531"/>
      <c r="AY24" s="531"/>
      <c r="AZ24" s="531"/>
      <c r="BA24" s="531"/>
      <c r="BB24" s="531"/>
      <c r="BD24" s="526" t="s">
        <v>404</v>
      </c>
      <c r="BF24" s="533" t="s">
        <v>24</v>
      </c>
      <c r="BG24" s="534"/>
      <c r="BH24" s="12"/>
      <c r="BI24" s="533" t="s">
        <v>6</v>
      </c>
      <c r="BJ24" s="551"/>
      <c r="BK24" s="551"/>
      <c r="BL24" s="551"/>
      <c r="BM24" s="551"/>
      <c r="BN24" s="551"/>
      <c r="BO24" s="551"/>
      <c r="BP24" s="551"/>
      <c r="BQ24" s="551"/>
      <c r="BR24" s="551"/>
      <c r="BS24" s="551"/>
      <c r="BT24" s="551"/>
      <c r="BU24" s="551"/>
      <c r="BV24" s="551"/>
      <c r="BW24" s="551"/>
      <c r="BX24" s="551"/>
      <c r="BY24" s="552"/>
      <c r="CA24" s="526" t="s">
        <v>23</v>
      </c>
      <c r="CC24" s="528" t="s">
        <v>24</v>
      </c>
      <c r="CE24" s="544" t="s">
        <v>6</v>
      </c>
      <c r="CF24" s="545"/>
      <c r="CG24" s="545"/>
      <c r="CH24" s="545"/>
      <c r="CI24" s="545"/>
      <c r="CJ24" s="545"/>
      <c r="CK24" s="545"/>
      <c r="CL24" s="545"/>
      <c r="CM24" s="546"/>
    </row>
    <row r="25" spans="2:91" ht="18.75" thickBot="1">
      <c r="B25" s="654"/>
      <c r="C25" s="655"/>
      <c r="D25" s="655"/>
      <c r="E25" s="655"/>
      <c r="F25" s="655"/>
      <c r="G25" s="656"/>
      <c r="H25" s="527"/>
      <c r="J25" s="535"/>
      <c r="K25" s="536"/>
      <c r="L25" s="12"/>
      <c r="M25" s="26"/>
      <c r="N25" s="12"/>
      <c r="O25" s="12"/>
      <c r="P25" s="12"/>
      <c r="Q25" s="12"/>
      <c r="R25" s="12"/>
      <c r="S25" s="12"/>
      <c r="T25" s="12"/>
      <c r="U25" s="12"/>
      <c r="V25" s="12"/>
      <c r="W25" s="12"/>
      <c r="X25" s="12"/>
      <c r="Y25" s="12"/>
      <c r="Z25" s="12"/>
      <c r="AA25" s="12"/>
      <c r="AB25" s="12"/>
      <c r="AC25" s="12"/>
      <c r="AD25" s="12"/>
      <c r="AE25" s="12"/>
      <c r="AG25" s="527"/>
      <c r="AI25" s="535"/>
      <c r="AJ25" s="536"/>
      <c r="AK25" s="12"/>
      <c r="AL25" s="26"/>
      <c r="AM25" s="12"/>
      <c r="AN25" s="12"/>
      <c r="AO25" s="12"/>
      <c r="AP25" s="12"/>
      <c r="AQ25" s="12"/>
      <c r="AR25" s="12"/>
      <c r="AS25" s="12"/>
      <c r="AT25" s="12"/>
      <c r="AU25" s="12"/>
      <c r="AV25" s="12"/>
      <c r="AW25" s="12"/>
      <c r="AX25" s="12"/>
      <c r="AY25" s="12"/>
      <c r="AZ25" s="12"/>
      <c r="BA25" s="12"/>
      <c r="BB25" s="12"/>
      <c r="BD25" s="527"/>
      <c r="BF25" s="535"/>
      <c r="BG25" s="536"/>
      <c r="BH25" s="12"/>
      <c r="BI25" s="26"/>
      <c r="BJ25" s="12"/>
      <c r="BK25" s="12"/>
      <c r="BL25" s="12"/>
      <c r="BM25" s="12"/>
      <c r="BN25" s="12"/>
      <c r="BO25" s="12"/>
      <c r="BP25" s="12"/>
      <c r="BQ25" s="12"/>
      <c r="BR25" s="12"/>
      <c r="BS25" s="12"/>
      <c r="BT25" s="12"/>
      <c r="BU25" s="12"/>
      <c r="BV25" s="12"/>
      <c r="BW25" s="12"/>
      <c r="BX25" s="12"/>
      <c r="BY25" s="12"/>
      <c r="CA25" s="527"/>
      <c r="CC25" s="529"/>
      <c r="CE25" s="26"/>
      <c r="CF25" s="12"/>
      <c r="CG25" s="12"/>
      <c r="CH25" s="12"/>
      <c r="CJ25" s="12"/>
      <c r="CK25" s="12"/>
      <c r="CL25" s="12"/>
      <c r="CM25" s="12"/>
    </row>
    <row r="26" spans="2:91" ht="30.75" customHeight="1" thickBot="1">
      <c r="B26" s="654"/>
      <c r="C26" s="655"/>
      <c r="D26" s="655"/>
      <c r="E26" s="655"/>
      <c r="F26" s="655"/>
      <c r="G26" s="656"/>
      <c r="H26" s="527"/>
      <c r="J26" s="535"/>
      <c r="K26" s="536"/>
      <c r="L26" s="11"/>
      <c r="M26" s="537" t="s">
        <v>18</v>
      </c>
      <c r="N26" s="538"/>
      <c r="O26" s="538"/>
      <c r="P26" s="538"/>
      <c r="Q26" s="538"/>
      <c r="R26" s="538"/>
      <c r="S26" s="538"/>
      <c r="T26" s="539"/>
      <c r="U26" s="13"/>
      <c r="V26" s="537" t="s">
        <v>31</v>
      </c>
      <c r="W26" s="538"/>
      <c r="X26" s="538"/>
      <c r="Y26" s="538"/>
      <c r="Z26" s="538"/>
      <c r="AA26" s="538"/>
      <c r="AB26" s="538"/>
      <c r="AC26" s="538"/>
      <c r="AD26" s="538"/>
      <c r="AE26" s="539"/>
      <c r="AG26" s="527"/>
      <c r="AI26" s="535"/>
      <c r="AJ26" s="536"/>
      <c r="AK26" s="11"/>
      <c r="AL26" s="537" t="s">
        <v>18</v>
      </c>
      <c r="AM26" s="538"/>
      <c r="AN26" s="538"/>
      <c r="AO26" s="538"/>
      <c r="AP26" s="538"/>
      <c r="AQ26" s="538"/>
      <c r="AR26" s="538"/>
      <c r="AS26" s="539"/>
      <c r="AT26" s="13"/>
      <c r="AU26" s="537" t="s">
        <v>31</v>
      </c>
      <c r="AV26" s="538"/>
      <c r="AW26" s="538"/>
      <c r="AX26" s="538"/>
      <c r="AY26" s="538"/>
      <c r="AZ26" s="538"/>
      <c r="BA26" s="538"/>
      <c r="BB26" s="539"/>
      <c r="BD26" s="527"/>
      <c r="BF26" s="535"/>
      <c r="BG26" s="536"/>
      <c r="BH26" s="11"/>
      <c r="BI26" s="537" t="s">
        <v>18</v>
      </c>
      <c r="BJ26" s="538"/>
      <c r="BK26" s="538"/>
      <c r="BL26" s="538"/>
      <c r="BM26" s="538"/>
      <c r="BN26" s="538"/>
      <c r="BO26" s="538"/>
      <c r="BP26" s="539"/>
      <c r="BQ26" s="13"/>
      <c r="BR26" s="537" t="s">
        <v>31</v>
      </c>
      <c r="BS26" s="538"/>
      <c r="BT26" s="538"/>
      <c r="BU26" s="538"/>
      <c r="BV26" s="538"/>
      <c r="BW26" s="538"/>
      <c r="BX26" s="538"/>
      <c r="BY26" s="539"/>
      <c r="CA26" s="527"/>
      <c r="CC26" s="770"/>
      <c r="CE26" s="725" t="s">
        <v>18</v>
      </c>
      <c r="CF26" s="725"/>
      <c r="CG26" s="725"/>
      <c r="CH26" s="725"/>
      <c r="CJ26" s="725" t="s">
        <v>31</v>
      </c>
      <c r="CK26" s="725"/>
      <c r="CL26" s="725"/>
      <c r="CM26" s="725"/>
    </row>
    <row r="27" spans="2:91" s="4" customFormat="1" ht="18.75" thickBot="1">
      <c r="B27" s="654"/>
      <c r="C27" s="655"/>
      <c r="D27" s="655"/>
      <c r="E27" s="655"/>
      <c r="F27" s="655"/>
      <c r="G27" s="656"/>
      <c r="H27" s="527"/>
      <c r="J27" s="12"/>
      <c r="K27" s="12"/>
      <c r="L27" s="11"/>
      <c r="M27" s="24"/>
      <c r="N27" s="13"/>
      <c r="O27" s="13"/>
      <c r="P27" s="13"/>
      <c r="Q27" s="13"/>
      <c r="R27" s="13"/>
      <c r="S27" s="13"/>
      <c r="T27" s="25"/>
      <c r="U27" s="13"/>
      <c r="V27" s="24"/>
      <c r="W27" s="13"/>
      <c r="X27" s="13"/>
      <c r="Y27" s="13"/>
      <c r="Z27" s="13"/>
      <c r="AA27" s="13"/>
      <c r="AB27" s="13"/>
      <c r="AC27" s="13"/>
      <c r="AD27" s="13"/>
      <c r="AE27" s="25"/>
      <c r="AG27" s="527"/>
      <c r="AI27" s="12"/>
      <c r="AJ27" s="12"/>
      <c r="AK27" s="11"/>
      <c r="AL27" s="24"/>
      <c r="AM27" s="13"/>
      <c r="AN27" s="13"/>
      <c r="AO27" s="13"/>
      <c r="AP27" s="13"/>
      <c r="AQ27" s="13"/>
      <c r="AR27" s="13"/>
      <c r="AS27" s="25"/>
      <c r="AT27" s="13"/>
      <c r="AU27" s="24"/>
      <c r="AV27" s="13"/>
      <c r="AW27" s="13"/>
      <c r="AX27" s="13"/>
      <c r="AY27" s="13"/>
      <c r="AZ27" s="25"/>
      <c r="BB27" s="62"/>
      <c r="BD27" s="527"/>
      <c r="BF27" s="12"/>
      <c r="BG27" s="12"/>
      <c r="BH27" s="11"/>
      <c r="BI27" s="24"/>
      <c r="BJ27" s="13"/>
      <c r="BK27" s="13"/>
      <c r="BL27" s="13"/>
      <c r="BM27" s="13"/>
      <c r="BN27" s="13"/>
      <c r="BO27" s="13"/>
      <c r="BP27" s="25"/>
      <c r="BQ27" s="13"/>
      <c r="BR27" s="24"/>
      <c r="BS27" s="13"/>
      <c r="BT27" s="13"/>
      <c r="BU27" s="13"/>
      <c r="BV27" s="13"/>
      <c r="BW27" s="25"/>
      <c r="BX27" s="13"/>
      <c r="BY27" s="25"/>
      <c r="CA27" s="527"/>
      <c r="CC27" s="12"/>
      <c r="CE27" s="12"/>
      <c r="CF27" s="13"/>
      <c r="CG27" s="13"/>
      <c r="CH27" s="13"/>
      <c r="CJ27" s="24"/>
      <c r="CK27" s="13"/>
      <c r="CL27" s="13"/>
      <c r="CM27" s="13"/>
    </row>
    <row r="28" spans="2:91" ht="26.25" thickBot="1">
      <c r="B28" s="654"/>
      <c r="C28" s="655"/>
      <c r="D28" s="655"/>
      <c r="E28" s="655"/>
      <c r="F28" s="655"/>
      <c r="G28" s="656"/>
      <c r="H28" s="527"/>
      <c r="I28" s="8"/>
      <c r="J28" s="540" t="s">
        <v>7</v>
      </c>
      <c r="K28" s="541"/>
      <c r="L28" s="11"/>
      <c r="M28" s="540" t="s">
        <v>7</v>
      </c>
      <c r="N28" s="632"/>
      <c r="O28" s="540" t="s">
        <v>204</v>
      </c>
      <c r="P28" s="632"/>
      <c r="Q28" s="540" t="s">
        <v>9</v>
      </c>
      <c r="R28" s="632"/>
      <c r="S28" s="547" t="s">
        <v>10</v>
      </c>
      <c r="T28" s="548"/>
      <c r="U28" s="11"/>
      <c r="V28" s="540" t="s">
        <v>17</v>
      </c>
      <c r="W28" s="632"/>
      <c r="X28" s="540" t="s">
        <v>14</v>
      </c>
      <c r="Y28" s="632"/>
      <c r="Z28" s="540" t="s">
        <v>16</v>
      </c>
      <c r="AA28" s="632"/>
      <c r="AB28" s="540" t="s">
        <v>16</v>
      </c>
      <c r="AC28" s="632"/>
      <c r="AD28" s="547" t="s">
        <v>54</v>
      </c>
      <c r="AE28" s="548"/>
      <c r="AG28" s="527"/>
      <c r="AH28" s="8"/>
      <c r="AI28" s="540" t="s">
        <v>7</v>
      </c>
      <c r="AJ28" s="541"/>
      <c r="AK28" s="11"/>
      <c r="AL28" s="540" t="s">
        <v>7</v>
      </c>
      <c r="AM28" s="541"/>
      <c r="AN28" s="540" t="s">
        <v>8</v>
      </c>
      <c r="AO28" s="541"/>
      <c r="AP28" s="540" t="s">
        <v>9</v>
      </c>
      <c r="AQ28" s="541"/>
      <c r="AR28" s="540" t="s">
        <v>10</v>
      </c>
      <c r="AS28" s="541"/>
      <c r="AT28" s="11"/>
      <c r="AU28" s="547" t="s">
        <v>17</v>
      </c>
      <c r="AV28" s="548"/>
      <c r="AW28" s="547" t="s">
        <v>14</v>
      </c>
      <c r="AX28" s="548"/>
      <c r="AY28" s="632" t="s">
        <v>16</v>
      </c>
      <c r="AZ28" s="633"/>
      <c r="BA28" s="542" t="s">
        <v>54</v>
      </c>
      <c r="BB28" s="543"/>
      <c r="BD28" s="527"/>
      <c r="BF28" s="540" t="s">
        <v>7</v>
      </c>
      <c r="BG28" s="541"/>
      <c r="BH28" s="11"/>
      <c r="BI28" s="540" t="s">
        <v>7</v>
      </c>
      <c r="BJ28" s="541"/>
      <c r="BK28" s="540" t="s">
        <v>8</v>
      </c>
      <c r="BL28" s="541"/>
      <c r="BM28" s="540" t="s">
        <v>9</v>
      </c>
      <c r="BN28" s="541"/>
      <c r="BO28" s="540" t="s">
        <v>10</v>
      </c>
      <c r="BP28" s="541"/>
      <c r="BQ28" s="11"/>
      <c r="BR28" s="547" t="s">
        <v>17</v>
      </c>
      <c r="BS28" s="548"/>
      <c r="BT28" s="547" t="s">
        <v>14</v>
      </c>
      <c r="BU28" s="548"/>
      <c r="BV28" s="549" t="s">
        <v>16</v>
      </c>
      <c r="BW28" s="550"/>
      <c r="BX28" s="542" t="s">
        <v>54</v>
      </c>
      <c r="BY28" s="543"/>
      <c r="CA28" s="775"/>
      <c r="CB28" s="8"/>
      <c r="CC28" s="129" t="s">
        <v>7</v>
      </c>
      <c r="CD28" s="8"/>
      <c r="CE28" s="129" t="s">
        <v>7</v>
      </c>
      <c r="CF28" s="129" t="s">
        <v>204</v>
      </c>
      <c r="CG28" s="129" t="s">
        <v>9</v>
      </c>
      <c r="CH28" s="130" t="s">
        <v>10</v>
      </c>
      <c r="CI28" s="8"/>
      <c r="CJ28" s="129" t="s">
        <v>17</v>
      </c>
      <c r="CK28" s="129" t="s">
        <v>14</v>
      </c>
      <c r="CL28" s="129" t="s">
        <v>16</v>
      </c>
      <c r="CM28" s="130" t="s">
        <v>54</v>
      </c>
    </row>
    <row r="29" spans="2:91" customFormat="1" ht="13.5" thickBot="1">
      <c r="B29" s="218"/>
      <c r="H29" s="18"/>
      <c r="J29" s="16"/>
      <c r="K29" s="17"/>
      <c r="M29" s="16"/>
      <c r="V29" s="16"/>
      <c r="AF29" s="4"/>
      <c r="AG29" s="18"/>
      <c r="AI29" s="16"/>
      <c r="AJ29" s="17"/>
      <c r="AL29" s="16"/>
      <c r="AS29" s="17"/>
      <c r="AU29" s="16"/>
      <c r="AV29" s="17"/>
      <c r="AW29" s="16"/>
      <c r="AX29" s="17"/>
      <c r="AZ29" s="17"/>
      <c r="BB29" s="17"/>
      <c r="BD29" s="18"/>
      <c r="BF29" s="16"/>
      <c r="BG29" s="17"/>
      <c r="BI29" s="16"/>
      <c r="BP29" s="17"/>
      <c r="BR29" s="16"/>
      <c r="BS29" s="17"/>
      <c r="BT29" s="16"/>
      <c r="BU29" s="17"/>
      <c r="BW29" s="17"/>
      <c r="BY29" s="17"/>
      <c r="CA29" s="131"/>
      <c r="CC29" s="16"/>
      <c r="CE29" s="16"/>
      <c r="CJ29" s="131"/>
    </row>
    <row r="30" spans="2:91" ht="49.5">
      <c r="B30" s="337" t="s">
        <v>19</v>
      </c>
      <c r="C30" s="335" t="s">
        <v>698</v>
      </c>
      <c r="D30" s="336" t="s">
        <v>1</v>
      </c>
      <c r="E30" s="336" t="s">
        <v>127</v>
      </c>
      <c r="F30" s="335" t="s">
        <v>2</v>
      </c>
      <c r="G30" s="335" t="s">
        <v>11</v>
      </c>
      <c r="H30" s="335" t="s">
        <v>122</v>
      </c>
      <c r="I30" s="11"/>
      <c r="J30" s="15" t="s">
        <v>118</v>
      </c>
      <c r="K30" s="23" t="s">
        <v>28</v>
      </c>
      <c r="L30" s="11"/>
      <c r="M30" s="15" t="s">
        <v>118</v>
      </c>
      <c r="N30" s="69" t="s">
        <v>29</v>
      </c>
      <c r="O30" s="15" t="s">
        <v>118</v>
      </c>
      <c r="P30" s="68" t="s">
        <v>29</v>
      </c>
      <c r="Q30" s="15" t="s">
        <v>118</v>
      </c>
      <c r="R30" s="68" t="s">
        <v>29</v>
      </c>
      <c r="S30" s="15" t="s">
        <v>118</v>
      </c>
      <c r="T30" s="72" t="s">
        <v>29</v>
      </c>
      <c r="U30" s="11"/>
      <c r="V30" s="15" t="s">
        <v>118</v>
      </c>
      <c r="W30" s="68" t="s">
        <v>29</v>
      </c>
      <c r="X30" s="339" t="s">
        <v>118</v>
      </c>
      <c r="Y30" s="342" t="s">
        <v>29</v>
      </c>
      <c r="Z30" s="339" t="s">
        <v>118</v>
      </c>
      <c r="AA30" s="342" t="s">
        <v>29</v>
      </c>
      <c r="AB30" s="15" t="s">
        <v>118</v>
      </c>
      <c r="AC30" s="68" t="s">
        <v>29</v>
      </c>
      <c r="AD30" s="15" t="s">
        <v>118</v>
      </c>
      <c r="AE30" s="72" t="s">
        <v>29</v>
      </c>
      <c r="AG30" s="335" t="s">
        <v>43</v>
      </c>
      <c r="AH30" s="11"/>
      <c r="AI30" s="15" t="s">
        <v>44</v>
      </c>
      <c r="AJ30" s="23" t="s">
        <v>45</v>
      </c>
      <c r="AK30" s="11"/>
      <c r="AL30" s="15" t="s">
        <v>44</v>
      </c>
      <c r="AM30" s="23" t="s">
        <v>45</v>
      </c>
      <c r="AN30" s="15" t="s">
        <v>44</v>
      </c>
      <c r="AO30" s="23" t="s">
        <v>45</v>
      </c>
      <c r="AP30" s="15" t="s">
        <v>44</v>
      </c>
      <c r="AQ30" s="23" t="s">
        <v>45</v>
      </c>
      <c r="AR30" s="15" t="s">
        <v>44</v>
      </c>
      <c r="AS30" s="23" t="s">
        <v>45</v>
      </c>
      <c r="AT30" s="11"/>
      <c r="AU30" s="15" t="s">
        <v>44</v>
      </c>
      <c r="AV30" s="23" t="s">
        <v>45</v>
      </c>
      <c r="AW30" s="339" t="s">
        <v>44</v>
      </c>
      <c r="AX30" s="344" t="s">
        <v>45</v>
      </c>
      <c r="AY30" s="339" t="s">
        <v>44</v>
      </c>
      <c r="AZ30" s="344" t="s">
        <v>45</v>
      </c>
      <c r="BA30" s="15" t="s">
        <v>44</v>
      </c>
      <c r="BB30" s="23" t="s">
        <v>45</v>
      </c>
      <c r="BD30" s="20" t="s">
        <v>122</v>
      </c>
      <c r="BF30" s="15" t="s">
        <v>118</v>
      </c>
      <c r="BG30" s="23" t="s">
        <v>28</v>
      </c>
      <c r="BH30" s="11"/>
      <c r="BI30" s="15" t="s">
        <v>118</v>
      </c>
      <c r="BJ30" s="23" t="s">
        <v>29</v>
      </c>
      <c r="BK30" s="15" t="s">
        <v>118</v>
      </c>
      <c r="BL30" s="23" t="s">
        <v>29</v>
      </c>
      <c r="BM30" s="15" t="s">
        <v>118</v>
      </c>
      <c r="BN30" s="23" t="s">
        <v>29</v>
      </c>
      <c r="BO30" s="15" t="s">
        <v>118</v>
      </c>
      <c r="BP30" s="23" t="s">
        <v>29</v>
      </c>
      <c r="BQ30" s="11"/>
      <c r="BR30" s="15" t="s">
        <v>118</v>
      </c>
      <c r="BS30" s="23" t="s">
        <v>29</v>
      </c>
      <c r="BT30" s="339" t="s">
        <v>118</v>
      </c>
      <c r="BU30" s="344" t="s">
        <v>29</v>
      </c>
      <c r="BV30" s="339" t="s">
        <v>118</v>
      </c>
      <c r="BW30" s="344" t="s">
        <v>29</v>
      </c>
      <c r="BX30" s="15" t="s">
        <v>118</v>
      </c>
      <c r="BY30" s="23" t="s">
        <v>29</v>
      </c>
      <c r="CA30" s="132" t="s">
        <v>122</v>
      </c>
      <c r="CB30" s="11"/>
      <c r="CC30" s="15" t="s">
        <v>376</v>
      </c>
      <c r="CD30" s="11"/>
      <c r="CE30" s="15" t="s">
        <v>377</v>
      </c>
      <c r="CF30" s="15" t="s">
        <v>378</v>
      </c>
      <c r="CG30" s="15" t="s">
        <v>378</v>
      </c>
      <c r="CH30" s="15" t="s">
        <v>378</v>
      </c>
      <c r="CI30" s="11"/>
      <c r="CJ30" s="15" t="s">
        <v>378</v>
      </c>
      <c r="CK30" s="339" t="s">
        <v>378</v>
      </c>
      <c r="CL30" s="339" t="s">
        <v>378</v>
      </c>
      <c r="CM30" s="15" t="s">
        <v>378</v>
      </c>
    </row>
    <row r="31" spans="2:91" s="2" customFormat="1">
      <c r="B31" s="153" t="s">
        <v>225</v>
      </c>
      <c r="C31" s="211" t="s">
        <v>717</v>
      </c>
      <c r="D31" s="41">
        <v>620</v>
      </c>
      <c r="E31" s="41">
        <v>5.33</v>
      </c>
      <c r="F31" s="22" t="s">
        <v>391</v>
      </c>
      <c r="G31" s="40">
        <v>24</v>
      </c>
      <c r="H31" s="80">
        <v>569.42148760330576</v>
      </c>
      <c r="I31" s="321"/>
      <c r="J31" s="35"/>
      <c r="K31" s="36"/>
      <c r="L31" s="37"/>
      <c r="M31" s="35"/>
      <c r="N31" s="136"/>
      <c r="O31" s="35"/>
      <c r="P31" s="136"/>
      <c r="Q31" s="35"/>
      <c r="R31" s="136"/>
      <c r="S31" s="37"/>
      <c r="T31" s="136"/>
      <c r="U31" s="37"/>
      <c r="V31" s="35"/>
      <c r="W31" s="136"/>
      <c r="X31" s="35">
        <v>0</v>
      </c>
      <c r="Y31" s="136">
        <v>14.5</v>
      </c>
      <c r="Z31" s="35">
        <v>0</v>
      </c>
      <c r="AA31" s="323">
        <v>4</v>
      </c>
      <c r="AB31" s="35">
        <v>0</v>
      </c>
      <c r="AC31" s="323">
        <v>4</v>
      </c>
      <c r="AD31" s="37">
        <v>0</v>
      </c>
      <c r="AE31" s="136">
        <v>4</v>
      </c>
      <c r="AF31" s="37"/>
      <c r="AG31" s="40">
        <v>51</v>
      </c>
      <c r="AH31" s="65"/>
      <c r="AI31" s="35"/>
      <c r="AJ31" s="36"/>
      <c r="AK31" s="37"/>
      <c r="AL31" s="35"/>
      <c r="AM31" s="36"/>
      <c r="AN31" s="35"/>
      <c r="AO31" s="36"/>
      <c r="AP31" s="35"/>
      <c r="AQ31" s="36"/>
      <c r="AR31" s="35"/>
      <c r="AS31" s="36"/>
      <c r="AT31" s="37"/>
      <c r="AU31" s="35"/>
      <c r="AV31" s="36"/>
      <c r="AW31" s="35">
        <v>272</v>
      </c>
      <c r="AX31" s="36">
        <v>348</v>
      </c>
      <c r="AY31" s="35">
        <v>524</v>
      </c>
      <c r="AZ31" s="36">
        <v>96</v>
      </c>
      <c r="BA31" s="35">
        <v>524</v>
      </c>
      <c r="BB31" s="36">
        <v>96</v>
      </c>
      <c r="BD31" s="40"/>
      <c r="BE31" s="65"/>
      <c r="BF31" s="35"/>
      <c r="BG31" s="36"/>
      <c r="BH31" s="37"/>
      <c r="BI31" s="35"/>
      <c r="BJ31" s="136"/>
      <c r="BK31" s="35"/>
      <c r="BL31" s="136"/>
      <c r="BM31" s="35"/>
      <c r="BN31" s="136"/>
      <c r="BO31" s="35"/>
      <c r="BP31" s="136"/>
      <c r="BQ31" s="37"/>
      <c r="BR31" s="35"/>
      <c r="BS31" s="136"/>
      <c r="BT31" s="35">
        <v>0</v>
      </c>
      <c r="BU31" s="136">
        <v>0</v>
      </c>
      <c r="BV31" s="35">
        <v>0</v>
      </c>
      <c r="BW31" s="136">
        <v>-4</v>
      </c>
      <c r="BX31" s="35">
        <v>0</v>
      </c>
      <c r="BY31" s="136">
        <v>-4</v>
      </c>
      <c r="CA31" s="80"/>
      <c r="CB31" s="65"/>
      <c r="CC31" s="40"/>
      <c r="CD31" s="65"/>
      <c r="CE31" s="40"/>
      <c r="CF31" s="40"/>
      <c r="CG31" s="40"/>
      <c r="CH31" s="40"/>
      <c r="CI31" s="65"/>
      <c r="CJ31" s="40"/>
      <c r="CK31" s="40">
        <v>-221.42148760330576</v>
      </c>
      <c r="CL31" s="40">
        <v>-473.42148760330576</v>
      </c>
      <c r="CM31" s="40">
        <v>-473.42148760330576</v>
      </c>
    </row>
    <row r="32" spans="2:91" ht="13.5" thickBot="1">
      <c r="B32" s="299" t="s">
        <v>225</v>
      </c>
      <c r="C32" s="296" t="s">
        <v>717</v>
      </c>
      <c r="D32" s="222">
        <v>620</v>
      </c>
      <c r="E32" s="222">
        <v>5.33</v>
      </c>
      <c r="F32" s="223" t="s">
        <v>391</v>
      </c>
      <c r="G32" s="223">
        <v>30</v>
      </c>
      <c r="H32" s="226">
        <v>569.42148760330576</v>
      </c>
      <c r="I32" s="321"/>
      <c r="J32" s="35"/>
      <c r="K32" s="36"/>
      <c r="L32" s="37"/>
      <c r="M32" s="35"/>
      <c r="N32" s="136"/>
      <c r="O32" s="35"/>
      <c r="P32" s="136"/>
      <c r="Q32" s="35"/>
      <c r="R32" s="136"/>
      <c r="S32" s="37"/>
      <c r="T32" s="136"/>
      <c r="U32" s="37"/>
      <c r="V32" s="35"/>
      <c r="W32" s="136"/>
      <c r="X32" s="225">
        <v>0</v>
      </c>
      <c r="Y32" s="221">
        <v>11.600000000000001</v>
      </c>
      <c r="Z32" s="225">
        <v>0</v>
      </c>
      <c r="AA32" s="322">
        <v>3.2</v>
      </c>
      <c r="AB32" s="225">
        <v>0</v>
      </c>
      <c r="AC32" s="322">
        <v>3.2</v>
      </c>
      <c r="AD32" s="219">
        <v>0</v>
      </c>
      <c r="AE32" s="221">
        <v>3.2</v>
      </c>
      <c r="AF32" s="37"/>
      <c r="AG32" s="224">
        <v>51</v>
      </c>
      <c r="AH32" s="65"/>
      <c r="AI32" s="35"/>
      <c r="AJ32" s="36"/>
      <c r="AK32" s="37"/>
      <c r="AL32" s="35"/>
      <c r="AM32" s="36"/>
      <c r="AN32" s="35"/>
      <c r="AO32" s="36"/>
      <c r="AP32" s="35"/>
      <c r="AQ32" s="36"/>
      <c r="AR32" s="35"/>
      <c r="AS32" s="36"/>
      <c r="AT32" s="37"/>
      <c r="AU32" s="35"/>
      <c r="AV32" s="36"/>
      <c r="AW32" s="225">
        <v>272</v>
      </c>
      <c r="AX32" s="220">
        <v>348.00000000000006</v>
      </c>
      <c r="AY32" s="225">
        <v>524</v>
      </c>
      <c r="AZ32" s="220">
        <v>96</v>
      </c>
      <c r="BA32" s="225">
        <v>524</v>
      </c>
      <c r="BB32" s="220">
        <v>96</v>
      </c>
      <c r="BC32" s="2"/>
      <c r="BD32" s="40"/>
      <c r="BE32" s="65"/>
      <c r="BF32" s="35"/>
      <c r="BG32" s="36"/>
      <c r="BH32" s="37"/>
      <c r="BI32" s="35"/>
      <c r="BJ32" s="136"/>
      <c r="BK32" s="35"/>
      <c r="BL32" s="136"/>
      <c r="BM32" s="35"/>
      <c r="BN32" s="136"/>
      <c r="BO32" s="35"/>
      <c r="BP32" s="136"/>
      <c r="BQ32" s="37"/>
      <c r="BR32" s="35"/>
      <c r="BS32" s="136"/>
      <c r="BT32" s="225">
        <v>0</v>
      </c>
      <c r="BU32" s="221">
        <v>0</v>
      </c>
      <c r="BV32" s="225">
        <v>0</v>
      </c>
      <c r="BW32" s="221">
        <v>-3.2</v>
      </c>
      <c r="BX32" s="225">
        <v>0</v>
      </c>
      <c r="BY32" s="221">
        <v>-3.2</v>
      </c>
      <c r="BZ32" s="2"/>
      <c r="CA32" s="80"/>
      <c r="CB32" s="65"/>
      <c r="CC32" s="40"/>
      <c r="CD32" s="65"/>
      <c r="CE32" s="40"/>
      <c r="CF32" s="40"/>
      <c r="CG32" s="40"/>
      <c r="CH32" s="40"/>
      <c r="CI32" s="65"/>
      <c r="CJ32" s="40"/>
      <c r="CK32" s="224">
        <v>-221.42148760330571</v>
      </c>
      <c r="CL32" s="224">
        <v>-473.42148760330576</v>
      </c>
      <c r="CM32" s="224">
        <v>-473.42148760330576</v>
      </c>
    </row>
  </sheetData>
  <autoFilter ref="A30:CM32" xr:uid="{6BD87451-135E-4A69-B556-187247AE5B41}"/>
  <sortState xmlns:xlrd2="http://schemas.microsoft.com/office/spreadsheetml/2017/richdata2" ref="C51:C99">
    <sortCondition ref="C51:C99"/>
  </sortState>
  <mergeCells count="130">
    <mergeCell ref="CJ26:CM26"/>
    <mergeCell ref="AN28:AO28"/>
    <mergeCell ref="AP28:AQ28"/>
    <mergeCell ref="AR28:AS28"/>
    <mergeCell ref="BX28:BY28"/>
    <mergeCell ref="BK28:BL28"/>
    <mergeCell ref="BM28:BN28"/>
    <mergeCell ref="BO28:BP28"/>
    <mergeCell ref="BR28:BS28"/>
    <mergeCell ref="BT28:BU28"/>
    <mergeCell ref="BV28:BW28"/>
    <mergeCell ref="AU28:AV28"/>
    <mergeCell ref="AW28:AX28"/>
    <mergeCell ref="AY28:AZ28"/>
    <mergeCell ref="BA28:BB28"/>
    <mergeCell ref="BF28:BG28"/>
    <mergeCell ref="BI28:BJ28"/>
    <mergeCell ref="BI26:BP26"/>
    <mergeCell ref="BR26:BY26"/>
    <mergeCell ref="V28:W28"/>
    <mergeCell ref="X28:Y28"/>
    <mergeCell ref="AB28:AC28"/>
    <mergeCell ref="AD28:AE28"/>
    <mergeCell ref="AI28:AJ28"/>
    <mergeCell ref="AL28:AM28"/>
    <mergeCell ref="Z28:AA28"/>
    <mergeCell ref="CE26:CH26"/>
    <mergeCell ref="BD19:BY19"/>
    <mergeCell ref="CA19:CM19"/>
    <mergeCell ref="B24:G28"/>
    <mergeCell ref="H24:H28"/>
    <mergeCell ref="J24:K26"/>
    <mergeCell ref="M24:AE24"/>
    <mergeCell ref="AG24:AG28"/>
    <mergeCell ref="J28:K28"/>
    <mergeCell ref="M28:N28"/>
    <mergeCell ref="O28:P28"/>
    <mergeCell ref="Q28:R28"/>
    <mergeCell ref="S28:T28"/>
    <mergeCell ref="CC24:CC26"/>
    <mergeCell ref="CE24:CM24"/>
    <mergeCell ref="M26:T26"/>
    <mergeCell ref="V26:AE26"/>
    <mergeCell ref="AL26:AS26"/>
    <mergeCell ref="AU26:BB26"/>
    <mergeCell ref="AI24:AJ26"/>
    <mergeCell ref="AL24:BB24"/>
    <mergeCell ref="BD24:BD28"/>
    <mergeCell ref="BF24:BG26"/>
    <mergeCell ref="BI24:BY24"/>
    <mergeCell ref="CA24:CA28"/>
    <mergeCell ref="AD17:AE17"/>
    <mergeCell ref="D17:G17"/>
    <mergeCell ref="J17:K17"/>
    <mergeCell ref="M17:N17"/>
    <mergeCell ref="O17:P17"/>
    <mergeCell ref="Q17:R17"/>
    <mergeCell ref="S17:T17"/>
    <mergeCell ref="V17:W17"/>
    <mergeCell ref="X17:Y17"/>
    <mergeCell ref="AB17:AC17"/>
    <mergeCell ref="Z17:AA17"/>
    <mergeCell ref="AB15:AC15"/>
    <mergeCell ref="AD15:AE15"/>
    <mergeCell ref="D16:G16"/>
    <mergeCell ref="J16:K16"/>
    <mergeCell ref="M16:N16"/>
    <mergeCell ref="O16:P16"/>
    <mergeCell ref="Q16:R16"/>
    <mergeCell ref="S16:T16"/>
    <mergeCell ref="V16:W16"/>
    <mergeCell ref="X16:Y16"/>
    <mergeCell ref="AB16:AC16"/>
    <mergeCell ref="AD16:AE16"/>
    <mergeCell ref="D15:G15"/>
    <mergeCell ref="J15:K15"/>
    <mergeCell ref="M15:N15"/>
    <mergeCell ref="O15:P15"/>
    <mergeCell ref="Q15:R15"/>
    <mergeCell ref="S15:T15"/>
    <mergeCell ref="V15:W15"/>
    <mergeCell ref="X15:Y15"/>
    <mergeCell ref="Z15:AA15"/>
    <mergeCell ref="Z16:AA16"/>
    <mergeCell ref="X4:Y4"/>
    <mergeCell ref="AB4:AC4"/>
    <mergeCell ref="AD4:AE4"/>
    <mergeCell ref="V13:W13"/>
    <mergeCell ref="X13:Y13"/>
    <mergeCell ref="AB13:AC13"/>
    <mergeCell ref="AD13:AE13"/>
    <mergeCell ref="J14:K14"/>
    <mergeCell ref="M14:N14"/>
    <mergeCell ref="O14:P14"/>
    <mergeCell ref="Q14:R14"/>
    <mergeCell ref="S14:T14"/>
    <mergeCell ref="V14:W14"/>
    <mergeCell ref="J13:K13"/>
    <mergeCell ref="M13:N13"/>
    <mergeCell ref="O13:P13"/>
    <mergeCell ref="Q13:R13"/>
    <mergeCell ref="S13:T13"/>
    <mergeCell ref="X14:Y14"/>
    <mergeCell ref="Z4:AA4"/>
    <mergeCell ref="Z5:AA12"/>
    <mergeCell ref="Z13:AA13"/>
    <mergeCell ref="B5:C17"/>
    <mergeCell ref="D5:G12"/>
    <mergeCell ref="H5:H12"/>
    <mergeCell ref="J5:K12"/>
    <mergeCell ref="M5:N5"/>
    <mergeCell ref="O5:P12"/>
    <mergeCell ref="B2:G2"/>
    <mergeCell ref="H2:H4"/>
    <mergeCell ref="J2:K2"/>
    <mergeCell ref="M2:AE2"/>
    <mergeCell ref="J4:K4"/>
    <mergeCell ref="M4:N4"/>
    <mergeCell ref="O4:P4"/>
    <mergeCell ref="Q4:R4"/>
    <mergeCell ref="S4:T4"/>
    <mergeCell ref="Q5:R12"/>
    <mergeCell ref="S5:T12"/>
    <mergeCell ref="V5:W5"/>
    <mergeCell ref="X5:Y12"/>
    <mergeCell ref="AB5:AC12"/>
    <mergeCell ref="AD5:AE12"/>
    <mergeCell ref="V7:W12"/>
    <mergeCell ref="V4:W4"/>
    <mergeCell ref="D13:G14"/>
  </mergeCells>
  <phoneticPr fontId="72" type="noConversion"/>
  <conditionalFormatting sqref="BD31:BS31 BV31:BW31">
    <cfRule type="cellIs" dxfId="21" priority="133" stopIfTrue="1" operator="lessThan">
      <formula>0</formula>
    </cfRule>
    <cfRule type="cellIs" dxfId="20" priority="134" stopIfTrue="1" operator="greaterThan">
      <formula>0</formula>
    </cfRule>
  </conditionalFormatting>
  <conditionalFormatting sqref="BT31:BU31">
    <cfRule type="cellIs" dxfId="19" priority="131" stopIfTrue="1" operator="lessThan">
      <formula>0</formula>
    </cfRule>
    <cfRule type="cellIs" dxfId="18" priority="132" stopIfTrue="1" operator="greaterThan">
      <formula>0</formula>
    </cfRule>
  </conditionalFormatting>
  <conditionalFormatting sqref="BX31:BY31">
    <cfRule type="cellIs" dxfId="17" priority="129" stopIfTrue="1" operator="lessThan">
      <formula>0</formula>
    </cfRule>
    <cfRule type="cellIs" dxfId="16" priority="130" stopIfTrue="1" operator="greaterThan">
      <formula>0</formula>
    </cfRule>
  </conditionalFormatting>
  <conditionalFormatting sqref="BT31:BU31">
    <cfRule type="cellIs" dxfId="15" priority="127" stopIfTrue="1" operator="lessThan">
      <formula>0</formula>
    </cfRule>
    <cfRule type="cellIs" dxfId="14" priority="128" stopIfTrue="1" operator="greaterThan">
      <formula>0</formula>
    </cfRule>
  </conditionalFormatting>
  <conditionalFormatting sqref="F4">
    <cfRule type="expression" dxfId="13" priority="101" stopIfTrue="1">
      <formula>ISERROR(F4)</formula>
    </cfRule>
    <cfRule type="cellIs" dxfId="12" priority="102" stopIfTrue="1" operator="lessThan">
      <formula>0</formula>
    </cfRule>
  </conditionalFormatting>
  <conditionalFormatting sqref="BD32:BS32 BV32:BY32">
    <cfRule type="cellIs" dxfId="11" priority="3" stopIfTrue="1" operator="lessThan">
      <formula>0</formula>
    </cfRule>
    <cfRule type="cellIs" dxfId="10" priority="4" stopIfTrue="1" operator="greaterThan">
      <formula>0</formula>
    </cfRule>
  </conditionalFormatting>
  <conditionalFormatting sqref="BT32:BU32">
    <cfRule type="cellIs" dxfId="9" priority="1" stopIfTrue="1" operator="lessThan">
      <formula>0</formula>
    </cfRule>
    <cfRule type="cellIs" dxfId="8" priority="2" stopIfTrue="1" operator="greaterThan">
      <formula>0</formula>
    </cfRule>
  </conditionalFormatting>
  <pageMargins left="0.74803149606299213" right="0.74803149606299213" top="0.98425196850393704" bottom="0.98425196850393704" header="0" footer="0"/>
  <pageSetup paperSize="8" scale="42" orientation="portrait" r:id="rId1"/>
  <headerFooter alignWithMargins="0">
    <oddFooter>&amp;C&amp;1#&amp;"Calibri"&amp;8&amp;KED7D31Orange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EBC1F-9050-4B03-A5D8-B28DFD07DE95}">
  <sheetPr codeName="Hoja13">
    <tabColor rgb="FFFF6600"/>
    <pageSetUpPr fitToPage="1"/>
  </sheetPr>
  <dimension ref="B2:X414"/>
  <sheetViews>
    <sheetView showGridLines="0" zoomScale="70" zoomScaleNormal="70" workbookViewId="0">
      <selection activeCell="B5" sqref="B5:C17"/>
    </sheetView>
  </sheetViews>
  <sheetFormatPr baseColWidth="10" defaultColWidth="11.42578125" defaultRowHeight="12.75" outlineLevelCol="1"/>
  <cols>
    <col min="1" max="1" width="3.28515625" style="1" customWidth="1"/>
    <col min="2" max="2" width="14.7109375" style="1" customWidth="1"/>
    <col min="3" max="3" width="60.42578125" style="1" customWidth="1"/>
    <col min="4" max="4" width="10.28515625" style="1" customWidth="1" outlineLevel="1"/>
    <col min="5" max="5" width="8.42578125" style="1" customWidth="1" outlineLevel="1"/>
    <col min="6" max="6" width="17.5703125" style="1" customWidth="1" outlineLevel="1"/>
    <col min="7" max="7" width="8.7109375" style="1" customWidth="1" outlineLevel="1"/>
    <col min="8" max="8" width="11.7109375" style="200" customWidth="1" outlineLevel="1"/>
    <col min="9" max="9" width="2.42578125" style="4" customWidth="1"/>
    <col min="10" max="10" width="14" style="1" hidden="1" customWidth="1"/>
    <col min="11" max="11" width="1" style="4" customWidth="1"/>
    <col min="12" max="14" width="18.7109375" style="1" customWidth="1" outlineLevel="1"/>
    <col min="15" max="15" width="2.28515625" style="1" customWidth="1"/>
    <col min="16" max="20" width="18.7109375" style="1" customWidth="1" outlineLevel="1"/>
    <col min="21" max="21" width="2" style="2" customWidth="1"/>
    <col min="22" max="22" width="14.28515625" style="1" customWidth="1" outlineLevel="1"/>
    <col min="23" max="23" width="2.42578125" style="4" customWidth="1" outlineLevel="1"/>
    <col min="24" max="24" width="11.42578125" style="1" customWidth="1" outlineLevel="1"/>
    <col min="25" max="16384" width="11.42578125" style="1"/>
  </cols>
  <sheetData>
    <row r="2" spans="2:20" ht="26.25">
      <c r="B2" s="582" t="s">
        <v>22</v>
      </c>
      <c r="C2" s="582"/>
      <c r="D2" s="582"/>
      <c r="E2" s="582"/>
      <c r="F2" s="582"/>
      <c r="G2" s="582"/>
      <c r="H2" s="731" t="s">
        <v>513</v>
      </c>
      <c r="J2" s="262" t="s">
        <v>30</v>
      </c>
      <c r="K2" s="12"/>
      <c r="L2" s="609" t="s">
        <v>0</v>
      </c>
      <c r="M2" s="610"/>
      <c r="N2" s="610"/>
      <c r="O2" s="610"/>
      <c r="P2" s="610"/>
      <c r="Q2" s="610"/>
      <c r="R2" s="610"/>
      <c r="S2" s="610"/>
      <c r="T2" s="610"/>
    </row>
    <row r="3" spans="2:20" customFormat="1" ht="18">
      <c r="B3" s="57"/>
      <c r="H3" s="732"/>
      <c r="L3" s="30"/>
      <c r="O3" s="28"/>
      <c r="T3" s="280"/>
    </row>
    <row r="4" spans="2:20" s="14" customFormat="1" ht="26.25" thickBot="1">
      <c r="B4" s="406">
        <v>45658</v>
      </c>
      <c r="C4" s="407" t="s">
        <v>792</v>
      </c>
      <c r="D4" s="614"/>
      <c r="E4" s="614"/>
      <c r="F4" s="614"/>
      <c r="G4" s="615"/>
      <c r="H4" s="732"/>
      <c r="I4" s="11"/>
      <c r="J4" s="263" t="s">
        <v>7</v>
      </c>
      <c r="K4" s="11"/>
      <c r="L4" s="254" t="s">
        <v>7</v>
      </c>
      <c r="M4" s="255" t="s">
        <v>9</v>
      </c>
      <c r="N4" s="256" t="s">
        <v>10</v>
      </c>
      <c r="O4" s="29"/>
      <c r="P4" s="254" t="s">
        <v>7</v>
      </c>
      <c r="Q4" s="255" t="s">
        <v>8</v>
      </c>
      <c r="R4" s="255" t="s">
        <v>9</v>
      </c>
      <c r="S4" s="255" t="s">
        <v>9</v>
      </c>
      <c r="T4" s="281" t="s">
        <v>10</v>
      </c>
    </row>
    <row r="5" spans="2:20" ht="12.75" customHeight="1">
      <c r="B5" s="587" t="s">
        <v>40</v>
      </c>
      <c r="C5" s="588"/>
      <c r="D5" s="597" t="s">
        <v>4</v>
      </c>
      <c r="E5" s="597"/>
      <c r="F5" s="597"/>
      <c r="G5" s="598"/>
      <c r="H5" s="734" t="s">
        <v>12</v>
      </c>
      <c r="I5" s="6"/>
      <c r="J5" s="603" t="s">
        <v>3</v>
      </c>
      <c r="K5" s="7"/>
      <c r="L5" s="270" t="s">
        <v>690</v>
      </c>
      <c r="M5" s="744" t="s">
        <v>693</v>
      </c>
      <c r="N5" s="744" t="s">
        <v>476</v>
      </c>
      <c r="O5" s="27"/>
      <c r="P5" s="275"/>
      <c r="Q5" s="752" t="s">
        <v>483</v>
      </c>
      <c r="R5" s="756" t="s">
        <v>684</v>
      </c>
      <c r="S5" s="714" t="s">
        <v>685</v>
      </c>
      <c r="T5" s="802" t="s">
        <v>481</v>
      </c>
    </row>
    <row r="6" spans="2:20">
      <c r="B6" s="589"/>
      <c r="C6" s="590"/>
      <c r="D6" s="599"/>
      <c r="E6" s="599"/>
      <c r="F6" s="599"/>
      <c r="G6" s="600"/>
      <c r="H6" s="735"/>
      <c r="I6" s="7"/>
      <c r="J6" s="605"/>
      <c r="K6" s="7"/>
      <c r="L6" s="236"/>
      <c r="M6" s="744"/>
      <c r="N6" s="744"/>
      <c r="O6" s="27"/>
      <c r="P6" s="58"/>
      <c r="Q6" s="744"/>
      <c r="R6" s="758"/>
      <c r="S6" s="716"/>
      <c r="T6" s="802"/>
    </row>
    <row r="7" spans="2:20">
      <c r="B7" s="589"/>
      <c r="C7" s="590"/>
      <c r="D7" s="599"/>
      <c r="E7" s="599"/>
      <c r="F7" s="599"/>
      <c r="G7" s="600"/>
      <c r="H7" s="735"/>
      <c r="I7" s="7"/>
      <c r="J7" s="605"/>
      <c r="K7" s="7"/>
      <c r="L7" s="237"/>
      <c r="M7" s="744"/>
      <c r="N7" s="744"/>
      <c r="O7" s="31"/>
      <c r="P7" s="733" t="s">
        <v>489</v>
      </c>
      <c r="Q7" s="744"/>
      <c r="R7" s="758"/>
      <c r="S7" s="716"/>
      <c r="T7" s="802"/>
    </row>
    <row r="8" spans="2:20">
      <c r="B8" s="589"/>
      <c r="C8" s="590"/>
      <c r="D8" s="599"/>
      <c r="E8" s="599"/>
      <c r="F8" s="599"/>
      <c r="G8" s="600"/>
      <c r="H8" s="735"/>
      <c r="I8" s="7"/>
      <c r="J8" s="605"/>
      <c r="K8" s="7"/>
      <c r="L8" s="238"/>
      <c r="M8" s="744"/>
      <c r="N8" s="744"/>
      <c r="O8" s="31"/>
      <c r="P8" s="624"/>
      <c r="Q8" s="744"/>
      <c r="R8" s="758"/>
      <c r="S8" s="716"/>
      <c r="T8" s="802"/>
    </row>
    <row r="9" spans="2:20">
      <c r="B9" s="589"/>
      <c r="C9" s="590"/>
      <c r="D9" s="599"/>
      <c r="E9" s="599"/>
      <c r="F9" s="599"/>
      <c r="G9" s="600"/>
      <c r="H9" s="735"/>
      <c r="I9" s="7"/>
      <c r="J9" s="605"/>
      <c r="K9" s="7"/>
      <c r="L9" s="237" t="s">
        <v>694</v>
      </c>
      <c r="M9" s="744"/>
      <c r="N9" s="744"/>
      <c r="O9" s="31"/>
      <c r="P9" s="624"/>
      <c r="Q9" s="744"/>
      <c r="R9" s="758"/>
      <c r="S9" s="716"/>
      <c r="T9" s="802"/>
    </row>
    <row r="10" spans="2:20">
      <c r="B10" s="589"/>
      <c r="C10" s="590"/>
      <c r="D10" s="599"/>
      <c r="E10" s="599"/>
      <c r="F10" s="599"/>
      <c r="G10" s="600"/>
      <c r="H10" s="735"/>
      <c r="I10" s="7"/>
      <c r="J10" s="605"/>
      <c r="K10" s="7"/>
      <c r="L10" s="238"/>
      <c r="M10" s="744"/>
      <c r="N10" s="744"/>
      <c r="O10" s="31"/>
      <c r="P10" s="624"/>
      <c r="Q10" s="744"/>
      <c r="R10" s="758"/>
      <c r="S10" s="716"/>
      <c r="T10" s="802"/>
    </row>
    <row r="11" spans="2:20">
      <c r="B11" s="589"/>
      <c r="C11" s="590"/>
      <c r="D11" s="599"/>
      <c r="E11" s="599"/>
      <c r="F11" s="599"/>
      <c r="G11" s="600"/>
      <c r="H11" s="735"/>
      <c r="I11" s="7"/>
      <c r="J11" s="605"/>
      <c r="K11" s="7"/>
      <c r="L11" s="237" t="s">
        <v>478</v>
      </c>
      <c r="M11" s="744"/>
      <c r="N11" s="744"/>
      <c r="O11" s="31"/>
      <c r="P11" s="624"/>
      <c r="Q11" s="744"/>
      <c r="R11" s="758"/>
      <c r="S11" s="716"/>
      <c r="T11" s="802"/>
    </row>
    <row r="12" spans="2:20" ht="13.5" thickBot="1">
      <c r="B12" s="589"/>
      <c r="C12" s="590"/>
      <c r="D12" s="601"/>
      <c r="E12" s="601"/>
      <c r="F12" s="601"/>
      <c r="G12" s="602"/>
      <c r="H12" s="735"/>
      <c r="I12" s="7"/>
      <c r="J12" s="607"/>
      <c r="K12" s="7"/>
      <c r="L12" s="234"/>
      <c r="M12" s="746"/>
      <c r="N12" s="746"/>
      <c r="O12" s="31"/>
      <c r="P12" s="626"/>
      <c r="Q12" s="746"/>
      <c r="R12" s="759"/>
      <c r="S12" s="718"/>
      <c r="T12" s="803"/>
    </row>
    <row r="13" spans="2:20" ht="24" customHeight="1">
      <c r="B13" s="589"/>
      <c r="C13" s="590"/>
      <c r="D13" s="661" t="s">
        <v>334</v>
      </c>
      <c r="E13" s="662"/>
      <c r="F13" s="662"/>
      <c r="G13" s="662"/>
      <c r="H13" s="201"/>
      <c r="I13" s="7"/>
      <c r="J13" s="268" t="s">
        <v>3</v>
      </c>
      <c r="K13" s="7"/>
      <c r="L13" s="271" t="s">
        <v>3</v>
      </c>
      <c r="M13" s="273" t="s">
        <v>693</v>
      </c>
      <c r="N13" s="273" t="s">
        <v>476</v>
      </c>
      <c r="O13" s="31"/>
      <c r="P13" s="274" t="s">
        <v>484</v>
      </c>
      <c r="Q13" s="277" t="s">
        <v>485</v>
      </c>
      <c r="R13" s="277" t="s">
        <v>683</v>
      </c>
      <c r="S13" s="277" t="s">
        <v>682</v>
      </c>
      <c r="T13" s="96" t="s">
        <v>486</v>
      </c>
    </row>
    <row r="14" spans="2:20" ht="42" customHeight="1" thickBot="1">
      <c r="B14" s="589"/>
      <c r="C14" s="590"/>
      <c r="D14" s="663"/>
      <c r="E14" s="664"/>
      <c r="F14" s="664"/>
      <c r="G14" s="664"/>
      <c r="H14" s="202"/>
      <c r="I14" s="7"/>
      <c r="J14" s="269" t="s">
        <v>3</v>
      </c>
      <c r="K14" s="7"/>
      <c r="L14" s="265" t="s">
        <v>3</v>
      </c>
      <c r="M14" s="278" t="s">
        <v>3</v>
      </c>
      <c r="N14" s="278" t="s">
        <v>3</v>
      </c>
      <c r="O14" s="31"/>
      <c r="P14" s="272" t="s">
        <v>487</v>
      </c>
      <c r="Q14" s="272" t="s">
        <v>488</v>
      </c>
      <c r="R14" s="230"/>
      <c r="S14" s="230"/>
      <c r="T14" s="282"/>
    </row>
    <row r="15" spans="2:20" ht="33.75" customHeight="1" thickBot="1">
      <c r="B15" s="589"/>
      <c r="C15" s="590"/>
      <c r="D15" s="611" t="s">
        <v>27</v>
      </c>
      <c r="E15" s="611"/>
      <c r="F15" s="612"/>
      <c r="G15" s="613"/>
      <c r="H15" s="203" t="s">
        <v>3</v>
      </c>
      <c r="I15" s="10"/>
      <c r="J15" s="261" t="s">
        <v>3</v>
      </c>
      <c r="K15" s="7"/>
      <c r="L15" s="260" t="s">
        <v>49</v>
      </c>
      <c r="M15" s="258" t="s">
        <v>15</v>
      </c>
      <c r="N15" s="258" t="s">
        <v>15</v>
      </c>
      <c r="O15" s="27"/>
      <c r="P15" s="260" t="s">
        <v>49</v>
      </c>
      <c r="Q15" s="259" t="s">
        <v>15</v>
      </c>
      <c r="R15" s="258" t="s">
        <v>15</v>
      </c>
      <c r="S15" s="258" t="s">
        <v>15</v>
      </c>
      <c r="T15" s="283" t="s">
        <v>15</v>
      </c>
    </row>
    <row r="16" spans="2:20" ht="64.5" thickBot="1">
      <c r="B16" s="589"/>
      <c r="C16" s="590"/>
      <c r="D16" s="611" t="s">
        <v>53</v>
      </c>
      <c r="E16" s="611"/>
      <c r="F16" s="612"/>
      <c r="G16" s="613"/>
      <c r="H16" s="203" t="s">
        <v>48</v>
      </c>
      <c r="I16" s="10"/>
      <c r="J16" s="276" t="s">
        <v>491</v>
      </c>
      <c r="K16" s="7"/>
      <c r="L16" s="267" t="s">
        <v>62</v>
      </c>
      <c r="M16" s="257" t="s">
        <v>50</v>
      </c>
      <c r="N16" s="257" t="s">
        <v>50</v>
      </c>
      <c r="O16" s="27"/>
      <c r="P16" s="267" t="s">
        <v>62</v>
      </c>
      <c r="Q16" s="257" t="s">
        <v>50</v>
      </c>
      <c r="R16" s="257" t="s">
        <v>50</v>
      </c>
      <c r="S16" s="257" t="s">
        <v>50</v>
      </c>
      <c r="T16" s="51" t="s">
        <v>50</v>
      </c>
    </row>
    <row r="17" spans="2:22" ht="16.5" thickBot="1">
      <c r="B17" s="591"/>
      <c r="C17" s="592"/>
      <c r="D17" s="620" t="s">
        <v>5</v>
      </c>
      <c r="E17" s="621"/>
      <c r="F17" s="621"/>
      <c r="G17" s="621"/>
      <c r="H17" s="204" t="s">
        <v>3</v>
      </c>
      <c r="I17" s="9"/>
      <c r="J17" s="264" t="s">
        <v>3</v>
      </c>
      <c r="K17" s="7"/>
      <c r="L17" s="264" t="s">
        <v>64</v>
      </c>
      <c r="M17" s="266" t="s">
        <v>64</v>
      </c>
      <c r="N17" s="266" t="s">
        <v>64</v>
      </c>
      <c r="O17" s="27"/>
      <c r="P17" s="264" t="s">
        <v>64</v>
      </c>
      <c r="Q17" s="266" t="s">
        <v>64</v>
      </c>
      <c r="R17" s="266" t="s">
        <v>64</v>
      </c>
      <c r="S17" s="266" t="s">
        <v>64</v>
      </c>
      <c r="T17" s="284" t="s">
        <v>64</v>
      </c>
      <c r="U17" s="1"/>
      <c r="V17" s="46"/>
    </row>
    <row r="18" spans="2:22" s="2" customFormat="1" ht="23.25">
      <c r="B18" s="88"/>
      <c r="C18" s="88"/>
      <c r="D18" s="239"/>
      <c r="E18" s="239"/>
      <c r="F18" s="240"/>
      <c r="G18" s="240"/>
      <c r="H18" s="241"/>
      <c r="I18" s="46"/>
      <c r="J18" s="242"/>
      <c r="K18" s="46"/>
      <c r="L18" s="243"/>
      <c r="M18" s="243"/>
      <c r="N18" s="243"/>
      <c r="O18" s="46"/>
      <c r="P18" s="243"/>
      <c r="Q18" s="243"/>
      <c r="R18" s="243"/>
      <c r="S18" s="243"/>
      <c r="T18" s="243"/>
      <c r="V18" s="46"/>
    </row>
    <row r="19" spans="2:22" ht="18">
      <c r="B19" s="3"/>
      <c r="C19" s="66"/>
      <c r="U19" s="1"/>
    </row>
    <row r="20" spans="2:22" ht="14.25">
      <c r="C20" s="66"/>
      <c r="D20" s="63"/>
      <c r="E20" s="63"/>
      <c r="F20" s="2"/>
      <c r="G20" s="2"/>
      <c r="H20" s="205"/>
      <c r="I20" s="2"/>
      <c r="J20" s="2"/>
      <c r="K20" s="2"/>
      <c r="L20" s="2"/>
      <c r="U20" s="1"/>
    </row>
    <row r="21" spans="2:22" s="137" customFormat="1" ht="15.75" thickBot="1">
      <c r="C21" s="208" t="s">
        <v>461</v>
      </c>
      <c r="D21" s="196"/>
      <c r="E21" s="196"/>
      <c r="F21" s="196"/>
      <c r="G21" s="196"/>
      <c r="H21" s="210"/>
      <c r="I21" s="196"/>
      <c r="J21" s="196"/>
      <c r="K21" s="196"/>
      <c r="L21" s="196"/>
    </row>
    <row r="22" spans="2:22" ht="18">
      <c r="B22" s="651" t="s">
        <v>25</v>
      </c>
      <c r="C22" s="652"/>
      <c r="D22" s="652"/>
      <c r="E22" s="652"/>
      <c r="F22" s="652"/>
      <c r="G22" s="653"/>
      <c r="H22" s="768" t="s">
        <v>513</v>
      </c>
      <c r="J22" s="533" t="s">
        <v>24</v>
      </c>
      <c r="K22" s="12"/>
      <c r="L22" s="533" t="s">
        <v>6</v>
      </c>
      <c r="M22" s="551"/>
      <c r="N22" s="551"/>
      <c r="O22" s="551"/>
      <c r="P22" s="551"/>
      <c r="Q22" s="551"/>
      <c r="R22" s="551"/>
      <c r="S22" s="551"/>
      <c r="T22" s="551"/>
      <c r="U22" s="1"/>
      <c r="V22" s="526" t="s">
        <v>41</v>
      </c>
    </row>
    <row r="23" spans="2:22" ht="18">
      <c r="B23" s="654"/>
      <c r="C23" s="655"/>
      <c r="D23" s="655"/>
      <c r="E23" s="655"/>
      <c r="F23" s="655"/>
      <c r="G23" s="656"/>
      <c r="H23" s="769"/>
      <c r="J23" s="535"/>
      <c r="K23" s="12"/>
      <c r="L23" s="26"/>
      <c r="M23" s="12"/>
      <c r="N23" s="12"/>
      <c r="O23" s="12"/>
      <c r="P23" s="12"/>
      <c r="Q23" s="12"/>
      <c r="R23" s="12"/>
      <c r="S23" s="12"/>
      <c r="T23" s="12"/>
      <c r="U23" s="1"/>
      <c r="V23" s="527"/>
    </row>
    <row r="24" spans="2:22" ht="18">
      <c r="B24" s="654"/>
      <c r="C24" s="655"/>
      <c r="D24" s="655"/>
      <c r="E24" s="655"/>
      <c r="F24" s="655"/>
      <c r="G24" s="656"/>
      <c r="H24" s="769"/>
      <c r="J24" s="535"/>
      <c r="K24" s="11"/>
      <c r="L24" s="537" t="s">
        <v>18</v>
      </c>
      <c r="M24" s="538"/>
      <c r="N24" s="539"/>
      <c r="O24" s="13"/>
      <c r="P24" s="537" t="s">
        <v>504</v>
      </c>
      <c r="Q24" s="538"/>
      <c r="R24" s="538"/>
      <c r="S24" s="538"/>
      <c r="T24" s="539"/>
      <c r="U24" s="1"/>
      <c r="V24" s="527"/>
    </row>
    <row r="25" spans="2:22" s="4" customFormat="1" ht="18">
      <c r="B25" s="654"/>
      <c r="C25" s="655"/>
      <c r="D25" s="655"/>
      <c r="E25" s="655"/>
      <c r="F25" s="655"/>
      <c r="G25" s="656"/>
      <c r="H25" s="769"/>
      <c r="J25" s="12"/>
      <c r="K25" s="11"/>
      <c r="L25" s="24"/>
      <c r="M25" s="13"/>
      <c r="N25" s="25"/>
      <c r="O25" s="13"/>
      <c r="P25" s="24"/>
      <c r="Q25" s="13"/>
      <c r="R25" s="13"/>
      <c r="S25" s="13"/>
      <c r="T25" s="25"/>
      <c r="U25" s="1"/>
      <c r="V25" s="527"/>
    </row>
    <row r="26" spans="2:22" ht="25.5">
      <c r="B26" s="654"/>
      <c r="C26" s="655"/>
      <c r="D26" s="655"/>
      <c r="E26" s="655"/>
      <c r="F26" s="655"/>
      <c r="G26" s="656"/>
      <c r="H26" s="769"/>
      <c r="I26" s="8"/>
      <c r="J26" s="42" t="s">
        <v>7</v>
      </c>
      <c r="K26" s="11"/>
      <c r="L26" s="42" t="s">
        <v>7</v>
      </c>
      <c r="M26" s="42" t="s">
        <v>9</v>
      </c>
      <c r="N26" s="128" t="s">
        <v>10</v>
      </c>
      <c r="O26" s="11"/>
      <c r="P26" s="42" t="s">
        <v>17</v>
      </c>
      <c r="Q26" s="42" t="s">
        <v>14</v>
      </c>
      <c r="R26" s="42" t="s">
        <v>16</v>
      </c>
      <c r="S26" s="42" t="s">
        <v>16</v>
      </c>
      <c r="T26" s="128" t="s">
        <v>54</v>
      </c>
      <c r="U26" s="1"/>
      <c r="V26" s="527"/>
    </row>
    <row r="27" spans="2:22" customFormat="1">
      <c r="B27" s="87"/>
      <c r="G27" s="17"/>
      <c r="H27" s="206"/>
      <c r="J27" s="16"/>
      <c r="L27" s="16"/>
      <c r="N27" s="17"/>
      <c r="P27" s="16"/>
      <c r="T27" s="17"/>
      <c r="U27" s="1"/>
      <c r="V27" s="18"/>
    </row>
    <row r="28" spans="2:22" ht="38.25">
      <c r="B28" s="337" t="s">
        <v>19</v>
      </c>
      <c r="C28" s="335" t="s">
        <v>1216</v>
      </c>
      <c r="D28" s="336" t="s">
        <v>1</v>
      </c>
      <c r="E28" s="336" t="s">
        <v>127</v>
      </c>
      <c r="F28" s="335" t="s">
        <v>2</v>
      </c>
      <c r="G28" s="335" t="s">
        <v>11</v>
      </c>
      <c r="H28" s="338" t="s">
        <v>514</v>
      </c>
      <c r="I28" s="11"/>
      <c r="J28" s="15" t="s">
        <v>118</v>
      </c>
      <c r="K28" s="11"/>
      <c r="L28" s="339" t="s">
        <v>515</v>
      </c>
      <c r="M28" s="339" t="s">
        <v>515</v>
      </c>
      <c r="N28" s="339" t="s">
        <v>515</v>
      </c>
      <c r="O28" s="11"/>
      <c r="P28" s="339" t="s">
        <v>515</v>
      </c>
      <c r="Q28" s="339" t="s">
        <v>515</v>
      </c>
      <c r="R28" s="339" t="s">
        <v>515</v>
      </c>
      <c r="S28" s="15" t="s">
        <v>515</v>
      </c>
      <c r="T28" s="15" t="s">
        <v>515</v>
      </c>
      <c r="U28" s="1"/>
      <c r="V28" s="339" t="s">
        <v>43</v>
      </c>
    </row>
    <row r="29" spans="2:22" s="2" customFormat="1">
      <c r="B29" s="213" t="s">
        <v>675</v>
      </c>
      <c r="C29" s="211" t="s">
        <v>508</v>
      </c>
      <c r="D29" s="41">
        <v>64</v>
      </c>
      <c r="E29" s="41">
        <v>1.1000000000000001</v>
      </c>
      <c r="F29" s="41" t="s">
        <v>227</v>
      </c>
      <c r="G29" s="413">
        <v>24</v>
      </c>
      <c r="H29" s="414">
        <v>63.63636363636364</v>
      </c>
      <c r="I29" s="65"/>
      <c r="J29" s="40" t="s">
        <v>3</v>
      </c>
      <c r="K29" s="37"/>
      <c r="L29" s="35">
        <v>0</v>
      </c>
      <c r="M29" s="35">
        <v>0</v>
      </c>
      <c r="N29" s="40">
        <v>0</v>
      </c>
      <c r="O29" s="37"/>
      <c r="P29" s="35">
        <v>0</v>
      </c>
      <c r="Q29" s="35">
        <v>0</v>
      </c>
      <c r="R29" s="35">
        <v>0</v>
      </c>
      <c r="S29" s="35">
        <v>0</v>
      </c>
      <c r="T29" s="40">
        <v>0</v>
      </c>
      <c r="U29" s="37"/>
      <c r="V29" s="40">
        <v>0</v>
      </c>
    </row>
    <row r="30" spans="2:22" s="2" customFormat="1">
      <c r="B30" s="213" t="s">
        <v>675</v>
      </c>
      <c r="C30" s="211" t="s">
        <v>612</v>
      </c>
      <c r="D30" s="41">
        <v>77</v>
      </c>
      <c r="E30" s="41">
        <v>1.1000000000000001</v>
      </c>
      <c r="F30" s="22" t="s">
        <v>227</v>
      </c>
      <c r="G30" s="40">
        <v>24</v>
      </c>
      <c r="H30" s="388">
        <v>76.859504132231407</v>
      </c>
      <c r="I30" s="65"/>
      <c r="J30" s="40" t="s">
        <v>3</v>
      </c>
      <c r="K30" s="37"/>
      <c r="L30" s="35">
        <v>0</v>
      </c>
      <c r="M30" s="35">
        <v>0</v>
      </c>
      <c r="N30" s="40">
        <v>0</v>
      </c>
      <c r="O30" s="37"/>
      <c r="P30" s="35">
        <v>0</v>
      </c>
      <c r="Q30" s="35">
        <v>0</v>
      </c>
      <c r="R30" s="35">
        <v>0</v>
      </c>
      <c r="S30" s="35">
        <v>0</v>
      </c>
      <c r="T30" s="40">
        <v>0</v>
      </c>
      <c r="U30" s="37"/>
      <c r="V30" s="40">
        <v>0</v>
      </c>
    </row>
    <row r="31" spans="2:22" s="2" customFormat="1">
      <c r="B31" s="213" t="s">
        <v>673</v>
      </c>
      <c r="C31" s="211" t="s">
        <v>560</v>
      </c>
      <c r="D31" s="41">
        <v>49</v>
      </c>
      <c r="E31" s="41">
        <v>1.1000000000000001</v>
      </c>
      <c r="F31" s="41" t="s">
        <v>227</v>
      </c>
      <c r="G31" s="413">
        <v>24</v>
      </c>
      <c r="H31" s="414">
        <v>47.107438016528924</v>
      </c>
      <c r="I31" s="65"/>
      <c r="J31" s="40" t="s">
        <v>3</v>
      </c>
      <c r="K31" s="37"/>
      <c r="L31" s="35">
        <v>0</v>
      </c>
      <c r="M31" s="35">
        <v>0</v>
      </c>
      <c r="N31" s="40">
        <v>0</v>
      </c>
      <c r="O31" s="37"/>
      <c r="P31" s="35">
        <v>0</v>
      </c>
      <c r="Q31" s="35">
        <v>0</v>
      </c>
      <c r="R31" s="35">
        <v>0</v>
      </c>
      <c r="S31" s="35">
        <v>0</v>
      </c>
      <c r="T31" s="40">
        <v>0</v>
      </c>
      <c r="U31" s="37"/>
      <c r="V31" s="40">
        <v>2</v>
      </c>
    </row>
    <row r="32" spans="2:22" s="2" customFormat="1">
      <c r="B32" s="213" t="s">
        <v>673</v>
      </c>
      <c r="C32" s="211" t="s">
        <v>571</v>
      </c>
      <c r="D32" s="41">
        <v>60</v>
      </c>
      <c r="E32" s="41">
        <v>1.1000000000000001</v>
      </c>
      <c r="F32" s="22" t="s">
        <v>227</v>
      </c>
      <c r="G32" s="40">
        <v>24</v>
      </c>
      <c r="H32" s="388">
        <v>59.504132231404959</v>
      </c>
      <c r="I32" s="65"/>
      <c r="J32" s="40" t="s">
        <v>3</v>
      </c>
      <c r="K32" s="37"/>
      <c r="L32" s="35">
        <v>0</v>
      </c>
      <c r="M32" s="35">
        <v>0</v>
      </c>
      <c r="N32" s="40">
        <v>0</v>
      </c>
      <c r="O32" s="37"/>
      <c r="P32" s="35">
        <v>0</v>
      </c>
      <c r="Q32" s="35">
        <v>0</v>
      </c>
      <c r="R32" s="35">
        <v>0</v>
      </c>
      <c r="S32" s="35">
        <v>0</v>
      </c>
      <c r="T32" s="40">
        <v>0</v>
      </c>
      <c r="U32" s="37"/>
      <c r="V32" s="40">
        <v>0</v>
      </c>
    </row>
    <row r="33" spans="2:22" s="2" customFormat="1">
      <c r="B33" s="213" t="s">
        <v>58</v>
      </c>
      <c r="C33" s="211" t="s">
        <v>472</v>
      </c>
      <c r="D33" s="41">
        <v>920</v>
      </c>
      <c r="E33" s="41">
        <v>3.25</v>
      </c>
      <c r="F33" s="41" t="s">
        <v>387</v>
      </c>
      <c r="G33" s="413">
        <v>24</v>
      </c>
      <c r="H33" s="414">
        <v>612.39669421487611</v>
      </c>
      <c r="I33" s="65"/>
      <c r="J33" s="40" t="s">
        <v>3</v>
      </c>
      <c r="K33" s="37"/>
      <c r="L33" s="35">
        <v>169</v>
      </c>
      <c r="M33" s="35">
        <v>0</v>
      </c>
      <c r="N33" s="40">
        <v>0</v>
      </c>
      <c r="O33" s="37"/>
      <c r="P33" s="35">
        <v>0</v>
      </c>
      <c r="Q33" s="35">
        <v>0</v>
      </c>
      <c r="R33" s="35">
        <v>0</v>
      </c>
      <c r="S33" s="35">
        <v>0</v>
      </c>
      <c r="T33" s="40">
        <v>0</v>
      </c>
      <c r="U33" s="37"/>
      <c r="V33" s="40">
        <v>308</v>
      </c>
    </row>
    <row r="34" spans="2:22" s="2" customFormat="1">
      <c r="B34" s="213" t="s">
        <v>58</v>
      </c>
      <c r="C34" s="211" t="s">
        <v>472</v>
      </c>
      <c r="D34" s="41">
        <v>920</v>
      </c>
      <c r="E34" s="41">
        <v>3.25</v>
      </c>
      <c r="F34" s="22" t="s">
        <v>387</v>
      </c>
      <c r="G34" s="40">
        <v>30</v>
      </c>
      <c r="H34" s="388">
        <v>612.39669421487611</v>
      </c>
      <c r="I34" s="65"/>
      <c r="J34" s="40" t="s">
        <v>3</v>
      </c>
      <c r="K34" s="37"/>
      <c r="L34" s="35">
        <v>169</v>
      </c>
      <c r="M34" s="35">
        <v>0</v>
      </c>
      <c r="N34" s="40">
        <v>0</v>
      </c>
      <c r="O34" s="37"/>
      <c r="P34" s="35">
        <v>0</v>
      </c>
      <c r="Q34" s="35">
        <v>0</v>
      </c>
      <c r="R34" s="35">
        <v>0</v>
      </c>
      <c r="S34" s="35">
        <v>0</v>
      </c>
      <c r="T34" s="40">
        <v>0</v>
      </c>
      <c r="U34" s="37"/>
      <c r="V34" s="40">
        <v>308</v>
      </c>
    </row>
    <row r="35" spans="2:22" s="2" customFormat="1">
      <c r="B35" s="213" t="s">
        <v>58</v>
      </c>
      <c r="C35" s="211" t="s">
        <v>551</v>
      </c>
      <c r="D35" s="41">
        <v>883</v>
      </c>
      <c r="E35" s="41">
        <v>3.25</v>
      </c>
      <c r="F35" s="41" t="s">
        <v>387</v>
      </c>
      <c r="G35" s="413">
        <v>24</v>
      </c>
      <c r="H35" s="414">
        <v>714.04958677685954</v>
      </c>
      <c r="I35" s="65"/>
      <c r="J35" s="40" t="s">
        <v>3</v>
      </c>
      <c r="K35" s="37"/>
      <c r="L35" s="35">
        <v>169</v>
      </c>
      <c r="M35" s="35">
        <v>0</v>
      </c>
      <c r="N35" s="40">
        <v>0</v>
      </c>
      <c r="O35" s="37"/>
      <c r="P35" s="35">
        <v>0</v>
      </c>
      <c r="Q35" s="35">
        <v>0</v>
      </c>
      <c r="R35" s="35">
        <v>0</v>
      </c>
      <c r="S35" s="35">
        <v>0</v>
      </c>
      <c r="T35" s="40">
        <v>0</v>
      </c>
      <c r="U35" s="37"/>
      <c r="V35" s="40">
        <v>169</v>
      </c>
    </row>
    <row r="36" spans="2:22" s="2" customFormat="1">
      <c r="B36" s="213" t="s">
        <v>58</v>
      </c>
      <c r="C36" s="211" t="s">
        <v>551</v>
      </c>
      <c r="D36" s="41">
        <v>883</v>
      </c>
      <c r="E36" s="41">
        <v>3.25</v>
      </c>
      <c r="F36" s="22" t="s">
        <v>387</v>
      </c>
      <c r="G36" s="40">
        <v>30</v>
      </c>
      <c r="H36" s="388">
        <v>714.04958677685954</v>
      </c>
      <c r="I36" s="65"/>
      <c r="J36" s="40" t="s">
        <v>3</v>
      </c>
      <c r="K36" s="37"/>
      <c r="L36" s="35">
        <v>169</v>
      </c>
      <c r="M36" s="35">
        <v>0</v>
      </c>
      <c r="N36" s="40">
        <v>0</v>
      </c>
      <c r="O36" s="37"/>
      <c r="P36" s="35">
        <v>0</v>
      </c>
      <c r="Q36" s="35">
        <v>0</v>
      </c>
      <c r="R36" s="35">
        <v>0</v>
      </c>
      <c r="S36" s="35">
        <v>0</v>
      </c>
      <c r="T36" s="40">
        <v>0</v>
      </c>
      <c r="U36" s="37"/>
      <c r="V36" s="40">
        <v>169</v>
      </c>
    </row>
    <row r="37" spans="2:22" s="2" customFormat="1">
      <c r="B37" s="213" t="s">
        <v>58</v>
      </c>
      <c r="C37" s="211" t="s">
        <v>707</v>
      </c>
      <c r="D37" s="41">
        <v>883</v>
      </c>
      <c r="E37" s="41">
        <v>3.25</v>
      </c>
      <c r="F37" s="41" t="s">
        <v>387</v>
      </c>
      <c r="G37" s="413">
        <v>24</v>
      </c>
      <c r="H37" s="414">
        <v>799.17355371900828</v>
      </c>
      <c r="I37" s="65"/>
      <c r="J37" s="40" t="s">
        <v>3</v>
      </c>
      <c r="K37" s="37"/>
      <c r="L37" s="35">
        <v>169</v>
      </c>
      <c r="M37" s="35">
        <v>0</v>
      </c>
      <c r="N37" s="40">
        <v>0</v>
      </c>
      <c r="O37" s="37"/>
      <c r="P37" s="35">
        <v>0</v>
      </c>
      <c r="Q37" s="35">
        <v>0</v>
      </c>
      <c r="R37" s="35">
        <v>0</v>
      </c>
      <c r="S37" s="35">
        <v>0</v>
      </c>
      <c r="T37" s="40">
        <v>0</v>
      </c>
      <c r="U37" s="37"/>
      <c r="V37" s="40">
        <v>84</v>
      </c>
    </row>
    <row r="38" spans="2:22" s="2" customFormat="1">
      <c r="B38" s="213" t="s">
        <v>58</v>
      </c>
      <c r="C38" s="211" t="s">
        <v>707</v>
      </c>
      <c r="D38" s="41">
        <v>883</v>
      </c>
      <c r="E38" s="41">
        <v>3.25</v>
      </c>
      <c r="F38" s="22" t="s">
        <v>387</v>
      </c>
      <c r="G38" s="40">
        <v>30</v>
      </c>
      <c r="H38" s="388">
        <v>799.17355371900828</v>
      </c>
      <c r="I38" s="65"/>
      <c r="J38" s="40" t="s">
        <v>3</v>
      </c>
      <c r="K38" s="37"/>
      <c r="L38" s="35">
        <v>169</v>
      </c>
      <c r="M38" s="35">
        <v>0</v>
      </c>
      <c r="N38" s="40">
        <v>0</v>
      </c>
      <c r="O38" s="37"/>
      <c r="P38" s="35">
        <v>0</v>
      </c>
      <c r="Q38" s="35">
        <v>0</v>
      </c>
      <c r="R38" s="35">
        <v>0</v>
      </c>
      <c r="S38" s="35">
        <v>0</v>
      </c>
      <c r="T38" s="40">
        <v>0</v>
      </c>
      <c r="U38" s="37"/>
      <c r="V38" s="40">
        <v>84</v>
      </c>
    </row>
    <row r="39" spans="2:22" s="2" customFormat="1">
      <c r="B39" s="213" t="s">
        <v>58</v>
      </c>
      <c r="C39" s="211" t="s">
        <v>708</v>
      </c>
      <c r="D39" s="41">
        <v>983</v>
      </c>
      <c r="E39" s="41">
        <v>3.25</v>
      </c>
      <c r="F39" s="41" t="s">
        <v>387</v>
      </c>
      <c r="G39" s="413">
        <v>24</v>
      </c>
      <c r="H39" s="414">
        <v>909.91735537190084</v>
      </c>
      <c r="I39" s="65"/>
      <c r="J39" s="40" t="s">
        <v>3</v>
      </c>
      <c r="K39" s="37"/>
      <c r="L39" s="35">
        <v>169</v>
      </c>
      <c r="M39" s="35">
        <v>0</v>
      </c>
      <c r="N39" s="40">
        <v>0</v>
      </c>
      <c r="O39" s="37"/>
      <c r="P39" s="35">
        <v>0</v>
      </c>
      <c r="Q39" s="35">
        <v>0</v>
      </c>
      <c r="R39" s="35">
        <v>0</v>
      </c>
      <c r="S39" s="35">
        <v>0</v>
      </c>
      <c r="T39" s="40">
        <v>0</v>
      </c>
      <c r="U39" s="37"/>
      <c r="V39" s="40">
        <v>73</v>
      </c>
    </row>
    <row r="40" spans="2:22" s="2" customFormat="1">
      <c r="B40" s="213" t="s">
        <v>58</v>
      </c>
      <c r="C40" s="211" t="s">
        <v>708</v>
      </c>
      <c r="D40" s="41">
        <v>983</v>
      </c>
      <c r="E40" s="41">
        <v>3.25</v>
      </c>
      <c r="F40" s="22" t="s">
        <v>387</v>
      </c>
      <c r="G40" s="40">
        <v>30</v>
      </c>
      <c r="H40" s="388">
        <v>909.91735537190084</v>
      </c>
      <c r="I40" s="65"/>
      <c r="J40" s="40" t="s">
        <v>3</v>
      </c>
      <c r="K40" s="37"/>
      <c r="L40" s="35">
        <v>169</v>
      </c>
      <c r="M40" s="35">
        <v>0</v>
      </c>
      <c r="N40" s="40">
        <v>0</v>
      </c>
      <c r="O40" s="37"/>
      <c r="P40" s="35">
        <v>0</v>
      </c>
      <c r="Q40" s="35">
        <v>0</v>
      </c>
      <c r="R40" s="35">
        <v>0</v>
      </c>
      <c r="S40" s="35">
        <v>0</v>
      </c>
      <c r="T40" s="40">
        <v>0</v>
      </c>
      <c r="U40" s="37"/>
      <c r="V40" s="40">
        <v>73</v>
      </c>
    </row>
    <row r="41" spans="2:22" s="2" customFormat="1">
      <c r="B41" s="213" t="s">
        <v>58</v>
      </c>
      <c r="C41" s="211" t="s">
        <v>709</v>
      </c>
      <c r="D41" s="41">
        <v>998</v>
      </c>
      <c r="E41" s="41">
        <v>3.25</v>
      </c>
      <c r="F41" s="41" t="s">
        <v>387</v>
      </c>
      <c r="G41" s="413">
        <v>24</v>
      </c>
      <c r="H41" s="414">
        <v>926.44628099173553</v>
      </c>
      <c r="I41" s="65"/>
      <c r="J41" s="40" t="s">
        <v>3</v>
      </c>
      <c r="K41" s="37"/>
      <c r="L41" s="35">
        <v>169</v>
      </c>
      <c r="M41" s="35">
        <v>0</v>
      </c>
      <c r="N41" s="40">
        <v>0</v>
      </c>
      <c r="O41" s="37"/>
      <c r="P41" s="35">
        <v>0</v>
      </c>
      <c r="Q41" s="35">
        <v>0</v>
      </c>
      <c r="R41" s="35">
        <v>0</v>
      </c>
      <c r="S41" s="35">
        <v>0</v>
      </c>
      <c r="T41" s="40">
        <v>0</v>
      </c>
      <c r="U41" s="37"/>
      <c r="V41" s="40">
        <v>72</v>
      </c>
    </row>
    <row r="42" spans="2:22" s="2" customFormat="1">
      <c r="B42" s="213" t="s">
        <v>58</v>
      </c>
      <c r="C42" s="211" t="s">
        <v>709</v>
      </c>
      <c r="D42" s="41">
        <v>998</v>
      </c>
      <c r="E42" s="41">
        <v>3.25</v>
      </c>
      <c r="F42" s="22" t="s">
        <v>387</v>
      </c>
      <c r="G42" s="40">
        <v>30</v>
      </c>
      <c r="H42" s="388">
        <v>926.44628099173553</v>
      </c>
      <c r="I42" s="65"/>
      <c r="J42" s="40" t="s">
        <v>3</v>
      </c>
      <c r="K42" s="37"/>
      <c r="L42" s="35">
        <v>169</v>
      </c>
      <c r="M42" s="35">
        <v>0</v>
      </c>
      <c r="N42" s="40">
        <v>0</v>
      </c>
      <c r="O42" s="37"/>
      <c r="P42" s="35">
        <v>0</v>
      </c>
      <c r="Q42" s="35">
        <v>0</v>
      </c>
      <c r="R42" s="35">
        <v>0</v>
      </c>
      <c r="S42" s="35">
        <v>0</v>
      </c>
      <c r="T42" s="40">
        <v>0</v>
      </c>
      <c r="U42" s="37"/>
      <c r="V42" s="40">
        <v>72</v>
      </c>
    </row>
    <row r="43" spans="2:22" s="2" customFormat="1">
      <c r="B43" s="213" t="s">
        <v>58</v>
      </c>
      <c r="C43" s="211" t="s">
        <v>710</v>
      </c>
      <c r="D43" s="41">
        <v>1097</v>
      </c>
      <c r="E43" s="41">
        <v>3.25</v>
      </c>
      <c r="F43" s="41" t="s">
        <v>387</v>
      </c>
      <c r="G43" s="413">
        <v>24</v>
      </c>
      <c r="H43" s="414">
        <v>1036.3636363636365</v>
      </c>
      <c r="I43" s="65"/>
      <c r="J43" s="40" t="s">
        <v>3</v>
      </c>
      <c r="K43" s="37"/>
      <c r="L43" s="35">
        <v>169</v>
      </c>
      <c r="M43" s="35">
        <v>0</v>
      </c>
      <c r="N43" s="40">
        <v>0</v>
      </c>
      <c r="O43" s="37"/>
      <c r="P43" s="35">
        <v>0</v>
      </c>
      <c r="Q43" s="35">
        <v>0</v>
      </c>
      <c r="R43" s="35">
        <v>0</v>
      </c>
      <c r="S43" s="35">
        <v>0</v>
      </c>
      <c r="T43" s="40">
        <v>0</v>
      </c>
      <c r="U43" s="37"/>
      <c r="V43" s="40">
        <v>61</v>
      </c>
    </row>
    <row r="44" spans="2:22" s="2" customFormat="1">
      <c r="B44" s="213" t="s">
        <v>58</v>
      </c>
      <c r="C44" s="211" t="s">
        <v>710</v>
      </c>
      <c r="D44" s="41">
        <v>1097</v>
      </c>
      <c r="E44" s="41">
        <v>3.25</v>
      </c>
      <c r="F44" s="22" t="s">
        <v>387</v>
      </c>
      <c r="G44" s="40">
        <v>30</v>
      </c>
      <c r="H44" s="388">
        <v>1036.3636363636365</v>
      </c>
      <c r="I44" s="65"/>
      <c r="J44" s="40" t="s">
        <v>3</v>
      </c>
      <c r="K44" s="37"/>
      <c r="L44" s="35">
        <v>169</v>
      </c>
      <c r="M44" s="35">
        <v>0</v>
      </c>
      <c r="N44" s="40">
        <v>0</v>
      </c>
      <c r="O44" s="37"/>
      <c r="P44" s="35">
        <v>0</v>
      </c>
      <c r="Q44" s="35">
        <v>0</v>
      </c>
      <c r="R44" s="35">
        <v>0</v>
      </c>
      <c r="S44" s="35">
        <v>0</v>
      </c>
      <c r="T44" s="40">
        <v>0</v>
      </c>
      <c r="U44" s="37"/>
      <c r="V44" s="40">
        <v>61</v>
      </c>
    </row>
    <row r="45" spans="2:22" s="2" customFormat="1">
      <c r="B45" s="213" t="s">
        <v>58</v>
      </c>
      <c r="C45" s="211" t="s">
        <v>711</v>
      </c>
      <c r="D45" s="41">
        <v>1074</v>
      </c>
      <c r="E45" s="41">
        <v>3.25</v>
      </c>
      <c r="F45" s="41" t="s">
        <v>387</v>
      </c>
      <c r="G45" s="413">
        <v>24</v>
      </c>
      <c r="H45" s="414">
        <v>1010.7438016528926</v>
      </c>
      <c r="I45" s="65"/>
      <c r="J45" s="40" t="s">
        <v>3</v>
      </c>
      <c r="K45" s="37"/>
      <c r="L45" s="35">
        <v>169</v>
      </c>
      <c r="M45" s="35">
        <v>0</v>
      </c>
      <c r="N45" s="40">
        <v>0</v>
      </c>
      <c r="O45" s="37"/>
      <c r="P45" s="35">
        <v>0</v>
      </c>
      <c r="Q45" s="35">
        <v>0</v>
      </c>
      <c r="R45" s="35">
        <v>0</v>
      </c>
      <c r="S45" s="35">
        <v>0</v>
      </c>
      <c r="T45" s="40">
        <v>0</v>
      </c>
      <c r="U45" s="37"/>
      <c r="V45" s="40">
        <v>63</v>
      </c>
    </row>
    <row r="46" spans="2:22" s="2" customFormat="1">
      <c r="B46" s="213" t="s">
        <v>58</v>
      </c>
      <c r="C46" s="211" t="s">
        <v>711</v>
      </c>
      <c r="D46" s="41">
        <v>1074</v>
      </c>
      <c r="E46" s="41">
        <v>3.25</v>
      </c>
      <c r="F46" s="22" t="s">
        <v>387</v>
      </c>
      <c r="G46" s="40">
        <v>30</v>
      </c>
      <c r="H46" s="388">
        <v>1010.7438016528926</v>
      </c>
      <c r="I46" s="65"/>
      <c r="J46" s="40" t="s">
        <v>3</v>
      </c>
      <c r="K46" s="37"/>
      <c r="L46" s="35">
        <v>169</v>
      </c>
      <c r="M46" s="35">
        <v>0</v>
      </c>
      <c r="N46" s="40">
        <v>0</v>
      </c>
      <c r="O46" s="37"/>
      <c r="P46" s="35">
        <v>0</v>
      </c>
      <c r="Q46" s="35">
        <v>0</v>
      </c>
      <c r="R46" s="35">
        <v>0</v>
      </c>
      <c r="S46" s="35">
        <v>0</v>
      </c>
      <c r="T46" s="40">
        <v>0</v>
      </c>
      <c r="U46" s="37"/>
      <c r="V46" s="40">
        <v>63</v>
      </c>
    </row>
    <row r="47" spans="2:22" s="2" customFormat="1">
      <c r="B47" s="213" t="s">
        <v>58</v>
      </c>
      <c r="C47" s="211" t="s">
        <v>712</v>
      </c>
      <c r="D47" s="41">
        <v>1174</v>
      </c>
      <c r="E47" s="41">
        <v>3.25</v>
      </c>
      <c r="F47" s="41" t="s">
        <v>387</v>
      </c>
      <c r="G47" s="413">
        <v>24</v>
      </c>
      <c r="H47" s="414">
        <v>1121.4876033057851</v>
      </c>
      <c r="I47" s="65"/>
      <c r="J47" s="40" t="s">
        <v>3</v>
      </c>
      <c r="K47" s="37"/>
      <c r="L47" s="35">
        <v>169</v>
      </c>
      <c r="M47" s="35">
        <v>0</v>
      </c>
      <c r="N47" s="40">
        <v>0</v>
      </c>
      <c r="O47" s="37"/>
      <c r="P47" s="35">
        <v>0</v>
      </c>
      <c r="Q47" s="35">
        <v>0</v>
      </c>
      <c r="R47" s="35">
        <v>0</v>
      </c>
      <c r="S47" s="35">
        <v>0</v>
      </c>
      <c r="T47" s="40">
        <v>0</v>
      </c>
      <c r="U47" s="37"/>
      <c r="V47" s="40">
        <v>53</v>
      </c>
    </row>
    <row r="48" spans="2:22" s="2" customFormat="1">
      <c r="B48" s="213" t="s">
        <v>58</v>
      </c>
      <c r="C48" s="211" t="s">
        <v>712</v>
      </c>
      <c r="D48" s="41">
        <v>1174</v>
      </c>
      <c r="E48" s="41">
        <v>3.25</v>
      </c>
      <c r="F48" s="22" t="s">
        <v>387</v>
      </c>
      <c r="G48" s="40">
        <v>30</v>
      </c>
      <c r="H48" s="388">
        <v>1121.4876033057851</v>
      </c>
      <c r="I48" s="65"/>
      <c r="J48" s="40" t="s">
        <v>3</v>
      </c>
      <c r="K48" s="37"/>
      <c r="L48" s="35">
        <v>169</v>
      </c>
      <c r="M48" s="35">
        <v>0</v>
      </c>
      <c r="N48" s="40">
        <v>0</v>
      </c>
      <c r="O48" s="37"/>
      <c r="P48" s="35">
        <v>0</v>
      </c>
      <c r="Q48" s="35">
        <v>0</v>
      </c>
      <c r="R48" s="35">
        <v>0</v>
      </c>
      <c r="S48" s="35">
        <v>0</v>
      </c>
      <c r="T48" s="40">
        <v>0</v>
      </c>
      <c r="U48" s="37"/>
      <c r="V48" s="40">
        <v>53</v>
      </c>
    </row>
    <row r="49" spans="2:22" s="2" customFormat="1">
      <c r="B49" s="213" t="s">
        <v>58</v>
      </c>
      <c r="C49" s="211" t="s">
        <v>713</v>
      </c>
      <c r="D49" s="41">
        <v>1265</v>
      </c>
      <c r="E49" s="41">
        <v>3.25</v>
      </c>
      <c r="F49" s="41" t="s">
        <v>387</v>
      </c>
      <c r="G49" s="413">
        <v>24</v>
      </c>
      <c r="H49" s="414">
        <v>1223.1404958677685</v>
      </c>
      <c r="I49" s="65"/>
      <c r="J49" s="40" t="s">
        <v>3</v>
      </c>
      <c r="K49" s="37"/>
      <c r="L49" s="35">
        <v>169</v>
      </c>
      <c r="M49" s="35">
        <v>0</v>
      </c>
      <c r="N49" s="40">
        <v>0</v>
      </c>
      <c r="O49" s="37"/>
      <c r="P49" s="35">
        <v>0</v>
      </c>
      <c r="Q49" s="35">
        <v>0</v>
      </c>
      <c r="R49" s="35">
        <v>0</v>
      </c>
      <c r="S49" s="35">
        <v>0</v>
      </c>
      <c r="T49" s="40">
        <v>0</v>
      </c>
      <c r="U49" s="37"/>
      <c r="V49" s="40">
        <v>42</v>
      </c>
    </row>
    <row r="50" spans="2:22" s="2" customFormat="1">
      <c r="B50" s="213" t="s">
        <v>58</v>
      </c>
      <c r="C50" s="211" t="s">
        <v>713</v>
      </c>
      <c r="D50" s="41">
        <v>1265</v>
      </c>
      <c r="E50" s="41">
        <v>3.25</v>
      </c>
      <c r="F50" s="22" t="s">
        <v>387</v>
      </c>
      <c r="G50" s="40">
        <v>30</v>
      </c>
      <c r="H50" s="388">
        <v>1223.1404958677685</v>
      </c>
      <c r="I50" s="65"/>
      <c r="J50" s="40" t="s">
        <v>3</v>
      </c>
      <c r="K50" s="37"/>
      <c r="L50" s="35">
        <v>169</v>
      </c>
      <c r="M50" s="35">
        <v>0</v>
      </c>
      <c r="N50" s="40">
        <v>0</v>
      </c>
      <c r="O50" s="37"/>
      <c r="P50" s="35">
        <v>0</v>
      </c>
      <c r="Q50" s="35">
        <v>0</v>
      </c>
      <c r="R50" s="35">
        <v>0</v>
      </c>
      <c r="S50" s="35">
        <v>0</v>
      </c>
      <c r="T50" s="40">
        <v>0</v>
      </c>
      <c r="U50" s="37"/>
      <c r="V50" s="40">
        <v>42</v>
      </c>
    </row>
    <row r="51" spans="2:22" s="2" customFormat="1">
      <c r="B51" s="213" t="s">
        <v>58</v>
      </c>
      <c r="C51" s="211" t="s">
        <v>714</v>
      </c>
      <c r="D51" s="41">
        <v>1456</v>
      </c>
      <c r="E51" s="41">
        <v>3.25</v>
      </c>
      <c r="F51" s="41" t="s">
        <v>387</v>
      </c>
      <c r="G51" s="413">
        <v>24</v>
      </c>
      <c r="H51" s="414">
        <v>1415.702479338843</v>
      </c>
      <c r="I51" s="65"/>
      <c r="J51" s="40" t="s">
        <v>3</v>
      </c>
      <c r="K51" s="37"/>
      <c r="L51" s="35">
        <v>169</v>
      </c>
      <c r="M51" s="35">
        <v>0</v>
      </c>
      <c r="N51" s="40">
        <v>0</v>
      </c>
      <c r="O51" s="37"/>
      <c r="P51" s="35">
        <v>0</v>
      </c>
      <c r="Q51" s="35">
        <v>0</v>
      </c>
      <c r="R51" s="35">
        <v>0</v>
      </c>
      <c r="S51" s="35">
        <v>0</v>
      </c>
      <c r="T51" s="40">
        <v>0</v>
      </c>
      <c r="U51" s="37"/>
      <c r="V51" s="40">
        <v>40</v>
      </c>
    </row>
    <row r="52" spans="2:22" s="2" customFormat="1">
      <c r="B52" s="213" t="s">
        <v>58</v>
      </c>
      <c r="C52" s="211" t="s">
        <v>714</v>
      </c>
      <c r="D52" s="41">
        <v>1456</v>
      </c>
      <c r="E52" s="41">
        <v>3.25</v>
      </c>
      <c r="F52" s="22" t="s">
        <v>387</v>
      </c>
      <c r="G52" s="40">
        <v>30</v>
      </c>
      <c r="H52" s="388">
        <v>1415.702479338843</v>
      </c>
      <c r="I52" s="65"/>
      <c r="J52" s="40" t="s">
        <v>3</v>
      </c>
      <c r="K52" s="37"/>
      <c r="L52" s="35">
        <v>169</v>
      </c>
      <c r="M52" s="35">
        <v>0</v>
      </c>
      <c r="N52" s="40">
        <v>0</v>
      </c>
      <c r="O52" s="37"/>
      <c r="P52" s="35">
        <v>0</v>
      </c>
      <c r="Q52" s="35">
        <v>0</v>
      </c>
      <c r="R52" s="35">
        <v>0</v>
      </c>
      <c r="S52" s="35">
        <v>0</v>
      </c>
      <c r="T52" s="40">
        <v>0</v>
      </c>
      <c r="U52" s="37"/>
      <c r="V52" s="40">
        <v>40</v>
      </c>
    </row>
    <row r="53" spans="2:22" s="2" customFormat="1">
      <c r="B53" s="213" t="s">
        <v>106</v>
      </c>
      <c r="C53" s="211" t="s">
        <v>608</v>
      </c>
      <c r="D53" s="41">
        <v>520</v>
      </c>
      <c r="E53" s="41">
        <v>3.25</v>
      </c>
      <c r="F53" s="41" t="s">
        <v>387</v>
      </c>
      <c r="G53" s="413">
        <v>24</v>
      </c>
      <c r="H53" s="414">
        <v>378.51239669421489</v>
      </c>
      <c r="I53" s="65"/>
      <c r="J53" s="40" t="s">
        <v>3</v>
      </c>
      <c r="K53" s="37"/>
      <c r="L53" s="35">
        <v>129</v>
      </c>
      <c r="M53" s="35">
        <v>19</v>
      </c>
      <c r="N53" s="40">
        <v>19</v>
      </c>
      <c r="O53" s="37"/>
      <c r="P53" s="35">
        <v>0</v>
      </c>
      <c r="Q53" s="35">
        <v>0</v>
      </c>
      <c r="R53" s="35">
        <v>0</v>
      </c>
      <c r="S53" s="35">
        <v>0</v>
      </c>
      <c r="T53" s="40">
        <v>0</v>
      </c>
      <c r="U53" s="37"/>
      <c r="V53" s="40">
        <v>141</v>
      </c>
    </row>
    <row r="54" spans="2:22" s="2" customFormat="1">
      <c r="B54" s="213" t="s">
        <v>106</v>
      </c>
      <c r="C54" s="211" t="s">
        <v>608</v>
      </c>
      <c r="D54" s="41">
        <v>520</v>
      </c>
      <c r="E54" s="41">
        <v>3.25</v>
      </c>
      <c r="F54" s="22" t="s">
        <v>387</v>
      </c>
      <c r="G54" s="40">
        <v>30</v>
      </c>
      <c r="H54" s="388">
        <v>378.51239669421489</v>
      </c>
      <c r="I54" s="65"/>
      <c r="J54" s="40" t="s">
        <v>3</v>
      </c>
      <c r="K54" s="37"/>
      <c r="L54" s="35">
        <v>129</v>
      </c>
      <c r="M54" s="35">
        <v>19</v>
      </c>
      <c r="N54" s="40">
        <v>19</v>
      </c>
      <c r="O54" s="37"/>
      <c r="P54" s="35">
        <v>0</v>
      </c>
      <c r="Q54" s="35">
        <v>0</v>
      </c>
      <c r="R54" s="35">
        <v>0</v>
      </c>
      <c r="S54" s="35">
        <v>0</v>
      </c>
      <c r="T54" s="40">
        <v>0</v>
      </c>
      <c r="U54" s="37"/>
      <c r="V54" s="40">
        <v>141</v>
      </c>
    </row>
    <row r="55" spans="2:22" s="2" customFormat="1">
      <c r="B55" s="213" t="s">
        <v>106</v>
      </c>
      <c r="C55" s="211" t="s">
        <v>607</v>
      </c>
      <c r="D55" s="41">
        <v>564</v>
      </c>
      <c r="E55" s="41">
        <v>3.25</v>
      </c>
      <c r="F55" s="41" t="s">
        <v>387</v>
      </c>
      <c r="G55" s="413">
        <v>24</v>
      </c>
      <c r="H55" s="414">
        <v>453.71900826446284</v>
      </c>
      <c r="I55" s="65"/>
      <c r="J55" s="40" t="s">
        <v>3</v>
      </c>
      <c r="K55" s="37"/>
      <c r="L55" s="35">
        <v>149</v>
      </c>
      <c r="M55" s="35">
        <v>19</v>
      </c>
      <c r="N55" s="40">
        <v>19</v>
      </c>
      <c r="O55" s="37"/>
      <c r="P55" s="35">
        <v>0</v>
      </c>
      <c r="Q55" s="35">
        <v>0</v>
      </c>
      <c r="R55" s="35">
        <v>0</v>
      </c>
      <c r="S55" s="35">
        <v>0</v>
      </c>
      <c r="T55" s="40">
        <v>0</v>
      </c>
      <c r="U55" s="37"/>
      <c r="V55" s="40">
        <v>110</v>
      </c>
    </row>
    <row r="56" spans="2:22" s="2" customFormat="1">
      <c r="B56" s="213" t="s">
        <v>106</v>
      </c>
      <c r="C56" s="211" t="s">
        <v>607</v>
      </c>
      <c r="D56" s="41">
        <v>564</v>
      </c>
      <c r="E56" s="41">
        <v>3.25</v>
      </c>
      <c r="F56" s="22" t="s">
        <v>387</v>
      </c>
      <c r="G56" s="40">
        <v>30</v>
      </c>
      <c r="H56" s="388">
        <v>453.71900826446284</v>
      </c>
      <c r="I56" s="65"/>
      <c r="J56" s="40" t="s">
        <v>3</v>
      </c>
      <c r="K56" s="37"/>
      <c r="L56" s="35">
        <v>149</v>
      </c>
      <c r="M56" s="35">
        <v>19</v>
      </c>
      <c r="N56" s="40">
        <v>19</v>
      </c>
      <c r="O56" s="37"/>
      <c r="P56" s="35">
        <v>0</v>
      </c>
      <c r="Q56" s="35">
        <v>0</v>
      </c>
      <c r="R56" s="35">
        <v>0</v>
      </c>
      <c r="S56" s="35">
        <v>0</v>
      </c>
      <c r="T56" s="40">
        <v>0</v>
      </c>
      <c r="U56" s="37"/>
      <c r="V56" s="40">
        <v>110</v>
      </c>
    </row>
    <row r="57" spans="2:22" s="2" customFormat="1">
      <c r="B57" s="213" t="s">
        <v>106</v>
      </c>
      <c r="C57" s="211" t="s">
        <v>677</v>
      </c>
      <c r="D57" s="41">
        <v>823</v>
      </c>
      <c r="E57" s="41">
        <v>3.25</v>
      </c>
      <c r="F57" s="41" t="s">
        <v>387</v>
      </c>
      <c r="G57" s="413">
        <v>24</v>
      </c>
      <c r="H57" s="414">
        <v>657.02479338842977</v>
      </c>
      <c r="I57" s="65"/>
      <c r="J57" s="40" t="s">
        <v>3</v>
      </c>
      <c r="K57" s="37"/>
      <c r="L57" s="35">
        <v>289</v>
      </c>
      <c r="M57" s="35">
        <v>179</v>
      </c>
      <c r="N57" s="40">
        <v>179</v>
      </c>
      <c r="O57" s="37"/>
      <c r="P57" s="35">
        <v>0</v>
      </c>
      <c r="Q57" s="35">
        <v>0</v>
      </c>
      <c r="R57" s="35">
        <v>0</v>
      </c>
      <c r="S57" s="35">
        <v>0</v>
      </c>
      <c r="T57" s="40">
        <v>0</v>
      </c>
      <c r="U57" s="37"/>
      <c r="V57" s="40">
        <v>166</v>
      </c>
    </row>
    <row r="58" spans="2:22" s="2" customFormat="1">
      <c r="B58" s="213" t="s">
        <v>106</v>
      </c>
      <c r="C58" s="211" t="s">
        <v>677</v>
      </c>
      <c r="D58" s="41">
        <v>823</v>
      </c>
      <c r="E58" s="41">
        <v>3.25</v>
      </c>
      <c r="F58" s="22" t="s">
        <v>387</v>
      </c>
      <c r="G58" s="40">
        <v>30</v>
      </c>
      <c r="H58" s="388">
        <v>657.02479338842977</v>
      </c>
      <c r="I58" s="65"/>
      <c r="J58" s="40" t="s">
        <v>3</v>
      </c>
      <c r="K58" s="37"/>
      <c r="L58" s="35">
        <v>289</v>
      </c>
      <c r="M58" s="35">
        <v>179</v>
      </c>
      <c r="N58" s="40">
        <v>179</v>
      </c>
      <c r="O58" s="37"/>
      <c r="P58" s="35">
        <v>0</v>
      </c>
      <c r="Q58" s="35">
        <v>0</v>
      </c>
      <c r="R58" s="35">
        <v>0</v>
      </c>
      <c r="S58" s="35">
        <v>0</v>
      </c>
      <c r="T58" s="40">
        <v>0</v>
      </c>
      <c r="U58" s="37"/>
      <c r="V58" s="40">
        <v>166</v>
      </c>
    </row>
    <row r="59" spans="2:22" s="2" customFormat="1">
      <c r="B59" s="213" t="s">
        <v>106</v>
      </c>
      <c r="C59" s="211" t="s">
        <v>702</v>
      </c>
      <c r="D59" s="41">
        <v>1062</v>
      </c>
      <c r="E59" s="41">
        <v>3.25</v>
      </c>
      <c r="F59" s="41" t="s">
        <v>387</v>
      </c>
      <c r="G59" s="413">
        <v>24</v>
      </c>
      <c r="H59" s="414">
        <v>876.03305785123973</v>
      </c>
      <c r="I59" s="65"/>
      <c r="J59" s="40" t="s">
        <v>3</v>
      </c>
      <c r="K59" s="37"/>
      <c r="L59" s="35">
        <v>369</v>
      </c>
      <c r="M59" s="35">
        <v>229</v>
      </c>
      <c r="N59" s="40">
        <v>229</v>
      </c>
      <c r="O59" s="37"/>
      <c r="P59" s="35">
        <v>0</v>
      </c>
      <c r="Q59" s="35">
        <v>0</v>
      </c>
      <c r="R59" s="35">
        <v>0</v>
      </c>
      <c r="S59" s="35">
        <v>0</v>
      </c>
      <c r="T59" s="40">
        <v>0</v>
      </c>
      <c r="U59" s="37"/>
      <c r="V59" s="40">
        <v>186</v>
      </c>
    </row>
    <row r="60" spans="2:22" s="2" customFormat="1">
      <c r="B60" s="213" t="s">
        <v>106</v>
      </c>
      <c r="C60" s="211" t="s">
        <v>702</v>
      </c>
      <c r="D60" s="41">
        <v>1062</v>
      </c>
      <c r="E60" s="41">
        <v>3.25</v>
      </c>
      <c r="F60" s="22" t="s">
        <v>387</v>
      </c>
      <c r="G60" s="40">
        <v>30</v>
      </c>
      <c r="H60" s="388">
        <v>876.03305785123973</v>
      </c>
      <c r="I60" s="65"/>
      <c r="J60" s="40" t="s">
        <v>3</v>
      </c>
      <c r="K60" s="37"/>
      <c r="L60" s="35">
        <v>369</v>
      </c>
      <c r="M60" s="35">
        <v>229</v>
      </c>
      <c r="N60" s="40">
        <v>229</v>
      </c>
      <c r="O60" s="37"/>
      <c r="P60" s="35">
        <v>0</v>
      </c>
      <c r="Q60" s="35">
        <v>0</v>
      </c>
      <c r="R60" s="35">
        <v>0</v>
      </c>
      <c r="S60" s="35">
        <v>0</v>
      </c>
      <c r="T60" s="40">
        <v>0</v>
      </c>
      <c r="U60" s="37"/>
      <c r="V60" s="40">
        <v>186</v>
      </c>
    </row>
    <row r="61" spans="2:22" s="2" customFormat="1">
      <c r="B61" s="213" t="s">
        <v>106</v>
      </c>
      <c r="C61" s="211" t="s">
        <v>678</v>
      </c>
      <c r="D61" s="41">
        <v>1234</v>
      </c>
      <c r="E61" s="41">
        <v>3.25</v>
      </c>
      <c r="F61" s="41" t="s">
        <v>387</v>
      </c>
      <c r="G61" s="413">
        <v>24</v>
      </c>
      <c r="H61" s="414">
        <v>1019.00826446281</v>
      </c>
      <c r="I61" s="65"/>
      <c r="J61" s="40" t="s">
        <v>3</v>
      </c>
      <c r="K61" s="37"/>
      <c r="L61" s="35">
        <v>439</v>
      </c>
      <c r="M61" s="35">
        <v>269</v>
      </c>
      <c r="N61" s="40">
        <v>269</v>
      </c>
      <c r="O61" s="37"/>
      <c r="P61" s="35">
        <v>0</v>
      </c>
      <c r="Q61" s="35">
        <v>0</v>
      </c>
      <c r="R61" s="35">
        <v>0</v>
      </c>
      <c r="S61" s="35">
        <v>0</v>
      </c>
      <c r="T61" s="40">
        <v>0</v>
      </c>
      <c r="U61" s="37"/>
      <c r="V61" s="40">
        <v>215</v>
      </c>
    </row>
    <row r="62" spans="2:22" s="2" customFormat="1">
      <c r="B62" s="213" t="s">
        <v>106</v>
      </c>
      <c r="C62" s="211" t="s">
        <v>678</v>
      </c>
      <c r="D62" s="41">
        <v>1234</v>
      </c>
      <c r="E62" s="41">
        <v>3.25</v>
      </c>
      <c r="F62" s="22" t="s">
        <v>387</v>
      </c>
      <c r="G62" s="40">
        <v>30</v>
      </c>
      <c r="H62" s="388">
        <v>1019.00826446281</v>
      </c>
      <c r="I62" s="65"/>
      <c r="J62" s="40" t="s">
        <v>3</v>
      </c>
      <c r="K62" s="37"/>
      <c r="L62" s="35">
        <v>439</v>
      </c>
      <c r="M62" s="35">
        <v>269</v>
      </c>
      <c r="N62" s="40">
        <v>269</v>
      </c>
      <c r="O62" s="37"/>
      <c r="P62" s="35">
        <v>0</v>
      </c>
      <c r="Q62" s="35">
        <v>0</v>
      </c>
      <c r="R62" s="35">
        <v>0</v>
      </c>
      <c r="S62" s="35">
        <v>0</v>
      </c>
      <c r="T62" s="40">
        <v>0</v>
      </c>
      <c r="U62" s="37"/>
      <c r="V62" s="40">
        <v>215</v>
      </c>
    </row>
    <row r="63" spans="2:22" s="2" customFormat="1">
      <c r="B63" s="213" t="s">
        <v>670</v>
      </c>
      <c r="C63" s="211" t="s">
        <v>627</v>
      </c>
      <c r="D63" s="41">
        <v>539</v>
      </c>
      <c r="E63" s="41">
        <v>3.25</v>
      </c>
      <c r="F63" s="41" t="s">
        <v>387</v>
      </c>
      <c r="G63" s="413">
        <v>24</v>
      </c>
      <c r="H63" s="414">
        <v>428.09917355371903</v>
      </c>
      <c r="I63" s="65"/>
      <c r="J63" s="40" t="s">
        <v>3</v>
      </c>
      <c r="K63" s="37"/>
      <c r="L63" s="35">
        <v>139</v>
      </c>
      <c r="M63" s="35">
        <v>19</v>
      </c>
      <c r="N63" s="40">
        <v>19</v>
      </c>
      <c r="O63" s="37"/>
      <c r="P63" s="35">
        <v>0</v>
      </c>
      <c r="Q63" s="35">
        <v>0</v>
      </c>
      <c r="R63" s="35">
        <v>0</v>
      </c>
      <c r="S63" s="35">
        <v>0</v>
      </c>
      <c r="T63" s="40">
        <v>0</v>
      </c>
      <c r="U63" s="37"/>
      <c r="V63" s="40">
        <v>111</v>
      </c>
    </row>
    <row r="64" spans="2:22" s="2" customFormat="1">
      <c r="B64" s="213" t="s">
        <v>670</v>
      </c>
      <c r="C64" s="211" t="s">
        <v>627</v>
      </c>
      <c r="D64" s="41">
        <v>539</v>
      </c>
      <c r="E64" s="41">
        <v>3.25</v>
      </c>
      <c r="F64" s="22" t="s">
        <v>387</v>
      </c>
      <c r="G64" s="40">
        <v>30</v>
      </c>
      <c r="H64" s="388">
        <v>428.09917355371903</v>
      </c>
      <c r="I64" s="65"/>
      <c r="J64" s="40" t="s">
        <v>3</v>
      </c>
      <c r="K64" s="37"/>
      <c r="L64" s="35">
        <v>139</v>
      </c>
      <c r="M64" s="35">
        <v>19</v>
      </c>
      <c r="N64" s="40">
        <v>19</v>
      </c>
      <c r="O64" s="37"/>
      <c r="P64" s="35">
        <v>0</v>
      </c>
      <c r="Q64" s="35">
        <v>0</v>
      </c>
      <c r="R64" s="35">
        <v>0</v>
      </c>
      <c r="S64" s="35">
        <v>0</v>
      </c>
      <c r="T64" s="40">
        <v>0</v>
      </c>
      <c r="U64" s="37"/>
      <c r="V64" s="40">
        <v>111</v>
      </c>
    </row>
    <row r="65" spans="2:22" s="2" customFormat="1">
      <c r="B65" s="213" t="s">
        <v>670</v>
      </c>
      <c r="C65" s="211" t="s">
        <v>628</v>
      </c>
      <c r="D65" s="41">
        <v>309</v>
      </c>
      <c r="E65" s="41">
        <v>3.25</v>
      </c>
      <c r="F65" s="41" t="s">
        <v>387</v>
      </c>
      <c r="G65" s="413">
        <v>24</v>
      </c>
      <c r="H65" s="414">
        <v>240.49586776859505</v>
      </c>
      <c r="I65" s="65"/>
      <c r="J65" s="40" t="s">
        <v>3</v>
      </c>
      <c r="K65" s="37"/>
      <c r="L65" s="35">
        <v>39</v>
      </c>
      <c r="M65" s="35">
        <v>0</v>
      </c>
      <c r="N65" s="40">
        <v>0</v>
      </c>
      <c r="O65" s="37"/>
      <c r="P65" s="35">
        <v>0</v>
      </c>
      <c r="Q65" s="35">
        <v>0</v>
      </c>
      <c r="R65" s="35">
        <v>0</v>
      </c>
      <c r="S65" s="35">
        <v>0</v>
      </c>
      <c r="T65" s="40">
        <v>0</v>
      </c>
      <c r="U65" s="37"/>
      <c r="V65" s="40">
        <v>69</v>
      </c>
    </row>
    <row r="66" spans="2:22" s="2" customFormat="1">
      <c r="B66" s="213" t="s">
        <v>670</v>
      </c>
      <c r="C66" s="211" t="s">
        <v>628</v>
      </c>
      <c r="D66" s="41">
        <v>309</v>
      </c>
      <c r="E66" s="41">
        <v>3.25</v>
      </c>
      <c r="F66" s="22" t="s">
        <v>387</v>
      </c>
      <c r="G66" s="40">
        <v>30</v>
      </c>
      <c r="H66" s="388">
        <v>240.49586776859505</v>
      </c>
      <c r="I66" s="65"/>
      <c r="J66" s="40" t="s">
        <v>3</v>
      </c>
      <c r="K66" s="37"/>
      <c r="L66" s="35">
        <v>39</v>
      </c>
      <c r="M66" s="35">
        <v>0</v>
      </c>
      <c r="N66" s="40">
        <v>0</v>
      </c>
      <c r="O66" s="37"/>
      <c r="P66" s="35">
        <v>0</v>
      </c>
      <c r="Q66" s="35">
        <v>0</v>
      </c>
      <c r="R66" s="35">
        <v>0</v>
      </c>
      <c r="S66" s="35">
        <v>0</v>
      </c>
      <c r="T66" s="40">
        <v>0</v>
      </c>
      <c r="U66" s="37"/>
      <c r="V66" s="40">
        <v>69</v>
      </c>
    </row>
    <row r="67" spans="2:22" s="2" customFormat="1">
      <c r="B67" s="213" t="s">
        <v>670</v>
      </c>
      <c r="C67" s="211" t="s">
        <v>629</v>
      </c>
      <c r="D67" s="41">
        <v>661</v>
      </c>
      <c r="E67" s="41">
        <v>3.25</v>
      </c>
      <c r="F67" s="41" t="s">
        <v>387</v>
      </c>
      <c r="G67" s="413">
        <v>24</v>
      </c>
      <c r="H67" s="414">
        <v>547.93388429752065</v>
      </c>
      <c r="I67" s="65"/>
      <c r="J67" s="40" t="s">
        <v>3</v>
      </c>
      <c r="K67" s="37"/>
      <c r="L67" s="35">
        <v>229</v>
      </c>
      <c r="M67" s="35">
        <v>139</v>
      </c>
      <c r="N67" s="40">
        <v>139</v>
      </c>
      <c r="O67" s="37"/>
      <c r="P67" s="35">
        <v>0</v>
      </c>
      <c r="Q67" s="35">
        <v>0</v>
      </c>
      <c r="R67" s="35">
        <v>0</v>
      </c>
      <c r="S67" s="35">
        <v>0</v>
      </c>
      <c r="T67" s="40">
        <v>0</v>
      </c>
      <c r="U67" s="37"/>
      <c r="V67" s="40">
        <v>113</v>
      </c>
    </row>
    <row r="68" spans="2:22" s="2" customFormat="1">
      <c r="B68" s="213" t="s">
        <v>670</v>
      </c>
      <c r="C68" s="211" t="s">
        <v>629</v>
      </c>
      <c r="D68" s="41">
        <v>661</v>
      </c>
      <c r="E68" s="41">
        <v>3.25</v>
      </c>
      <c r="F68" s="22" t="s">
        <v>387</v>
      </c>
      <c r="G68" s="40">
        <v>30</v>
      </c>
      <c r="H68" s="388">
        <v>547.93388429752065</v>
      </c>
      <c r="I68" s="65"/>
      <c r="J68" s="40" t="s">
        <v>3</v>
      </c>
      <c r="K68" s="37"/>
      <c r="L68" s="35">
        <v>229</v>
      </c>
      <c r="M68" s="35">
        <v>139</v>
      </c>
      <c r="N68" s="40">
        <v>139</v>
      </c>
      <c r="O68" s="37"/>
      <c r="P68" s="35">
        <v>0</v>
      </c>
      <c r="Q68" s="35">
        <v>0</v>
      </c>
      <c r="R68" s="35">
        <v>0</v>
      </c>
      <c r="S68" s="35">
        <v>0</v>
      </c>
      <c r="T68" s="40">
        <v>0</v>
      </c>
      <c r="U68" s="37"/>
      <c r="V68" s="40">
        <v>113</v>
      </c>
    </row>
    <row r="69" spans="2:22" s="2" customFormat="1">
      <c r="B69" s="213" t="s">
        <v>670</v>
      </c>
      <c r="C69" s="211" t="s">
        <v>703</v>
      </c>
      <c r="D69" s="41">
        <v>181</v>
      </c>
      <c r="E69" s="41">
        <v>3.25</v>
      </c>
      <c r="F69" s="41" t="s">
        <v>387</v>
      </c>
      <c r="G69" s="413">
        <v>24</v>
      </c>
      <c r="H69" s="414">
        <v>110.74380165289257</v>
      </c>
      <c r="I69" s="65"/>
      <c r="J69" s="40" t="s">
        <v>3</v>
      </c>
      <c r="K69" s="37"/>
      <c r="L69" s="35">
        <v>0</v>
      </c>
      <c r="M69" s="35">
        <v>0</v>
      </c>
      <c r="N69" s="40">
        <v>0</v>
      </c>
      <c r="O69" s="37"/>
      <c r="P69" s="35">
        <v>0</v>
      </c>
      <c r="Q69" s="35">
        <v>0</v>
      </c>
      <c r="R69" s="35">
        <v>0</v>
      </c>
      <c r="S69" s="35">
        <v>0</v>
      </c>
      <c r="T69" s="40">
        <v>0</v>
      </c>
      <c r="U69" s="37"/>
      <c r="V69" s="40">
        <v>70</v>
      </c>
    </row>
    <row r="70" spans="2:22" s="2" customFormat="1">
      <c r="B70" s="213" t="s">
        <v>670</v>
      </c>
      <c r="C70" s="211" t="s">
        <v>703</v>
      </c>
      <c r="D70" s="41">
        <v>181</v>
      </c>
      <c r="E70" s="41">
        <v>3.25</v>
      </c>
      <c r="F70" s="22" t="s">
        <v>387</v>
      </c>
      <c r="G70" s="40">
        <v>30</v>
      </c>
      <c r="H70" s="388">
        <v>110.74380165289257</v>
      </c>
      <c r="I70" s="65"/>
      <c r="J70" s="40" t="s">
        <v>3</v>
      </c>
      <c r="K70" s="37"/>
      <c r="L70" s="35">
        <v>0</v>
      </c>
      <c r="M70" s="35">
        <v>0</v>
      </c>
      <c r="N70" s="40">
        <v>0</v>
      </c>
      <c r="O70" s="37"/>
      <c r="P70" s="35">
        <v>0</v>
      </c>
      <c r="Q70" s="35">
        <v>0</v>
      </c>
      <c r="R70" s="35">
        <v>0</v>
      </c>
      <c r="S70" s="35">
        <v>0</v>
      </c>
      <c r="T70" s="40">
        <v>0</v>
      </c>
      <c r="U70" s="37"/>
      <c r="V70" s="40">
        <v>70</v>
      </c>
    </row>
    <row r="71" spans="2:22" s="2" customFormat="1">
      <c r="B71" s="213" t="s">
        <v>670</v>
      </c>
      <c r="C71" s="211" t="s">
        <v>704</v>
      </c>
      <c r="D71" s="41">
        <v>1653</v>
      </c>
      <c r="E71" s="41">
        <v>3.25</v>
      </c>
      <c r="F71" s="41" t="s">
        <v>387</v>
      </c>
      <c r="G71" s="413">
        <v>24</v>
      </c>
      <c r="H71" s="414">
        <v>1282.6446280991736</v>
      </c>
      <c r="I71" s="65"/>
      <c r="J71" s="40" t="s">
        <v>3</v>
      </c>
      <c r="K71" s="37"/>
      <c r="L71" s="35">
        <v>569</v>
      </c>
      <c r="M71" s="35">
        <v>339</v>
      </c>
      <c r="N71" s="40">
        <v>339</v>
      </c>
      <c r="O71" s="37"/>
      <c r="P71" s="35">
        <v>0</v>
      </c>
      <c r="Q71" s="35">
        <v>0</v>
      </c>
      <c r="R71" s="35">
        <v>0</v>
      </c>
      <c r="S71" s="35">
        <v>0</v>
      </c>
      <c r="T71" s="40">
        <v>0</v>
      </c>
      <c r="U71" s="37"/>
      <c r="V71" s="40">
        <v>370</v>
      </c>
    </row>
    <row r="72" spans="2:22" s="2" customFormat="1">
      <c r="B72" s="213" t="s">
        <v>670</v>
      </c>
      <c r="C72" s="211" t="s">
        <v>704</v>
      </c>
      <c r="D72" s="41">
        <v>1653</v>
      </c>
      <c r="E72" s="41">
        <v>3.25</v>
      </c>
      <c r="F72" s="22" t="s">
        <v>387</v>
      </c>
      <c r="G72" s="40">
        <v>30</v>
      </c>
      <c r="H72" s="388">
        <v>1282.6446280991736</v>
      </c>
      <c r="I72" s="65"/>
      <c r="J72" s="40" t="s">
        <v>3</v>
      </c>
      <c r="K72" s="37"/>
      <c r="L72" s="35">
        <v>569</v>
      </c>
      <c r="M72" s="35">
        <v>339</v>
      </c>
      <c r="N72" s="40">
        <v>339</v>
      </c>
      <c r="O72" s="37"/>
      <c r="P72" s="35">
        <v>0</v>
      </c>
      <c r="Q72" s="35">
        <v>0</v>
      </c>
      <c r="R72" s="35">
        <v>0</v>
      </c>
      <c r="S72" s="35">
        <v>0</v>
      </c>
      <c r="T72" s="40">
        <v>0</v>
      </c>
      <c r="U72" s="37"/>
      <c r="V72" s="40">
        <v>370</v>
      </c>
    </row>
    <row r="73" spans="2:22" s="2" customFormat="1">
      <c r="B73" s="213" t="s">
        <v>670</v>
      </c>
      <c r="C73" s="211" t="s">
        <v>566</v>
      </c>
      <c r="D73" s="41">
        <v>358</v>
      </c>
      <c r="E73" s="41">
        <v>3.25</v>
      </c>
      <c r="F73" s="41" t="s">
        <v>387</v>
      </c>
      <c r="G73" s="413">
        <v>24</v>
      </c>
      <c r="H73" s="414">
        <v>297.52066115702479</v>
      </c>
      <c r="I73" s="65"/>
      <c r="J73" s="40" t="s">
        <v>3</v>
      </c>
      <c r="K73" s="37"/>
      <c r="L73" s="35">
        <v>99</v>
      </c>
      <c r="M73" s="35">
        <v>19</v>
      </c>
      <c r="N73" s="40">
        <v>19</v>
      </c>
      <c r="O73" s="37"/>
      <c r="P73" s="35">
        <v>0</v>
      </c>
      <c r="Q73" s="35">
        <v>0</v>
      </c>
      <c r="R73" s="35">
        <v>0</v>
      </c>
      <c r="S73" s="35">
        <v>0</v>
      </c>
      <c r="T73" s="40">
        <v>0</v>
      </c>
      <c r="U73" s="37"/>
      <c r="V73" s="40">
        <v>60</v>
      </c>
    </row>
    <row r="74" spans="2:22" s="2" customFormat="1">
      <c r="B74" s="213" t="s">
        <v>670</v>
      </c>
      <c r="C74" s="211" t="s">
        <v>566</v>
      </c>
      <c r="D74" s="41">
        <v>358</v>
      </c>
      <c r="E74" s="41">
        <v>3.25</v>
      </c>
      <c r="F74" s="22" t="s">
        <v>387</v>
      </c>
      <c r="G74" s="40">
        <v>30</v>
      </c>
      <c r="H74" s="388">
        <v>297.52066115702479</v>
      </c>
      <c r="I74" s="65"/>
      <c r="J74" s="40" t="s">
        <v>3</v>
      </c>
      <c r="K74" s="37"/>
      <c r="L74" s="35">
        <v>99</v>
      </c>
      <c r="M74" s="35">
        <v>19</v>
      </c>
      <c r="N74" s="40">
        <v>19</v>
      </c>
      <c r="O74" s="37"/>
      <c r="P74" s="35">
        <v>0</v>
      </c>
      <c r="Q74" s="35">
        <v>0</v>
      </c>
      <c r="R74" s="35">
        <v>0</v>
      </c>
      <c r="S74" s="35">
        <v>0</v>
      </c>
      <c r="T74" s="40">
        <v>0</v>
      </c>
      <c r="U74" s="37"/>
      <c r="V74" s="40">
        <v>60</v>
      </c>
    </row>
    <row r="75" spans="2:22" s="2" customFormat="1">
      <c r="B75" s="213" t="s">
        <v>670</v>
      </c>
      <c r="C75" s="211" t="s">
        <v>589</v>
      </c>
      <c r="D75" s="41">
        <v>1074</v>
      </c>
      <c r="E75" s="41">
        <v>3.25</v>
      </c>
      <c r="F75" s="41" t="s">
        <v>387</v>
      </c>
      <c r="G75" s="413">
        <v>24</v>
      </c>
      <c r="H75" s="414">
        <v>808.2644628099174</v>
      </c>
      <c r="I75" s="65"/>
      <c r="J75" s="40" t="s">
        <v>3</v>
      </c>
      <c r="K75" s="37"/>
      <c r="L75" s="35">
        <v>339</v>
      </c>
      <c r="M75" s="35">
        <v>209</v>
      </c>
      <c r="N75" s="40">
        <v>209</v>
      </c>
      <c r="O75" s="37"/>
      <c r="P75" s="35">
        <v>0</v>
      </c>
      <c r="Q75" s="35">
        <v>0</v>
      </c>
      <c r="R75" s="35">
        <v>0</v>
      </c>
      <c r="S75" s="35">
        <v>0</v>
      </c>
      <c r="T75" s="40">
        <v>0</v>
      </c>
      <c r="U75" s="37"/>
      <c r="V75" s="40">
        <v>266</v>
      </c>
    </row>
    <row r="76" spans="2:22" s="2" customFormat="1">
      <c r="B76" s="213" t="s">
        <v>670</v>
      </c>
      <c r="C76" s="211" t="s">
        <v>589</v>
      </c>
      <c r="D76" s="41">
        <v>1074</v>
      </c>
      <c r="E76" s="41">
        <v>3.25</v>
      </c>
      <c r="F76" s="22" t="s">
        <v>387</v>
      </c>
      <c r="G76" s="40">
        <v>30</v>
      </c>
      <c r="H76" s="388">
        <v>808.2644628099174</v>
      </c>
      <c r="I76" s="65"/>
      <c r="J76" s="40" t="s">
        <v>3</v>
      </c>
      <c r="K76" s="37"/>
      <c r="L76" s="35">
        <v>339</v>
      </c>
      <c r="M76" s="35">
        <v>209</v>
      </c>
      <c r="N76" s="40">
        <v>209</v>
      </c>
      <c r="O76" s="37"/>
      <c r="P76" s="35">
        <v>0</v>
      </c>
      <c r="Q76" s="35">
        <v>0</v>
      </c>
      <c r="R76" s="35">
        <v>0</v>
      </c>
      <c r="S76" s="35">
        <v>0</v>
      </c>
      <c r="T76" s="40">
        <v>0</v>
      </c>
      <c r="U76" s="37"/>
      <c r="V76" s="40">
        <v>266</v>
      </c>
    </row>
    <row r="77" spans="2:22" s="2" customFormat="1">
      <c r="B77" s="213" t="s">
        <v>110</v>
      </c>
      <c r="C77" s="211" t="s">
        <v>720</v>
      </c>
      <c r="D77" s="41">
        <v>481</v>
      </c>
      <c r="E77" s="41">
        <v>3.25</v>
      </c>
      <c r="F77" s="41" t="s">
        <v>387</v>
      </c>
      <c r="G77" s="413">
        <v>24</v>
      </c>
      <c r="H77" s="414">
        <v>420.6611570247934</v>
      </c>
      <c r="I77" s="65"/>
      <c r="J77" s="40" t="s">
        <v>3</v>
      </c>
      <c r="K77" s="37"/>
      <c r="L77" s="35">
        <v>139</v>
      </c>
      <c r="M77" s="35">
        <v>19</v>
      </c>
      <c r="N77" s="40">
        <v>19</v>
      </c>
      <c r="O77" s="37"/>
      <c r="P77" s="35">
        <v>0</v>
      </c>
      <c r="Q77" s="35">
        <v>0</v>
      </c>
      <c r="R77" s="35">
        <v>0</v>
      </c>
      <c r="S77" s="35">
        <v>0</v>
      </c>
      <c r="T77" s="40">
        <v>0</v>
      </c>
      <c r="U77" s="37"/>
      <c r="V77" s="40">
        <v>60</v>
      </c>
    </row>
    <row r="78" spans="2:22" s="2" customFormat="1">
      <c r="B78" s="213" t="s">
        <v>110</v>
      </c>
      <c r="C78" s="211" t="s">
        <v>720</v>
      </c>
      <c r="D78" s="41">
        <v>481</v>
      </c>
      <c r="E78" s="41">
        <v>3.25</v>
      </c>
      <c r="F78" s="22" t="s">
        <v>387</v>
      </c>
      <c r="G78" s="40">
        <v>30</v>
      </c>
      <c r="H78" s="388">
        <v>420.6611570247934</v>
      </c>
      <c r="I78" s="65"/>
      <c r="J78" s="40" t="s">
        <v>3</v>
      </c>
      <c r="K78" s="37"/>
      <c r="L78" s="35">
        <v>139</v>
      </c>
      <c r="M78" s="35">
        <v>19</v>
      </c>
      <c r="N78" s="40">
        <v>19</v>
      </c>
      <c r="O78" s="37"/>
      <c r="P78" s="35">
        <v>0</v>
      </c>
      <c r="Q78" s="35">
        <v>0</v>
      </c>
      <c r="R78" s="35">
        <v>0</v>
      </c>
      <c r="S78" s="35">
        <v>0</v>
      </c>
      <c r="T78" s="40">
        <v>0</v>
      </c>
      <c r="U78" s="37"/>
      <c r="V78" s="40">
        <v>60</v>
      </c>
    </row>
    <row r="79" spans="2:22" s="2" customFormat="1">
      <c r="B79" s="213" t="s">
        <v>110</v>
      </c>
      <c r="C79" s="211" t="s">
        <v>606</v>
      </c>
      <c r="D79" s="41">
        <v>658</v>
      </c>
      <c r="E79" s="41">
        <v>3.25</v>
      </c>
      <c r="F79" s="41" t="s">
        <v>387</v>
      </c>
      <c r="G79" s="413">
        <v>24</v>
      </c>
      <c r="H79" s="414">
        <v>429.75206611570252</v>
      </c>
      <c r="I79" s="65"/>
      <c r="J79" s="40" t="s">
        <v>3</v>
      </c>
      <c r="K79" s="37"/>
      <c r="L79" s="35">
        <v>139</v>
      </c>
      <c r="M79" s="35">
        <v>19</v>
      </c>
      <c r="N79" s="40">
        <v>19</v>
      </c>
      <c r="O79" s="37"/>
      <c r="P79" s="35">
        <v>0</v>
      </c>
      <c r="Q79" s="35">
        <v>0</v>
      </c>
      <c r="R79" s="35">
        <v>0</v>
      </c>
      <c r="S79" s="35">
        <v>0</v>
      </c>
      <c r="T79" s="40">
        <v>0</v>
      </c>
      <c r="U79" s="37"/>
      <c r="V79" s="40">
        <v>228</v>
      </c>
    </row>
    <row r="80" spans="2:22" s="2" customFormat="1">
      <c r="B80" s="213" t="s">
        <v>110</v>
      </c>
      <c r="C80" s="211" t="s">
        <v>606</v>
      </c>
      <c r="D80" s="41">
        <v>658</v>
      </c>
      <c r="E80" s="41">
        <v>3.25</v>
      </c>
      <c r="F80" s="22" t="s">
        <v>387</v>
      </c>
      <c r="G80" s="40">
        <v>30</v>
      </c>
      <c r="H80" s="388">
        <v>429.75206611570252</v>
      </c>
      <c r="I80" s="65"/>
      <c r="J80" s="40" t="s">
        <v>3</v>
      </c>
      <c r="K80" s="37"/>
      <c r="L80" s="35">
        <v>139</v>
      </c>
      <c r="M80" s="35">
        <v>19</v>
      </c>
      <c r="N80" s="40">
        <v>19</v>
      </c>
      <c r="O80" s="37"/>
      <c r="P80" s="35">
        <v>0</v>
      </c>
      <c r="Q80" s="35">
        <v>0</v>
      </c>
      <c r="R80" s="35">
        <v>0</v>
      </c>
      <c r="S80" s="35">
        <v>0</v>
      </c>
      <c r="T80" s="40">
        <v>0</v>
      </c>
      <c r="U80" s="37"/>
      <c r="V80" s="40">
        <v>228</v>
      </c>
    </row>
    <row r="81" spans="2:22" s="2" customFormat="1">
      <c r="B81" s="213" t="s">
        <v>110</v>
      </c>
      <c r="C81" s="211" t="s">
        <v>721</v>
      </c>
      <c r="D81" s="41">
        <v>183</v>
      </c>
      <c r="E81" s="41">
        <v>3.25</v>
      </c>
      <c r="F81" s="41" t="s">
        <v>387</v>
      </c>
      <c r="G81" s="413">
        <v>24</v>
      </c>
      <c r="H81" s="414">
        <v>114.04958677685951</v>
      </c>
      <c r="I81" s="65"/>
      <c r="J81" s="40" t="s">
        <v>3</v>
      </c>
      <c r="K81" s="37"/>
      <c r="L81" s="35">
        <v>0</v>
      </c>
      <c r="M81" s="35">
        <v>0</v>
      </c>
      <c r="N81" s="40">
        <v>0</v>
      </c>
      <c r="O81" s="37"/>
      <c r="P81" s="35">
        <v>0</v>
      </c>
      <c r="Q81" s="35">
        <v>0</v>
      </c>
      <c r="R81" s="35">
        <v>0</v>
      </c>
      <c r="S81" s="35">
        <v>0</v>
      </c>
      <c r="T81" s="40">
        <v>0</v>
      </c>
      <c r="U81" s="37"/>
      <c r="V81" s="40">
        <v>69</v>
      </c>
    </row>
    <row r="82" spans="2:22" s="2" customFormat="1">
      <c r="B82" s="213" t="s">
        <v>110</v>
      </c>
      <c r="C82" s="211" t="s">
        <v>721</v>
      </c>
      <c r="D82" s="41">
        <v>183</v>
      </c>
      <c r="E82" s="41">
        <v>3.25</v>
      </c>
      <c r="F82" s="22" t="s">
        <v>387</v>
      </c>
      <c r="G82" s="40">
        <v>30</v>
      </c>
      <c r="H82" s="388">
        <v>114.04958677685951</v>
      </c>
      <c r="I82" s="65"/>
      <c r="J82" s="40" t="s">
        <v>3</v>
      </c>
      <c r="K82" s="37"/>
      <c r="L82" s="35">
        <v>0</v>
      </c>
      <c r="M82" s="35">
        <v>0</v>
      </c>
      <c r="N82" s="40">
        <v>0</v>
      </c>
      <c r="O82" s="37"/>
      <c r="P82" s="35">
        <v>0</v>
      </c>
      <c r="Q82" s="35">
        <v>0</v>
      </c>
      <c r="R82" s="35">
        <v>0</v>
      </c>
      <c r="S82" s="35">
        <v>0</v>
      </c>
      <c r="T82" s="40">
        <v>0</v>
      </c>
      <c r="U82" s="37"/>
      <c r="V82" s="40">
        <v>69</v>
      </c>
    </row>
    <row r="83" spans="2:22" s="2" customFormat="1">
      <c r="B83" s="213" t="s">
        <v>110</v>
      </c>
      <c r="C83" s="211" t="s">
        <v>722</v>
      </c>
      <c r="D83" s="41">
        <v>255</v>
      </c>
      <c r="E83" s="41">
        <v>3.25</v>
      </c>
      <c r="F83" s="41" t="s">
        <v>387</v>
      </c>
      <c r="G83" s="413">
        <v>24</v>
      </c>
      <c r="H83" s="414">
        <v>177.68595041322314</v>
      </c>
      <c r="I83" s="65"/>
      <c r="J83" s="40" t="s">
        <v>3</v>
      </c>
      <c r="K83" s="37"/>
      <c r="L83" s="35">
        <v>29</v>
      </c>
      <c r="M83" s="35">
        <v>0</v>
      </c>
      <c r="N83" s="40">
        <v>0</v>
      </c>
      <c r="O83" s="37"/>
      <c r="P83" s="35">
        <v>0</v>
      </c>
      <c r="Q83" s="35">
        <v>0</v>
      </c>
      <c r="R83" s="35">
        <v>0</v>
      </c>
      <c r="S83" s="35">
        <v>0</v>
      </c>
      <c r="T83" s="40">
        <v>0</v>
      </c>
      <c r="U83" s="37"/>
      <c r="V83" s="40">
        <v>77</v>
      </c>
    </row>
    <row r="84" spans="2:22" s="2" customFormat="1">
      <c r="B84" s="213" t="s">
        <v>110</v>
      </c>
      <c r="C84" s="211" t="s">
        <v>722</v>
      </c>
      <c r="D84" s="41">
        <v>255</v>
      </c>
      <c r="E84" s="41">
        <v>3.25</v>
      </c>
      <c r="F84" s="22" t="s">
        <v>387</v>
      </c>
      <c r="G84" s="40">
        <v>30</v>
      </c>
      <c r="H84" s="388">
        <v>177.68595041322314</v>
      </c>
      <c r="I84" s="65"/>
      <c r="J84" s="40" t="s">
        <v>3</v>
      </c>
      <c r="K84" s="37"/>
      <c r="L84" s="35">
        <v>29</v>
      </c>
      <c r="M84" s="35">
        <v>0</v>
      </c>
      <c r="N84" s="40">
        <v>0</v>
      </c>
      <c r="O84" s="37"/>
      <c r="P84" s="35">
        <v>0</v>
      </c>
      <c r="Q84" s="35">
        <v>0</v>
      </c>
      <c r="R84" s="35">
        <v>0</v>
      </c>
      <c r="S84" s="35">
        <v>0</v>
      </c>
      <c r="T84" s="40">
        <v>0</v>
      </c>
      <c r="U84" s="37"/>
      <c r="V84" s="40">
        <v>77</v>
      </c>
    </row>
    <row r="85" spans="2:22" s="2" customFormat="1">
      <c r="B85" s="213" t="s">
        <v>110</v>
      </c>
      <c r="C85" s="211" t="s">
        <v>643</v>
      </c>
      <c r="D85" s="41">
        <v>353</v>
      </c>
      <c r="E85" s="41">
        <v>3.25</v>
      </c>
      <c r="F85" s="41" t="s">
        <v>387</v>
      </c>
      <c r="G85" s="413">
        <v>24</v>
      </c>
      <c r="H85" s="414">
        <v>312.39669421487605</v>
      </c>
      <c r="I85" s="65"/>
      <c r="J85" s="40" t="s">
        <v>3</v>
      </c>
      <c r="K85" s="37"/>
      <c r="L85" s="35">
        <v>99</v>
      </c>
      <c r="M85" s="35">
        <v>19</v>
      </c>
      <c r="N85" s="40">
        <v>19</v>
      </c>
      <c r="O85" s="37"/>
      <c r="P85" s="35">
        <v>0</v>
      </c>
      <c r="Q85" s="35">
        <v>0</v>
      </c>
      <c r="R85" s="35">
        <v>0</v>
      </c>
      <c r="S85" s="35">
        <v>0</v>
      </c>
      <c r="T85" s="40">
        <v>0</v>
      </c>
      <c r="U85" s="37"/>
      <c r="V85" s="40">
        <v>41</v>
      </c>
    </row>
    <row r="86" spans="2:22" s="2" customFormat="1">
      <c r="B86" s="213" t="s">
        <v>110</v>
      </c>
      <c r="C86" s="211" t="s">
        <v>643</v>
      </c>
      <c r="D86" s="41">
        <v>353</v>
      </c>
      <c r="E86" s="41">
        <v>3.25</v>
      </c>
      <c r="F86" s="22" t="s">
        <v>387</v>
      </c>
      <c r="G86" s="40">
        <v>30</v>
      </c>
      <c r="H86" s="388">
        <v>312.39669421487605</v>
      </c>
      <c r="I86" s="65"/>
      <c r="J86" s="40" t="s">
        <v>3</v>
      </c>
      <c r="K86" s="37"/>
      <c r="L86" s="35">
        <v>99</v>
      </c>
      <c r="M86" s="35">
        <v>19</v>
      </c>
      <c r="N86" s="40">
        <v>19</v>
      </c>
      <c r="O86" s="37"/>
      <c r="P86" s="35">
        <v>0</v>
      </c>
      <c r="Q86" s="35">
        <v>0</v>
      </c>
      <c r="R86" s="35">
        <v>0</v>
      </c>
      <c r="S86" s="35">
        <v>0</v>
      </c>
      <c r="T86" s="40">
        <v>0</v>
      </c>
      <c r="U86" s="37"/>
      <c r="V86" s="40">
        <v>41</v>
      </c>
    </row>
    <row r="87" spans="2:22" s="2" customFormat="1">
      <c r="B87" s="213" t="s">
        <v>110</v>
      </c>
      <c r="C87" s="211" t="s">
        <v>631</v>
      </c>
      <c r="D87" s="41">
        <v>869</v>
      </c>
      <c r="E87" s="41">
        <v>3.25</v>
      </c>
      <c r="F87" s="41" t="s">
        <v>387</v>
      </c>
      <c r="G87" s="413">
        <v>24</v>
      </c>
      <c r="H87" s="414">
        <v>655.37190082644634</v>
      </c>
      <c r="I87" s="65"/>
      <c r="J87" s="40" t="s">
        <v>3</v>
      </c>
      <c r="K87" s="37"/>
      <c r="L87" s="35">
        <v>289</v>
      </c>
      <c r="M87" s="35">
        <v>169</v>
      </c>
      <c r="N87" s="40">
        <v>169</v>
      </c>
      <c r="O87" s="37"/>
      <c r="P87" s="35">
        <v>0</v>
      </c>
      <c r="Q87" s="35">
        <v>0</v>
      </c>
      <c r="R87" s="35">
        <v>0</v>
      </c>
      <c r="S87" s="35">
        <v>0</v>
      </c>
      <c r="T87" s="40">
        <v>0</v>
      </c>
      <c r="U87" s="37"/>
      <c r="V87" s="40">
        <v>214</v>
      </c>
    </row>
    <row r="88" spans="2:22" s="2" customFormat="1">
      <c r="B88" s="213" t="s">
        <v>110</v>
      </c>
      <c r="C88" s="211" t="s">
        <v>631</v>
      </c>
      <c r="D88" s="41">
        <v>869</v>
      </c>
      <c r="E88" s="41">
        <v>3.25</v>
      </c>
      <c r="F88" s="22" t="s">
        <v>387</v>
      </c>
      <c r="G88" s="40">
        <v>30</v>
      </c>
      <c r="H88" s="388">
        <v>655.37190082644634</v>
      </c>
      <c r="I88" s="65"/>
      <c r="J88" s="40" t="s">
        <v>3</v>
      </c>
      <c r="K88" s="37"/>
      <c r="L88" s="35">
        <v>289</v>
      </c>
      <c r="M88" s="35">
        <v>169</v>
      </c>
      <c r="N88" s="40">
        <v>169</v>
      </c>
      <c r="O88" s="37"/>
      <c r="P88" s="35">
        <v>0</v>
      </c>
      <c r="Q88" s="35">
        <v>0</v>
      </c>
      <c r="R88" s="35">
        <v>0</v>
      </c>
      <c r="S88" s="35">
        <v>0</v>
      </c>
      <c r="T88" s="40">
        <v>0</v>
      </c>
      <c r="U88" s="37"/>
      <c r="V88" s="40">
        <v>214</v>
      </c>
    </row>
    <row r="89" spans="2:22" s="2" customFormat="1">
      <c r="B89" s="213" t="s">
        <v>667</v>
      </c>
      <c r="C89" s="211" t="s">
        <v>688</v>
      </c>
      <c r="D89" s="41">
        <v>160</v>
      </c>
      <c r="E89" s="41">
        <v>3.25</v>
      </c>
      <c r="F89" s="41" t="s">
        <v>387</v>
      </c>
      <c r="G89" s="413">
        <v>24</v>
      </c>
      <c r="H89" s="414">
        <v>88.429752066115711</v>
      </c>
      <c r="I89" s="65"/>
      <c r="J89" s="40" t="s">
        <v>3</v>
      </c>
      <c r="K89" s="37"/>
      <c r="L89" s="35">
        <v>0</v>
      </c>
      <c r="M89" s="35">
        <v>0</v>
      </c>
      <c r="N89" s="40">
        <v>0</v>
      </c>
      <c r="O89" s="37"/>
      <c r="P89" s="35">
        <v>0</v>
      </c>
      <c r="Q89" s="35">
        <v>0</v>
      </c>
      <c r="R89" s="35">
        <v>0</v>
      </c>
      <c r="S89" s="35">
        <v>0</v>
      </c>
      <c r="T89" s="40">
        <v>0</v>
      </c>
      <c r="U89" s="37"/>
      <c r="V89" s="40">
        <v>72</v>
      </c>
    </row>
    <row r="90" spans="2:22" s="2" customFormat="1">
      <c r="B90" s="213" t="s">
        <v>667</v>
      </c>
      <c r="C90" s="211" t="s">
        <v>689</v>
      </c>
      <c r="D90" s="41">
        <v>176</v>
      </c>
      <c r="E90" s="41">
        <v>3.25</v>
      </c>
      <c r="F90" s="22" t="s">
        <v>387</v>
      </c>
      <c r="G90" s="40">
        <v>24</v>
      </c>
      <c r="H90" s="388">
        <v>157.85123966942149</v>
      </c>
      <c r="I90" s="65"/>
      <c r="J90" s="40" t="s">
        <v>3</v>
      </c>
      <c r="K90" s="37"/>
      <c r="L90" s="35">
        <v>0</v>
      </c>
      <c r="M90" s="35">
        <v>0</v>
      </c>
      <c r="N90" s="40">
        <v>0</v>
      </c>
      <c r="O90" s="37"/>
      <c r="P90" s="35">
        <v>0</v>
      </c>
      <c r="Q90" s="35">
        <v>0</v>
      </c>
      <c r="R90" s="35">
        <v>0</v>
      </c>
      <c r="S90" s="35">
        <v>0</v>
      </c>
      <c r="T90" s="40">
        <v>0</v>
      </c>
      <c r="U90" s="37"/>
      <c r="V90" s="40">
        <v>18</v>
      </c>
    </row>
    <row r="91" spans="2:22" s="2" customFormat="1">
      <c r="B91" s="213" t="s">
        <v>667</v>
      </c>
      <c r="C91" s="211" t="s">
        <v>689</v>
      </c>
      <c r="D91" s="41">
        <v>176</v>
      </c>
      <c r="E91" s="41">
        <v>3.25</v>
      </c>
      <c r="F91" s="41" t="s">
        <v>387</v>
      </c>
      <c r="G91" s="413">
        <v>30</v>
      </c>
      <c r="H91" s="414">
        <v>157.85123966942149</v>
      </c>
      <c r="I91" s="65"/>
      <c r="J91" s="40" t="s">
        <v>3</v>
      </c>
      <c r="K91" s="37"/>
      <c r="L91" s="35">
        <v>0</v>
      </c>
      <c r="M91" s="35">
        <v>0</v>
      </c>
      <c r="N91" s="40">
        <v>0</v>
      </c>
      <c r="O91" s="37"/>
      <c r="P91" s="35">
        <v>0</v>
      </c>
      <c r="Q91" s="35">
        <v>0</v>
      </c>
      <c r="R91" s="35">
        <v>0</v>
      </c>
      <c r="S91" s="35">
        <v>0</v>
      </c>
      <c r="T91" s="40">
        <v>0</v>
      </c>
      <c r="U91" s="37"/>
      <c r="V91" s="40">
        <v>18</v>
      </c>
    </row>
    <row r="92" spans="2:22" s="2" customFormat="1">
      <c r="B92" s="213" t="s">
        <v>667</v>
      </c>
      <c r="C92" s="211" t="s">
        <v>644</v>
      </c>
      <c r="D92" s="41">
        <v>245</v>
      </c>
      <c r="E92" s="41">
        <v>3.25</v>
      </c>
      <c r="F92" s="22" t="s">
        <v>387</v>
      </c>
      <c r="G92" s="40">
        <v>24</v>
      </c>
      <c r="H92" s="388">
        <v>203.30578512396696</v>
      </c>
      <c r="I92" s="65"/>
      <c r="J92" s="40" t="s">
        <v>3</v>
      </c>
      <c r="K92" s="37"/>
      <c r="L92" s="35">
        <v>29</v>
      </c>
      <c r="M92" s="35">
        <v>0</v>
      </c>
      <c r="N92" s="40">
        <v>0</v>
      </c>
      <c r="O92" s="37"/>
      <c r="P92" s="35">
        <v>0</v>
      </c>
      <c r="Q92" s="35">
        <v>0</v>
      </c>
      <c r="R92" s="35">
        <v>0</v>
      </c>
      <c r="S92" s="35">
        <v>0</v>
      </c>
      <c r="T92" s="40">
        <v>0</v>
      </c>
      <c r="U92" s="37"/>
      <c r="V92" s="40">
        <v>42</v>
      </c>
    </row>
    <row r="93" spans="2:22" s="2" customFormat="1">
      <c r="B93" s="213" t="s">
        <v>667</v>
      </c>
      <c r="C93" s="211" t="s">
        <v>644</v>
      </c>
      <c r="D93" s="41">
        <v>245</v>
      </c>
      <c r="E93" s="41">
        <v>3.25</v>
      </c>
      <c r="F93" s="41" t="s">
        <v>387</v>
      </c>
      <c r="G93" s="413">
        <v>30</v>
      </c>
      <c r="H93" s="414">
        <v>203.30578512396696</v>
      </c>
      <c r="I93" s="65"/>
      <c r="J93" s="40" t="s">
        <v>3</v>
      </c>
      <c r="K93" s="37"/>
      <c r="L93" s="35">
        <v>29</v>
      </c>
      <c r="M93" s="35">
        <v>0</v>
      </c>
      <c r="N93" s="40">
        <v>0</v>
      </c>
      <c r="O93" s="37"/>
      <c r="P93" s="35">
        <v>0</v>
      </c>
      <c r="Q93" s="35">
        <v>0</v>
      </c>
      <c r="R93" s="35">
        <v>0</v>
      </c>
      <c r="S93" s="35">
        <v>0</v>
      </c>
      <c r="T93" s="40">
        <v>0</v>
      </c>
      <c r="U93" s="37"/>
      <c r="V93" s="40">
        <v>42</v>
      </c>
    </row>
    <row r="94" spans="2:22" s="2" customFormat="1">
      <c r="B94" s="213" t="s">
        <v>667</v>
      </c>
      <c r="C94" s="211" t="s">
        <v>724</v>
      </c>
      <c r="D94" s="41">
        <v>1072</v>
      </c>
      <c r="E94" s="41">
        <v>3.25</v>
      </c>
      <c r="F94" s="22" t="s">
        <v>387</v>
      </c>
      <c r="G94" s="40">
        <v>24</v>
      </c>
      <c r="H94" s="388">
        <v>951.23966942148763</v>
      </c>
      <c r="I94" s="65"/>
      <c r="J94" s="40" t="s">
        <v>3</v>
      </c>
      <c r="K94" s="37"/>
      <c r="L94" s="35">
        <v>399</v>
      </c>
      <c r="M94" s="35">
        <v>239</v>
      </c>
      <c r="N94" s="40">
        <v>239</v>
      </c>
      <c r="O94" s="37"/>
      <c r="P94" s="35">
        <v>0</v>
      </c>
      <c r="Q94" s="35">
        <v>0</v>
      </c>
      <c r="R94" s="35">
        <v>0</v>
      </c>
      <c r="S94" s="35">
        <v>0</v>
      </c>
      <c r="T94" s="40">
        <v>0</v>
      </c>
      <c r="U94" s="37"/>
      <c r="V94" s="40">
        <v>121</v>
      </c>
    </row>
    <row r="95" spans="2:22" s="2" customFormat="1">
      <c r="B95" s="213" t="s">
        <v>667</v>
      </c>
      <c r="C95" s="211" t="s">
        <v>724</v>
      </c>
      <c r="D95" s="41">
        <v>1072</v>
      </c>
      <c r="E95" s="41">
        <v>3.25</v>
      </c>
      <c r="F95" s="41" t="s">
        <v>387</v>
      </c>
      <c r="G95" s="413">
        <v>30</v>
      </c>
      <c r="H95" s="414">
        <v>951.23966942148763</v>
      </c>
      <c r="I95" s="65"/>
      <c r="J95" s="40" t="s">
        <v>3</v>
      </c>
      <c r="K95" s="37"/>
      <c r="L95" s="35">
        <v>399</v>
      </c>
      <c r="M95" s="35">
        <v>239</v>
      </c>
      <c r="N95" s="40">
        <v>239</v>
      </c>
      <c r="O95" s="37"/>
      <c r="P95" s="35">
        <v>0</v>
      </c>
      <c r="Q95" s="35">
        <v>0</v>
      </c>
      <c r="R95" s="35">
        <v>0</v>
      </c>
      <c r="S95" s="35">
        <v>0</v>
      </c>
      <c r="T95" s="40">
        <v>0</v>
      </c>
      <c r="U95" s="37"/>
      <c r="V95" s="40">
        <v>121</v>
      </c>
    </row>
    <row r="96" spans="2:22" s="2" customFormat="1">
      <c r="B96" s="213" t="s">
        <v>667</v>
      </c>
      <c r="C96" s="211" t="s">
        <v>632</v>
      </c>
      <c r="D96" s="41">
        <v>428</v>
      </c>
      <c r="E96" s="41">
        <v>3.25</v>
      </c>
      <c r="F96" s="22" t="s">
        <v>387</v>
      </c>
      <c r="G96" s="40">
        <v>24</v>
      </c>
      <c r="H96" s="388">
        <v>357.02479338842977</v>
      </c>
      <c r="I96" s="65"/>
      <c r="J96" s="40" t="s">
        <v>3</v>
      </c>
      <c r="K96" s="37"/>
      <c r="L96" s="35">
        <v>119</v>
      </c>
      <c r="M96" s="35">
        <v>19</v>
      </c>
      <c r="N96" s="40">
        <v>19</v>
      </c>
      <c r="O96" s="37"/>
      <c r="P96" s="35">
        <v>0</v>
      </c>
      <c r="Q96" s="35">
        <v>0</v>
      </c>
      <c r="R96" s="35">
        <v>0</v>
      </c>
      <c r="S96" s="35">
        <v>0</v>
      </c>
      <c r="T96" s="40">
        <v>0</v>
      </c>
      <c r="U96" s="37"/>
      <c r="V96" s="40">
        <v>71</v>
      </c>
    </row>
    <row r="97" spans="2:22" s="2" customFormat="1">
      <c r="B97" s="213" t="s">
        <v>667</v>
      </c>
      <c r="C97" s="211" t="s">
        <v>632</v>
      </c>
      <c r="D97" s="41">
        <v>428</v>
      </c>
      <c r="E97" s="41">
        <v>3.25</v>
      </c>
      <c r="F97" s="41" t="s">
        <v>387</v>
      </c>
      <c r="G97" s="413">
        <v>30</v>
      </c>
      <c r="H97" s="414">
        <v>357.02479338842977</v>
      </c>
      <c r="I97" s="65"/>
      <c r="J97" s="40" t="s">
        <v>3</v>
      </c>
      <c r="K97" s="37"/>
      <c r="L97" s="35">
        <v>119</v>
      </c>
      <c r="M97" s="35">
        <v>19</v>
      </c>
      <c r="N97" s="40">
        <v>19</v>
      </c>
      <c r="O97" s="37"/>
      <c r="P97" s="35">
        <v>0</v>
      </c>
      <c r="Q97" s="35">
        <v>0</v>
      </c>
      <c r="R97" s="35">
        <v>0</v>
      </c>
      <c r="S97" s="35">
        <v>0</v>
      </c>
      <c r="T97" s="40">
        <v>0</v>
      </c>
      <c r="U97" s="37"/>
      <c r="V97" s="40">
        <v>71</v>
      </c>
    </row>
    <row r="98" spans="2:22" s="2" customFormat="1">
      <c r="B98" s="213" t="s">
        <v>667</v>
      </c>
      <c r="C98" s="211" t="s">
        <v>725</v>
      </c>
      <c r="D98" s="41">
        <v>364</v>
      </c>
      <c r="E98" s="41">
        <v>3.25</v>
      </c>
      <c r="F98" s="22" t="s">
        <v>387</v>
      </c>
      <c r="G98" s="40">
        <v>24</v>
      </c>
      <c r="H98" s="388">
        <v>308.26446280991735</v>
      </c>
      <c r="I98" s="65"/>
      <c r="J98" s="40" t="s">
        <v>3</v>
      </c>
      <c r="K98" s="37"/>
      <c r="L98" s="35">
        <v>99</v>
      </c>
      <c r="M98" s="35">
        <v>19</v>
      </c>
      <c r="N98" s="40">
        <v>19</v>
      </c>
      <c r="O98" s="37"/>
      <c r="P98" s="35">
        <v>0</v>
      </c>
      <c r="Q98" s="35">
        <v>0</v>
      </c>
      <c r="R98" s="35">
        <v>0</v>
      </c>
      <c r="S98" s="35">
        <v>0</v>
      </c>
      <c r="T98" s="40">
        <v>0</v>
      </c>
      <c r="U98" s="37"/>
      <c r="V98" s="40">
        <v>56</v>
      </c>
    </row>
    <row r="99" spans="2:22" s="2" customFormat="1">
      <c r="B99" s="213" t="s">
        <v>667</v>
      </c>
      <c r="C99" s="211" t="s">
        <v>725</v>
      </c>
      <c r="D99" s="41">
        <v>364</v>
      </c>
      <c r="E99" s="41">
        <v>3.25</v>
      </c>
      <c r="F99" s="41" t="s">
        <v>387</v>
      </c>
      <c r="G99" s="413">
        <v>30</v>
      </c>
      <c r="H99" s="414">
        <v>308.26446280991735</v>
      </c>
      <c r="I99" s="65"/>
      <c r="J99" s="40" t="s">
        <v>3</v>
      </c>
      <c r="K99" s="37"/>
      <c r="L99" s="35">
        <v>99</v>
      </c>
      <c r="M99" s="35">
        <v>19</v>
      </c>
      <c r="N99" s="40">
        <v>19</v>
      </c>
      <c r="O99" s="37"/>
      <c r="P99" s="35">
        <v>0</v>
      </c>
      <c r="Q99" s="35">
        <v>0</v>
      </c>
      <c r="R99" s="35">
        <v>0</v>
      </c>
      <c r="S99" s="35">
        <v>0</v>
      </c>
      <c r="T99" s="40">
        <v>0</v>
      </c>
      <c r="U99" s="37"/>
      <c r="V99" s="40">
        <v>56</v>
      </c>
    </row>
    <row r="100" spans="2:22" s="2" customFormat="1">
      <c r="B100" s="213" t="s">
        <v>667</v>
      </c>
      <c r="C100" s="211" t="s">
        <v>633</v>
      </c>
      <c r="D100" s="41">
        <v>524</v>
      </c>
      <c r="E100" s="41">
        <v>3.25</v>
      </c>
      <c r="F100" s="22" t="s">
        <v>387</v>
      </c>
      <c r="G100" s="40">
        <v>24</v>
      </c>
      <c r="H100" s="388">
        <v>428.09917355371903</v>
      </c>
      <c r="I100" s="65"/>
      <c r="J100" s="40" t="s">
        <v>3</v>
      </c>
      <c r="K100" s="37"/>
      <c r="L100" s="35">
        <v>139</v>
      </c>
      <c r="M100" s="35">
        <v>19</v>
      </c>
      <c r="N100" s="40">
        <v>19</v>
      </c>
      <c r="O100" s="37"/>
      <c r="P100" s="35">
        <v>0</v>
      </c>
      <c r="Q100" s="35">
        <v>0</v>
      </c>
      <c r="R100" s="35">
        <v>0</v>
      </c>
      <c r="S100" s="35">
        <v>0</v>
      </c>
      <c r="T100" s="40">
        <v>0</v>
      </c>
      <c r="U100" s="37"/>
      <c r="V100" s="40">
        <v>96</v>
      </c>
    </row>
    <row r="101" spans="2:22" s="2" customFormat="1">
      <c r="B101" s="213" t="s">
        <v>667</v>
      </c>
      <c r="C101" s="211" t="s">
        <v>633</v>
      </c>
      <c r="D101" s="41">
        <v>524</v>
      </c>
      <c r="E101" s="41">
        <v>3.25</v>
      </c>
      <c r="F101" s="41" t="s">
        <v>387</v>
      </c>
      <c r="G101" s="413">
        <v>30</v>
      </c>
      <c r="H101" s="414">
        <v>428.09917355371903</v>
      </c>
      <c r="I101" s="65"/>
      <c r="J101" s="40" t="s">
        <v>3</v>
      </c>
      <c r="K101" s="37"/>
      <c r="L101" s="35">
        <v>139</v>
      </c>
      <c r="M101" s="35">
        <v>19</v>
      </c>
      <c r="N101" s="40">
        <v>19</v>
      </c>
      <c r="O101" s="37"/>
      <c r="P101" s="35">
        <v>0</v>
      </c>
      <c r="Q101" s="35">
        <v>0</v>
      </c>
      <c r="R101" s="35">
        <v>0</v>
      </c>
      <c r="S101" s="35">
        <v>0</v>
      </c>
      <c r="T101" s="40">
        <v>0</v>
      </c>
      <c r="U101" s="37"/>
      <c r="V101" s="40">
        <v>96</v>
      </c>
    </row>
    <row r="102" spans="2:22" s="2" customFormat="1">
      <c r="B102" s="213" t="s">
        <v>60</v>
      </c>
      <c r="C102" s="211" t="s">
        <v>696</v>
      </c>
      <c r="D102" s="41">
        <v>186</v>
      </c>
      <c r="E102" s="41">
        <v>3.25</v>
      </c>
      <c r="F102" s="22" t="s">
        <v>387</v>
      </c>
      <c r="G102" s="40">
        <v>24</v>
      </c>
      <c r="H102" s="388">
        <v>166.11570247933884</v>
      </c>
      <c r="I102" s="65"/>
      <c r="J102" s="40" t="s">
        <v>3</v>
      </c>
      <c r="K102" s="37"/>
      <c r="L102" s="35">
        <v>29</v>
      </c>
      <c r="M102" s="35">
        <v>0</v>
      </c>
      <c r="N102" s="40">
        <v>0</v>
      </c>
      <c r="O102" s="37"/>
      <c r="P102" s="35">
        <v>0</v>
      </c>
      <c r="Q102" s="35">
        <v>0</v>
      </c>
      <c r="R102" s="35">
        <v>0</v>
      </c>
      <c r="S102" s="35">
        <v>0</v>
      </c>
      <c r="T102" s="40">
        <v>0</v>
      </c>
      <c r="U102" s="37"/>
      <c r="V102" s="40">
        <v>20</v>
      </c>
    </row>
    <row r="103" spans="2:22" s="2" customFormat="1">
      <c r="B103" s="213" t="s">
        <v>60</v>
      </c>
      <c r="C103" s="211" t="s">
        <v>697</v>
      </c>
      <c r="D103" s="41">
        <v>248</v>
      </c>
      <c r="E103" s="41">
        <v>3.25</v>
      </c>
      <c r="F103" s="41" t="s">
        <v>387</v>
      </c>
      <c r="G103" s="413">
        <v>24</v>
      </c>
      <c r="H103" s="414">
        <v>190.90909090909091</v>
      </c>
      <c r="I103" s="65"/>
      <c r="J103" s="40" t="s">
        <v>3</v>
      </c>
      <c r="K103" s="37"/>
      <c r="L103" s="35">
        <v>19</v>
      </c>
      <c r="M103" s="35">
        <v>0</v>
      </c>
      <c r="N103" s="40">
        <v>0</v>
      </c>
      <c r="O103" s="37"/>
      <c r="P103" s="35">
        <v>0</v>
      </c>
      <c r="Q103" s="35">
        <v>0</v>
      </c>
      <c r="R103" s="35">
        <v>0</v>
      </c>
      <c r="S103" s="35">
        <v>0</v>
      </c>
      <c r="T103" s="40">
        <v>0</v>
      </c>
      <c r="U103" s="37"/>
      <c r="V103" s="40">
        <v>57</v>
      </c>
    </row>
    <row r="104" spans="2:22" s="2" customFormat="1">
      <c r="B104" s="213" t="s">
        <v>60</v>
      </c>
      <c r="C104" s="211" t="s">
        <v>697</v>
      </c>
      <c r="D104" s="41">
        <v>248</v>
      </c>
      <c r="E104" s="41">
        <v>3.25</v>
      </c>
      <c r="F104" s="22" t="s">
        <v>387</v>
      </c>
      <c r="G104" s="40">
        <v>30</v>
      </c>
      <c r="H104" s="388">
        <v>190.90909090909091</v>
      </c>
      <c r="I104" s="65"/>
      <c r="J104" s="40" t="s">
        <v>3</v>
      </c>
      <c r="K104" s="37"/>
      <c r="L104" s="35">
        <v>19</v>
      </c>
      <c r="M104" s="35">
        <v>0</v>
      </c>
      <c r="N104" s="40">
        <v>0</v>
      </c>
      <c r="O104" s="37"/>
      <c r="P104" s="35">
        <v>0</v>
      </c>
      <c r="Q104" s="35">
        <v>0</v>
      </c>
      <c r="R104" s="35">
        <v>0</v>
      </c>
      <c r="S104" s="35">
        <v>0</v>
      </c>
      <c r="T104" s="40">
        <v>0</v>
      </c>
      <c r="U104" s="37"/>
      <c r="V104" s="40">
        <v>57</v>
      </c>
    </row>
    <row r="105" spans="2:22" s="2" customFormat="1">
      <c r="B105" s="213" t="s">
        <v>60</v>
      </c>
      <c r="C105" s="211" t="s">
        <v>567</v>
      </c>
      <c r="D105" s="41">
        <v>299</v>
      </c>
      <c r="E105" s="41">
        <v>3.25</v>
      </c>
      <c r="F105" s="41" t="s">
        <v>387</v>
      </c>
      <c r="G105" s="413">
        <v>24</v>
      </c>
      <c r="H105" s="414">
        <v>278.51239669421489</v>
      </c>
      <c r="I105" s="65"/>
      <c r="J105" s="40" t="s">
        <v>3</v>
      </c>
      <c r="K105" s="37"/>
      <c r="L105" s="35">
        <v>39</v>
      </c>
      <c r="M105" s="35">
        <v>0</v>
      </c>
      <c r="N105" s="40">
        <v>0</v>
      </c>
      <c r="O105" s="37"/>
      <c r="P105" s="35">
        <v>0</v>
      </c>
      <c r="Q105" s="35">
        <v>0</v>
      </c>
      <c r="R105" s="35">
        <v>0</v>
      </c>
      <c r="S105" s="35">
        <v>0</v>
      </c>
      <c r="T105" s="40">
        <v>0</v>
      </c>
      <c r="U105" s="37"/>
      <c r="V105" s="40">
        <v>20</v>
      </c>
    </row>
    <row r="106" spans="2:22" s="2" customFormat="1">
      <c r="B106" s="213" t="s">
        <v>60</v>
      </c>
      <c r="C106" s="211" t="s">
        <v>567</v>
      </c>
      <c r="D106" s="41">
        <v>299</v>
      </c>
      <c r="E106" s="41">
        <v>3.25</v>
      </c>
      <c r="F106" s="22" t="s">
        <v>387</v>
      </c>
      <c r="G106" s="40">
        <v>30</v>
      </c>
      <c r="H106" s="388">
        <v>278.51239669421489</v>
      </c>
      <c r="I106" s="65"/>
      <c r="J106" s="40" t="s">
        <v>3</v>
      </c>
      <c r="K106" s="37"/>
      <c r="L106" s="35">
        <v>39</v>
      </c>
      <c r="M106" s="35">
        <v>0</v>
      </c>
      <c r="N106" s="40">
        <v>0</v>
      </c>
      <c r="O106" s="37"/>
      <c r="P106" s="35">
        <v>0</v>
      </c>
      <c r="Q106" s="35">
        <v>0</v>
      </c>
      <c r="R106" s="35">
        <v>0</v>
      </c>
      <c r="S106" s="35">
        <v>0</v>
      </c>
      <c r="T106" s="40">
        <v>0</v>
      </c>
      <c r="U106" s="37"/>
      <c r="V106" s="40">
        <v>20</v>
      </c>
    </row>
    <row r="107" spans="2:22" s="2" customFormat="1">
      <c r="B107" s="213" t="s">
        <v>60</v>
      </c>
      <c r="C107" s="211" t="s">
        <v>594</v>
      </c>
      <c r="D107" s="41">
        <v>358</v>
      </c>
      <c r="E107" s="41">
        <v>3.25</v>
      </c>
      <c r="F107" s="41" t="s">
        <v>387</v>
      </c>
      <c r="G107" s="413">
        <v>24</v>
      </c>
      <c r="H107" s="414">
        <v>321.48760330578511</v>
      </c>
      <c r="I107" s="65"/>
      <c r="J107" s="40" t="s">
        <v>3</v>
      </c>
      <c r="K107" s="37"/>
      <c r="L107" s="35">
        <v>99</v>
      </c>
      <c r="M107" s="35">
        <v>19</v>
      </c>
      <c r="N107" s="40">
        <v>19</v>
      </c>
      <c r="O107" s="37"/>
      <c r="P107" s="35">
        <v>0</v>
      </c>
      <c r="Q107" s="35">
        <v>0</v>
      </c>
      <c r="R107" s="35">
        <v>0</v>
      </c>
      <c r="S107" s="35">
        <v>0</v>
      </c>
      <c r="T107" s="40">
        <v>0</v>
      </c>
      <c r="U107" s="37"/>
      <c r="V107" s="40">
        <v>37</v>
      </c>
    </row>
    <row r="108" spans="2:22" s="2" customFormat="1">
      <c r="B108" s="213" t="s">
        <v>60</v>
      </c>
      <c r="C108" s="211" t="s">
        <v>594</v>
      </c>
      <c r="D108" s="41">
        <v>358</v>
      </c>
      <c r="E108" s="41">
        <v>3.25</v>
      </c>
      <c r="F108" s="22" t="s">
        <v>387</v>
      </c>
      <c r="G108" s="40">
        <v>30</v>
      </c>
      <c r="H108" s="388">
        <v>321.48760330578511</v>
      </c>
      <c r="I108" s="65"/>
      <c r="J108" s="40" t="s">
        <v>3</v>
      </c>
      <c r="K108" s="37"/>
      <c r="L108" s="35">
        <v>99</v>
      </c>
      <c r="M108" s="35">
        <v>19</v>
      </c>
      <c r="N108" s="40">
        <v>19</v>
      </c>
      <c r="O108" s="37"/>
      <c r="P108" s="35">
        <v>0</v>
      </c>
      <c r="Q108" s="35">
        <v>0</v>
      </c>
      <c r="R108" s="35">
        <v>0</v>
      </c>
      <c r="S108" s="35">
        <v>0</v>
      </c>
      <c r="T108" s="40">
        <v>0</v>
      </c>
      <c r="U108" s="37"/>
      <c r="V108" s="40">
        <v>37</v>
      </c>
    </row>
    <row r="109" spans="2:22" s="2" customFormat="1">
      <c r="B109" s="213" t="s">
        <v>60</v>
      </c>
      <c r="C109" s="211" t="s">
        <v>595</v>
      </c>
      <c r="D109" s="41">
        <v>442</v>
      </c>
      <c r="E109" s="41">
        <v>3.25</v>
      </c>
      <c r="F109" s="41" t="s">
        <v>387</v>
      </c>
      <c r="G109" s="413">
        <v>24</v>
      </c>
      <c r="H109" s="414">
        <v>380.9917355371901</v>
      </c>
      <c r="I109" s="65"/>
      <c r="J109" s="40" t="s">
        <v>3</v>
      </c>
      <c r="K109" s="37"/>
      <c r="L109" s="35">
        <v>129</v>
      </c>
      <c r="M109" s="35">
        <v>19</v>
      </c>
      <c r="N109" s="40">
        <v>19</v>
      </c>
      <c r="O109" s="37"/>
      <c r="P109" s="35">
        <v>0</v>
      </c>
      <c r="Q109" s="35">
        <v>0</v>
      </c>
      <c r="R109" s="35">
        <v>0</v>
      </c>
      <c r="S109" s="35">
        <v>0</v>
      </c>
      <c r="T109" s="40">
        <v>0</v>
      </c>
      <c r="U109" s="37"/>
      <c r="V109" s="40">
        <v>61</v>
      </c>
    </row>
    <row r="110" spans="2:22" s="2" customFormat="1">
      <c r="B110" s="213" t="s">
        <v>60</v>
      </c>
      <c r="C110" s="211" t="s">
        <v>595</v>
      </c>
      <c r="D110" s="41">
        <v>442</v>
      </c>
      <c r="E110" s="41">
        <v>3.25</v>
      </c>
      <c r="F110" s="22" t="s">
        <v>387</v>
      </c>
      <c r="G110" s="40">
        <v>30</v>
      </c>
      <c r="H110" s="388">
        <v>380.9917355371901</v>
      </c>
      <c r="I110" s="65"/>
      <c r="J110" s="40" t="s">
        <v>3</v>
      </c>
      <c r="K110" s="37"/>
      <c r="L110" s="35">
        <v>129</v>
      </c>
      <c r="M110" s="35">
        <v>19</v>
      </c>
      <c r="N110" s="40">
        <v>19</v>
      </c>
      <c r="O110" s="37"/>
      <c r="P110" s="35">
        <v>0</v>
      </c>
      <c r="Q110" s="35">
        <v>0</v>
      </c>
      <c r="R110" s="35">
        <v>0</v>
      </c>
      <c r="S110" s="35">
        <v>0</v>
      </c>
      <c r="T110" s="40">
        <v>0</v>
      </c>
      <c r="U110" s="37"/>
      <c r="V110" s="40">
        <v>61</v>
      </c>
    </row>
    <row r="111" spans="2:22" s="2" customFormat="1">
      <c r="B111" s="213" t="s">
        <v>60</v>
      </c>
      <c r="C111" s="211" t="s">
        <v>510</v>
      </c>
      <c r="D111" s="41">
        <v>938</v>
      </c>
      <c r="E111" s="41">
        <v>3.25</v>
      </c>
      <c r="F111" s="41" t="s">
        <v>387</v>
      </c>
      <c r="G111" s="413">
        <v>24</v>
      </c>
      <c r="H111" s="414">
        <v>570.24793388429748</v>
      </c>
      <c r="I111" s="65"/>
      <c r="J111" s="40" t="s">
        <v>3</v>
      </c>
      <c r="K111" s="37"/>
      <c r="L111" s="35">
        <v>239</v>
      </c>
      <c r="M111" s="35">
        <v>139</v>
      </c>
      <c r="N111" s="40">
        <v>139</v>
      </c>
      <c r="O111" s="37"/>
      <c r="P111" s="35">
        <v>0</v>
      </c>
      <c r="Q111" s="35">
        <v>0</v>
      </c>
      <c r="R111" s="35">
        <v>0</v>
      </c>
      <c r="S111" s="35">
        <v>0</v>
      </c>
      <c r="T111" s="40">
        <v>0</v>
      </c>
      <c r="U111" s="37"/>
      <c r="V111" s="40">
        <v>368</v>
      </c>
    </row>
    <row r="112" spans="2:22" s="2" customFormat="1">
      <c r="B112" s="213" t="s">
        <v>60</v>
      </c>
      <c r="C112" s="211" t="s">
        <v>510</v>
      </c>
      <c r="D112" s="41">
        <v>938</v>
      </c>
      <c r="E112" s="41">
        <v>3.25</v>
      </c>
      <c r="F112" s="22" t="s">
        <v>387</v>
      </c>
      <c r="G112" s="40">
        <v>30</v>
      </c>
      <c r="H112" s="388">
        <v>570.24793388429748</v>
      </c>
      <c r="I112" s="65"/>
      <c r="J112" s="40" t="s">
        <v>3</v>
      </c>
      <c r="K112" s="37"/>
      <c r="L112" s="35">
        <v>239</v>
      </c>
      <c r="M112" s="35">
        <v>139</v>
      </c>
      <c r="N112" s="40">
        <v>139</v>
      </c>
      <c r="O112" s="37"/>
      <c r="P112" s="35">
        <v>0</v>
      </c>
      <c r="Q112" s="35">
        <v>0</v>
      </c>
      <c r="R112" s="35">
        <v>0</v>
      </c>
      <c r="S112" s="35">
        <v>0</v>
      </c>
      <c r="T112" s="40">
        <v>0</v>
      </c>
      <c r="U112" s="37"/>
      <c r="V112" s="40">
        <v>368</v>
      </c>
    </row>
    <row r="113" spans="2:22" s="2" customFormat="1">
      <c r="B113" s="213" t="s">
        <v>60</v>
      </c>
      <c r="C113" s="211" t="s">
        <v>578</v>
      </c>
      <c r="D113" s="41">
        <v>842</v>
      </c>
      <c r="E113" s="41">
        <v>3.25</v>
      </c>
      <c r="F113" s="41" t="s">
        <v>387</v>
      </c>
      <c r="G113" s="413">
        <v>24</v>
      </c>
      <c r="H113" s="414">
        <v>651.23966942148763</v>
      </c>
      <c r="I113" s="65"/>
      <c r="J113" s="40" t="s">
        <v>3</v>
      </c>
      <c r="K113" s="37"/>
      <c r="L113" s="35">
        <v>279</v>
      </c>
      <c r="M113" s="35">
        <v>169</v>
      </c>
      <c r="N113" s="40">
        <v>169</v>
      </c>
      <c r="O113" s="37"/>
      <c r="P113" s="35">
        <v>0</v>
      </c>
      <c r="Q113" s="35">
        <v>0</v>
      </c>
      <c r="R113" s="35">
        <v>0</v>
      </c>
      <c r="S113" s="35">
        <v>0</v>
      </c>
      <c r="T113" s="40">
        <v>0</v>
      </c>
      <c r="U113" s="37"/>
      <c r="V113" s="40">
        <v>191</v>
      </c>
    </row>
    <row r="114" spans="2:22" s="2" customFormat="1">
      <c r="B114" s="213" t="s">
        <v>60</v>
      </c>
      <c r="C114" s="211" t="s">
        <v>578</v>
      </c>
      <c r="D114" s="41">
        <v>842</v>
      </c>
      <c r="E114" s="41">
        <v>3.25</v>
      </c>
      <c r="F114" s="22" t="s">
        <v>387</v>
      </c>
      <c r="G114" s="40">
        <v>30</v>
      </c>
      <c r="H114" s="388">
        <v>651.23966942148763</v>
      </c>
      <c r="I114" s="65"/>
      <c r="J114" s="40" t="s">
        <v>3</v>
      </c>
      <c r="K114" s="37"/>
      <c r="L114" s="35">
        <v>279</v>
      </c>
      <c r="M114" s="35">
        <v>169</v>
      </c>
      <c r="N114" s="40">
        <v>169</v>
      </c>
      <c r="O114" s="37"/>
      <c r="P114" s="35">
        <v>0</v>
      </c>
      <c r="Q114" s="35">
        <v>0</v>
      </c>
      <c r="R114" s="35">
        <v>0</v>
      </c>
      <c r="S114" s="35">
        <v>0</v>
      </c>
      <c r="T114" s="40">
        <v>0</v>
      </c>
      <c r="U114" s="37"/>
      <c r="V114" s="40">
        <v>191</v>
      </c>
    </row>
    <row r="115" spans="2:22" s="2" customFormat="1">
      <c r="B115" s="213" t="s">
        <v>60</v>
      </c>
      <c r="C115" s="211" t="s">
        <v>579</v>
      </c>
      <c r="D115" s="41">
        <v>902</v>
      </c>
      <c r="E115" s="41">
        <v>3.25</v>
      </c>
      <c r="F115" s="41" t="s">
        <v>387</v>
      </c>
      <c r="G115" s="413">
        <v>24</v>
      </c>
      <c r="H115" s="414">
        <v>670.24793388429759</v>
      </c>
      <c r="I115" s="65"/>
      <c r="J115" s="40" t="s">
        <v>3</v>
      </c>
      <c r="K115" s="37"/>
      <c r="L115" s="35">
        <v>289</v>
      </c>
      <c r="M115" s="35">
        <v>179</v>
      </c>
      <c r="N115" s="40">
        <v>179</v>
      </c>
      <c r="O115" s="37"/>
      <c r="P115" s="35">
        <v>0</v>
      </c>
      <c r="Q115" s="35">
        <v>0</v>
      </c>
      <c r="R115" s="35">
        <v>0</v>
      </c>
      <c r="S115" s="35">
        <v>0</v>
      </c>
      <c r="T115" s="40">
        <v>0</v>
      </c>
      <c r="U115" s="37"/>
      <c r="V115" s="40">
        <v>232</v>
      </c>
    </row>
    <row r="116" spans="2:22" s="2" customFormat="1">
      <c r="B116" s="213" t="s">
        <v>60</v>
      </c>
      <c r="C116" s="211" t="s">
        <v>579</v>
      </c>
      <c r="D116" s="41">
        <v>902</v>
      </c>
      <c r="E116" s="41">
        <v>3.25</v>
      </c>
      <c r="F116" s="22" t="s">
        <v>387</v>
      </c>
      <c r="G116" s="40">
        <v>30</v>
      </c>
      <c r="H116" s="388">
        <v>670.24793388429759</v>
      </c>
      <c r="I116" s="65"/>
      <c r="J116" s="40" t="s">
        <v>3</v>
      </c>
      <c r="K116" s="37"/>
      <c r="L116" s="35">
        <v>289</v>
      </c>
      <c r="M116" s="35">
        <v>179</v>
      </c>
      <c r="N116" s="40">
        <v>179</v>
      </c>
      <c r="O116" s="37"/>
      <c r="P116" s="35">
        <v>0</v>
      </c>
      <c r="Q116" s="35">
        <v>0</v>
      </c>
      <c r="R116" s="35">
        <v>0</v>
      </c>
      <c r="S116" s="35">
        <v>0</v>
      </c>
      <c r="T116" s="40">
        <v>0</v>
      </c>
      <c r="U116" s="37"/>
      <c r="V116" s="40">
        <v>232</v>
      </c>
    </row>
    <row r="117" spans="2:22" s="2" customFormat="1">
      <c r="B117" s="213" t="s">
        <v>60</v>
      </c>
      <c r="C117" s="211" t="s">
        <v>731</v>
      </c>
      <c r="D117" s="41">
        <v>686</v>
      </c>
      <c r="E117" s="41">
        <v>3.25</v>
      </c>
      <c r="F117" s="41" t="s">
        <v>387</v>
      </c>
      <c r="G117" s="413">
        <v>24</v>
      </c>
      <c r="H117" s="414">
        <v>626.44628099173553</v>
      </c>
      <c r="I117" s="65"/>
      <c r="J117" s="40" t="s">
        <v>3</v>
      </c>
      <c r="K117" s="37"/>
      <c r="L117" s="35">
        <v>269</v>
      </c>
      <c r="M117" s="35">
        <v>159</v>
      </c>
      <c r="N117" s="40">
        <v>159</v>
      </c>
      <c r="O117" s="37"/>
      <c r="P117" s="35">
        <v>0</v>
      </c>
      <c r="Q117" s="35">
        <v>0</v>
      </c>
      <c r="R117" s="35">
        <v>0</v>
      </c>
      <c r="S117" s="35">
        <v>0</v>
      </c>
      <c r="T117" s="40">
        <v>0</v>
      </c>
      <c r="U117" s="37"/>
      <c r="V117" s="40">
        <v>60</v>
      </c>
    </row>
    <row r="118" spans="2:22" s="2" customFormat="1">
      <c r="B118" s="213" t="s">
        <v>60</v>
      </c>
      <c r="C118" s="211" t="s">
        <v>731</v>
      </c>
      <c r="D118" s="41">
        <v>686</v>
      </c>
      <c r="E118" s="41">
        <v>3.25</v>
      </c>
      <c r="F118" s="22" t="s">
        <v>387</v>
      </c>
      <c r="G118" s="40">
        <v>30</v>
      </c>
      <c r="H118" s="388">
        <v>626.44628099173553</v>
      </c>
      <c r="I118" s="65"/>
      <c r="J118" s="40" t="s">
        <v>3</v>
      </c>
      <c r="K118" s="37"/>
      <c r="L118" s="35">
        <v>269</v>
      </c>
      <c r="M118" s="35">
        <v>159</v>
      </c>
      <c r="N118" s="40">
        <v>159</v>
      </c>
      <c r="O118" s="37"/>
      <c r="P118" s="35">
        <v>0</v>
      </c>
      <c r="Q118" s="35">
        <v>0</v>
      </c>
      <c r="R118" s="35">
        <v>0</v>
      </c>
      <c r="S118" s="35">
        <v>0</v>
      </c>
      <c r="T118" s="40">
        <v>0</v>
      </c>
      <c r="U118" s="37"/>
      <c r="V118" s="40">
        <v>60</v>
      </c>
    </row>
    <row r="119" spans="2:22" s="2" customFormat="1">
      <c r="B119" s="213" t="s">
        <v>60</v>
      </c>
      <c r="C119" s="211" t="s">
        <v>580</v>
      </c>
      <c r="D119" s="41">
        <v>1279</v>
      </c>
      <c r="E119" s="41">
        <v>3.25</v>
      </c>
      <c r="F119" s="41" t="s">
        <v>387</v>
      </c>
      <c r="G119" s="413">
        <v>24</v>
      </c>
      <c r="H119" s="414">
        <v>1128.9256198347107</v>
      </c>
      <c r="I119" s="65"/>
      <c r="J119" s="40" t="s">
        <v>3</v>
      </c>
      <c r="K119" s="37"/>
      <c r="L119" s="35">
        <v>489</v>
      </c>
      <c r="M119" s="35">
        <v>299</v>
      </c>
      <c r="N119" s="40">
        <v>299</v>
      </c>
      <c r="O119" s="37"/>
      <c r="P119" s="35">
        <v>0</v>
      </c>
      <c r="Q119" s="35">
        <v>0</v>
      </c>
      <c r="R119" s="35">
        <v>0</v>
      </c>
      <c r="S119" s="35">
        <v>0</v>
      </c>
      <c r="T119" s="40">
        <v>0</v>
      </c>
      <c r="U119" s="37"/>
      <c r="V119" s="40">
        <v>150</v>
      </c>
    </row>
    <row r="120" spans="2:22" s="2" customFormat="1">
      <c r="B120" s="213" t="s">
        <v>60</v>
      </c>
      <c r="C120" s="211" t="s">
        <v>580</v>
      </c>
      <c r="D120" s="41">
        <v>1279</v>
      </c>
      <c r="E120" s="41">
        <v>3.25</v>
      </c>
      <c r="F120" s="22" t="s">
        <v>387</v>
      </c>
      <c r="G120" s="40">
        <v>30</v>
      </c>
      <c r="H120" s="388">
        <v>1128.9256198347107</v>
      </c>
      <c r="I120" s="65"/>
      <c r="J120" s="40" t="s">
        <v>3</v>
      </c>
      <c r="K120" s="37"/>
      <c r="L120" s="35">
        <v>489</v>
      </c>
      <c r="M120" s="35">
        <v>299</v>
      </c>
      <c r="N120" s="40">
        <v>299</v>
      </c>
      <c r="O120" s="37"/>
      <c r="P120" s="35">
        <v>0</v>
      </c>
      <c r="Q120" s="35">
        <v>0</v>
      </c>
      <c r="R120" s="35">
        <v>0</v>
      </c>
      <c r="S120" s="35">
        <v>0</v>
      </c>
      <c r="T120" s="40">
        <v>0</v>
      </c>
      <c r="U120" s="37"/>
      <c r="V120" s="40">
        <v>150</v>
      </c>
    </row>
    <row r="121" spans="2:22" s="2" customFormat="1">
      <c r="B121" s="213" t="s">
        <v>60</v>
      </c>
      <c r="C121" s="211" t="s">
        <v>581</v>
      </c>
      <c r="D121" s="41">
        <v>1372</v>
      </c>
      <c r="E121" s="41">
        <v>3.25</v>
      </c>
      <c r="F121" s="41" t="s">
        <v>387</v>
      </c>
      <c r="G121" s="413">
        <v>24</v>
      </c>
      <c r="H121" s="414">
        <v>1220.6611570247935</v>
      </c>
      <c r="I121" s="65"/>
      <c r="J121" s="40" t="s">
        <v>3</v>
      </c>
      <c r="K121" s="37"/>
      <c r="L121" s="35">
        <v>539</v>
      </c>
      <c r="M121" s="35">
        <v>329</v>
      </c>
      <c r="N121" s="40">
        <v>329</v>
      </c>
      <c r="O121" s="37"/>
      <c r="P121" s="35">
        <v>0</v>
      </c>
      <c r="Q121" s="35">
        <v>0</v>
      </c>
      <c r="R121" s="35">
        <v>0</v>
      </c>
      <c r="S121" s="35">
        <v>0</v>
      </c>
      <c r="T121" s="40">
        <v>0</v>
      </c>
      <c r="U121" s="37"/>
      <c r="V121" s="40">
        <v>151</v>
      </c>
    </row>
    <row r="122" spans="2:22" s="2" customFormat="1">
      <c r="B122" s="213" t="s">
        <v>60</v>
      </c>
      <c r="C122" s="211" t="s">
        <v>581</v>
      </c>
      <c r="D122" s="41">
        <v>1372</v>
      </c>
      <c r="E122" s="41">
        <v>3.25</v>
      </c>
      <c r="F122" s="22" t="s">
        <v>387</v>
      </c>
      <c r="G122" s="40">
        <v>30</v>
      </c>
      <c r="H122" s="388">
        <v>1220.6611570247935</v>
      </c>
      <c r="I122" s="65"/>
      <c r="J122" s="40" t="s">
        <v>3</v>
      </c>
      <c r="K122" s="37"/>
      <c r="L122" s="35">
        <v>539</v>
      </c>
      <c r="M122" s="35">
        <v>329</v>
      </c>
      <c r="N122" s="40">
        <v>329</v>
      </c>
      <c r="O122" s="37"/>
      <c r="P122" s="35">
        <v>0</v>
      </c>
      <c r="Q122" s="35">
        <v>0</v>
      </c>
      <c r="R122" s="35">
        <v>0</v>
      </c>
      <c r="S122" s="35">
        <v>0</v>
      </c>
      <c r="T122" s="40">
        <v>0</v>
      </c>
      <c r="U122" s="37"/>
      <c r="V122" s="40">
        <v>151</v>
      </c>
    </row>
    <row r="123" spans="2:22" s="2" customFormat="1">
      <c r="B123" s="213" t="s">
        <v>60</v>
      </c>
      <c r="C123" s="211" t="s">
        <v>653</v>
      </c>
      <c r="D123" s="41">
        <v>1086</v>
      </c>
      <c r="E123" s="41">
        <v>3.25</v>
      </c>
      <c r="F123" s="41" t="s">
        <v>387</v>
      </c>
      <c r="G123" s="413">
        <v>24</v>
      </c>
      <c r="H123" s="414">
        <v>985.95041322314057</v>
      </c>
      <c r="I123" s="65"/>
      <c r="J123" s="40" t="s">
        <v>3</v>
      </c>
      <c r="K123" s="37"/>
      <c r="L123" s="35">
        <v>419</v>
      </c>
      <c r="M123" s="35">
        <v>249</v>
      </c>
      <c r="N123" s="40">
        <v>249</v>
      </c>
      <c r="O123" s="37"/>
      <c r="P123" s="35">
        <v>0</v>
      </c>
      <c r="Q123" s="35">
        <v>0</v>
      </c>
      <c r="R123" s="35">
        <v>0</v>
      </c>
      <c r="S123" s="35">
        <v>0</v>
      </c>
      <c r="T123" s="40">
        <v>0</v>
      </c>
      <c r="U123" s="37"/>
      <c r="V123" s="40">
        <v>100</v>
      </c>
    </row>
    <row r="124" spans="2:22" s="2" customFormat="1">
      <c r="B124" s="213" t="s">
        <v>60</v>
      </c>
      <c r="C124" s="211" t="s">
        <v>653</v>
      </c>
      <c r="D124" s="41">
        <v>1086</v>
      </c>
      <c r="E124" s="41">
        <v>3.25</v>
      </c>
      <c r="F124" s="22" t="s">
        <v>387</v>
      </c>
      <c r="G124" s="40">
        <v>30</v>
      </c>
      <c r="H124" s="388">
        <v>985.95041322314057</v>
      </c>
      <c r="I124" s="65"/>
      <c r="J124" s="40" t="s">
        <v>3</v>
      </c>
      <c r="K124" s="37"/>
      <c r="L124" s="35">
        <v>419</v>
      </c>
      <c r="M124" s="35">
        <v>249</v>
      </c>
      <c r="N124" s="40">
        <v>249</v>
      </c>
      <c r="O124" s="37"/>
      <c r="P124" s="35">
        <v>0</v>
      </c>
      <c r="Q124" s="35">
        <v>0</v>
      </c>
      <c r="R124" s="35">
        <v>0</v>
      </c>
      <c r="S124" s="35">
        <v>0</v>
      </c>
      <c r="T124" s="40">
        <v>0</v>
      </c>
      <c r="U124" s="37"/>
      <c r="V124" s="40">
        <v>100</v>
      </c>
    </row>
    <row r="125" spans="2:22" s="2" customFormat="1">
      <c r="B125" s="213" t="s">
        <v>60</v>
      </c>
      <c r="C125" s="211" t="s">
        <v>654</v>
      </c>
      <c r="D125" s="41">
        <v>1179</v>
      </c>
      <c r="E125" s="41">
        <v>3.25</v>
      </c>
      <c r="F125" s="41" t="s">
        <v>387</v>
      </c>
      <c r="G125" s="413">
        <v>24</v>
      </c>
      <c r="H125" s="414">
        <v>1078.5123966942149</v>
      </c>
      <c r="I125" s="65"/>
      <c r="J125" s="40" t="s">
        <v>3</v>
      </c>
      <c r="K125" s="37"/>
      <c r="L125" s="35">
        <v>469</v>
      </c>
      <c r="M125" s="35">
        <v>289</v>
      </c>
      <c r="N125" s="40">
        <v>289</v>
      </c>
      <c r="O125" s="37"/>
      <c r="P125" s="35">
        <v>0</v>
      </c>
      <c r="Q125" s="35">
        <v>0</v>
      </c>
      <c r="R125" s="35">
        <v>0</v>
      </c>
      <c r="S125" s="35">
        <v>0</v>
      </c>
      <c r="T125" s="40">
        <v>0</v>
      </c>
      <c r="U125" s="37"/>
      <c r="V125" s="40">
        <v>100</v>
      </c>
    </row>
    <row r="126" spans="2:22" s="2" customFormat="1">
      <c r="B126" s="213" t="s">
        <v>60</v>
      </c>
      <c r="C126" s="211" t="s">
        <v>654</v>
      </c>
      <c r="D126" s="41">
        <v>1179</v>
      </c>
      <c r="E126" s="41">
        <v>3.25</v>
      </c>
      <c r="F126" s="22" t="s">
        <v>387</v>
      </c>
      <c r="G126" s="40">
        <v>30</v>
      </c>
      <c r="H126" s="388">
        <v>1078.5123966942149</v>
      </c>
      <c r="I126" s="65"/>
      <c r="J126" s="40" t="s">
        <v>3</v>
      </c>
      <c r="K126" s="37"/>
      <c r="L126" s="35">
        <v>469</v>
      </c>
      <c r="M126" s="35">
        <v>289</v>
      </c>
      <c r="N126" s="40">
        <v>289</v>
      </c>
      <c r="O126" s="37"/>
      <c r="P126" s="35">
        <v>0</v>
      </c>
      <c r="Q126" s="35">
        <v>0</v>
      </c>
      <c r="R126" s="35">
        <v>0</v>
      </c>
      <c r="S126" s="35">
        <v>0</v>
      </c>
      <c r="T126" s="40">
        <v>0</v>
      </c>
      <c r="U126" s="37"/>
      <c r="V126" s="40">
        <v>100</v>
      </c>
    </row>
    <row r="127" spans="2:22" s="2" customFormat="1">
      <c r="B127" s="213" t="s">
        <v>60</v>
      </c>
      <c r="C127" s="211" t="s">
        <v>655</v>
      </c>
      <c r="D127" s="41">
        <v>1980</v>
      </c>
      <c r="E127" s="41">
        <v>3.25</v>
      </c>
      <c r="F127" s="41" t="s">
        <v>387</v>
      </c>
      <c r="G127" s="413">
        <v>24</v>
      </c>
      <c r="H127" s="414">
        <v>1680.1652892561983</v>
      </c>
      <c r="I127" s="65"/>
      <c r="J127" s="40" t="s">
        <v>3</v>
      </c>
      <c r="K127" s="37"/>
      <c r="L127" s="35">
        <v>759</v>
      </c>
      <c r="M127" s="35">
        <v>469</v>
      </c>
      <c r="N127" s="40">
        <v>469</v>
      </c>
      <c r="O127" s="37"/>
      <c r="P127" s="35">
        <v>0</v>
      </c>
      <c r="Q127" s="35">
        <v>0</v>
      </c>
      <c r="R127" s="35">
        <v>0</v>
      </c>
      <c r="S127" s="35">
        <v>0</v>
      </c>
      <c r="T127" s="40">
        <v>0</v>
      </c>
      <c r="U127" s="37"/>
      <c r="V127" s="40">
        <v>300</v>
      </c>
    </row>
    <row r="128" spans="2:22" s="2" customFormat="1">
      <c r="B128" s="213" t="s">
        <v>60</v>
      </c>
      <c r="C128" s="211" t="s">
        <v>655</v>
      </c>
      <c r="D128" s="41">
        <v>1980</v>
      </c>
      <c r="E128" s="41">
        <v>3.25</v>
      </c>
      <c r="F128" s="22" t="s">
        <v>387</v>
      </c>
      <c r="G128" s="40">
        <v>30</v>
      </c>
      <c r="H128" s="388">
        <v>1680.1652892561983</v>
      </c>
      <c r="I128" s="65"/>
      <c r="J128" s="40" t="s">
        <v>3</v>
      </c>
      <c r="K128" s="37"/>
      <c r="L128" s="35">
        <v>759</v>
      </c>
      <c r="M128" s="35">
        <v>469</v>
      </c>
      <c r="N128" s="40">
        <v>469</v>
      </c>
      <c r="O128" s="37"/>
      <c r="P128" s="35">
        <v>0</v>
      </c>
      <c r="Q128" s="35">
        <v>0</v>
      </c>
      <c r="R128" s="35">
        <v>0</v>
      </c>
      <c r="S128" s="35">
        <v>0</v>
      </c>
      <c r="T128" s="40">
        <v>0</v>
      </c>
      <c r="U128" s="37"/>
      <c r="V128" s="40">
        <v>300</v>
      </c>
    </row>
    <row r="129" spans="2:22" s="2" customFormat="1">
      <c r="B129" s="213" t="s">
        <v>60</v>
      </c>
      <c r="C129" s="211" t="s">
        <v>656</v>
      </c>
      <c r="D129" s="41">
        <v>1703</v>
      </c>
      <c r="E129" s="41">
        <v>3.25</v>
      </c>
      <c r="F129" s="41" t="s">
        <v>387</v>
      </c>
      <c r="G129" s="413">
        <v>24</v>
      </c>
      <c r="H129" s="414">
        <v>1552.8925619834711</v>
      </c>
      <c r="I129" s="65"/>
      <c r="J129" s="40" t="s">
        <v>3</v>
      </c>
      <c r="K129" s="37"/>
      <c r="L129" s="35">
        <v>709</v>
      </c>
      <c r="M129" s="35">
        <v>429</v>
      </c>
      <c r="N129" s="40">
        <v>429</v>
      </c>
      <c r="O129" s="37"/>
      <c r="P129" s="35">
        <v>0</v>
      </c>
      <c r="Q129" s="35">
        <v>0</v>
      </c>
      <c r="R129" s="35">
        <v>0</v>
      </c>
      <c r="S129" s="35">
        <v>0</v>
      </c>
      <c r="T129" s="40">
        <v>0</v>
      </c>
      <c r="U129" s="37"/>
      <c r="V129" s="40">
        <v>150</v>
      </c>
    </row>
    <row r="130" spans="2:22" s="2" customFormat="1">
      <c r="B130" s="213" t="s">
        <v>60</v>
      </c>
      <c r="C130" s="211" t="s">
        <v>656</v>
      </c>
      <c r="D130" s="41">
        <v>1703</v>
      </c>
      <c r="E130" s="41">
        <v>3.25</v>
      </c>
      <c r="F130" s="22" t="s">
        <v>387</v>
      </c>
      <c r="G130" s="40">
        <v>30</v>
      </c>
      <c r="H130" s="388">
        <v>1552.8925619834711</v>
      </c>
      <c r="I130" s="65"/>
      <c r="J130" s="40" t="s">
        <v>3</v>
      </c>
      <c r="K130" s="37"/>
      <c r="L130" s="35">
        <v>709</v>
      </c>
      <c r="M130" s="35">
        <v>429</v>
      </c>
      <c r="N130" s="40">
        <v>429</v>
      </c>
      <c r="O130" s="37"/>
      <c r="P130" s="35">
        <v>0</v>
      </c>
      <c r="Q130" s="35">
        <v>0</v>
      </c>
      <c r="R130" s="35">
        <v>0</v>
      </c>
      <c r="S130" s="35">
        <v>0</v>
      </c>
      <c r="T130" s="40">
        <v>0</v>
      </c>
      <c r="U130" s="37"/>
      <c r="V130" s="40">
        <v>150</v>
      </c>
    </row>
    <row r="131" spans="2:22" s="2" customFormat="1">
      <c r="B131" s="213" t="s">
        <v>60</v>
      </c>
      <c r="C131" s="211" t="s">
        <v>657</v>
      </c>
      <c r="D131" s="41">
        <v>1796</v>
      </c>
      <c r="E131" s="41">
        <v>3.25</v>
      </c>
      <c r="F131" s="41" t="s">
        <v>387</v>
      </c>
      <c r="G131" s="413">
        <v>24</v>
      </c>
      <c r="H131" s="414">
        <v>1644.6280991735537</v>
      </c>
      <c r="I131" s="65"/>
      <c r="J131" s="40" t="s">
        <v>3</v>
      </c>
      <c r="K131" s="37"/>
      <c r="L131" s="35">
        <v>749</v>
      </c>
      <c r="M131" s="35">
        <v>449</v>
      </c>
      <c r="N131" s="40">
        <v>449</v>
      </c>
      <c r="O131" s="37"/>
      <c r="P131" s="35">
        <v>0</v>
      </c>
      <c r="Q131" s="35">
        <v>0</v>
      </c>
      <c r="R131" s="35">
        <v>0</v>
      </c>
      <c r="S131" s="35">
        <v>0</v>
      </c>
      <c r="T131" s="40">
        <v>0</v>
      </c>
      <c r="U131" s="37"/>
      <c r="V131" s="40">
        <v>151</v>
      </c>
    </row>
    <row r="132" spans="2:22" s="2" customFormat="1">
      <c r="B132" s="213" t="s">
        <v>60</v>
      </c>
      <c r="C132" s="211" t="s">
        <v>657</v>
      </c>
      <c r="D132" s="41">
        <v>1796</v>
      </c>
      <c r="E132" s="41">
        <v>3.25</v>
      </c>
      <c r="F132" s="22" t="s">
        <v>387</v>
      </c>
      <c r="G132" s="40">
        <v>30</v>
      </c>
      <c r="H132" s="388">
        <v>1644.6280991735537</v>
      </c>
      <c r="I132" s="65"/>
      <c r="J132" s="40" t="s">
        <v>3</v>
      </c>
      <c r="K132" s="37"/>
      <c r="L132" s="35">
        <v>749</v>
      </c>
      <c r="M132" s="35">
        <v>449</v>
      </c>
      <c r="N132" s="40">
        <v>449</v>
      </c>
      <c r="O132" s="37"/>
      <c r="P132" s="35">
        <v>0</v>
      </c>
      <c r="Q132" s="35">
        <v>0</v>
      </c>
      <c r="R132" s="35">
        <v>0</v>
      </c>
      <c r="S132" s="35">
        <v>0</v>
      </c>
      <c r="T132" s="40">
        <v>0</v>
      </c>
      <c r="U132" s="37"/>
      <c r="V132" s="40">
        <v>151</v>
      </c>
    </row>
    <row r="133" spans="2:22" s="2" customFormat="1">
      <c r="B133" s="213" t="s">
        <v>673</v>
      </c>
      <c r="C133" s="211" t="s">
        <v>517</v>
      </c>
      <c r="D133" s="41">
        <v>162</v>
      </c>
      <c r="E133" s="41">
        <v>3.25</v>
      </c>
      <c r="F133" s="41" t="s">
        <v>387</v>
      </c>
      <c r="G133" s="413">
        <v>24</v>
      </c>
      <c r="H133" s="414">
        <v>93.388429752066116</v>
      </c>
      <c r="I133" s="65"/>
      <c r="J133" s="40" t="s">
        <v>3</v>
      </c>
      <c r="K133" s="37"/>
      <c r="L133" s="35">
        <v>0</v>
      </c>
      <c r="M133" s="35">
        <v>0</v>
      </c>
      <c r="N133" s="40">
        <v>0</v>
      </c>
      <c r="O133" s="37"/>
      <c r="P133" s="35">
        <v>0</v>
      </c>
      <c r="Q133" s="35">
        <v>0</v>
      </c>
      <c r="R133" s="35">
        <v>0</v>
      </c>
      <c r="S133" s="35">
        <v>0</v>
      </c>
      <c r="T133" s="40">
        <v>0</v>
      </c>
      <c r="U133" s="37"/>
      <c r="V133" s="40">
        <v>69</v>
      </c>
    </row>
    <row r="134" spans="2:22" s="2" customFormat="1">
      <c r="B134" s="213" t="s">
        <v>673</v>
      </c>
      <c r="C134" s="211" t="s">
        <v>600</v>
      </c>
      <c r="D134" s="41">
        <v>161</v>
      </c>
      <c r="E134" s="41">
        <v>3.25</v>
      </c>
      <c r="F134" s="22" t="s">
        <v>387</v>
      </c>
      <c r="G134" s="40">
        <v>24</v>
      </c>
      <c r="H134" s="388">
        <v>134.71074380165291</v>
      </c>
      <c r="I134" s="65"/>
      <c r="J134" s="40" t="s">
        <v>3</v>
      </c>
      <c r="K134" s="37"/>
      <c r="L134" s="35">
        <v>19</v>
      </c>
      <c r="M134" s="35">
        <v>0</v>
      </c>
      <c r="N134" s="40">
        <v>0</v>
      </c>
      <c r="O134" s="37"/>
      <c r="P134" s="35">
        <v>0</v>
      </c>
      <c r="Q134" s="35">
        <v>0</v>
      </c>
      <c r="R134" s="35">
        <v>0</v>
      </c>
      <c r="S134" s="35">
        <v>0</v>
      </c>
      <c r="T134" s="40">
        <v>0</v>
      </c>
      <c r="U134" s="37"/>
      <c r="V134" s="40">
        <v>26</v>
      </c>
    </row>
    <row r="135" spans="2:22" s="2" customFormat="1">
      <c r="B135" s="213" t="s">
        <v>673</v>
      </c>
      <c r="C135" s="211" t="s">
        <v>600</v>
      </c>
      <c r="D135" s="41">
        <v>161</v>
      </c>
      <c r="E135" s="41">
        <v>3.25</v>
      </c>
      <c r="F135" s="41" t="s">
        <v>387</v>
      </c>
      <c r="G135" s="413">
        <v>30</v>
      </c>
      <c r="H135" s="414">
        <v>134.71074380165291</v>
      </c>
      <c r="I135" s="65"/>
      <c r="J135" s="40" t="s">
        <v>3</v>
      </c>
      <c r="K135" s="37"/>
      <c r="L135" s="35">
        <v>19</v>
      </c>
      <c r="M135" s="35">
        <v>0</v>
      </c>
      <c r="N135" s="40">
        <v>0</v>
      </c>
      <c r="O135" s="37"/>
      <c r="P135" s="35">
        <v>0</v>
      </c>
      <c r="Q135" s="35">
        <v>0</v>
      </c>
      <c r="R135" s="35">
        <v>0</v>
      </c>
      <c r="S135" s="35">
        <v>0</v>
      </c>
      <c r="T135" s="40">
        <v>0</v>
      </c>
      <c r="U135" s="37"/>
      <c r="V135" s="40">
        <v>26</v>
      </c>
    </row>
    <row r="136" spans="2:22" s="2" customFormat="1">
      <c r="B136" s="213" t="s">
        <v>673</v>
      </c>
      <c r="C136" s="211" t="s">
        <v>642</v>
      </c>
      <c r="D136" s="41">
        <v>201</v>
      </c>
      <c r="E136" s="41">
        <v>3.25</v>
      </c>
      <c r="F136" s="22" t="s">
        <v>387</v>
      </c>
      <c r="G136" s="40">
        <v>24</v>
      </c>
      <c r="H136" s="388">
        <v>185.95041322314052</v>
      </c>
      <c r="I136" s="65"/>
      <c r="J136" s="40" t="s">
        <v>3</v>
      </c>
      <c r="K136" s="37"/>
      <c r="L136" s="35">
        <v>29</v>
      </c>
      <c r="M136" s="35">
        <v>0</v>
      </c>
      <c r="N136" s="40">
        <v>0</v>
      </c>
      <c r="O136" s="37"/>
      <c r="P136" s="35">
        <v>0</v>
      </c>
      <c r="Q136" s="35">
        <v>0</v>
      </c>
      <c r="R136" s="35">
        <v>0</v>
      </c>
      <c r="S136" s="35">
        <v>0</v>
      </c>
      <c r="T136" s="40">
        <v>0</v>
      </c>
      <c r="U136" s="37"/>
      <c r="V136" s="40">
        <v>15</v>
      </c>
    </row>
    <row r="137" spans="2:22" s="2" customFormat="1">
      <c r="B137" s="213" t="s">
        <v>673</v>
      </c>
      <c r="C137" s="211" t="s">
        <v>642</v>
      </c>
      <c r="D137" s="41">
        <v>201</v>
      </c>
      <c r="E137" s="41">
        <v>3.25</v>
      </c>
      <c r="F137" s="41" t="s">
        <v>387</v>
      </c>
      <c r="G137" s="413">
        <v>30</v>
      </c>
      <c r="H137" s="414">
        <v>185.95041322314052</v>
      </c>
      <c r="I137" s="65"/>
      <c r="J137" s="40" t="s">
        <v>3</v>
      </c>
      <c r="K137" s="37"/>
      <c r="L137" s="35">
        <v>29</v>
      </c>
      <c r="M137" s="35">
        <v>0</v>
      </c>
      <c r="N137" s="40">
        <v>0</v>
      </c>
      <c r="O137" s="37"/>
      <c r="P137" s="35">
        <v>0</v>
      </c>
      <c r="Q137" s="35">
        <v>0</v>
      </c>
      <c r="R137" s="35">
        <v>0</v>
      </c>
      <c r="S137" s="35">
        <v>0</v>
      </c>
      <c r="T137" s="40">
        <v>0</v>
      </c>
      <c r="U137" s="37"/>
      <c r="V137" s="40">
        <v>15</v>
      </c>
    </row>
    <row r="138" spans="2:22" s="2" customFormat="1">
      <c r="B138" s="213" t="s">
        <v>664</v>
      </c>
      <c r="C138" s="211" t="s">
        <v>585</v>
      </c>
      <c r="D138" s="41">
        <v>1072</v>
      </c>
      <c r="E138" s="41">
        <v>3.25</v>
      </c>
      <c r="F138" s="22" t="s">
        <v>387</v>
      </c>
      <c r="G138" s="40">
        <v>24</v>
      </c>
      <c r="H138" s="388">
        <v>687.60330578512401</v>
      </c>
      <c r="I138" s="65"/>
      <c r="J138" s="40" t="s">
        <v>3</v>
      </c>
      <c r="K138" s="37"/>
      <c r="L138" s="35">
        <v>299</v>
      </c>
      <c r="M138" s="35">
        <v>189</v>
      </c>
      <c r="N138" s="40">
        <v>189</v>
      </c>
      <c r="O138" s="37"/>
      <c r="P138" s="35">
        <v>0</v>
      </c>
      <c r="Q138" s="35">
        <v>0</v>
      </c>
      <c r="R138" s="35">
        <v>0</v>
      </c>
      <c r="S138" s="35">
        <v>0</v>
      </c>
      <c r="T138" s="40">
        <v>0</v>
      </c>
      <c r="U138" s="37"/>
      <c r="V138" s="40">
        <v>384</v>
      </c>
    </row>
    <row r="139" spans="2:22" s="2" customFormat="1">
      <c r="B139" s="213" t="s">
        <v>664</v>
      </c>
      <c r="C139" s="211" t="s">
        <v>585</v>
      </c>
      <c r="D139" s="41">
        <v>1072</v>
      </c>
      <c r="E139" s="41">
        <v>3.25</v>
      </c>
      <c r="F139" s="41" t="s">
        <v>387</v>
      </c>
      <c r="G139" s="413">
        <v>30</v>
      </c>
      <c r="H139" s="414">
        <v>687.60330578512401</v>
      </c>
      <c r="I139" s="65"/>
      <c r="J139" s="40" t="s">
        <v>3</v>
      </c>
      <c r="K139" s="37"/>
      <c r="L139" s="35">
        <v>299</v>
      </c>
      <c r="M139" s="35">
        <v>189</v>
      </c>
      <c r="N139" s="40">
        <v>189</v>
      </c>
      <c r="O139" s="37"/>
      <c r="P139" s="35">
        <v>0</v>
      </c>
      <c r="Q139" s="35">
        <v>0</v>
      </c>
      <c r="R139" s="35">
        <v>0</v>
      </c>
      <c r="S139" s="35">
        <v>0</v>
      </c>
      <c r="T139" s="40">
        <v>0</v>
      </c>
      <c r="U139" s="37"/>
      <c r="V139" s="40">
        <v>384</v>
      </c>
    </row>
    <row r="140" spans="2:22" s="2" customFormat="1">
      <c r="B140" s="213" t="s">
        <v>664</v>
      </c>
      <c r="C140" s="211" t="s">
        <v>686</v>
      </c>
      <c r="D140" s="41">
        <v>174</v>
      </c>
      <c r="E140" s="41">
        <v>3.25</v>
      </c>
      <c r="F140" s="22" t="s">
        <v>387</v>
      </c>
      <c r="G140" s="40">
        <v>24</v>
      </c>
      <c r="H140" s="388">
        <v>88.429752066115711</v>
      </c>
      <c r="I140" s="65"/>
      <c r="J140" s="40" t="s">
        <v>3</v>
      </c>
      <c r="K140" s="37"/>
      <c r="L140" s="35">
        <v>0</v>
      </c>
      <c r="M140" s="35">
        <v>0</v>
      </c>
      <c r="N140" s="40">
        <v>0</v>
      </c>
      <c r="O140" s="37"/>
      <c r="P140" s="35">
        <v>0</v>
      </c>
      <c r="Q140" s="35">
        <v>0</v>
      </c>
      <c r="R140" s="35">
        <v>0</v>
      </c>
      <c r="S140" s="35">
        <v>0</v>
      </c>
      <c r="T140" s="40">
        <v>0</v>
      </c>
      <c r="U140" s="37"/>
      <c r="V140" s="40">
        <v>86</v>
      </c>
    </row>
    <row r="141" spans="2:22" s="2" customFormat="1">
      <c r="B141" s="213" t="s">
        <v>664</v>
      </c>
      <c r="C141" s="211" t="s">
        <v>733</v>
      </c>
      <c r="D141" s="41">
        <v>638</v>
      </c>
      <c r="E141" s="41">
        <v>3.25</v>
      </c>
      <c r="F141" s="41" t="s">
        <v>387</v>
      </c>
      <c r="G141" s="413">
        <v>24</v>
      </c>
      <c r="H141" s="414">
        <v>507.43801652892563</v>
      </c>
      <c r="I141" s="65"/>
      <c r="J141" s="40" t="s">
        <v>3</v>
      </c>
      <c r="K141" s="37"/>
      <c r="L141" s="35">
        <v>169</v>
      </c>
      <c r="M141" s="35">
        <v>19</v>
      </c>
      <c r="N141" s="40">
        <v>19</v>
      </c>
      <c r="O141" s="37"/>
      <c r="P141" s="35">
        <v>0</v>
      </c>
      <c r="Q141" s="35">
        <v>0</v>
      </c>
      <c r="R141" s="35">
        <v>0</v>
      </c>
      <c r="S141" s="35">
        <v>0</v>
      </c>
      <c r="T141" s="40">
        <v>0</v>
      </c>
      <c r="U141" s="37"/>
      <c r="V141" s="40">
        <v>131</v>
      </c>
    </row>
    <row r="142" spans="2:22" s="2" customFormat="1">
      <c r="B142" s="213" t="s">
        <v>664</v>
      </c>
      <c r="C142" s="211" t="s">
        <v>733</v>
      </c>
      <c r="D142" s="41">
        <v>638</v>
      </c>
      <c r="E142" s="41">
        <v>3.25</v>
      </c>
      <c r="F142" s="22" t="s">
        <v>387</v>
      </c>
      <c r="G142" s="40">
        <v>30</v>
      </c>
      <c r="H142" s="388">
        <v>507.43801652892563</v>
      </c>
      <c r="I142" s="65"/>
      <c r="J142" s="40" t="s">
        <v>3</v>
      </c>
      <c r="K142" s="37"/>
      <c r="L142" s="35">
        <v>169</v>
      </c>
      <c r="M142" s="35">
        <v>19</v>
      </c>
      <c r="N142" s="40">
        <v>19</v>
      </c>
      <c r="O142" s="37"/>
      <c r="P142" s="35">
        <v>0</v>
      </c>
      <c r="Q142" s="35">
        <v>0</v>
      </c>
      <c r="R142" s="35">
        <v>0</v>
      </c>
      <c r="S142" s="35">
        <v>0</v>
      </c>
      <c r="T142" s="40">
        <v>0</v>
      </c>
      <c r="U142" s="37"/>
      <c r="V142" s="40">
        <v>131</v>
      </c>
    </row>
    <row r="143" spans="2:22" s="2" customFormat="1">
      <c r="B143" s="213" t="s">
        <v>664</v>
      </c>
      <c r="C143" s="211" t="s">
        <v>734</v>
      </c>
      <c r="D143" s="41">
        <v>801</v>
      </c>
      <c r="E143" s="41">
        <v>3.25</v>
      </c>
      <c r="F143" s="41" t="s">
        <v>387</v>
      </c>
      <c r="G143" s="413">
        <v>24</v>
      </c>
      <c r="H143" s="414">
        <v>614.87603305785126</v>
      </c>
      <c r="I143" s="65"/>
      <c r="J143" s="40" t="s">
        <v>3</v>
      </c>
      <c r="K143" s="37"/>
      <c r="L143" s="35">
        <v>259</v>
      </c>
      <c r="M143" s="35">
        <v>159</v>
      </c>
      <c r="N143" s="40">
        <v>159</v>
      </c>
      <c r="O143" s="37"/>
      <c r="P143" s="35">
        <v>0</v>
      </c>
      <c r="Q143" s="35">
        <v>0</v>
      </c>
      <c r="R143" s="35">
        <v>0</v>
      </c>
      <c r="S143" s="35">
        <v>0</v>
      </c>
      <c r="T143" s="40">
        <v>0</v>
      </c>
      <c r="U143" s="37"/>
      <c r="V143" s="40">
        <v>186</v>
      </c>
    </row>
    <row r="144" spans="2:22" s="2" customFormat="1">
      <c r="B144" s="213" t="s">
        <v>664</v>
      </c>
      <c r="C144" s="211" t="s">
        <v>734</v>
      </c>
      <c r="D144" s="41">
        <v>801</v>
      </c>
      <c r="E144" s="41">
        <v>3.25</v>
      </c>
      <c r="F144" s="22" t="s">
        <v>387</v>
      </c>
      <c r="G144" s="40">
        <v>30</v>
      </c>
      <c r="H144" s="388">
        <v>614.87603305785126</v>
      </c>
      <c r="I144" s="65"/>
      <c r="J144" s="40" t="s">
        <v>3</v>
      </c>
      <c r="K144" s="37"/>
      <c r="L144" s="35">
        <v>259</v>
      </c>
      <c r="M144" s="35">
        <v>159</v>
      </c>
      <c r="N144" s="40">
        <v>159</v>
      </c>
      <c r="O144" s="37"/>
      <c r="P144" s="35">
        <v>0</v>
      </c>
      <c r="Q144" s="35">
        <v>0</v>
      </c>
      <c r="R144" s="35">
        <v>0</v>
      </c>
      <c r="S144" s="35">
        <v>0</v>
      </c>
      <c r="T144" s="40">
        <v>0</v>
      </c>
      <c r="U144" s="37"/>
      <c r="V144" s="40">
        <v>186</v>
      </c>
    </row>
    <row r="145" spans="2:22" s="2" customFormat="1">
      <c r="B145" s="213" t="s">
        <v>664</v>
      </c>
      <c r="C145" s="211" t="s">
        <v>735</v>
      </c>
      <c r="D145" s="41">
        <v>895</v>
      </c>
      <c r="E145" s="41">
        <v>3.25</v>
      </c>
      <c r="F145" s="41" t="s">
        <v>387</v>
      </c>
      <c r="G145" s="413">
        <v>24</v>
      </c>
      <c r="H145" s="414">
        <v>761.15702479338847</v>
      </c>
      <c r="I145" s="65"/>
      <c r="J145" s="40" t="s">
        <v>3</v>
      </c>
      <c r="K145" s="37"/>
      <c r="L145" s="35">
        <v>319</v>
      </c>
      <c r="M145" s="35">
        <v>189</v>
      </c>
      <c r="N145" s="40">
        <v>189</v>
      </c>
      <c r="O145" s="37"/>
      <c r="P145" s="35">
        <v>0</v>
      </c>
      <c r="Q145" s="35">
        <v>0</v>
      </c>
      <c r="R145" s="35">
        <v>0</v>
      </c>
      <c r="S145" s="35">
        <v>0</v>
      </c>
      <c r="T145" s="40">
        <v>0</v>
      </c>
      <c r="U145" s="37"/>
      <c r="V145" s="40">
        <v>134</v>
      </c>
    </row>
    <row r="146" spans="2:22" s="2" customFormat="1">
      <c r="B146" s="213" t="s">
        <v>664</v>
      </c>
      <c r="C146" s="211" t="s">
        <v>735</v>
      </c>
      <c r="D146" s="41">
        <v>895</v>
      </c>
      <c r="E146" s="41">
        <v>3.25</v>
      </c>
      <c r="F146" s="22" t="s">
        <v>387</v>
      </c>
      <c r="G146" s="40">
        <v>30</v>
      </c>
      <c r="H146" s="388">
        <v>761.15702479338847</v>
      </c>
      <c r="I146" s="65"/>
      <c r="J146" s="40" t="s">
        <v>3</v>
      </c>
      <c r="K146" s="37"/>
      <c r="L146" s="35">
        <v>319</v>
      </c>
      <c r="M146" s="35">
        <v>189</v>
      </c>
      <c r="N146" s="40">
        <v>189</v>
      </c>
      <c r="O146" s="37"/>
      <c r="P146" s="35">
        <v>0</v>
      </c>
      <c r="Q146" s="35">
        <v>0</v>
      </c>
      <c r="R146" s="35">
        <v>0</v>
      </c>
      <c r="S146" s="35">
        <v>0</v>
      </c>
      <c r="T146" s="40">
        <v>0</v>
      </c>
      <c r="U146" s="37"/>
      <c r="V146" s="40">
        <v>134</v>
      </c>
    </row>
    <row r="147" spans="2:22" s="2" customFormat="1">
      <c r="B147" s="213" t="s">
        <v>664</v>
      </c>
      <c r="C147" s="211" t="s">
        <v>613</v>
      </c>
      <c r="D147" s="41">
        <v>205</v>
      </c>
      <c r="E147" s="41">
        <v>3.25</v>
      </c>
      <c r="F147" s="41" t="s">
        <v>387</v>
      </c>
      <c r="G147" s="413">
        <v>24</v>
      </c>
      <c r="H147" s="414">
        <v>98.347107438016536</v>
      </c>
      <c r="I147" s="65"/>
      <c r="J147" s="40" t="s">
        <v>3</v>
      </c>
      <c r="K147" s="37"/>
      <c r="L147" s="35">
        <v>0</v>
      </c>
      <c r="M147" s="35">
        <v>0</v>
      </c>
      <c r="N147" s="40">
        <v>0</v>
      </c>
      <c r="O147" s="37"/>
      <c r="P147" s="35">
        <v>0</v>
      </c>
      <c r="Q147" s="35">
        <v>0</v>
      </c>
      <c r="R147" s="35">
        <v>0</v>
      </c>
      <c r="S147" s="35">
        <v>0</v>
      </c>
      <c r="T147" s="40">
        <v>0</v>
      </c>
      <c r="U147" s="37"/>
      <c r="V147" s="40">
        <v>107</v>
      </c>
    </row>
    <row r="148" spans="2:22" s="2" customFormat="1">
      <c r="B148" s="213" t="s">
        <v>664</v>
      </c>
      <c r="C148" s="211" t="s">
        <v>613</v>
      </c>
      <c r="D148" s="41">
        <v>205</v>
      </c>
      <c r="E148" s="41">
        <v>3.25</v>
      </c>
      <c r="F148" s="22" t="s">
        <v>387</v>
      </c>
      <c r="G148" s="40">
        <v>30</v>
      </c>
      <c r="H148" s="388">
        <v>98.347107438016536</v>
      </c>
      <c r="I148" s="65"/>
      <c r="J148" s="40" t="s">
        <v>3</v>
      </c>
      <c r="K148" s="37"/>
      <c r="L148" s="35">
        <v>0</v>
      </c>
      <c r="M148" s="35">
        <v>0</v>
      </c>
      <c r="N148" s="40">
        <v>0</v>
      </c>
      <c r="O148" s="37"/>
      <c r="P148" s="35">
        <v>0</v>
      </c>
      <c r="Q148" s="35">
        <v>0</v>
      </c>
      <c r="R148" s="35">
        <v>0</v>
      </c>
      <c r="S148" s="35">
        <v>0</v>
      </c>
      <c r="T148" s="40">
        <v>0</v>
      </c>
      <c r="U148" s="37"/>
      <c r="V148" s="40">
        <v>107</v>
      </c>
    </row>
    <row r="149" spans="2:22" s="2" customFormat="1">
      <c r="B149" s="213" t="s">
        <v>664</v>
      </c>
      <c r="C149" s="211" t="s">
        <v>572</v>
      </c>
      <c r="D149" s="41">
        <v>326</v>
      </c>
      <c r="E149" s="41">
        <v>3.25</v>
      </c>
      <c r="F149" s="41" t="s">
        <v>387</v>
      </c>
      <c r="G149" s="413">
        <v>24</v>
      </c>
      <c r="H149" s="414">
        <v>179.3388429752066</v>
      </c>
      <c r="I149" s="65"/>
      <c r="J149" s="40" t="s">
        <v>3</v>
      </c>
      <c r="K149" s="37"/>
      <c r="L149" s="35">
        <v>29</v>
      </c>
      <c r="M149" s="35">
        <v>0</v>
      </c>
      <c r="N149" s="40">
        <v>0</v>
      </c>
      <c r="O149" s="37"/>
      <c r="P149" s="35">
        <v>0</v>
      </c>
      <c r="Q149" s="35">
        <v>0</v>
      </c>
      <c r="R149" s="35">
        <v>0</v>
      </c>
      <c r="S149" s="35">
        <v>0</v>
      </c>
      <c r="T149" s="40">
        <v>0</v>
      </c>
      <c r="U149" s="37"/>
      <c r="V149" s="40">
        <v>147</v>
      </c>
    </row>
    <row r="150" spans="2:22" s="2" customFormat="1">
      <c r="B150" s="213" t="s">
        <v>664</v>
      </c>
      <c r="C150" s="211" t="s">
        <v>572</v>
      </c>
      <c r="D150" s="41">
        <v>326</v>
      </c>
      <c r="E150" s="41">
        <v>3.25</v>
      </c>
      <c r="F150" s="22" t="s">
        <v>387</v>
      </c>
      <c r="G150" s="40">
        <v>30</v>
      </c>
      <c r="H150" s="388">
        <v>179.3388429752066</v>
      </c>
      <c r="I150" s="65"/>
      <c r="J150" s="40" t="s">
        <v>3</v>
      </c>
      <c r="K150" s="37"/>
      <c r="L150" s="35">
        <v>29</v>
      </c>
      <c r="M150" s="35">
        <v>0</v>
      </c>
      <c r="N150" s="40">
        <v>0</v>
      </c>
      <c r="O150" s="37"/>
      <c r="P150" s="35">
        <v>0</v>
      </c>
      <c r="Q150" s="35">
        <v>0</v>
      </c>
      <c r="R150" s="35">
        <v>0</v>
      </c>
      <c r="S150" s="35">
        <v>0</v>
      </c>
      <c r="T150" s="40">
        <v>0</v>
      </c>
      <c r="U150" s="37"/>
      <c r="V150" s="40">
        <v>147</v>
      </c>
    </row>
    <row r="151" spans="2:22" s="2" customFormat="1">
      <c r="B151" s="213" t="s">
        <v>664</v>
      </c>
      <c r="C151" s="211" t="s">
        <v>736</v>
      </c>
      <c r="D151" s="41">
        <v>323</v>
      </c>
      <c r="E151" s="41">
        <v>3.25</v>
      </c>
      <c r="F151" s="41" t="s">
        <v>387</v>
      </c>
      <c r="G151" s="413">
        <v>24</v>
      </c>
      <c r="H151" s="414">
        <v>286.77685950413223</v>
      </c>
      <c r="I151" s="65"/>
      <c r="J151" s="40" t="s">
        <v>3</v>
      </c>
      <c r="K151" s="37"/>
      <c r="L151" s="35">
        <v>39</v>
      </c>
      <c r="M151" s="35">
        <v>0</v>
      </c>
      <c r="N151" s="40">
        <v>0</v>
      </c>
      <c r="O151" s="37"/>
      <c r="P151" s="35">
        <v>0</v>
      </c>
      <c r="Q151" s="35">
        <v>0</v>
      </c>
      <c r="R151" s="35">
        <v>0</v>
      </c>
      <c r="S151" s="35">
        <v>0</v>
      </c>
      <c r="T151" s="40">
        <v>0</v>
      </c>
      <c r="U151" s="37"/>
      <c r="V151" s="40">
        <v>36</v>
      </c>
    </row>
    <row r="152" spans="2:22" s="2" customFormat="1">
      <c r="B152" s="213" t="s">
        <v>664</v>
      </c>
      <c r="C152" s="211" t="s">
        <v>736</v>
      </c>
      <c r="D152" s="41">
        <v>323</v>
      </c>
      <c r="E152" s="41">
        <v>3.25</v>
      </c>
      <c r="F152" s="22" t="s">
        <v>387</v>
      </c>
      <c r="G152" s="40">
        <v>30</v>
      </c>
      <c r="H152" s="388">
        <v>286.77685950413223</v>
      </c>
      <c r="I152" s="65"/>
      <c r="J152" s="40" t="s">
        <v>3</v>
      </c>
      <c r="K152" s="37"/>
      <c r="L152" s="35">
        <v>39</v>
      </c>
      <c r="M152" s="35">
        <v>0</v>
      </c>
      <c r="N152" s="40">
        <v>0</v>
      </c>
      <c r="O152" s="37"/>
      <c r="P152" s="35">
        <v>0</v>
      </c>
      <c r="Q152" s="35">
        <v>0</v>
      </c>
      <c r="R152" s="35">
        <v>0</v>
      </c>
      <c r="S152" s="35">
        <v>0</v>
      </c>
      <c r="T152" s="40">
        <v>0</v>
      </c>
      <c r="U152" s="37"/>
      <c r="V152" s="40">
        <v>36</v>
      </c>
    </row>
    <row r="153" spans="2:22" s="2" customFormat="1">
      <c r="B153" s="213" t="s">
        <v>664</v>
      </c>
      <c r="C153" s="211" t="s">
        <v>737</v>
      </c>
      <c r="D153" s="41">
        <v>415</v>
      </c>
      <c r="E153" s="41">
        <v>3.25</v>
      </c>
      <c r="F153" s="41" t="s">
        <v>387</v>
      </c>
      <c r="G153" s="413">
        <v>24</v>
      </c>
      <c r="H153" s="414">
        <v>333.88429752066116</v>
      </c>
      <c r="I153" s="65"/>
      <c r="J153" s="40" t="s">
        <v>3</v>
      </c>
      <c r="K153" s="37"/>
      <c r="L153" s="35">
        <v>109</v>
      </c>
      <c r="M153" s="35">
        <v>19</v>
      </c>
      <c r="N153" s="40">
        <v>19</v>
      </c>
      <c r="O153" s="37"/>
      <c r="P153" s="35">
        <v>0</v>
      </c>
      <c r="Q153" s="35">
        <v>0</v>
      </c>
      <c r="R153" s="35">
        <v>0</v>
      </c>
      <c r="S153" s="35">
        <v>0</v>
      </c>
      <c r="T153" s="40">
        <v>0</v>
      </c>
      <c r="U153" s="37"/>
      <c r="V153" s="40">
        <v>81</v>
      </c>
    </row>
    <row r="154" spans="2:22" s="2" customFormat="1">
      <c r="B154" s="213" t="s">
        <v>664</v>
      </c>
      <c r="C154" s="211" t="s">
        <v>737</v>
      </c>
      <c r="D154" s="41">
        <v>415</v>
      </c>
      <c r="E154" s="41">
        <v>3.25</v>
      </c>
      <c r="F154" s="22" t="s">
        <v>387</v>
      </c>
      <c r="G154" s="40">
        <v>30</v>
      </c>
      <c r="H154" s="388">
        <v>333.88429752066116</v>
      </c>
      <c r="I154" s="65"/>
      <c r="J154" s="40" t="s">
        <v>3</v>
      </c>
      <c r="K154" s="37"/>
      <c r="L154" s="35">
        <v>109</v>
      </c>
      <c r="M154" s="35">
        <v>19</v>
      </c>
      <c r="N154" s="40">
        <v>19</v>
      </c>
      <c r="O154" s="37"/>
      <c r="P154" s="35">
        <v>0</v>
      </c>
      <c r="Q154" s="35">
        <v>0</v>
      </c>
      <c r="R154" s="35">
        <v>0</v>
      </c>
      <c r="S154" s="35">
        <v>0</v>
      </c>
      <c r="T154" s="40">
        <v>0</v>
      </c>
      <c r="U154" s="37"/>
      <c r="V154" s="40">
        <v>81</v>
      </c>
    </row>
    <row r="155" spans="2:22" s="2" customFormat="1">
      <c r="B155" s="213" t="s">
        <v>664</v>
      </c>
      <c r="C155" s="211" t="s">
        <v>738</v>
      </c>
      <c r="D155" s="41">
        <v>516</v>
      </c>
      <c r="E155" s="41">
        <v>3.25</v>
      </c>
      <c r="F155" s="41" t="s">
        <v>387</v>
      </c>
      <c r="G155" s="413">
        <v>24</v>
      </c>
      <c r="H155" s="414">
        <v>415.70247933884298</v>
      </c>
      <c r="I155" s="65"/>
      <c r="J155" s="40" t="s">
        <v>3</v>
      </c>
      <c r="K155" s="37"/>
      <c r="L155" s="35">
        <v>139</v>
      </c>
      <c r="M155" s="35">
        <v>19</v>
      </c>
      <c r="N155" s="40">
        <v>19</v>
      </c>
      <c r="O155" s="37"/>
      <c r="P155" s="35">
        <v>0</v>
      </c>
      <c r="Q155" s="35">
        <v>0</v>
      </c>
      <c r="R155" s="35">
        <v>0</v>
      </c>
      <c r="S155" s="35">
        <v>0</v>
      </c>
      <c r="T155" s="40">
        <v>0</v>
      </c>
      <c r="U155" s="37"/>
      <c r="V155" s="40">
        <v>100</v>
      </c>
    </row>
    <row r="156" spans="2:22" s="2" customFormat="1">
      <c r="B156" s="213" t="s">
        <v>664</v>
      </c>
      <c r="C156" s="211" t="s">
        <v>738</v>
      </c>
      <c r="D156" s="41">
        <v>516</v>
      </c>
      <c r="E156" s="41">
        <v>3.25</v>
      </c>
      <c r="F156" s="22" t="s">
        <v>387</v>
      </c>
      <c r="G156" s="40">
        <v>30</v>
      </c>
      <c r="H156" s="388">
        <v>415.70247933884298</v>
      </c>
      <c r="I156" s="65"/>
      <c r="J156" s="40" t="s">
        <v>3</v>
      </c>
      <c r="K156" s="37"/>
      <c r="L156" s="35">
        <v>139</v>
      </c>
      <c r="M156" s="35">
        <v>19</v>
      </c>
      <c r="N156" s="40">
        <v>19</v>
      </c>
      <c r="O156" s="37"/>
      <c r="P156" s="35">
        <v>0</v>
      </c>
      <c r="Q156" s="35">
        <v>0</v>
      </c>
      <c r="R156" s="35">
        <v>0</v>
      </c>
      <c r="S156" s="35">
        <v>0</v>
      </c>
      <c r="T156" s="40">
        <v>0</v>
      </c>
      <c r="U156" s="37"/>
      <c r="V156" s="40">
        <v>100</v>
      </c>
    </row>
    <row r="157" spans="2:22" s="2" customFormat="1">
      <c r="B157" s="213" t="s">
        <v>540</v>
      </c>
      <c r="C157" s="211" t="s">
        <v>687</v>
      </c>
      <c r="D157" s="41">
        <v>148</v>
      </c>
      <c r="E157" s="41">
        <v>3.25</v>
      </c>
      <c r="F157" s="41" t="s">
        <v>387</v>
      </c>
      <c r="G157" s="413">
        <v>24</v>
      </c>
      <c r="H157" s="414">
        <v>96.694214876033058</v>
      </c>
      <c r="I157" s="65"/>
      <c r="J157" s="40" t="s">
        <v>3</v>
      </c>
      <c r="K157" s="37"/>
      <c r="L157" s="35">
        <v>0</v>
      </c>
      <c r="M157" s="35">
        <v>0</v>
      </c>
      <c r="N157" s="40">
        <v>0</v>
      </c>
      <c r="O157" s="37"/>
      <c r="P157" s="35">
        <v>0</v>
      </c>
      <c r="Q157" s="35">
        <v>0</v>
      </c>
      <c r="R157" s="35">
        <v>0</v>
      </c>
      <c r="S157" s="35">
        <v>0</v>
      </c>
      <c r="T157" s="40">
        <v>0</v>
      </c>
      <c r="U157" s="37"/>
      <c r="V157" s="40">
        <v>51</v>
      </c>
    </row>
    <row r="158" spans="2:22" s="2" customFormat="1">
      <c r="B158" s="213" t="s">
        <v>540</v>
      </c>
      <c r="C158" s="211" t="s">
        <v>687</v>
      </c>
      <c r="D158" s="41">
        <v>148</v>
      </c>
      <c r="E158" s="41">
        <v>3.25</v>
      </c>
      <c r="F158" s="22" t="s">
        <v>387</v>
      </c>
      <c r="G158" s="40">
        <v>30</v>
      </c>
      <c r="H158" s="388">
        <v>96.694214876033058</v>
      </c>
      <c r="I158" s="65"/>
      <c r="J158" s="40" t="s">
        <v>3</v>
      </c>
      <c r="K158" s="37"/>
      <c r="L158" s="35">
        <v>0</v>
      </c>
      <c r="M158" s="35">
        <v>0</v>
      </c>
      <c r="N158" s="40">
        <v>0</v>
      </c>
      <c r="O158" s="37"/>
      <c r="P158" s="35">
        <v>0</v>
      </c>
      <c r="Q158" s="35">
        <v>0</v>
      </c>
      <c r="R158" s="35">
        <v>0</v>
      </c>
      <c r="S158" s="35">
        <v>0</v>
      </c>
      <c r="T158" s="40">
        <v>0</v>
      </c>
      <c r="U158" s="37"/>
      <c r="V158" s="40">
        <v>51</v>
      </c>
    </row>
    <row r="159" spans="2:22" s="2" customFormat="1">
      <c r="B159" s="213" t="s">
        <v>57</v>
      </c>
      <c r="C159" s="211" t="s">
        <v>583</v>
      </c>
      <c r="D159" s="41">
        <v>751</v>
      </c>
      <c r="E159" s="41">
        <v>5.33</v>
      </c>
      <c r="F159" s="41" t="s">
        <v>391</v>
      </c>
      <c r="G159" s="413">
        <v>24</v>
      </c>
      <c r="H159" s="414">
        <v>621.48760330578511</v>
      </c>
      <c r="I159" s="65"/>
      <c r="J159" s="40" t="s">
        <v>3</v>
      </c>
      <c r="K159" s="37"/>
      <c r="L159" s="35">
        <v>269</v>
      </c>
      <c r="M159" s="35">
        <v>159</v>
      </c>
      <c r="N159" s="40">
        <v>159</v>
      </c>
      <c r="O159" s="37"/>
      <c r="P159" s="35">
        <v>0</v>
      </c>
      <c r="Q159" s="35">
        <v>0</v>
      </c>
      <c r="R159" s="35">
        <v>0</v>
      </c>
      <c r="S159" s="35">
        <v>0</v>
      </c>
      <c r="T159" s="40">
        <v>0</v>
      </c>
      <c r="U159" s="37"/>
      <c r="V159" s="40">
        <v>130</v>
      </c>
    </row>
    <row r="160" spans="2:22" s="2" customFormat="1">
      <c r="B160" s="213" t="s">
        <v>57</v>
      </c>
      <c r="C160" s="211" t="s">
        <v>583</v>
      </c>
      <c r="D160" s="41">
        <v>751</v>
      </c>
      <c r="E160" s="41">
        <v>5.33</v>
      </c>
      <c r="F160" s="22" t="s">
        <v>391</v>
      </c>
      <c r="G160" s="40">
        <v>30</v>
      </c>
      <c r="H160" s="388">
        <v>621.48760330578511</v>
      </c>
      <c r="I160" s="65"/>
      <c r="J160" s="40" t="s">
        <v>3</v>
      </c>
      <c r="K160" s="37"/>
      <c r="L160" s="35">
        <v>269</v>
      </c>
      <c r="M160" s="35">
        <v>159</v>
      </c>
      <c r="N160" s="40">
        <v>159</v>
      </c>
      <c r="O160" s="37"/>
      <c r="P160" s="35">
        <v>0</v>
      </c>
      <c r="Q160" s="35">
        <v>0</v>
      </c>
      <c r="R160" s="35">
        <v>0</v>
      </c>
      <c r="S160" s="35">
        <v>0</v>
      </c>
      <c r="T160" s="40">
        <v>0</v>
      </c>
      <c r="U160" s="37"/>
      <c r="V160" s="40">
        <v>130</v>
      </c>
    </row>
    <row r="161" spans="2:22" s="2" customFormat="1">
      <c r="B161" s="213" t="s">
        <v>57</v>
      </c>
      <c r="C161" s="211" t="s">
        <v>590</v>
      </c>
      <c r="D161" s="41">
        <v>915</v>
      </c>
      <c r="E161" s="41">
        <v>5.33</v>
      </c>
      <c r="F161" s="41" t="s">
        <v>391</v>
      </c>
      <c r="G161" s="413">
        <v>24</v>
      </c>
      <c r="H161" s="414">
        <v>680.99173553719015</v>
      </c>
      <c r="I161" s="65"/>
      <c r="J161" s="40" t="s">
        <v>3</v>
      </c>
      <c r="K161" s="37"/>
      <c r="L161" s="35">
        <v>289</v>
      </c>
      <c r="M161" s="35">
        <v>179</v>
      </c>
      <c r="N161" s="40">
        <v>179</v>
      </c>
      <c r="O161" s="37"/>
      <c r="P161" s="35">
        <v>0</v>
      </c>
      <c r="Q161" s="35">
        <v>0</v>
      </c>
      <c r="R161" s="35">
        <v>0</v>
      </c>
      <c r="S161" s="35">
        <v>0</v>
      </c>
      <c r="T161" s="40">
        <v>0</v>
      </c>
      <c r="U161" s="37"/>
      <c r="V161" s="40">
        <v>234</v>
      </c>
    </row>
    <row r="162" spans="2:22" s="2" customFormat="1">
      <c r="B162" s="213" t="s">
        <v>57</v>
      </c>
      <c r="C162" s="211" t="s">
        <v>590</v>
      </c>
      <c r="D162" s="41">
        <v>915</v>
      </c>
      <c r="E162" s="41">
        <v>5.33</v>
      </c>
      <c r="F162" s="22" t="s">
        <v>391</v>
      </c>
      <c r="G162" s="40">
        <v>30</v>
      </c>
      <c r="H162" s="388">
        <v>680.99173553719015</v>
      </c>
      <c r="I162" s="65"/>
      <c r="J162" s="40" t="s">
        <v>3</v>
      </c>
      <c r="K162" s="37"/>
      <c r="L162" s="35">
        <v>289</v>
      </c>
      <c r="M162" s="35">
        <v>179</v>
      </c>
      <c r="N162" s="40">
        <v>179</v>
      </c>
      <c r="O162" s="37"/>
      <c r="P162" s="35">
        <v>0</v>
      </c>
      <c r="Q162" s="35">
        <v>0</v>
      </c>
      <c r="R162" s="35">
        <v>0</v>
      </c>
      <c r="S162" s="35">
        <v>0</v>
      </c>
      <c r="T162" s="40">
        <v>0</v>
      </c>
      <c r="U162" s="37"/>
      <c r="V162" s="40">
        <v>234</v>
      </c>
    </row>
    <row r="163" spans="2:22" s="2" customFormat="1">
      <c r="B163" s="213" t="s">
        <v>225</v>
      </c>
      <c r="C163" s="211" t="s">
        <v>557</v>
      </c>
      <c r="D163" s="41">
        <v>462</v>
      </c>
      <c r="E163" s="41">
        <v>5.33</v>
      </c>
      <c r="F163" s="41" t="s">
        <v>391</v>
      </c>
      <c r="G163" s="413">
        <v>24</v>
      </c>
      <c r="H163" s="414">
        <v>431.40495867768595</v>
      </c>
      <c r="I163" s="65"/>
      <c r="J163" s="40" t="s">
        <v>3</v>
      </c>
      <c r="K163" s="37"/>
      <c r="L163" s="35">
        <v>139</v>
      </c>
      <c r="M163" s="35">
        <v>19</v>
      </c>
      <c r="N163" s="40">
        <v>19</v>
      </c>
      <c r="O163" s="37"/>
      <c r="P163" s="35">
        <v>0</v>
      </c>
      <c r="Q163" s="35">
        <v>0</v>
      </c>
      <c r="R163" s="35">
        <v>0</v>
      </c>
      <c r="S163" s="35">
        <v>0</v>
      </c>
      <c r="T163" s="40">
        <v>0</v>
      </c>
      <c r="U163" s="37"/>
      <c r="V163" s="40">
        <v>31</v>
      </c>
    </row>
    <row r="164" spans="2:22" s="2" customFormat="1">
      <c r="B164" s="213" t="s">
        <v>225</v>
      </c>
      <c r="C164" s="211" t="s">
        <v>557</v>
      </c>
      <c r="D164" s="41">
        <v>462</v>
      </c>
      <c r="E164" s="41">
        <v>5.33</v>
      </c>
      <c r="F164" s="22" t="s">
        <v>391</v>
      </c>
      <c r="G164" s="40">
        <v>30</v>
      </c>
      <c r="H164" s="388">
        <v>431.40495867768595</v>
      </c>
      <c r="I164" s="65"/>
      <c r="J164" s="40" t="s">
        <v>3</v>
      </c>
      <c r="K164" s="37"/>
      <c r="L164" s="35">
        <v>139</v>
      </c>
      <c r="M164" s="35">
        <v>19</v>
      </c>
      <c r="N164" s="40">
        <v>19</v>
      </c>
      <c r="O164" s="37"/>
      <c r="P164" s="35">
        <v>0</v>
      </c>
      <c r="Q164" s="35">
        <v>0</v>
      </c>
      <c r="R164" s="35">
        <v>0</v>
      </c>
      <c r="S164" s="35">
        <v>0</v>
      </c>
      <c r="T164" s="40">
        <v>0</v>
      </c>
      <c r="U164" s="37"/>
      <c r="V164" s="40">
        <v>31</v>
      </c>
    </row>
    <row r="165" spans="2:22" s="2" customFormat="1">
      <c r="B165" s="213" t="s">
        <v>225</v>
      </c>
      <c r="C165" s="211" t="s">
        <v>716</v>
      </c>
      <c r="D165" s="41">
        <v>472</v>
      </c>
      <c r="E165" s="41">
        <v>5.33</v>
      </c>
      <c r="F165" s="41" t="s">
        <v>391</v>
      </c>
      <c r="G165" s="413">
        <v>24</v>
      </c>
      <c r="H165" s="414">
        <v>431.40495867768595</v>
      </c>
      <c r="I165" s="65"/>
      <c r="J165" s="40" t="s">
        <v>3</v>
      </c>
      <c r="K165" s="37"/>
      <c r="L165" s="35">
        <v>139</v>
      </c>
      <c r="M165" s="35">
        <v>19</v>
      </c>
      <c r="N165" s="40">
        <v>19</v>
      </c>
      <c r="O165" s="37"/>
      <c r="P165" s="35">
        <v>0</v>
      </c>
      <c r="Q165" s="35">
        <v>0</v>
      </c>
      <c r="R165" s="35">
        <v>0</v>
      </c>
      <c r="S165" s="35">
        <v>0</v>
      </c>
      <c r="T165" s="40">
        <v>0</v>
      </c>
      <c r="U165" s="37"/>
      <c r="V165" s="40">
        <v>41</v>
      </c>
    </row>
    <row r="166" spans="2:22" s="2" customFormat="1">
      <c r="B166" s="213" t="s">
        <v>225</v>
      </c>
      <c r="C166" s="211" t="s">
        <v>716</v>
      </c>
      <c r="D166" s="41">
        <v>472</v>
      </c>
      <c r="E166" s="41">
        <v>5.33</v>
      </c>
      <c r="F166" s="22" t="s">
        <v>391</v>
      </c>
      <c r="G166" s="40">
        <v>30</v>
      </c>
      <c r="H166" s="388">
        <v>431.40495867768595</v>
      </c>
      <c r="I166" s="65"/>
      <c r="J166" s="40" t="s">
        <v>3</v>
      </c>
      <c r="K166" s="37"/>
      <c r="L166" s="35">
        <v>139</v>
      </c>
      <c r="M166" s="35">
        <v>19</v>
      </c>
      <c r="N166" s="40">
        <v>19</v>
      </c>
      <c r="O166" s="37"/>
      <c r="P166" s="35">
        <v>0</v>
      </c>
      <c r="Q166" s="35">
        <v>0</v>
      </c>
      <c r="R166" s="35">
        <v>0</v>
      </c>
      <c r="S166" s="35">
        <v>0</v>
      </c>
      <c r="T166" s="40">
        <v>0</v>
      </c>
      <c r="U166" s="37"/>
      <c r="V166" s="40">
        <v>41</v>
      </c>
    </row>
    <row r="167" spans="2:22" s="2" customFormat="1">
      <c r="B167" s="213" t="s">
        <v>225</v>
      </c>
      <c r="C167" s="211" t="s">
        <v>717</v>
      </c>
      <c r="D167" s="41">
        <v>620</v>
      </c>
      <c r="E167" s="41">
        <v>5.33</v>
      </c>
      <c r="F167" s="41" t="s">
        <v>391</v>
      </c>
      <c r="G167" s="413">
        <v>24</v>
      </c>
      <c r="H167" s="414">
        <v>569.42148760330576</v>
      </c>
      <c r="I167" s="65"/>
      <c r="J167" s="40" t="s">
        <v>3</v>
      </c>
      <c r="K167" s="37"/>
      <c r="L167" s="35">
        <v>239</v>
      </c>
      <c r="M167" s="35">
        <v>139</v>
      </c>
      <c r="N167" s="40">
        <v>139</v>
      </c>
      <c r="O167" s="37"/>
      <c r="P167" s="35">
        <v>0</v>
      </c>
      <c r="Q167" s="35">
        <v>0</v>
      </c>
      <c r="R167" s="35">
        <v>0</v>
      </c>
      <c r="S167" s="35">
        <v>0</v>
      </c>
      <c r="T167" s="40">
        <v>0</v>
      </c>
      <c r="U167" s="37"/>
      <c r="V167" s="40">
        <v>51</v>
      </c>
    </row>
    <row r="168" spans="2:22" s="2" customFormat="1">
      <c r="B168" s="213" t="s">
        <v>225</v>
      </c>
      <c r="C168" s="211" t="s">
        <v>717</v>
      </c>
      <c r="D168" s="41">
        <v>620</v>
      </c>
      <c r="E168" s="41">
        <v>5.33</v>
      </c>
      <c r="F168" s="22" t="s">
        <v>391</v>
      </c>
      <c r="G168" s="40">
        <v>30</v>
      </c>
      <c r="H168" s="388">
        <v>569.42148760330576</v>
      </c>
      <c r="I168" s="65"/>
      <c r="J168" s="40" t="s">
        <v>3</v>
      </c>
      <c r="K168" s="37"/>
      <c r="L168" s="35">
        <v>239</v>
      </c>
      <c r="M168" s="35">
        <v>139</v>
      </c>
      <c r="N168" s="40">
        <v>139</v>
      </c>
      <c r="O168" s="37"/>
      <c r="P168" s="35">
        <v>0</v>
      </c>
      <c r="Q168" s="35">
        <v>0</v>
      </c>
      <c r="R168" s="35">
        <v>0</v>
      </c>
      <c r="S168" s="35">
        <v>0</v>
      </c>
      <c r="T168" s="40">
        <v>0</v>
      </c>
      <c r="U168" s="37"/>
      <c r="V168" s="40">
        <v>51</v>
      </c>
    </row>
    <row r="169" spans="2:22" s="2" customFormat="1">
      <c r="B169" s="213" t="s">
        <v>225</v>
      </c>
      <c r="C169" s="211" t="s">
        <v>533</v>
      </c>
      <c r="D169" s="41">
        <v>638</v>
      </c>
      <c r="E169" s="41">
        <v>5.33</v>
      </c>
      <c r="F169" s="41" t="s">
        <v>391</v>
      </c>
      <c r="G169" s="413">
        <v>24</v>
      </c>
      <c r="H169" s="414">
        <v>619.83471074380168</v>
      </c>
      <c r="I169" s="65"/>
      <c r="J169" s="40" t="s">
        <v>3</v>
      </c>
      <c r="K169" s="37"/>
      <c r="L169" s="35">
        <v>269</v>
      </c>
      <c r="M169" s="35">
        <v>159</v>
      </c>
      <c r="N169" s="40">
        <v>159</v>
      </c>
      <c r="O169" s="37"/>
      <c r="P169" s="35">
        <v>0</v>
      </c>
      <c r="Q169" s="35">
        <v>0</v>
      </c>
      <c r="R169" s="35">
        <v>0</v>
      </c>
      <c r="S169" s="35">
        <v>0</v>
      </c>
      <c r="T169" s="40">
        <v>0</v>
      </c>
      <c r="U169" s="37"/>
      <c r="V169" s="40">
        <v>18</v>
      </c>
    </row>
    <row r="170" spans="2:22" s="2" customFormat="1">
      <c r="B170" s="213" t="s">
        <v>225</v>
      </c>
      <c r="C170" s="211" t="s">
        <v>533</v>
      </c>
      <c r="D170" s="41">
        <v>638</v>
      </c>
      <c r="E170" s="41">
        <v>5.33</v>
      </c>
      <c r="F170" s="22" t="s">
        <v>391</v>
      </c>
      <c r="G170" s="40">
        <v>30</v>
      </c>
      <c r="H170" s="388">
        <v>619.83471074380168</v>
      </c>
      <c r="I170" s="65"/>
      <c r="J170" s="40" t="s">
        <v>3</v>
      </c>
      <c r="K170" s="37"/>
      <c r="L170" s="35">
        <v>269</v>
      </c>
      <c r="M170" s="35">
        <v>159</v>
      </c>
      <c r="N170" s="40">
        <v>159</v>
      </c>
      <c r="O170" s="37"/>
      <c r="P170" s="35">
        <v>0</v>
      </c>
      <c r="Q170" s="35">
        <v>0</v>
      </c>
      <c r="R170" s="35">
        <v>0</v>
      </c>
      <c r="S170" s="35">
        <v>0</v>
      </c>
      <c r="T170" s="40">
        <v>0</v>
      </c>
      <c r="U170" s="37"/>
      <c r="V170" s="40">
        <v>18</v>
      </c>
    </row>
    <row r="171" spans="2:22" s="2" customFormat="1">
      <c r="B171" s="213" t="s">
        <v>225</v>
      </c>
      <c r="C171" s="211" t="s">
        <v>718</v>
      </c>
      <c r="D171" s="41">
        <v>915</v>
      </c>
      <c r="E171" s="41">
        <v>5.33</v>
      </c>
      <c r="F171" s="41" t="s">
        <v>391</v>
      </c>
      <c r="G171" s="413">
        <v>24</v>
      </c>
      <c r="H171" s="414">
        <v>850.41322314049592</v>
      </c>
      <c r="I171" s="65"/>
      <c r="J171" s="40" t="s">
        <v>3</v>
      </c>
      <c r="K171" s="37"/>
      <c r="L171" s="35">
        <v>359</v>
      </c>
      <c r="M171" s="35">
        <v>219</v>
      </c>
      <c r="N171" s="40">
        <v>219</v>
      </c>
      <c r="O171" s="37"/>
      <c r="P171" s="35">
        <v>0</v>
      </c>
      <c r="Q171" s="35">
        <v>0</v>
      </c>
      <c r="R171" s="35">
        <v>0</v>
      </c>
      <c r="S171" s="35">
        <v>0</v>
      </c>
      <c r="T171" s="40">
        <v>0</v>
      </c>
      <c r="U171" s="37"/>
      <c r="V171" s="40">
        <v>65</v>
      </c>
    </row>
    <row r="172" spans="2:22" s="2" customFormat="1">
      <c r="B172" s="213" t="s">
        <v>225</v>
      </c>
      <c r="C172" s="211" t="s">
        <v>718</v>
      </c>
      <c r="D172" s="41">
        <v>915</v>
      </c>
      <c r="E172" s="41">
        <v>5.33</v>
      </c>
      <c r="F172" s="22" t="s">
        <v>391</v>
      </c>
      <c r="G172" s="40">
        <v>30</v>
      </c>
      <c r="H172" s="388">
        <v>850.41322314049592</v>
      </c>
      <c r="I172" s="65"/>
      <c r="J172" s="40" t="s">
        <v>3</v>
      </c>
      <c r="K172" s="37"/>
      <c r="L172" s="35">
        <v>359</v>
      </c>
      <c r="M172" s="35">
        <v>219</v>
      </c>
      <c r="N172" s="40">
        <v>219</v>
      </c>
      <c r="O172" s="37"/>
      <c r="P172" s="35">
        <v>0</v>
      </c>
      <c r="Q172" s="35">
        <v>0</v>
      </c>
      <c r="R172" s="35">
        <v>0</v>
      </c>
      <c r="S172" s="35">
        <v>0</v>
      </c>
      <c r="T172" s="40">
        <v>0</v>
      </c>
      <c r="U172" s="37"/>
      <c r="V172" s="40">
        <v>65</v>
      </c>
    </row>
    <row r="173" spans="2:22" s="2" customFormat="1">
      <c r="B173" s="213" t="s">
        <v>225</v>
      </c>
      <c r="C173" s="211" t="s">
        <v>563</v>
      </c>
      <c r="D173" s="41">
        <v>948</v>
      </c>
      <c r="E173" s="41">
        <v>5.33</v>
      </c>
      <c r="F173" s="41" t="s">
        <v>391</v>
      </c>
      <c r="G173" s="413">
        <v>24</v>
      </c>
      <c r="H173" s="414">
        <v>949.5867768595042</v>
      </c>
      <c r="I173" s="65"/>
      <c r="J173" s="40" t="s">
        <v>3</v>
      </c>
      <c r="K173" s="37"/>
      <c r="L173" s="35">
        <v>399</v>
      </c>
      <c r="M173" s="35">
        <v>239</v>
      </c>
      <c r="N173" s="40">
        <v>239</v>
      </c>
      <c r="O173" s="37"/>
      <c r="P173" s="35">
        <v>0</v>
      </c>
      <c r="Q173" s="35">
        <v>0</v>
      </c>
      <c r="R173" s="35">
        <v>0</v>
      </c>
      <c r="S173" s="35">
        <v>0</v>
      </c>
      <c r="T173" s="40">
        <v>0</v>
      </c>
      <c r="U173" s="37"/>
      <c r="V173" s="40">
        <v>-2</v>
      </c>
    </row>
    <row r="174" spans="2:22" s="2" customFormat="1">
      <c r="B174" s="213" t="s">
        <v>225</v>
      </c>
      <c r="C174" s="211" t="s">
        <v>563</v>
      </c>
      <c r="D174" s="41">
        <v>948</v>
      </c>
      <c r="E174" s="41">
        <v>5.33</v>
      </c>
      <c r="F174" s="22" t="s">
        <v>391</v>
      </c>
      <c r="G174" s="40">
        <v>30</v>
      </c>
      <c r="H174" s="388">
        <v>949.5867768595042</v>
      </c>
      <c r="I174" s="65"/>
      <c r="J174" s="40" t="s">
        <v>3</v>
      </c>
      <c r="K174" s="37"/>
      <c r="L174" s="35">
        <v>399</v>
      </c>
      <c r="M174" s="35">
        <v>239</v>
      </c>
      <c r="N174" s="40">
        <v>239</v>
      </c>
      <c r="O174" s="37"/>
      <c r="P174" s="35">
        <v>0</v>
      </c>
      <c r="Q174" s="35">
        <v>0</v>
      </c>
      <c r="R174" s="35">
        <v>0</v>
      </c>
      <c r="S174" s="35">
        <v>0</v>
      </c>
      <c r="T174" s="40">
        <v>0</v>
      </c>
      <c r="U174" s="37"/>
      <c r="V174" s="40">
        <v>-2</v>
      </c>
    </row>
    <row r="175" spans="2:22" s="2" customFormat="1">
      <c r="B175" s="213" t="s">
        <v>59</v>
      </c>
      <c r="C175" s="211" t="s">
        <v>630</v>
      </c>
      <c r="D175" s="41">
        <v>867</v>
      </c>
      <c r="E175" s="41">
        <v>5.33</v>
      </c>
      <c r="F175" s="41" t="s">
        <v>391</v>
      </c>
      <c r="G175" s="413">
        <v>24</v>
      </c>
      <c r="H175" s="414">
        <v>695.8677685950413</v>
      </c>
      <c r="I175" s="65"/>
      <c r="J175" s="40" t="s">
        <v>3</v>
      </c>
      <c r="K175" s="37"/>
      <c r="L175" s="35">
        <v>299</v>
      </c>
      <c r="M175" s="35">
        <v>189</v>
      </c>
      <c r="N175" s="40">
        <v>189</v>
      </c>
      <c r="O175" s="37"/>
      <c r="P175" s="35">
        <v>0</v>
      </c>
      <c r="Q175" s="35">
        <v>0</v>
      </c>
      <c r="R175" s="35">
        <v>0</v>
      </c>
      <c r="S175" s="35">
        <v>0</v>
      </c>
      <c r="T175" s="40">
        <v>0</v>
      </c>
      <c r="U175" s="37"/>
      <c r="V175" s="40">
        <v>171</v>
      </c>
    </row>
    <row r="176" spans="2:22" s="2" customFormat="1">
      <c r="B176" s="213" t="s">
        <v>59</v>
      </c>
      <c r="C176" s="211" t="s">
        <v>630</v>
      </c>
      <c r="D176" s="41">
        <v>867</v>
      </c>
      <c r="E176" s="41">
        <v>5.33</v>
      </c>
      <c r="F176" s="22" t="s">
        <v>391</v>
      </c>
      <c r="G176" s="40">
        <v>30</v>
      </c>
      <c r="H176" s="388">
        <v>695.8677685950413</v>
      </c>
      <c r="I176" s="65"/>
      <c r="J176" s="40" t="s">
        <v>3</v>
      </c>
      <c r="K176" s="37"/>
      <c r="L176" s="35">
        <v>299</v>
      </c>
      <c r="M176" s="35">
        <v>189</v>
      </c>
      <c r="N176" s="40">
        <v>189</v>
      </c>
      <c r="O176" s="37"/>
      <c r="P176" s="35">
        <v>0</v>
      </c>
      <c r="Q176" s="35">
        <v>0</v>
      </c>
      <c r="R176" s="35">
        <v>0</v>
      </c>
      <c r="S176" s="35">
        <v>0</v>
      </c>
      <c r="T176" s="40">
        <v>0</v>
      </c>
      <c r="U176" s="37"/>
      <c r="V176" s="40">
        <v>171</v>
      </c>
    </row>
    <row r="177" spans="2:22" s="2" customFormat="1">
      <c r="B177" s="213" t="s">
        <v>60</v>
      </c>
      <c r="C177" s="211" t="s">
        <v>522</v>
      </c>
      <c r="D177" s="41">
        <v>533</v>
      </c>
      <c r="E177" s="41">
        <v>5.33</v>
      </c>
      <c r="F177" s="41" t="s">
        <v>391</v>
      </c>
      <c r="G177" s="413">
        <v>24</v>
      </c>
      <c r="H177" s="414">
        <v>422.31404958677689</v>
      </c>
      <c r="I177" s="65"/>
      <c r="J177" s="40" t="s">
        <v>3</v>
      </c>
      <c r="K177" s="37"/>
      <c r="L177" s="35">
        <v>139</v>
      </c>
      <c r="M177" s="35">
        <v>19</v>
      </c>
      <c r="N177" s="40">
        <v>19</v>
      </c>
      <c r="O177" s="37"/>
      <c r="P177" s="35">
        <v>0</v>
      </c>
      <c r="Q177" s="35">
        <v>0</v>
      </c>
      <c r="R177" s="35">
        <v>0</v>
      </c>
      <c r="S177" s="35">
        <v>0</v>
      </c>
      <c r="T177" s="40">
        <v>0</v>
      </c>
      <c r="U177" s="37"/>
      <c r="V177" s="40">
        <v>111</v>
      </c>
    </row>
    <row r="178" spans="2:22" s="2" customFormat="1">
      <c r="B178" s="213" t="s">
        <v>60</v>
      </c>
      <c r="C178" s="211" t="s">
        <v>522</v>
      </c>
      <c r="D178" s="41">
        <v>533</v>
      </c>
      <c r="E178" s="41">
        <v>5.33</v>
      </c>
      <c r="F178" s="22" t="s">
        <v>391</v>
      </c>
      <c r="G178" s="40">
        <v>30</v>
      </c>
      <c r="H178" s="388">
        <v>422.31404958677689</v>
      </c>
      <c r="I178" s="65"/>
      <c r="J178" s="40" t="s">
        <v>3</v>
      </c>
      <c r="K178" s="37"/>
      <c r="L178" s="35">
        <v>139</v>
      </c>
      <c r="M178" s="35">
        <v>19</v>
      </c>
      <c r="N178" s="40">
        <v>19</v>
      </c>
      <c r="O178" s="37"/>
      <c r="P178" s="35">
        <v>0</v>
      </c>
      <c r="Q178" s="35">
        <v>0</v>
      </c>
      <c r="R178" s="35">
        <v>0</v>
      </c>
      <c r="S178" s="35">
        <v>0</v>
      </c>
      <c r="T178" s="40">
        <v>0</v>
      </c>
      <c r="U178" s="37"/>
      <c r="V178" s="40">
        <v>111</v>
      </c>
    </row>
    <row r="179" spans="2:22" s="2" customFormat="1">
      <c r="B179" s="213" t="s">
        <v>60</v>
      </c>
      <c r="C179" s="211" t="s">
        <v>727</v>
      </c>
      <c r="D179" s="41">
        <v>588</v>
      </c>
      <c r="E179" s="41">
        <v>5.33</v>
      </c>
      <c r="F179" s="41" t="s">
        <v>391</v>
      </c>
      <c r="G179" s="413">
        <v>24</v>
      </c>
      <c r="H179" s="414">
        <v>507.43801652892563</v>
      </c>
      <c r="I179" s="65"/>
      <c r="J179" s="40" t="s">
        <v>3</v>
      </c>
      <c r="K179" s="37"/>
      <c r="L179" s="35">
        <v>169</v>
      </c>
      <c r="M179" s="35">
        <v>19</v>
      </c>
      <c r="N179" s="40">
        <v>19</v>
      </c>
      <c r="O179" s="37"/>
      <c r="P179" s="35">
        <v>0</v>
      </c>
      <c r="Q179" s="35">
        <v>0</v>
      </c>
      <c r="R179" s="35">
        <v>0</v>
      </c>
      <c r="S179" s="35">
        <v>0</v>
      </c>
      <c r="T179" s="40">
        <v>0</v>
      </c>
      <c r="U179" s="37"/>
      <c r="V179" s="40">
        <v>81</v>
      </c>
    </row>
    <row r="180" spans="2:22" s="2" customFormat="1">
      <c r="B180" s="213" t="s">
        <v>60</v>
      </c>
      <c r="C180" s="211" t="s">
        <v>727</v>
      </c>
      <c r="D180" s="41">
        <v>588</v>
      </c>
      <c r="E180" s="41">
        <v>5.33</v>
      </c>
      <c r="F180" s="22" t="s">
        <v>391</v>
      </c>
      <c r="G180" s="40">
        <v>30</v>
      </c>
      <c r="H180" s="388">
        <v>507.43801652892563</v>
      </c>
      <c r="I180" s="65"/>
      <c r="J180" s="40" t="s">
        <v>3</v>
      </c>
      <c r="K180" s="37"/>
      <c r="L180" s="35">
        <v>169</v>
      </c>
      <c r="M180" s="35">
        <v>19</v>
      </c>
      <c r="N180" s="40">
        <v>19</v>
      </c>
      <c r="O180" s="37"/>
      <c r="P180" s="35">
        <v>0</v>
      </c>
      <c r="Q180" s="35">
        <v>0</v>
      </c>
      <c r="R180" s="35">
        <v>0</v>
      </c>
      <c r="S180" s="35">
        <v>0</v>
      </c>
      <c r="T180" s="40">
        <v>0</v>
      </c>
      <c r="U180" s="37"/>
      <c r="V180" s="40">
        <v>81</v>
      </c>
    </row>
    <row r="181" spans="2:22" s="2" customFormat="1">
      <c r="B181" s="213" t="s">
        <v>60</v>
      </c>
      <c r="C181" s="211" t="s">
        <v>728</v>
      </c>
      <c r="D181" s="41">
        <v>921</v>
      </c>
      <c r="E181" s="41">
        <v>5.33</v>
      </c>
      <c r="F181" s="41" t="s">
        <v>391</v>
      </c>
      <c r="G181" s="413">
        <v>24</v>
      </c>
      <c r="H181" s="414">
        <v>792.56198347107443</v>
      </c>
      <c r="I181" s="65"/>
      <c r="J181" s="40" t="s">
        <v>3</v>
      </c>
      <c r="K181" s="37"/>
      <c r="L181" s="35">
        <v>329</v>
      </c>
      <c r="M181" s="35">
        <v>199</v>
      </c>
      <c r="N181" s="40">
        <v>199</v>
      </c>
      <c r="O181" s="37"/>
      <c r="P181" s="35">
        <v>0</v>
      </c>
      <c r="Q181" s="35">
        <v>0</v>
      </c>
      <c r="R181" s="35">
        <v>0</v>
      </c>
      <c r="S181" s="35">
        <v>0</v>
      </c>
      <c r="T181" s="40">
        <v>0</v>
      </c>
      <c r="U181" s="37"/>
      <c r="V181" s="40">
        <v>128</v>
      </c>
    </row>
    <row r="182" spans="2:22" s="2" customFormat="1">
      <c r="B182" s="213" t="s">
        <v>60</v>
      </c>
      <c r="C182" s="211" t="s">
        <v>728</v>
      </c>
      <c r="D182" s="41">
        <v>921</v>
      </c>
      <c r="E182" s="41">
        <v>5.33</v>
      </c>
      <c r="F182" s="22" t="s">
        <v>391</v>
      </c>
      <c r="G182" s="40">
        <v>30</v>
      </c>
      <c r="H182" s="388">
        <v>792.56198347107443</v>
      </c>
      <c r="I182" s="65"/>
      <c r="J182" s="40" t="s">
        <v>3</v>
      </c>
      <c r="K182" s="37"/>
      <c r="L182" s="35">
        <v>329</v>
      </c>
      <c r="M182" s="35">
        <v>199</v>
      </c>
      <c r="N182" s="40">
        <v>199</v>
      </c>
      <c r="O182" s="37"/>
      <c r="P182" s="35">
        <v>0</v>
      </c>
      <c r="Q182" s="35">
        <v>0</v>
      </c>
      <c r="R182" s="35">
        <v>0</v>
      </c>
      <c r="S182" s="35">
        <v>0</v>
      </c>
      <c r="T182" s="40">
        <v>0</v>
      </c>
      <c r="U182" s="37"/>
      <c r="V182" s="40">
        <v>128</v>
      </c>
    </row>
    <row r="183" spans="2:22" s="2" customFormat="1">
      <c r="B183" s="213" t="s">
        <v>60</v>
      </c>
      <c r="C183" s="211" t="s">
        <v>729</v>
      </c>
      <c r="D183" s="41">
        <v>801</v>
      </c>
      <c r="E183" s="41">
        <v>5.33</v>
      </c>
      <c r="F183" s="41" t="s">
        <v>391</v>
      </c>
      <c r="G183" s="413">
        <v>24</v>
      </c>
      <c r="H183" s="414">
        <v>671.07438016528931</v>
      </c>
      <c r="I183" s="65"/>
      <c r="J183" s="40" t="s">
        <v>3</v>
      </c>
      <c r="K183" s="37"/>
      <c r="L183" s="35">
        <v>289</v>
      </c>
      <c r="M183" s="35">
        <v>179</v>
      </c>
      <c r="N183" s="40">
        <v>179</v>
      </c>
      <c r="O183" s="37"/>
      <c r="P183" s="35">
        <v>0</v>
      </c>
      <c r="Q183" s="35">
        <v>0</v>
      </c>
      <c r="R183" s="35">
        <v>0</v>
      </c>
      <c r="S183" s="35">
        <v>0</v>
      </c>
      <c r="T183" s="40">
        <v>0</v>
      </c>
      <c r="U183" s="37"/>
      <c r="V183" s="40">
        <v>130</v>
      </c>
    </row>
    <row r="184" spans="2:22" s="2" customFormat="1">
      <c r="B184" s="213" t="s">
        <v>60</v>
      </c>
      <c r="C184" s="211" t="s">
        <v>729</v>
      </c>
      <c r="D184" s="41">
        <v>801</v>
      </c>
      <c r="E184" s="41">
        <v>5.33</v>
      </c>
      <c r="F184" s="22" t="s">
        <v>391</v>
      </c>
      <c r="G184" s="40">
        <v>30</v>
      </c>
      <c r="H184" s="388">
        <v>671.07438016528931</v>
      </c>
      <c r="I184" s="65"/>
      <c r="J184" s="40" t="s">
        <v>3</v>
      </c>
      <c r="K184" s="37"/>
      <c r="L184" s="35">
        <v>289</v>
      </c>
      <c r="M184" s="35">
        <v>179</v>
      </c>
      <c r="N184" s="40">
        <v>179</v>
      </c>
      <c r="O184" s="37"/>
      <c r="P184" s="35">
        <v>0</v>
      </c>
      <c r="Q184" s="35">
        <v>0</v>
      </c>
      <c r="R184" s="35">
        <v>0</v>
      </c>
      <c r="S184" s="35">
        <v>0</v>
      </c>
      <c r="T184" s="40">
        <v>0</v>
      </c>
      <c r="U184" s="37"/>
      <c r="V184" s="40">
        <v>130</v>
      </c>
    </row>
    <row r="185" spans="2:22" s="2" customFormat="1">
      <c r="B185" s="213" t="s">
        <v>60</v>
      </c>
      <c r="C185" s="211" t="s">
        <v>584</v>
      </c>
      <c r="D185" s="41">
        <v>1487</v>
      </c>
      <c r="E185" s="41">
        <v>5.33</v>
      </c>
      <c r="F185" s="41" t="s">
        <v>391</v>
      </c>
      <c r="G185" s="413">
        <v>24</v>
      </c>
      <c r="H185" s="414">
        <v>1228.9256198347107</v>
      </c>
      <c r="I185" s="65"/>
      <c r="J185" s="40" t="s">
        <v>3</v>
      </c>
      <c r="K185" s="37"/>
      <c r="L185" s="35">
        <v>539</v>
      </c>
      <c r="M185" s="35">
        <v>329</v>
      </c>
      <c r="N185" s="40">
        <v>329</v>
      </c>
      <c r="O185" s="37"/>
      <c r="P185" s="35">
        <v>0</v>
      </c>
      <c r="Q185" s="35">
        <v>0</v>
      </c>
      <c r="R185" s="35">
        <v>0</v>
      </c>
      <c r="S185" s="35">
        <v>0</v>
      </c>
      <c r="T185" s="40">
        <v>0</v>
      </c>
      <c r="U185" s="37"/>
      <c r="V185" s="40">
        <v>258</v>
      </c>
    </row>
    <row r="186" spans="2:22" s="2" customFormat="1">
      <c r="B186" s="213" t="s">
        <v>60</v>
      </c>
      <c r="C186" s="211" t="s">
        <v>584</v>
      </c>
      <c r="D186" s="41">
        <v>1487</v>
      </c>
      <c r="E186" s="41">
        <v>5.33</v>
      </c>
      <c r="F186" s="22" t="s">
        <v>391</v>
      </c>
      <c r="G186" s="40">
        <v>30</v>
      </c>
      <c r="H186" s="388">
        <v>1228.9256198347107</v>
      </c>
      <c r="I186" s="65"/>
      <c r="J186" s="40" t="s">
        <v>3</v>
      </c>
      <c r="K186" s="37"/>
      <c r="L186" s="35">
        <v>539</v>
      </c>
      <c r="M186" s="35">
        <v>329</v>
      </c>
      <c r="N186" s="40">
        <v>329</v>
      </c>
      <c r="O186" s="37"/>
      <c r="P186" s="35">
        <v>0</v>
      </c>
      <c r="Q186" s="35">
        <v>0</v>
      </c>
      <c r="R186" s="35">
        <v>0</v>
      </c>
      <c r="S186" s="35">
        <v>0</v>
      </c>
      <c r="T186" s="40">
        <v>0</v>
      </c>
      <c r="U186" s="37"/>
      <c r="V186" s="40">
        <v>258</v>
      </c>
    </row>
    <row r="187" spans="2:22" s="2" customFormat="1">
      <c r="B187" s="213" t="s">
        <v>60</v>
      </c>
      <c r="C187" s="211" t="s">
        <v>730</v>
      </c>
      <c r="D187" s="41">
        <v>1487</v>
      </c>
      <c r="E187" s="41">
        <v>5.33</v>
      </c>
      <c r="F187" s="41" t="s">
        <v>391</v>
      </c>
      <c r="G187" s="413">
        <v>24</v>
      </c>
      <c r="H187" s="414">
        <v>1248.7603305785124</v>
      </c>
      <c r="I187" s="65"/>
      <c r="J187" s="40" t="s">
        <v>3</v>
      </c>
      <c r="K187" s="37"/>
      <c r="L187" s="35">
        <v>549</v>
      </c>
      <c r="M187" s="35">
        <v>329</v>
      </c>
      <c r="N187" s="40">
        <v>329</v>
      </c>
      <c r="O187" s="37"/>
      <c r="P187" s="35">
        <v>0</v>
      </c>
      <c r="Q187" s="35">
        <v>0</v>
      </c>
      <c r="R187" s="35">
        <v>0</v>
      </c>
      <c r="S187" s="35">
        <v>0</v>
      </c>
      <c r="T187" s="40">
        <v>0</v>
      </c>
      <c r="U187" s="37"/>
      <c r="V187" s="40">
        <v>238</v>
      </c>
    </row>
    <row r="188" spans="2:22" s="2" customFormat="1">
      <c r="B188" s="213" t="s">
        <v>60</v>
      </c>
      <c r="C188" s="211" t="s">
        <v>730</v>
      </c>
      <c r="D188" s="41">
        <v>1487</v>
      </c>
      <c r="E188" s="41">
        <v>5.33</v>
      </c>
      <c r="F188" s="22" t="s">
        <v>391</v>
      </c>
      <c r="G188" s="40">
        <v>30</v>
      </c>
      <c r="H188" s="388">
        <v>1248.7603305785124</v>
      </c>
      <c r="I188" s="65"/>
      <c r="J188" s="40" t="s">
        <v>3</v>
      </c>
      <c r="K188" s="37"/>
      <c r="L188" s="35">
        <v>549</v>
      </c>
      <c r="M188" s="35">
        <v>329</v>
      </c>
      <c r="N188" s="40">
        <v>329</v>
      </c>
      <c r="O188" s="37"/>
      <c r="P188" s="35">
        <v>0</v>
      </c>
      <c r="Q188" s="35">
        <v>0</v>
      </c>
      <c r="R188" s="35">
        <v>0</v>
      </c>
      <c r="S188" s="35">
        <v>0</v>
      </c>
      <c r="T188" s="40">
        <v>0</v>
      </c>
      <c r="U188" s="37"/>
      <c r="V188" s="40">
        <v>238</v>
      </c>
    </row>
    <row r="189" spans="2:22" s="2" customFormat="1">
      <c r="B189" s="213" t="s">
        <v>225</v>
      </c>
      <c r="C189" s="211" t="s">
        <v>645</v>
      </c>
      <c r="D189" s="41">
        <v>525</v>
      </c>
      <c r="E189" s="41">
        <v>5.33</v>
      </c>
      <c r="F189" s="41" t="s">
        <v>391</v>
      </c>
      <c r="G189" s="413">
        <v>24</v>
      </c>
      <c r="H189" s="414">
        <v>404.1322314049587</v>
      </c>
      <c r="I189" s="65"/>
      <c r="J189" s="40" t="s">
        <v>3</v>
      </c>
      <c r="K189" s="37"/>
      <c r="L189" s="35">
        <v>0</v>
      </c>
      <c r="M189" s="35">
        <v>0</v>
      </c>
      <c r="N189" s="40">
        <v>0</v>
      </c>
      <c r="O189" s="37"/>
      <c r="P189" s="35">
        <v>0</v>
      </c>
      <c r="Q189" s="35">
        <v>0</v>
      </c>
      <c r="R189" s="35">
        <v>0</v>
      </c>
      <c r="S189" s="35">
        <v>0</v>
      </c>
      <c r="T189" s="40">
        <v>0</v>
      </c>
      <c r="U189" s="37"/>
      <c r="V189" s="40">
        <v>121</v>
      </c>
    </row>
    <row r="190" spans="2:22" s="2" customFormat="1">
      <c r="B190" s="213" t="s">
        <v>225</v>
      </c>
      <c r="C190" s="211" t="s">
        <v>645</v>
      </c>
      <c r="D190" s="41">
        <v>525</v>
      </c>
      <c r="E190" s="41">
        <v>5.33</v>
      </c>
      <c r="F190" s="22" t="s">
        <v>391</v>
      </c>
      <c r="G190" s="40">
        <v>30</v>
      </c>
      <c r="H190" s="388">
        <v>404.1322314049587</v>
      </c>
      <c r="I190" s="65"/>
      <c r="J190" s="40" t="s">
        <v>3</v>
      </c>
      <c r="K190" s="37"/>
      <c r="L190" s="35">
        <v>0</v>
      </c>
      <c r="M190" s="35">
        <v>0</v>
      </c>
      <c r="N190" s="40">
        <v>0</v>
      </c>
      <c r="O190" s="37"/>
      <c r="P190" s="35">
        <v>0</v>
      </c>
      <c r="Q190" s="35">
        <v>0</v>
      </c>
      <c r="R190" s="35">
        <v>0</v>
      </c>
      <c r="S190" s="35">
        <v>0</v>
      </c>
      <c r="T190" s="40">
        <v>0</v>
      </c>
      <c r="U190" s="37"/>
      <c r="V190" s="40">
        <v>121</v>
      </c>
    </row>
    <row r="191" spans="2:22" s="2" customFormat="1">
      <c r="B191" s="213" t="s">
        <v>58</v>
      </c>
      <c r="C191" s="211" t="s">
        <v>615</v>
      </c>
      <c r="D191" s="41">
        <v>623</v>
      </c>
      <c r="E191" s="41">
        <v>3.75</v>
      </c>
      <c r="F191" s="22" t="s">
        <v>381</v>
      </c>
      <c r="G191" s="40">
        <v>24</v>
      </c>
      <c r="H191" s="388">
        <v>622.31404958677683</v>
      </c>
      <c r="I191" s="65"/>
      <c r="J191" s="40" t="s">
        <v>3</v>
      </c>
      <c r="K191" s="37"/>
      <c r="L191" s="35">
        <v>269</v>
      </c>
      <c r="M191" s="35">
        <v>159</v>
      </c>
      <c r="N191" s="40">
        <v>159</v>
      </c>
      <c r="O191" s="37"/>
      <c r="P191" s="35">
        <v>0</v>
      </c>
      <c r="Q191" s="35">
        <v>0</v>
      </c>
      <c r="R191" s="35">
        <v>0</v>
      </c>
      <c r="S191" s="35">
        <v>0</v>
      </c>
      <c r="T191" s="40">
        <v>0</v>
      </c>
      <c r="U191" s="37"/>
      <c r="V191" s="40">
        <v>1</v>
      </c>
    </row>
    <row r="192" spans="2:22" s="2" customFormat="1">
      <c r="B192" s="213" t="s">
        <v>58</v>
      </c>
      <c r="C192" s="211" t="s">
        <v>616</v>
      </c>
      <c r="D192" s="41">
        <v>847</v>
      </c>
      <c r="E192" s="41">
        <v>3.75</v>
      </c>
      <c r="F192" s="41" t="s">
        <v>381</v>
      </c>
      <c r="G192" s="413">
        <v>24</v>
      </c>
      <c r="H192" s="414">
        <v>846.28099173553721</v>
      </c>
      <c r="I192" s="65"/>
      <c r="J192" s="40" t="s">
        <v>3</v>
      </c>
      <c r="K192" s="37"/>
      <c r="L192" s="35">
        <v>359</v>
      </c>
      <c r="M192" s="35">
        <v>219</v>
      </c>
      <c r="N192" s="40">
        <v>219</v>
      </c>
      <c r="O192" s="37"/>
      <c r="P192" s="35">
        <v>0</v>
      </c>
      <c r="Q192" s="35">
        <v>0</v>
      </c>
      <c r="R192" s="35">
        <v>0</v>
      </c>
      <c r="S192" s="35">
        <v>0</v>
      </c>
      <c r="T192" s="40">
        <v>0</v>
      </c>
      <c r="U192" s="37"/>
      <c r="V192" s="40">
        <v>1</v>
      </c>
    </row>
    <row r="193" spans="2:22" s="2" customFormat="1">
      <c r="B193" s="213" t="s">
        <v>58</v>
      </c>
      <c r="C193" s="211" t="s">
        <v>617</v>
      </c>
      <c r="D193" s="41">
        <v>1044</v>
      </c>
      <c r="E193" s="41">
        <v>3.75</v>
      </c>
      <c r="F193" s="22" t="s">
        <v>381</v>
      </c>
      <c r="G193" s="40">
        <v>24</v>
      </c>
      <c r="H193" s="388">
        <v>1043.8016528925621</v>
      </c>
      <c r="I193" s="65"/>
      <c r="J193" s="40" t="s">
        <v>3</v>
      </c>
      <c r="K193" s="37"/>
      <c r="L193" s="35">
        <v>449</v>
      </c>
      <c r="M193" s="35">
        <v>279</v>
      </c>
      <c r="N193" s="40">
        <v>279</v>
      </c>
      <c r="O193" s="37"/>
      <c r="P193" s="35">
        <v>0</v>
      </c>
      <c r="Q193" s="35">
        <v>0</v>
      </c>
      <c r="R193" s="35">
        <v>0</v>
      </c>
      <c r="S193" s="35">
        <v>0</v>
      </c>
      <c r="T193" s="40">
        <v>0</v>
      </c>
      <c r="U193" s="37"/>
      <c r="V193" s="40">
        <v>0</v>
      </c>
    </row>
    <row r="194" spans="2:22" s="2" customFormat="1">
      <c r="B194" s="213" t="s">
        <v>670</v>
      </c>
      <c r="C194" s="211" t="s">
        <v>614</v>
      </c>
      <c r="D194" s="41">
        <v>204</v>
      </c>
      <c r="E194" s="41">
        <v>3.75</v>
      </c>
      <c r="F194" s="41" t="s">
        <v>381</v>
      </c>
      <c r="G194" s="413">
        <v>24</v>
      </c>
      <c r="H194" s="414">
        <v>173.55371900826447</v>
      </c>
      <c r="I194" s="65"/>
      <c r="J194" s="40" t="s">
        <v>3</v>
      </c>
      <c r="K194" s="37"/>
      <c r="L194" s="35">
        <v>29</v>
      </c>
      <c r="M194" s="35">
        <v>0</v>
      </c>
      <c r="N194" s="40">
        <v>0</v>
      </c>
      <c r="O194" s="37"/>
      <c r="P194" s="35">
        <v>0</v>
      </c>
      <c r="Q194" s="35">
        <v>0</v>
      </c>
      <c r="R194" s="35">
        <v>0</v>
      </c>
      <c r="S194" s="35">
        <v>0</v>
      </c>
      <c r="T194" s="40">
        <v>0</v>
      </c>
      <c r="U194" s="37"/>
      <c r="V194" s="40">
        <v>30</v>
      </c>
    </row>
    <row r="195" spans="2:22" s="2" customFormat="1">
      <c r="B195" s="213" t="s">
        <v>225</v>
      </c>
      <c r="C195" s="211" t="s">
        <v>719</v>
      </c>
      <c r="D195" s="41">
        <v>191</v>
      </c>
      <c r="E195" s="41">
        <v>3.75</v>
      </c>
      <c r="F195" s="22" t="s">
        <v>381</v>
      </c>
      <c r="G195" s="40">
        <v>24</v>
      </c>
      <c r="H195" s="388">
        <v>166.11570247933884</v>
      </c>
      <c r="I195" s="65"/>
      <c r="J195" s="40" t="s">
        <v>3</v>
      </c>
      <c r="K195" s="37"/>
      <c r="L195" s="35">
        <v>29</v>
      </c>
      <c r="M195" s="35">
        <v>0</v>
      </c>
      <c r="N195" s="40">
        <v>0</v>
      </c>
      <c r="O195" s="37"/>
      <c r="P195" s="35">
        <v>0</v>
      </c>
      <c r="Q195" s="35">
        <v>0</v>
      </c>
      <c r="R195" s="35">
        <v>0</v>
      </c>
      <c r="S195" s="35">
        <v>0</v>
      </c>
      <c r="T195" s="40">
        <v>0</v>
      </c>
      <c r="U195" s="37"/>
      <c r="V195" s="40">
        <v>25</v>
      </c>
    </row>
    <row r="196" spans="2:22" s="2" customFormat="1">
      <c r="B196" s="213" t="s">
        <v>60</v>
      </c>
      <c r="C196" s="211" t="s">
        <v>568</v>
      </c>
      <c r="D196" s="41">
        <v>182</v>
      </c>
      <c r="E196" s="41">
        <v>3.75</v>
      </c>
      <c r="F196" s="41" t="s">
        <v>381</v>
      </c>
      <c r="G196" s="413">
        <v>24</v>
      </c>
      <c r="H196" s="414">
        <v>161.98347107438016</v>
      </c>
      <c r="I196" s="65"/>
      <c r="J196" s="40" t="s">
        <v>3</v>
      </c>
      <c r="K196" s="37"/>
      <c r="L196" s="35">
        <v>29</v>
      </c>
      <c r="M196" s="35">
        <v>0</v>
      </c>
      <c r="N196" s="40">
        <v>0</v>
      </c>
      <c r="O196" s="37"/>
      <c r="P196" s="35">
        <v>0</v>
      </c>
      <c r="Q196" s="35">
        <v>0</v>
      </c>
      <c r="R196" s="35">
        <v>0</v>
      </c>
      <c r="S196" s="35">
        <v>0</v>
      </c>
      <c r="T196" s="40">
        <v>0</v>
      </c>
      <c r="U196" s="37"/>
      <c r="V196" s="40">
        <v>20</v>
      </c>
    </row>
    <row r="197" spans="2:22" s="2" customFormat="1">
      <c r="B197" s="213" t="s">
        <v>60</v>
      </c>
      <c r="C197" s="211" t="s">
        <v>569</v>
      </c>
      <c r="D197" s="41">
        <v>310</v>
      </c>
      <c r="E197" s="41">
        <v>3.75</v>
      </c>
      <c r="F197" s="22" t="s">
        <v>381</v>
      </c>
      <c r="G197" s="40">
        <v>24</v>
      </c>
      <c r="H197" s="388">
        <v>250.41322314049589</v>
      </c>
      <c r="I197" s="65"/>
      <c r="J197" s="40" t="s">
        <v>3</v>
      </c>
      <c r="K197" s="37"/>
      <c r="L197" s="35">
        <v>39</v>
      </c>
      <c r="M197" s="35">
        <v>0</v>
      </c>
      <c r="N197" s="40">
        <v>0</v>
      </c>
      <c r="O197" s="37"/>
      <c r="P197" s="35">
        <v>0</v>
      </c>
      <c r="Q197" s="35">
        <v>0</v>
      </c>
      <c r="R197" s="35">
        <v>0</v>
      </c>
      <c r="S197" s="35">
        <v>0</v>
      </c>
      <c r="T197" s="40">
        <v>0</v>
      </c>
      <c r="U197" s="37"/>
      <c r="V197" s="40">
        <v>60</v>
      </c>
    </row>
    <row r="198" spans="2:22" s="2" customFormat="1">
      <c r="B198" s="213" t="s">
        <v>60</v>
      </c>
      <c r="C198" s="211" t="s">
        <v>570</v>
      </c>
      <c r="D198" s="41">
        <v>310</v>
      </c>
      <c r="E198" s="41">
        <v>3.75</v>
      </c>
      <c r="F198" s="41" t="s">
        <v>381</v>
      </c>
      <c r="G198" s="413">
        <v>24</v>
      </c>
      <c r="H198" s="414">
        <v>240.49586776859505</v>
      </c>
      <c r="I198" s="65"/>
      <c r="J198" s="40" t="s">
        <v>3</v>
      </c>
      <c r="K198" s="37"/>
      <c r="L198" s="35">
        <v>39</v>
      </c>
      <c r="M198" s="35">
        <v>0</v>
      </c>
      <c r="N198" s="40">
        <v>0</v>
      </c>
      <c r="O198" s="37"/>
      <c r="P198" s="35">
        <v>0</v>
      </c>
      <c r="Q198" s="35">
        <v>0</v>
      </c>
      <c r="R198" s="35">
        <v>0</v>
      </c>
      <c r="S198" s="35">
        <v>0</v>
      </c>
      <c r="T198" s="40">
        <v>0</v>
      </c>
      <c r="U198" s="37"/>
      <c r="V198" s="40">
        <v>70</v>
      </c>
    </row>
    <row r="199" spans="2:22" s="2" customFormat="1">
      <c r="B199" s="213" t="s">
        <v>60</v>
      </c>
      <c r="C199" s="211" t="s">
        <v>732</v>
      </c>
      <c r="D199" s="41">
        <v>1195</v>
      </c>
      <c r="E199" s="41">
        <v>3.75</v>
      </c>
      <c r="F199" s="22" t="s">
        <v>381</v>
      </c>
      <c r="G199" s="40">
        <v>24</v>
      </c>
      <c r="H199" s="388">
        <v>994.21487603305786</v>
      </c>
      <c r="I199" s="65"/>
      <c r="J199" s="40" t="s">
        <v>3</v>
      </c>
      <c r="K199" s="37"/>
      <c r="L199" s="35">
        <v>429</v>
      </c>
      <c r="M199" s="35">
        <v>259</v>
      </c>
      <c r="N199" s="40">
        <v>259</v>
      </c>
      <c r="O199" s="37"/>
      <c r="P199" s="35">
        <v>0</v>
      </c>
      <c r="Q199" s="35">
        <v>0</v>
      </c>
      <c r="R199" s="35">
        <v>0</v>
      </c>
      <c r="S199" s="35">
        <v>0</v>
      </c>
      <c r="T199" s="40">
        <v>0</v>
      </c>
      <c r="U199" s="37"/>
      <c r="V199" s="40">
        <v>201</v>
      </c>
    </row>
    <row r="200" spans="2:22" s="2" customFormat="1">
      <c r="B200" s="213" t="s">
        <v>60</v>
      </c>
      <c r="C200" s="211" t="s">
        <v>559</v>
      </c>
      <c r="D200" s="41">
        <v>537</v>
      </c>
      <c r="E200" s="41">
        <v>3.75</v>
      </c>
      <c r="F200" s="41" t="s">
        <v>381</v>
      </c>
      <c r="G200" s="413">
        <v>24</v>
      </c>
      <c r="H200" s="414">
        <v>386.77685950413223</v>
      </c>
      <c r="I200" s="65"/>
      <c r="J200" s="40" t="s">
        <v>3</v>
      </c>
      <c r="K200" s="37"/>
      <c r="L200" s="35">
        <v>139</v>
      </c>
      <c r="M200" s="35">
        <v>19</v>
      </c>
      <c r="N200" s="40">
        <v>19</v>
      </c>
      <c r="O200" s="37"/>
      <c r="P200" s="35">
        <v>0</v>
      </c>
      <c r="Q200" s="35">
        <v>0</v>
      </c>
      <c r="R200" s="35">
        <v>0</v>
      </c>
      <c r="S200" s="35">
        <v>0</v>
      </c>
      <c r="T200" s="40">
        <v>0</v>
      </c>
      <c r="U200" s="37"/>
      <c r="V200" s="40">
        <v>150</v>
      </c>
    </row>
    <row r="201" spans="2:22" s="2" customFormat="1">
      <c r="B201" s="213" t="s">
        <v>673</v>
      </c>
      <c r="C201" s="211" t="s">
        <v>549</v>
      </c>
      <c r="D201" s="41">
        <v>208</v>
      </c>
      <c r="E201" s="41">
        <v>3.75</v>
      </c>
      <c r="F201" s="22" t="s">
        <v>381</v>
      </c>
      <c r="G201" s="40">
        <v>24</v>
      </c>
      <c r="H201" s="388">
        <v>187.60330578512398</v>
      </c>
      <c r="I201" s="65"/>
      <c r="J201" s="40" t="s">
        <v>3</v>
      </c>
      <c r="K201" s="37"/>
      <c r="L201" s="35">
        <v>29</v>
      </c>
      <c r="M201" s="35">
        <v>0</v>
      </c>
      <c r="N201" s="40">
        <v>0</v>
      </c>
      <c r="O201" s="37"/>
      <c r="P201" s="35">
        <v>0</v>
      </c>
      <c r="Q201" s="35">
        <v>0</v>
      </c>
      <c r="R201" s="35">
        <v>0</v>
      </c>
      <c r="S201" s="35">
        <v>0</v>
      </c>
      <c r="T201" s="40">
        <v>0</v>
      </c>
      <c r="U201" s="37"/>
      <c r="V201" s="40">
        <v>20</v>
      </c>
    </row>
    <row r="202" spans="2:22" s="2" customFormat="1">
      <c r="B202" s="213" t="s">
        <v>673</v>
      </c>
      <c r="C202" s="211" t="s">
        <v>550</v>
      </c>
      <c r="D202" s="41">
        <v>132</v>
      </c>
      <c r="E202" s="41">
        <v>3.75</v>
      </c>
      <c r="F202" s="41" t="s">
        <v>381</v>
      </c>
      <c r="G202" s="413">
        <v>24</v>
      </c>
      <c r="H202" s="414">
        <v>100.82644628099173</v>
      </c>
      <c r="I202" s="65"/>
      <c r="J202" s="40" t="s">
        <v>3</v>
      </c>
      <c r="K202" s="37"/>
      <c r="L202" s="35">
        <v>0</v>
      </c>
      <c r="M202" s="35">
        <v>0</v>
      </c>
      <c r="N202" s="40">
        <v>0</v>
      </c>
      <c r="O202" s="37"/>
      <c r="P202" s="35">
        <v>0</v>
      </c>
      <c r="Q202" s="35">
        <v>0</v>
      </c>
      <c r="R202" s="35">
        <v>0</v>
      </c>
      <c r="S202" s="35">
        <v>0</v>
      </c>
      <c r="T202" s="40">
        <v>0</v>
      </c>
      <c r="U202" s="37"/>
      <c r="V202" s="40">
        <v>31</v>
      </c>
    </row>
    <row r="203" spans="2:22" s="2" customFormat="1">
      <c r="B203" s="213" t="s">
        <v>673</v>
      </c>
      <c r="C203" s="211" t="s">
        <v>467</v>
      </c>
      <c r="D203" s="41">
        <v>115</v>
      </c>
      <c r="E203" s="41">
        <v>3.75</v>
      </c>
      <c r="F203" s="22" t="s">
        <v>381</v>
      </c>
      <c r="G203" s="40">
        <v>24</v>
      </c>
      <c r="H203" s="388">
        <v>105.78512396694215</v>
      </c>
      <c r="I203" s="65"/>
      <c r="J203" s="40" t="s">
        <v>3</v>
      </c>
      <c r="K203" s="37"/>
      <c r="L203" s="35">
        <v>0</v>
      </c>
      <c r="M203" s="35">
        <v>0</v>
      </c>
      <c r="N203" s="40">
        <v>0</v>
      </c>
      <c r="O203" s="37"/>
      <c r="P203" s="35">
        <v>0</v>
      </c>
      <c r="Q203" s="35">
        <v>0</v>
      </c>
      <c r="R203" s="35">
        <v>0</v>
      </c>
      <c r="S203" s="35">
        <v>0</v>
      </c>
      <c r="T203" s="40">
        <v>0</v>
      </c>
      <c r="U203" s="37"/>
      <c r="V203" s="40">
        <v>9</v>
      </c>
    </row>
    <row r="204" spans="2:22" s="2" customFormat="1">
      <c r="B204" s="213" t="s">
        <v>664</v>
      </c>
      <c r="C204" s="211" t="s">
        <v>619</v>
      </c>
      <c r="D204" s="41">
        <v>647</v>
      </c>
      <c r="E204" s="41">
        <v>3.75</v>
      </c>
      <c r="F204" s="41" t="s">
        <v>381</v>
      </c>
      <c r="G204" s="413">
        <v>24</v>
      </c>
      <c r="H204" s="414">
        <v>466.11570247933884</v>
      </c>
      <c r="I204" s="65"/>
      <c r="J204" s="40" t="s">
        <v>3</v>
      </c>
      <c r="K204" s="37"/>
      <c r="L204" s="35">
        <v>159</v>
      </c>
      <c r="M204" s="35">
        <v>19</v>
      </c>
      <c r="N204" s="40">
        <v>19</v>
      </c>
      <c r="O204" s="37"/>
      <c r="P204" s="35">
        <v>0</v>
      </c>
      <c r="Q204" s="35">
        <v>0</v>
      </c>
      <c r="R204" s="35">
        <v>0</v>
      </c>
      <c r="S204" s="35">
        <v>0</v>
      </c>
      <c r="T204" s="40">
        <v>0</v>
      </c>
      <c r="U204" s="37"/>
      <c r="V204" s="40">
        <v>181</v>
      </c>
    </row>
    <row r="205" spans="2:22" s="2" customFormat="1">
      <c r="B205" s="213" t="s">
        <v>664</v>
      </c>
      <c r="C205" s="211" t="s">
        <v>561</v>
      </c>
      <c r="D205" s="41">
        <v>208</v>
      </c>
      <c r="E205" s="41">
        <v>3.75</v>
      </c>
      <c r="F205" s="22" t="s">
        <v>381</v>
      </c>
      <c r="G205" s="40">
        <v>24</v>
      </c>
      <c r="H205" s="388">
        <v>171.900826446281</v>
      </c>
      <c r="I205" s="65"/>
      <c r="J205" s="40" t="s">
        <v>3</v>
      </c>
      <c r="K205" s="37"/>
      <c r="L205" s="35">
        <v>29</v>
      </c>
      <c r="M205" s="35">
        <v>0</v>
      </c>
      <c r="N205" s="40">
        <v>0</v>
      </c>
      <c r="O205" s="37"/>
      <c r="P205" s="35">
        <v>0</v>
      </c>
      <c r="Q205" s="35">
        <v>0</v>
      </c>
      <c r="R205" s="35">
        <v>0</v>
      </c>
      <c r="S205" s="35">
        <v>0</v>
      </c>
      <c r="T205" s="40">
        <v>0</v>
      </c>
      <c r="U205" s="37"/>
      <c r="V205" s="40">
        <v>36</v>
      </c>
    </row>
    <row r="206" spans="2:22" s="2" customFormat="1">
      <c r="B206" s="213" t="s">
        <v>664</v>
      </c>
      <c r="C206" s="211" t="s">
        <v>620</v>
      </c>
      <c r="D206" s="41">
        <v>327</v>
      </c>
      <c r="E206" s="41">
        <v>3.75</v>
      </c>
      <c r="F206" s="41" t="s">
        <v>381</v>
      </c>
      <c r="G206" s="413">
        <v>24</v>
      </c>
      <c r="H206" s="414">
        <v>276.03305785123968</v>
      </c>
      <c r="I206" s="65"/>
      <c r="J206" s="40" t="s">
        <v>3</v>
      </c>
      <c r="K206" s="37"/>
      <c r="L206" s="35">
        <v>39</v>
      </c>
      <c r="M206" s="35">
        <v>0</v>
      </c>
      <c r="N206" s="40">
        <v>0</v>
      </c>
      <c r="O206" s="37"/>
      <c r="P206" s="35">
        <v>0</v>
      </c>
      <c r="Q206" s="35">
        <v>0</v>
      </c>
      <c r="R206" s="35">
        <v>0</v>
      </c>
      <c r="S206" s="35">
        <v>0</v>
      </c>
      <c r="T206" s="40">
        <v>0</v>
      </c>
      <c r="U206" s="37"/>
      <c r="V206" s="40">
        <v>51</v>
      </c>
    </row>
    <row r="207" spans="2:22" s="2" customFormat="1">
      <c r="B207" s="213" t="s">
        <v>664</v>
      </c>
      <c r="C207" s="211" t="s">
        <v>641</v>
      </c>
      <c r="D207" s="41">
        <v>167</v>
      </c>
      <c r="E207" s="41">
        <v>3.75</v>
      </c>
      <c r="F207" s="22" t="s">
        <v>381</v>
      </c>
      <c r="G207" s="40">
        <v>24</v>
      </c>
      <c r="H207" s="388">
        <v>109.91735537190083</v>
      </c>
      <c r="I207" s="65"/>
      <c r="J207" s="40" t="s">
        <v>3</v>
      </c>
      <c r="K207" s="37"/>
      <c r="L207" s="35">
        <v>0</v>
      </c>
      <c r="M207" s="35">
        <v>0</v>
      </c>
      <c r="N207" s="40">
        <v>0</v>
      </c>
      <c r="O207" s="37"/>
      <c r="P207" s="35">
        <v>0</v>
      </c>
      <c r="Q207" s="35">
        <v>0</v>
      </c>
      <c r="R207" s="35">
        <v>0</v>
      </c>
      <c r="S207" s="35">
        <v>0</v>
      </c>
      <c r="T207" s="40">
        <v>0</v>
      </c>
      <c r="U207" s="37"/>
      <c r="V207" s="40">
        <v>57</v>
      </c>
    </row>
    <row r="208" spans="2:22" s="2" customFormat="1">
      <c r="B208" s="213" t="s">
        <v>58</v>
      </c>
      <c r="C208" s="211" t="s">
        <v>706</v>
      </c>
      <c r="D208" s="41">
        <v>367</v>
      </c>
      <c r="E208" s="41">
        <v>3.75</v>
      </c>
      <c r="F208" s="41" t="s">
        <v>381</v>
      </c>
      <c r="G208" s="413">
        <v>24</v>
      </c>
      <c r="H208" s="414">
        <v>366.11570247933884</v>
      </c>
      <c r="I208" s="65"/>
      <c r="J208" s="40" t="s">
        <v>3</v>
      </c>
      <c r="K208" s="37"/>
      <c r="L208" s="35">
        <v>129</v>
      </c>
      <c r="M208" s="35">
        <v>19</v>
      </c>
      <c r="N208" s="40">
        <v>19</v>
      </c>
      <c r="O208" s="37"/>
      <c r="P208" s="35">
        <v>0</v>
      </c>
      <c r="Q208" s="35">
        <v>0</v>
      </c>
      <c r="R208" s="35">
        <v>0</v>
      </c>
      <c r="S208" s="35">
        <v>0</v>
      </c>
      <c r="T208" s="40">
        <v>0</v>
      </c>
      <c r="U208" s="37"/>
      <c r="V208" s="40">
        <v>1</v>
      </c>
    </row>
    <row r="209" spans="2:22" s="2" customFormat="1">
      <c r="B209" s="213" t="s">
        <v>670</v>
      </c>
      <c r="C209" s="211" t="s">
        <v>705</v>
      </c>
      <c r="D209" s="41">
        <v>137</v>
      </c>
      <c r="E209" s="41">
        <v>3.75</v>
      </c>
      <c r="F209" s="22" t="s">
        <v>381</v>
      </c>
      <c r="G209" s="40">
        <v>24</v>
      </c>
      <c r="H209" s="388">
        <v>136.36363636363637</v>
      </c>
      <c r="I209" s="65"/>
      <c r="J209" s="40" t="s">
        <v>3</v>
      </c>
      <c r="K209" s="37"/>
      <c r="L209" s="35">
        <v>19</v>
      </c>
      <c r="M209" s="35">
        <v>0</v>
      </c>
      <c r="N209" s="40">
        <v>0</v>
      </c>
      <c r="O209" s="37"/>
      <c r="P209" s="35">
        <v>0</v>
      </c>
      <c r="Q209" s="35">
        <v>0</v>
      </c>
      <c r="R209" s="35">
        <v>0</v>
      </c>
      <c r="S209" s="35">
        <v>0</v>
      </c>
      <c r="T209" s="40">
        <v>0</v>
      </c>
      <c r="U209" s="37"/>
      <c r="V209" s="40">
        <v>1</v>
      </c>
    </row>
    <row r="210" spans="2:22" s="2" customFormat="1">
      <c r="B210" s="213" t="s">
        <v>59</v>
      </c>
      <c r="C210" s="211" t="s">
        <v>511</v>
      </c>
      <c r="D210" s="41">
        <v>215</v>
      </c>
      <c r="E210" s="41">
        <v>0</v>
      </c>
      <c r="F210" s="41" t="s">
        <v>924</v>
      </c>
      <c r="G210" s="413">
        <v>24</v>
      </c>
      <c r="H210" s="414">
        <v>214.04958677685951</v>
      </c>
      <c r="I210" s="65"/>
      <c r="J210" s="40" t="s">
        <v>3</v>
      </c>
      <c r="K210" s="37"/>
      <c r="L210" s="35">
        <v>29</v>
      </c>
      <c r="M210" s="35">
        <v>0</v>
      </c>
      <c r="N210" s="40">
        <v>0</v>
      </c>
      <c r="O210" s="37"/>
      <c r="P210" s="35">
        <v>0</v>
      </c>
      <c r="Q210" s="35">
        <v>0</v>
      </c>
      <c r="R210" s="35">
        <v>0</v>
      </c>
      <c r="S210" s="35">
        <v>0</v>
      </c>
      <c r="T210" s="40">
        <v>0</v>
      </c>
      <c r="U210" s="37"/>
      <c r="V210" s="40">
        <v>1</v>
      </c>
    </row>
    <row r="211" spans="2:22" s="2" customFormat="1">
      <c r="B211" s="213" t="s">
        <v>59</v>
      </c>
      <c r="C211" s="211" t="s">
        <v>524</v>
      </c>
      <c r="D211" s="41">
        <v>396</v>
      </c>
      <c r="E211" s="41">
        <v>0</v>
      </c>
      <c r="F211" s="22" t="s">
        <v>924</v>
      </c>
      <c r="G211" s="40">
        <v>24</v>
      </c>
      <c r="H211" s="388">
        <v>395.86776859504135</v>
      </c>
      <c r="I211" s="65"/>
      <c r="J211" s="40" t="s">
        <v>3</v>
      </c>
      <c r="K211" s="37"/>
      <c r="L211" s="35">
        <v>109</v>
      </c>
      <c r="M211" s="35">
        <v>19</v>
      </c>
      <c r="N211" s="40">
        <v>19</v>
      </c>
      <c r="O211" s="37"/>
      <c r="P211" s="35">
        <v>0</v>
      </c>
      <c r="Q211" s="35">
        <v>0</v>
      </c>
      <c r="R211" s="35">
        <v>0</v>
      </c>
      <c r="S211" s="35">
        <v>0</v>
      </c>
      <c r="T211" s="40">
        <v>0</v>
      </c>
      <c r="U211" s="37"/>
      <c r="V211" s="40">
        <v>0</v>
      </c>
    </row>
    <row r="212" spans="2:22" s="2" customFormat="1">
      <c r="B212" s="213" t="s">
        <v>59</v>
      </c>
      <c r="C212" s="211" t="s">
        <v>524</v>
      </c>
      <c r="D212" s="41">
        <v>396</v>
      </c>
      <c r="E212" s="41">
        <v>0</v>
      </c>
      <c r="F212" s="41" t="s">
        <v>924</v>
      </c>
      <c r="G212" s="413">
        <v>30</v>
      </c>
      <c r="H212" s="414">
        <v>395.86776859504135</v>
      </c>
      <c r="I212" s="65"/>
      <c r="J212" s="40" t="s">
        <v>3</v>
      </c>
      <c r="K212" s="37"/>
      <c r="L212" s="35">
        <v>109</v>
      </c>
      <c r="M212" s="35">
        <v>19</v>
      </c>
      <c r="N212" s="40">
        <v>19</v>
      </c>
      <c r="O212" s="37"/>
      <c r="P212" s="35">
        <v>0</v>
      </c>
      <c r="Q212" s="35">
        <v>0</v>
      </c>
      <c r="R212" s="35">
        <v>0</v>
      </c>
      <c r="S212" s="35">
        <v>0</v>
      </c>
      <c r="T212" s="40">
        <v>0</v>
      </c>
      <c r="U212" s="37"/>
      <c r="V212" s="40">
        <v>0</v>
      </c>
    </row>
    <row r="213" spans="2:22" s="2" customFormat="1">
      <c r="B213" s="213" t="s">
        <v>59</v>
      </c>
      <c r="C213" s="211" t="s">
        <v>534</v>
      </c>
      <c r="D213" s="41">
        <v>479</v>
      </c>
      <c r="E213" s="41">
        <v>0</v>
      </c>
      <c r="F213" s="22" t="s">
        <v>924</v>
      </c>
      <c r="G213" s="40">
        <v>24</v>
      </c>
      <c r="H213" s="388">
        <v>478.51239669421489</v>
      </c>
      <c r="I213" s="65"/>
      <c r="J213" s="40" t="s">
        <v>3</v>
      </c>
      <c r="K213" s="37"/>
      <c r="L213" s="35">
        <v>139</v>
      </c>
      <c r="M213" s="35">
        <v>19</v>
      </c>
      <c r="N213" s="40">
        <v>19</v>
      </c>
      <c r="O213" s="37"/>
      <c r="P213" s="35">
        <v>0</v>
      </c>
      <c r="Q213" s="35">
        <v>0</v>
      </c>
      <c r="R213" s="35">
        <v>0</v>
      </c>
      <c r="S213" s="35">
        <v>0</v>
      </c>
      <c r="T213" s="40">
        <v>0</v>
      </c>
      <c r="U213" s="37"/>
      <c r="V213" s="40">
        <v>0</v>
      </c>
    </row>
    <row r="214" spans="2:22" s="2" customFormat="1">
      <c r="B214" s="213" t="s">
        <v>59</v>
      </c>
      <c r="C214" s="211" t="s">
        <v>534</v>
      </c>
      <c r="D214" s="41">
        <v>479</v>
      </c>
      <c r="E214" s="41">
        <v>0</v>
      </c>
      <c r="F214" s="41" t="s">
        <v>924</v>
      </c>
      <c r="G214" s="413">
        <v>30</v>
      </c>
      <c r="H214" s="414">
        <v>478.51239669421489</v>
      </c>
      <c r="I214" s="65"/>
      <c r="J214" s="40" t="s">
        <v>3</v>
      </c>
      <c r="K214" s="37"/>
      <c r="L214" s="35">
        <v>139</v>
      </c>
      <c r="M214" s="35">
        <v>19</v>
      </c>
      <c r="N214" s="40">
        <v>19</v>
      </c>
      <c r="O214" s="37"/>
      <c r="P214" s="35">
        <v>0</v>
      </c>
      <c r="Q214" s="35">
        <v>0</v>
      </c>
      <c r="R214" s="35">
        <v>0</v>
      </c>
      <c r="S214" s="35">
        <v>0</v>
      </c>
      <c r="T214" s="40">
        <v>0</v>
      </c>
      <c r="U214" s="37"/>
      <c r="V214" s="40">
        <v>0</v>
      </c>
    </row>
    <row r="215" spans="2:22" s="2" customFormat="1">
      <c r="B215" s="213" t="s">
        <v>59</v>
      </c>
      <c r="C215" s="211" t="s">
        <v>591</v>
      </c>
      <c r="D215" s="41">
        <v>1735</v>
      </c>
      <c r="E215" s="41">
        <v>0</v>
      </c>
      <c r="F215" s="22" t="s">
        <v>924</v>
      </c>
      <c r="G215" s="40">
        <v>24</v>
      </c>
      <c r="H215" s="388">
        <v>1734.7107438016531</v>
      </c>
      <c r="I215" s="65"/>
      <c r="J215" s="40" t="s">
        <v>3</v>
      </c>
      <c r="K215" s="37"/>
      <c r="L215" s="35">
        <v>469</v>
      </c>
      <c r="M215" s="35">
        <v>289</v>
      </c>
      <c r="N215" s="40">
        <v>289</v>
      </c>
      <c r="O215" s="37"/>
      <c r="P215" s="35">
        <v>39</v>
      </c>
      <c r="Q215" s="35">
        <v>39</v>
      </c>
      <c r="R215" s="35">
        <v>39</v>
      </c>
      <c r="S215" s="35">
        <v>39</v>
      </c>
      <c r="T215" s="40">
        <v>39</v>
      </c>
      <c r="U215" s="37"/>
      <c r="V215" s="40">
        <v>0</v>
      </c>
    </row>
    <row r="216" spans="2:22" s="2" customFormat="1">
      <c r="B216" s="213" t="s">
        <v>59</v>
      </c>
      <c r="C216" s="211" t="s">
        <v>591</v>
      </c>
      <c r="D216" s="41">
        <v>1735</v>
      </c>
      <c r="E216" s="41">
        <v>0</v>
      </c>
      <c r="F216" s="41" t="s">
        <v>924</v>
      </c>
      <c r="G216" s="413">
        <v>30</v>
      </c>
      <c r="H216" s="414">
        <v>1734.7107438016531</v>
      </c>
      <c r="I216" s="65"/>
      <c r="J216" s="40" t="s">
        <v>3</v>
      </c>
      <c r="K216" s="37"/>
      <c r="L216" s="35">
        <v>469</v>
      </c>
      <c r="M216" s="35">
        <v>289</v>
      </c>
      <c r="N216" s="40">
        <v>289</v>
      </c>
      <c r="O216" s="37"/>
      <c r="P216" s="35">
        <v>39</v>
      </c>
      <c r="Q216" s="35">
        <v>39</v>
      </c>
      <c r="R216" s="35">
        <v>39</v>
      </c>
      <c r="S216" s="35">
        <v>39</v>
      </c>
      <c r="T216" s="40">
        <v>39</v>
      </c>
      <c r="U216" s="37"/>
      <c r="V216" s="40">
        <v>0</v>
      </c>
    </row>
    <row r="217" spans="2:22" s="2" customFormat="1">
      <c r="B217" s="213" t="s">
        <v>59</v>
      </c>
      <c r="C217" s="211" t="s">
        <v>535</v>
      </c>
      <c r="D217" s="41">
        <v>537</v>
      </c>
      <c r="E217" s="41">
        <v>0</v>
      </c>
      <c r="F217" s="22" t="s">
        <v>924</v>
      </c>
      <c r="G217" s="40">
        <v>24</v>
      </c>
      <c r="H217" s="388">
        <v>536.36363636363637</v>
      </c>
      <c r="I217" s="65"/>
      <c r="J217" s="40" t="s">
        <v>3</v>
      </c>
      <c r="K217" s="37"/>
      <c r="L217" s="35">
        <v>159</v>
      </c>
      <c r="M217" s="35">
        <v>19</v>
      </c>
      <c r="N217" s="40">
        <v>19</v>
      </c>
      <c r="O217" s="37"/>
      <c r="P217" s="35">
        <v>0</v>
      </c>
      <c r="Q217" s="35">
        <v>0</v>
      </c>
      <c r="R217" s="35">
        <v>0</v>
      </c>
      <c r="S217" s="35">
        <v>0</v>
      </c>
      <c r="T217" s="40">
        <v>0</v>
      </c>
      <c r="U217" s="37"/>
      <c r="V217" s="40">
        <v>1</v>
      </c>
    </row>
    <row r="218" spans="2:22" s="2" customFormat="1">
      <c r="B218" s="213" t="s">
        <v>59</v>
      </c>
      <c r="C218" s="211" t="s">
        <v>535</v>
      </c>
      <c r="D218" s="41">
        <v>537</v>
      </c>
      <c r="E218" s="41">
        <v>0</v>
      </c>
      <c r="F218" s="41" t="s">
        <v>924</v>
      </c>
      <c r="G218" s="413">
        <v>30</v>
      </c>
      <c r="H218" s="414">
        <v>536.36363636363637</v>
      </c>
      <c r="I218" s="65"/>
      <c r="J218" s="40" t="s">
        <v>3</v>
      </c>
      <c r="K218" s="37"/>
      <c r="L218" s="35">
        <v>159</v>
      </c>
      <c r="M218" s="35">
        <v>19</v>
      </c>
      <c r="N218" s="40">
        <v>19</v>
      </c>
      <c r="O218" s="37"/>
      <c r="P218" s="35">
        <v>0</v>
      </c>
      <c r="Q218" s="35">
        <v>0</v>
      </c>
      <c r="R218" s="35">
        <v>0</v>
      </c>
      <c r="S218" s="35">
        <v>0</v>
      </c>
      <c r="T218" s="40">
        <v>0</v>
      </c>
      <c r="U218" s="37"/>
      <c r="V218" s="40">
        <v>1</v>
      </c>
    </row>
    <row r="219" spans="2:22" s="2" customFormat="1">
      <c r="B219" s="213" t="s">
        <v>59</v>
      </c>
      <c r="C219" s="211" t="s">
        <v>592</v>
      </c>
      <c r="D219" s="41">
        <v>2396</v>
      </c>
      <c r="E219" s="41">
        <v>0</v>
      </c>
      <c r="F219" s="22" t="s">
        <v>924</v>
      </c>
      <c r="G219" s="40">
        <v>24</v>
      </c>
      <c r="H219" s="388">
        <v>2395.8677685950415</v>
      </c>
      <c r="I219" s="65"/>
      <c r="J219" s="40" t="s">
        <v>3</v>
      </c>
      <c r="K219" s="37"/>
      <c r="L219" s="35">
        <v>629</v>
      </c>
      <c r="M219" s="35">
        <v>379</v>
      </c>
      <c r="N219" s="40">
        <v>379</v>
      </c>
      <c r="O219" s="37"/>
      <c r="P219" s="35">
        <v>49</v>
      </c>
      <c r="Q219" s="35">
        <v>49</v>
      </c>
      <c r="R219" s="35">
        <v>49</v>
      </c>
      <c r="S219" s="35">
        <v>49</v>
      </c>
      <c r="T219" s="40">
        <v>49</v>
      </c>
      <c r="U219" s="37"/>
      <c r="V219" s="40">
        <v>0</v>
      </c>
    </row>
    <row r="220" spans="2:22" s="2" customFormat="1">
      <c r="B220" s="213" t="s">
        <v>59</v>
      </c>
      <c r="C220" s="211" t="s">
        <v>592</v>
      </c>
      <c r="D220" s="41">
        <v>2396</v>
      </c>
      <c r="E220" s="41">
        <v>0</v>
      </c>
      <c r="F220" s="41" t="s">
        <v>924</v>
      </c>
      <c r="G220" s="413">
        <v>30</v>
      </c>
      <c r="H220" s="414">
        <v>2395.8677685950415</v>
      </c>
      <c r="I220" s="65"/>
      <c r="J220" s="40" t="s">
        <v>3</v>
      </c>
      <c r="K220" s="37"/>
      <c r="L220" s="35">
        <v>629</v>
      </c>
      <c r="M220" s="35">
        <v>379</v>
      </c>
      <c r="N220" s="40">
        <v>379</v>
      </c>
      <c r="O220" s="37"/>
      <c r="P220" s="35">
        <v>49</v>
      </c>
      <c r="Q220" s="35">
        <v>49</v>
      </c>
      <c r="R220" s="35">
        <v>49</v>
      </c>
      <c r="S220" s="35">
        <v>49</v>
      </c>
      <c r="T220" s="40">
        <v>49</v>
      </c>
      <c r="U220" s="37"/>
      <c r="V220" s="40">
        <v>0</v>
      </c>
    </row>
    <row r="221" spans="2:22" s="2" customFormat="1">
      <c r="B221" s="213" t="s">
        <v>59</v>
      </c>
      <c r="C221" s="211" t="s">
        <v>536</v>
      </c>
      <c r="D221" s="41">
        <v>686</v>
      </c>
      <c r="E221" s="41">
        <v>0</v>
      </c>
      <c r="F221" s="22" t="s">
        <v>924</v>
      </c>
      <c r="G221" s="40">
        <v>24</v>
      </c>
      <c r="H221" s="388">
        <v>685.12396694214874</v>
      </c>
      <c r="I221" s="65"/>
      <c r="J221" s="40" t="s">
        <v>3</v>
      </c>
      <c r="K221" s="37"/>
      <c r="L221" s="35">
        <v>239</v>
      </c>
      <c r="M221" s="35">
        <v>139</v>
      </c>
      <c r="N221" s="40">
        <v>139</v>
      </c>
      <c r="O221" s="37"/>
      <c r="P221" s="35">
        <v>19</v>
      </c>
      <c r="Q221" s="35">
        <v>19</v>
      </c>
      <c r="R221" s="35">
        <v>0</v>
      </c>
      <c r="S221" s="35">
        <v>0</v>
      </c>
      <c r="T221" s="40">
        <v>0</v>
      </c>
      <c r="U221" s="37"/>
      <c r="V221" s="40">
        <v>1</v>
      </c>
    </row>
    <row r="222" spans="2:22" s="2" customFormat="1">
      <c r="B222" s="213" t="s">
        <v>59</v>
      </c>
      <c r="C222" s="211" t="s">
        <v>536</v>
      </c>
      <c r="D222" s="41">
        <v>686</v>
      </c>
      <c r="E222" s="41">
        <v>0</v>
      </c>
      <c r="F222" s="41" t="s">
        <v>924</v>
      </c>
      <c r="G222" s="413">
        <v>30</v>
      </c>
      <c r="H222" s="414">
        <v>685.12396694214874</v>
      </c>
      <c r="I222" s="65"/>
      <c r="J222" s="40" t="s">
        <v>3</v>
      </c>
      <c r="K222" s="37"/>
      <c r="L222" s="35">
        <v>239</v>
      </c>
      <c r="M222" s="35">
        <v>139</v>
      </c>
      <c r="N222" s="40">
        <v>139</v>
      </c>
      <c r="O222" s="37"/>
      <c r="P222" s="35">
        <v>19</v>
      </c>
      <c r="Q222" s="35">
        <v>19</v>
      </c>
      <c r="R222" s="35">
        <v>0</v>
      </c>
      <c r="S222" s="35">
        <v>0</v>
      </c>
      <c r="T222" s="40">
        <v>0</v>
      </c>
      <c r="U222" s="37"/>
      <c r="V222" s="40">
        <v>1</v>
      </c>
    </row>
    <row r="223" spans="2:22" s="2" customFormat="1">
      <c r="B223" s="213" t="s">
        <v>59</v>
      </c>
      <c r="C223" s="211" t="s">
        <v>593</v>
      </c>
      <c r="D223" s="41">
        <v>1157</v>
      </c>
      <c r="E223" s="41">
        <v>0</v>
      </c>
      <c r="F223" s="22" t="s">
        <v>924</v>
      </c>
      <c r="G223" s="40">
        <v>24</v>
      </c>
      <c r="H223" s="388">
        <v>1156.1983471074379</v>
      </c>
      <c r="I223" s="65"/>
      <c r="J223" s="40" t="s">
        <v>3</v>
      </c>
      <c r="K223" s="37"/>
      <c r="L223" s="35">
        <v>369</v>
      </c>
      <c r="M223" s="35">
        <v>219</v>
      </c>
      <c r="N223" s="40">
        <v>219</v>
      </c>
      <c r="O223" s="37"/>
      <c r="P223" s="35">
        <v>29</v>
      </c>
      <c r="Q223" s="35">
        <v>29</v>
      </c>
      <c r="R223" s="35">
        <v>29</v>
      </c>
      <c r="S223" s="35">
        <v>29</v>
      </c>
      <c r="T223" s="40">
        <v>29</v>
      </c>
      <c r="U223" s="37"/>
      <c r="V223" s="40">
        <v>1</v>
      </c>
    </row>
    <row r="224" spans="2:22" s="2" customFormat="1">
      <c r="B224" s="213" t="s">
        <v>59</v>
      </c>
      <c r="C224" s="211" t="s">
        <v>593</v>
      </c>
      <c r="D224" s="41">
        <v>1157</v>
      </c>
      <c r="E224" s="41">
        <v>0</v>
      </c>
      <c r="F224" s="41" t="s">
        <v>924</v>
      </c>
      <c r="G224" s="413">
        <v>30</v>
      </c>
      <c r="H224" s="414">
        <v>1156.1983471074379</v>
      </c>
      <c r="I224" s="65"/>
      <c r="J224" s="40" t="s">
        <v>3</v>
      </c>
      <c r="K224" s="37"/>
      <c r="L224" s="35">
        <v>369</v>
      </c>
      <c r="M224" s="35">
        <v>219</v>
      </c>
      <c r="N224" s="40">
        <v>219</v>
      </c>
      <c r="O224" s="37"/>
      <c r="P224" s="35">
        <v>29</v>
      </c>
      <c r="Q224" s="35">
        <v>29</v>
      </c>
      <c r="R224" s="35">
        <v>29</v>
      </c>
      <c r="S224" s="35">
        <v>29</v>
      </c>
      <c r="T224" s="40">
        <v>29</v>
      </c>
      <c r="U224" s="37"/>
      <c r="V224" s="40">
        <v>1</v>
      </c>
    </row>
    <row r="225" spans="2:22" s="2" customFormat="1">
      <c r="B225" s="213" t="s">
        <v>60</v>
      </c>
      <c r="C225" s="211" t="s">
        <v>596</v>
      </c>
      <c r="D225" s="41">
        <v>429</v>
      </c>
      <c r="E225" s="41">
        <v>0</v>
      </c>
      <c r="F225" s="22" t="s">
        <v>924</v>
      </c>
      <c r="G225" s="40">
        <v>24</v>
      </c>
      <c r="H225" s="388">
        <v>354.54545454545456</v>
      </c>
      <c r="I225" s="65"/>
      <c r="J225" s="40" t="s">
        <v>3</v>
      </c>
      <c r="K225" s="37"/>
      <c r="L225" s="35">
        <v>109</v>
      </c>
      <c r="M225" s="35">
        <v>19</v>
      </c>
      <c r="N225" s="40">
        <v>19</v>
      </c>
      <c r="O225" s="37"/>
      <c r="P225" s="35">
        <v>0</v>
      </c>
      <c r="Q225" s="35">
        <v>0</v>
      </c>
      <c r="R225" s="35">
        <v>0</v>
      </c>
      <c r="S225" s="35">
        <v>0</v>
      </c>
      <c r="T225" s="40">
        <v>0</v>
      </c>
      <c r="U225" s="37"/>
      <c r="V225" s="40">
        <v>74</v>
      </c>
    </row>
    <row r="226" spans="2:22" s="2" customFormat="1">
      <c r="B226" s="213" t="s">
        <v>60</v>
      </c>
      <c r="C226" s="211" t="s">
        <v>596</v>
      </c>
      <c r="D226" s="41">
        <v>429</v>
      </c>
      <c r="E226" s="41">
        <v>0</v>
      </c>
      <c r="F226" s="41" t="s">
        <v>924</v>
      </c>
      <c r="G226" s="413">
        <v>30</v>
      </c>
      <c r="H226" s="414">
        <v>354.54545454545456</v>
      </c>
      <c r="I226" s="65"/>
      <c r="J226" s="40" t="s">
        <v>3</v>
      </c>
      <c r="K226" s="37"/>
      <c r="L226" s="35">
        <v>109</v>
      </c>
      <c r="M226" s="35">
        <v>19</v>
      </c>
      <c r="N226" s="40">
        <v>19</v>
      </c>
      <c r="O226" s="37"/>
      <c r="P226" s="35">
        <v>0</v>
      </c>
      <c r="Q226" s="35">
        <v>0</v>
      </c>
      <c r="R226" s="35">
        <v>0</v>
      </c>
      <c r="S226" s="35">
        <v>0</v>
      </c>
      <c r="T226" s="40">
        <v>0</v>
      </c>
      <c r="U226" s="37"/>
      <c r="V226" s="40">
        <v>74</v>
      </c>
    </row>
    <row r="227" spans="2:22" s="2" customFormat="1">
      <c r="B227" s="213" t="s">
        <v>60</v>
      </c>
      <c r="C227" s="211" t="s">
        <v>597</v>
      </c>
      <c r="D227" s="41">
        <v>537</v>
      </c>
      <c r="E227" s="41">
        <v>0</v>
      </c>
      <c r="F227" s="22" t="s">
        <v>924</v>
      </c>
      <c r="G227" s="40">
        <v>24</v>
      </c>
      <c r="H227" s="388">
        <v>495.04132231404958</v>
      </c>
      <c r="I227" s="65"/>
      <c r="J227" s="40" t="s">
        <v>3</v>
      </c>
      <c r="K227" s="37"/>
      <c r="L227" s="35">
        <v>169</v>
      </c>
      <c r="M227" s="35">
        <v>19</v>
      </c>
      <c r="N227" s="40">
        <v>19</v>
      </c>
      <c r="O227" s="37"/>
      <c r="P227" s="35">
        <v>0</v>
      </c>
      <c r="Q227" s="35">
        <v>0</v>
      </c>
      <c r="R227" s="35">
        <v>0</v>
      </c>
      <c r="S227" s="35">
        <v>0</v>
      </c>
      <c r="T227" s="40">
        <v>0</v>
      </c>
      <c r="U227" s="37"/>
      <c r="V227" s="40">
        <v>42</v>
      </c>
    </row>
    <row r="228" spans="2:22" s="2" customFormat="1">
      <c r="B228" s="213" t="s">
        <v>60</v>
      </c>
      <c r="C228" s="211" t="s">
        <v>597</v>
      </c>
      <c r="D228" s="41">
        <v>537</v>
      </c>
      <c r="E228" s="41">
        <v>0</v>
      </c>
      <c r="F228" s="41" t="s">
        <v>924</v>
      </c>
      <c r="G228" s="413">
        <v>30</v>
      </c>
      <c r="H228" s="414">
        <v>495.04132231404958</v>
      </c>
      <c r="I228" s="65"/>
      <c r="J228" s="40" t="s">
        <v>3</v>
      </c>
      <c r="K228" s="37"/>
      <c r="L228" s="35">
        <v>169</v>
      </c>
      <c r="M228" s="35">
        <v>19</v>
      </c>
      <c r="N228" s="40">
        <v>19</v>
      </c>
      <c r="O228" s="37"/>
      <c r="P228" s="35">
        <v>0</v>
      </c>
      <c r="Q228" s="35">
        <v>0</v>
      </c>
      <c r="R228" s="35">
        <v>0</v>
      </c>
      <c r="S228" s="35">
        <v>0</v>
      </c>
      <c r="T228" s="40">
        <v>0</v>
      </c>
      <c r="U228" s="37"/>
      <c r="V228" s="40">
        <v>42</v>
      </c>
    </row>
    <row r="229" spans="2:22" s="2" customFormat="1">
      <c r="B229" s="213" t="s">
        <v>60</v>
      </c>
      <c r="C229" s="211" t="s">
        <v>598</v>
      </c>
      <c r="D229" s="41">
        <v>702</v>
      </c>
      <c r="E229" s="41">
        <v>0</v>
      </c>
      <c r="F229" s="22" t="s">
        <v>924</v>
      </c>
      <c r="G229" s="40">
        <v>24</v>
      </c>
      <c r="H229" s="388">
        <v>660.33057851239676</v>
      </c>
      <c r="I229" s="65"/>
      <c r="J229" s="40" t="s">
        <v>3</v>
      </c>
      <c r="K229" s="37"/>
      <c r="L229" s="35">
        <v>239</v>
      </c>
      <c r="M229" s="35">
        <v>139</v>
      </c>
      <c r="N229" s="40">
        <v>139</v>
      </c>
      <c r="O229" s="37"/>
      <c r="P229" s="35">
        <v>19</v>
      </c>
      <c r="Q229" s="35">
        <v>19</v>
      </c>
      <c r="R229" s="35">
        <v>19</v>
      </c>
      <c r="S229" s="35">
        <v>19</v>
      </c>
      <c r="T229" s="40">
        <v>19</v>
      </c>
      <c r="U229" s="37"/>
      <c r="V229" s="40">
        <v>42</v>
      </c>
    </row>
    <row r="230" spans="2:22" s="2" customFormat="1">
      <c r="B230" s="213" t="s">
        <v>60</v>
      </c>
      <c r="C230" s="211" t="s">
        <v>598</v>
      </c>
      <c r="D230" s="41">
        <v>702</v>
      </c>
      <c r="E230" s="41">
        <v>0</v>
      </c>
      <c r="F230" s="41" t="s">
        <v>924</v>
      </c>
      <c r="G230" s="413">
        <v>30</v>
      </c>
      <c r="H230" s="414">
        <v>660.33057851239676</v>
      </c>
      <c r="I230" s="65"/>
      <c r="J230" s="40" t="s">
        <v>3</v>
      </c>
      <c r="K230" s="37"/>
      <c r="L230" s="35">
        <v>239</v>
      </c>
      <c r="M230" s="35">
        <v>139</v>
      </c>
      <c r="N230" s="40">
        <v>139</v>
      </c>
      <c r="O230" s="37"/>
      <c r="P230" s="35">
        <v>19</v>
      </c>
      <c r="Q230" s="35">
        <v>19</v>
      </c>
      <c r="R230" s="35">
        <v>19</v>
      </c>
      <c r="S230" s="35">
        <v>19</v>
      </c>
      <c r="T230" s="40">
        <v>19</v>
      </c>
      <c r="U230" s="37"/>
      <c r="V230" s="40">
        <v>42</v>
      </c>
    </row>
    <row r="231" spans="2:22" s="2" customFormat="1">
      <c r="B231" s="213" t="s">
        <v>60</v>
      </c>
      <c r="C231" s="211" t="s">
        <v>538</v>
      </c>
      <c r="D231" s="41">
        <v>2727</v>
      </c>
      <c r="E231" s="41">
        <v>0</v>
      </c>
      <c r="F231" s="22" t="s">
        <v>924</v>
      </c>
      <c r="G231" s="40">
        <v>24</v>
      </c>
      <c r="H231" s="388">
        <v>2726.4462809917354</v>
      </c>
      <c r="I231" s="65"/>
      <c r="J231" s="40" t="s">
        <v>3</v>
      </c>
      <c r="K231" s="37"/>
      <c r="L231" s="35">
        <v>939</v>
      </c>
      <c r="M231" s="35">
        <v>569</v>
      </c>
      <c r="N231" s="40">
        <v>569</v>
      </c>
      <c r="O231" s="37"/>
      <c r="P231" s="35">
        <v>69</v>
      </c>
      <c r="Q231" s="35">
        <v>69</v>
      </c>
      <c r="R231" s="35">
        <v>69</v>
      </c>
      <c r="S231" s="35">
        <v>69</v>
      </c>
      <c r="T231" s="40">
        <v>69</v>
      </c>
      <c r="U231" s="37"/>
      <c r="V231" s="40">
        <v>1</v>
      </c>
    </row>
    <row r="232" spans="2:22" s="2" customFormat="1">
      <c r="B232" s="213" t="s">
        <v>60</v>
      </c>
      <c r="C232" s="211" t="s">
        <v>538</v>
      </c>
      <c r="D232" s="41">
        <v>2727</v>
      </c>
      <c r="E232" s="41">
        <v>0</v>
      </c>
      <c r="F232" s="41" t="s">
        <v>924</v>
      </c>
      <c r="G232" s="413">
        <v>30</v>
      </c>
      <c r="H232" s="414">
        <v>2726.4462809917354</v>
      </c>
      <c r="I232" s="65"/>
      <c r="J232" s="40" t="s">
        <v>3</v>
      </c>
      <c r="K232" s="37"/>
      <c r="L232" s="35">
        <v>939</v>
      </c>
      <c r="M232" s="35">
        <v>569</v>
      </c>
      <c r="N232" s="40">
        <v>569</v>
      </c>
      <c r="O232" s="37"/>
      <c r="P232" s="35">
        <v>69</v>
      </c>
      <c r="Q232" s="35">
        <v>69</v>
      </c>
      <c r="R232" s="35">
        <v>69</v>
      </c>
      <c r="S232" s="35">
        <v>69</v>
      </c>
      <c r="T232" s="40">
        <v>69</v>
      </c>
      <c r="U232" s="37"/>
      <c r="V232" s="40">
        <v>1</v>
      </c>
    </row>
    <row r="233" spans="2:22" s="2" customFormat="1">
      <c r="B233" s="213" t="s">
        <v>60</v>
      </c>
      <c r="C233" s="211" t="s">
        <v>599</v>
      </c>
      <c r="D233" s="41">
        <v>1012</v>
      </c>
      <c r="E233" s="41">
        <v>0</v>
      </c>
      <c r="F233" s="22" t="s">
        <v>924</v>
      </c>
      <c r="G233" s="40">
        <v>24</v>
      </c>
      <c r="H233" s="388">
        <v>908.2644628099174</v>
      </c>
      <c r="I233" s="65"/>
      <c r="J233" s="40" t="s">
        <v>3</v>
      </c>
      <c r="K233" s="37"/>
      <c r="L233" s="35">
        <v>359</v>
      </c>
      <c r="M233" s="35">
        <v>219</v>
      </c>
      <c r="N233" s="40">
        <v>219</v>
      </c>
      <c r="O233" s="37"/>
      <c r="P233" s="35">
        <v>29</v>
      </c>
      <c r="Q233" s="35">
        <v>29</v>
      </c>
      <c r="R233" s="35">
        <v>29</v>
      </c>
      <c r="S233" s="35">
        <v>29</v>
      </c>
      <c r="T233" s="40">
        <v>29</v>
      </c>
      <c r="U233" s="37"/>
      <c r="V233" s="40">
        <v>104</v>
      </c>
    </row>
    <row r="234" spans="2:22" s="2" customFormat="1">
      <c r="B234" s="213" t="s">
        <v>60</v>
      </c>
      <c r="C234" s="211" t="s">
        <v>599</v>
      </c>
      <c r="D234" s="41">
        <v>1012</v>
      </c>
      <c r="E234" s="41">
        <v>0</v>
      </c>
      <c r="F234" s="41" t="s">
        <v>924</v>
      </c>
      <c r="G234" s="413">
        <v>30</v>
      </c>
      <c r="H234" s="414">
        <v>908.2644628099174</v>
      </c>
      <c r="I234" s="65"/>
      <c r="J234" s="40" t="s">
        <v>3</v>
      </c>
      <c r="K234" s="37"/>
      <c r="L234" s="35">
        <v>359</v>
      </c>
      <c r="M234" s="35">
        <v>219</v>
      </c>
      <c r="N234" s="40">
        <v>219</v>
      </c>
      <c r="O234" s="37"/>
      <c r="P234" s="35">
        <v>29</v>
      </c>
      <c r="Q234" s="35">
        <v>29</v>
      </c>
      <c r="R234" s="35">
        <v>29</v>
      </c>
      <c r="S234" s="35">
        <v>29</v>
      </c>
      <c r="T234" s="40">
        <v>29</v>
      </c>
      <c r="U234" s="37"/>
      <c r="V234" s="40">
        <v>104</v>
      </c>
    </row>
    <row r="235" spans="2:22" s="2" customFormat="1">
      <c r="B235" s="213" t="s">
        <v>673</v>
      </c>
      <c r="C235" s="211" t="s">
        <v>601</v>
      </c>
      <c r="D235" s="41">
        <v>159</v>
      </c>
      <c r="E235" s="41">
        <v>0</v>
      </c>
      <c r="F235" s="22" t="s">
        <v>924</v>
      </c>
      <c r="G235" s="40">
        <v>24</v>
      </c>
      <c r="H235" s="388">
        <v>147.93388429752068</v>
      </c>
      <c r="I235" s="65"/>
      <c r="J235" s="40" t="s">
        <v>3</v>
      </c>
      <c r="K235" s="37"/>
      <c r="L235" s="35">
        <v>29</v>
      </c>
      <c r="M235" s="35">
        <v>0</v>
      </c>
      <c r="N235" s="40">
        <v>0</v>
      </c>
      <c r="O235" s="37"/>
      <c r="P235" s="35">
        <v>0</v>
      </c>
      <c r="Q235" s="35">
        <v>0</v>
      </c>
      <c r="R235" s="35">
        <v>0</v>
      </c>
      <c r="S235" s="35">
        <v>0</v>
      </c>
      <c r="T235" s="40">
        <v>0</v>
      </c>
      <c r="U235" s="37"/>
      <c r="V235" s="40">
        <v>11</v>
      </c>
    </row>
    <row r="236" spans="2:22" s="2" customFormat="1">
      <c r="B236" s="213" t="s">
        <v>673</v>
      </c>
      <c r="C236" s="211" t="s">
        <v>634</v>
      </c>
      <c r="D236" s="41">
        <v>315</v>
      </c>
      <c r="E236" s="41">
        <v>0</v>
      </c>
      <c r="F236" s="41" t="s">
        <v>924</v>
      </c>
      <c r="G236" s="413">
        <v>24</v>
      </c>
      <c r="H236" s="414">
        <v>288.42975206611573</v>
      </c>
      <c r="I236" s="65"/>
      <c r="J236" s="40" t="s">
        <v>3</v>
      </c>
      <c r="K236" s="37"/>
      <c r="L236" s="35">
        <v>99</v>
      </c>
      <c r="M236" s="35">
        <v>19</v>
      </c>
      <c r="N236" s="40">
        <v>19</v>
      </c>
      <c r="O236" s="37"/>
      <c r="P236" s="35">
        <v>0</v>
      </c>
      <c r="Q236" s="35">
        <v>0</v>
      </c>
      <c r="R236" s="35">
        <v>0</v>
      </c>
      <c r="S236" s="35">
        <v>0</v>
      </c>
      <c r="T236" s="40">
        <v>0</v>
      </c>
      <c r="U236" s="37"/>
      <c r="V236" s="40">
        <v>27</v>
      </c>
    </row>
    <row r="237" spans="2:22" s="2" customFormat="1">
      <c r="B237" s="213" t="s">
        <v>673</v>
      </c>
      <c r="C237" s="211" t="s">
        <v>634</v>
      </c>
      <c r="D237" s="41">
        <v>315</v>
      </c>
      <c r="E237" s="41">
        <v>0</v>
      </c>
      <c r="F237" s="22" t="s">
        <v>924</v>
      </c>
      <c r="G237" s="40">
        <v>30</v>
      </c>
      <c r="H237" s="388">
        <v>288.42975206611573</v>
      </c>
      <c r="I237" s="65"/>
      <c r="J237" s="40" t="s">
        <v>3</v>
      </c>
      <c r="K237" s="37"/>
      <c r="L237" s="35">
        <v>99</v>
      </c>
      <c r="M237" s="35">
        <v>19</v>
      </c>
      <c r="N237" s="40">
        <v>19</v>
      </c>
      <c r="O237" s="37"/>
      <c r="P237" s="35">
        <v>0</v>
      </c>
      <c r="Q237" s="35">
        <v>0</v>
      </c>
      <c r="R237" s="35">
        <v>0</v>
      </c>
      <c r="S237" s="35">
        <v>0</v>
      </c>
      <c r="T237" s="40">
        <v>0</v>
      </c>
      <c r="U237" s="37"/>
      <c r="V237" s="40">
        <v>27</v>
      </c>
    </row>
    <row r="238" spans="2:22" s="2" customFormat="1">
      <c r="B238" s="213" t="s">
        <v>673</v>
      </c>
      <c r="C238" s="211" t="s">
        <v>625</v>
      </c>
      <c r="D238" s="41">
        <v>421</v>
      </c>
      <c r="E238" s="41">
        <v>0</v>
      </c>
      <c r="F238" s="41" t="s">
        <v>924</v>
      </c>
      <c r="G238" s="413">
        <v>24</v>
      </c>
      <c r="H238" s="414">
        <v>412.39669421487605</v>
      </c>
      <c r="I238" s="65"/>
      <c r="J238" s="40" t="s">
        <v>3</v>
      </c>
      <c r="K238" s="37"/>
      <c r="L238" s="35">
        <v>139</v>
      </c>
      <c r="M238" s="35">
        <v>19</v>
      </c>
      <c r="N238" s="40">
        <v>19</v>
      </c>
      <c r="O238" s="37"/>
      <c r="P238" s="35">
        <v>0</v>
      </c>
      <c r="Q238" s="35">
        <v>0</v>
      </c>
      <c r="R238" s="35">
        <v>0</v>
      </c>
      <c r="S238" s="35">
        <v>0</v>
      </c>
      <c r="T238" s="40">
        <v>0</v>
      </c>
      <c r="U238" s="37"/>
      <c r="V238" s="40">
        <v>9</v>
      </c>
    </row>
    <row r="239" spans="2:22" s="2" customFormat="1">
      <c r="B239" s="213" t="s">
        <v>673</v>
      </c>
      <c r="C239" s="211" t="s">
        <v>625</v>
      </c>
      <c r="D239" s="41">
        <v>421</v>
      </c>
      <c r="E239" s="41">
        <v>0</v>
      </c>
      <c r="F239" s="22" t="s">
        <v>924</v>
      </c>
      <c r="G239" s="40">
        <v>30</v>
      </c>
      <c r="H239" s="388">
        <v>412.39669421487605</v>
      </c>
      <c r="I239" s="65"/>
      <c r="J239" s="40" t="s">
        <v>3</v>
      </c>
      <c r="K239" s="37"/>
      <c r="L239" s="35">
        <v>139</v>
      </c>
      <c r="M239" s="35">
        <v>19</v>
      </c>
      <c r="N239" s="40">
        <v>19</v>
      </c>
      <c r="O239" s="37"/>
      <c r="P239" s="35">
        <v>0</v>
      </c>
      <c r="Q239" s="35">
        <v>0</v>
      </c>
      <c r="R239" s="35">
        <v>0</v>
      </c>
      <c r="S239" s="35">
        <v>0</v>
      </c>
      <c r="T239" s="40">
        <v>0</v>
      </c>
      <c r="U239" s="37"/>
      <c r="V239" s="40">
        <v>9</v>
      </c>
    </row>
    <row r="240" spans="2:22" s="2" customFormat="1">
      <c r="B240" s="213" t="s">
        <v>673</v>
      </c>
      <c r="C240" s="211" t="s">
        <v>635</v>
      </c>
      <c r="D240" s="41">
        <v>467</v>
      </c>
      <c r="E240" s="41">
        <v>0</v>
      </c>
      <c r="F240" s="41" t="s">
        <v>924</v>
      </c>
      <c r="G240" s="413">
        <v>24</v>
      </c>
      <c r="H240" s="414">
        <v>453.71900826446284</v>
      </c>
      <c r="I240" s="65"/>
      <c r="J240" s="40" t="s">
        <v>3</v>
      </c>
      <c r="K240" s="37"/>
      <c r="L240" s="35">
        <v>149</v>
      </c>
      <c r="M240" s="35">
        <v>19</v>
      </c>
      <c r="N240" s="40">
        <v>19</v>
      </c>
      <c r="O240" s="37"/>
      <c r="P240" s="35">
        <v>0</v>
      </c>
      <c r="Q240" s="35">
        <v>0</v>
      </c>
      <c r="R240" s="35">
        <v>0</v>
      </c>
      <c r="S240" s="35">
        <v>0</v>
      </c>
      <c r="T240" s="40">
        <v>0</v>
      </c>
      <c r="U240" s="37"/>
      <c r="V240" s="40">
        <v>13</v>
      </c>
    </row>
    <row r="241" spans="2:22" s="2" customFormat="1">
      <c r="B241" s="213" t="s">
        <v>673</v>
      </c>
      <c r="C241" s="211" t="s">
        <v>635</v>
      </c>
      <c r="D241" s="41">
        <v>467</v>
      </c>
      <c r="E241" s="41">
        <v>0</v>
      </c>
      <c r="F241" s="22" t="s">
        <v>924</v>
      </c>
      <c r="G241" s="40">
        <v>30</v>
      </c>
      <c r="H241" s="388">
        <v>453.71900826446284</v>
      </c>
      <c r="I241" s="65"/>
      <c r="J241" s="40" t="s">
        <v>3</v>
      </c>
      <c r="K241" s="37"/>
      <c r="L241" s="35">
        <v>149</v>
      </c>
      <c r="M241" s="35">
        <v>19</v>
      </c>
      <c r="N241" s="40">
        <v>19</v>
      </c>
      <c r="O241" s="37"/>
      <c r="P241" s="35">
        <v>0</v>
      </c>
      <c r="Q241" s="35">
        <v>0</v>
      </c>
      <c r="R241" s="35">
        <v>0</v>
      </c>
      <c r="S241" s="35">
        <v>0</v>
      </c>
      <c r="T241" s="40">
        <v>0</v>
      </c>
      <c r="U241" s="37"/>
      <c r="V241" s="40">
        <v>13</v>
      </c>
    </row>
    <row r="242" spans="2:22" s="2" customFormat="1">
      <c r="B242" s="213" t="s">
        <v>673</v>
      </c>
      <c r="C242" s="211" t="s">
        <v>626</v>
      </c>
      <c r="D242" s="41">
        <v>567</v>
      </c>
      <c r="E242" s="41">
        <v>0</v>
      </c>
      <c r="F242" s="41" t="s">
        <v>924</v>
      </c>
      <c r="G242" s="413">
        <v>24</v>
      </c>
      <c r="H242" s="414">
        <v>536.36363636363637</v>
      </c>
      <c r="I242" s="65"/>
      <c r="J242" s="40" t="s">
        <v>3</v>
      </c>
      <c r="K242" s="37"/>
      <c r="L242" s="35">
        <v>169</v>
      </c>
      <c r="M242" s="35">
        <v>19</v>
      </c>
      <c r="N242" s="40">
        <v>19</v>
      </c>
      <c r="O242" s="37"/>
      <c r="P242" s="35">
        <v>0</v>
      </c>
      <c r="Q242" s="35">
        <v>0</v>
      </c>
      <c r="R242" s="35">
        <v>0</v>
      </c>
      <c r="S242" s="35">
        <v>0</v>
      </c>
      <c r="T242" s="40">
        <v>0</v>
      </c>
      <c r="U242" s="37"/>
      <c r="V242" s="40">
        <v>31</v>
      </c>
    </row>
    <row r="243" spans="2:22" s="2" customFormat="1">
      <c r="B243" s="213" t="s">
        <v>673</v>
      </c>
      <c r="C243" s="211" t="s">
        <v>626</v>
      </c>
      <c r="D243" s="41">
        <v>567</v>
      </c>
      <c r="E243" s="41">
        <v>0</v>
      </c>
      <c r="F243" s="22" t="s">
        <v>924</v>
      </c>
      <c r="G243" s="40">
        <v>30</v>
      </c>
      <c r="H243" s="388">
        <v>536.36363636363637</v>
      </c>
      <c r="I243" s="65"/>
      <c r="J243" s="40" t="s">
        <v>3</v>
      </c>
      <c r="K243" s="37"/>
      <c r="L243" s="35">
        <v>169</v>
      </c>
      <c r="M243" s="35">
        <v>19</v>
      </c>
      <c r="N243" s="40">
        <v>19</v>
      </c>
      <c r="O243" s="37"/>
      <c r="P243" s="35">
        <v>0</v>
      </c>
      <c r="Q243" s="35">
        <v>0</v>
      </c>
      <c r="R243" s="35">
        <v>0</v>
      </c>
      <c r="S243" s="35">
        <v>0</v>
      </c>
      <c r="T243" s="40">
        <v>0</v>
      </c>
      <c r="U243" s="37"/>
      <c r="V243" s="40">
        <v>31</v>
      </c>
    </row>
    <row r="244" spans="2:22" s="2" customFormat="1">
      <c r="B244" s="213" t="s">
        <v>664</v>
      </c>
      <c r="C244" s="211" t="s">
        <v>602</v>
      </c>
      <c r="D244" s="41">
        <v>298</v>
      </c>
      <c r="E244" s="41">
        <v>0</v>
      </c>
      <c r="F244" s="41" t="s">
        <v>924</v>
      </c>
      <c r="G244" s="413">
        <v>24</v>
      </c>
      <c r="H244" s="414">
        <v>247.10743801652893</v>
      </c>
      <c r="I244" s="65"/>
      <c r="J244" s="40" t="s">
        <v>3</v>
      </c>
      <c r="K244" s="37"/>
      <c r="L244" s="35">
        <v>99</v>
      </c>
      <c r="M244" s="35">
        <v>19</v>
      </c>
      <c r="N244" s="40">
        <v>19</v>
      </c>
      <c r="O244" s="37"/>
      <c r="P244" s="35">
        <v>0</v>
      </c>
      <c r="Q244" s="35">
        <v>0</v>
      </c>
      <c r="R244" s="35">
        <v>0</v>
      </c>
      <c r="S244" s="35">
        <v>0</v>
      </c>
      <c r="T244" s="40">
        <v>0</v>
      </c>
      <c r="U244" s="37"/>
      <c r="V244" s="40">
        <v>51</v>
      </c>
    </row>
    <row r="245" spans="2:22" s="2" customFormat="1">
      <c r="B245" s="213" t="s">
        <v>664</v>
      </c>
      <c r="C245" s="211" t="s">
        <v>602</v>
      </c>
      <c r="D245" s="41">
        <v>298</v>
      </c>
      <c r="E245" s="41">
        <v>0</v>
      </c>
      <c r="F245" s="22" t="s">
        <v>924</v>
      </c>
      <c r="G245" s="40">
        <v>30</v>
      </c>
      <c r="H245" s="388">
        <v>247.10743801652893</v>
      </c>
      <c r="I245" s="65"/>
      <c r="J245" s="40" t="s">
        <v>3</v>
      </c>
      <c r="K245" s="37"/>
      <c r="L245" s="35">
        <v>99</v>
      </c>
      <c r="M245" s="35">
        <v>19</v>
      </c>
      <c r="N245" s="40">
        <v>19</v>
      </c>
      <c r="O245" s="37"/>
      <c r="P245" s="35">
        <v>0</v>
      </c>
      <c r="Q245" s="35">
        <v>0</v>
      </c>
      <c r="R245" s="35">
        <v>0</v>
      </c>
      <c r="S245" s="35">
        <v>0</v>
      </c>
      <c r="T245" s="40">
        <v>0</v>
      </c>
      <c r="U245" s="37"/>
      <c r="V245" s="40">
        <v>51</v>
      </c>
    </row>
    <row r="246" spans="2:22" s="2" customFormat="1">
      <c r="B246" s="213" t="s">
        <v>664</v>
      </c>
      <c r="C246" s="211" t="s">
        <v>609</v>
      </c>
      <c r="D246" s="41">
        <v>445</v>
      </c>
      <c r="E246" s="41">
        <v>0</v>
      </c>
      <c r="F246" s="41" t="s">
        <v>924</v>
      </c>
      <c r="G246" s="413">
        <v>24</v>
      </c>
      <c r="H246" s="414">
        <v>371.07438016528926</v>
      </c>
      <c r="I246" s="65"/>
      <c r="J246" s="40" t="s">
        <v>3</v>
      </c>
      <c r="K246" s="37"/>
      <c r="L246" s="35">
        <v>149</v>
      </c>
      <c r="M246" s="35">
        <v>19</v>
      </c>
      <c r="N246" s="40">
        <v>19</v>
      </c>
      <c r="O246" s="37"/>
      <c r="P246" s="35">
        <v>0</v>
      </c>
      <c r="Q246" s="35">
        <v>0</v>
      </c>
      <c r="R246" s="35">
        <v>0</v>
      </c>
      <c r="S246" s="35">
        <v>0</v>
      </c>
      <c r="T246" s="40">
        <v>0</v>
      </c>
      <c r="U246" s="37"/>
      <c r="V246" s="40">
        <v>74</v>
      </c>
    </row>
    <row r="247" spans="2:22" s="2" customFormat="1">
      <c r="B247" s="213" t="s">
        <v>664</v>
      </c>
      <c r="C247" s="211" t="s">
        <v>609</v>
      </c>
      <c r="D247" s="41">
        <v>445</v>
      </c>
      <c r="E247" s="41">
        <v>0</v>
      </c>
      <c r="F247" s="22" t="s">
        <v>924</v>
      </c>
      <c r="G247" s="40">
        <v>30</v>
      </c>
      <c r="H247" s="388">
        <v>371.07438016528926</v>
      </c>
      <c r="I247" s="65"/>
      <c r="J247" s="40" t="s">
        <v>3</v>
      </c>
      <c r="K247" s="37"/>
      <c r="L247" s="35">
        <v>149</v>
      </c>
      <c r="M247" s="35">
        <v>19</v>
      </c>
      <c r="N247" s="40">
        <v>19</v>
      </c>
      <c r="O247" s="37"/>
      <c r="P247" s="35">
        <v>0</v>
      </c>
      <c r="Q247" s="35">
        <v>0</v>
      </c>
      <c r="R247" s="35">
        <v>0</v>
      </c>
      <c r="S247" s="35">
        <v>0</v>
      </c>
      <c r="T247" s="40">
        <v>0</v>
      </c>
      <c r="U247" s="37"/>
      <c r="V247" s="40">
        <v>74</v>
      </c>
    </row>
    <row r="248" spans="2:22" s="2" customFormat="1">
      <c r="B248" s="213" t="s">
        <v>664</v>
      </c>
      <c r="C248" s="211" t="s">
        <v>603</v>
      </c>
      <c r="D248" s="41">
        <v>577</v>
      </c>
      <c r="E248" s="41">
        <v>0</v>
      </c>
      <c r="F248" s="41" t="s">
        <v>924</v>
      </c>
      <c r="G248" s="413">
        <v>24</v>
      </c>
      <c r="H248" s="414">
        <v>495.04132231404958</v>
      </c>
      <c r="I248" s="65"/>
      <c r="J248" s="40" t="s">
        <v>3</v>
      </c>
      <c r="K248" s="37"/>
      <c r="L248" s="35">
        <v>219</v>
      </c>
      <c r="M248" s="35">
        <v>139</v>
      </c>
      <c r="N248" s="40">
        <v>139</v>
      </c>
      <c r="O248" s="37"/>
      <c r="P248" s="35">
        <v>19</v>
      </c>
      <c r="Q248" s="35">
        <v>19</v>
      </c>
      <c r="R248" s="35">
        <v>0</v>
      </c>
      <c r="S248" s="35">
        <v>0</v>
      </c>
      <c r="T248" s="40">
        <v>0</v>
      </c>
      <c r="U248" s="37"/>
      <c r="V248" s="40">
        <v>82</v>
      </c>
    </row>
    <row r="249" spans="2:22" s="2" customFormat="1">
      <c r="B249" s="213" t="s">
        <v>664</v>
      </c>
      <c r="C249" s="211" t="s">
        <v>603</v>
      </c>
      <c r="D249" s="41">
        <v>577</v>
      </c>
      <c r="E249" s="41">
        <v>0</v>
      </c>
      <c r="F249" s="22" t="s">
        <v>924</v>
      </c>
      <c r="G249" s="40">
        <v>30</v>
      </c>
      <c r="H249" s="388">
        <v>495.04132231404958</v>
      </c>
      <c r="I249" s="65"/>
      <c r="J249" s="40" t="s">
        <v>3</v>
      </c>
      <c r="K249" s="37"/>
      <c r="L249" s="35">
        <v>219</v>
      </c>
      <c r="M249" s="35">
        <v>139</v>
      </c>
      <c r="N249" s="40">
        <v>139</v>
      </c>
      <c r="O249" s="37"/>
      <c r="P249" s="35">
        <v>19</v>
      </c>
      <c r="Q249" s="35">
        <v>19</v>
      </c>
      <c r="R249" s="35">
        <v>0</v>
      </c>
      <c r="S249" s="35">
        <v>0</v>
      </c>
      <c r="T249" s="40">
        <v>0</v>
      </c>
      <c r="U249" s="37"/>
      <c r="V249" s="40">
        <v>82</v>
      </c>
    </row>
    <row r="250" spans="2:22" s="2" customFormat="1">
      <c r="B250" s="213" t="s">
        <v>664</v>
      </c>
      <c r="C250" s="211" t="s">
        <v>604</v>
      </c>
      <c r="D250" s="41">
        <v>165</v>
      </c>
      <c r="E250" s="41">
        <v>0</v>
      </c>
      <c r="F250" s="41" t="s">
        <v>924</v>
      </c>
      <c r="G250" s="413">
        <v>24</v>
      </c>
      <c r="H250" s="414">
        <v>139.6694214876033</v>
      </c>
      <c r="I250" s="65"/>
      <c r="J250" s="40" t="s">
        <v>3</v>
      </c>
      <c r="K250" s="37"/>
      <c r="L250" s="35">
        <v>29</v>
      </c>
      <c r="M250" s="35">
        <v>0</v>
      </c>
      <c r="N250" s="40">
        <v>0</v>
      </c>
      <c r="O250" s="37"/>
      <c r="P250" s="35">
        <v>0</v>
      </c>
      <c r="Q250" s="35">
        <v>0</v>
      </c>
      <c r="R250" s="35">
        <v>0</v>
      </c>
      <c r="S250" s="35">
        <v>0</v>
      </c>
      <c r="T250" s="40">
        <v>0</v>
      </c>
      <c r="U250" s="37"/>
      <c r="V250" s="40">
        <v>25</v>
      </c>
    </row>
    <row r="251" spans="2:22" s="2" customFormat="1">
      <c r="B251" s="213" t="s">
        <v>112</v>
      </c>
      <c r="C251" s="211" t="s">
        <v>468</v>
      </c>
      <c r="D251" s="41">
        <v>304</v>
      </c>
      <c r="E251" s="41">
        <v>0</v>
      </c>
      <c r="F251" s="41" t="s">
        <v>986</v>
      </c>
      <c r="G251" s="413">
        <v>24</v>
      </c>
      <c r="H251" s="414">
        <v>303.30578512396693</v>
      </c>
      <c r="I251" s="65"/>
      <c r="J251" s="40" t="s">
        <v>3</v>
      </c>
      <c r="K251" s="37"/>
      <c r="L251" s="35">
        <v>99</v>
      </c>
      <c r="M251" s="35">
        <v>19</v>
      </c>
      <c r="N251" s="40">
        <v>19</v>
      </c>
      <c r="O251" s="37"/>
      <c r="P251" s="35">
        <v>0</v>
      </c>
      <c r="Q251" s="35">
        <v>0</v>
      </c>
      <c r="R251" s="35">
        <v>0</v>
      </c>
      <c r="S251" s="35">
        <v>0</v>
      </c>
      <c r="T251" s="40">
        <v>0</v>
      </c>
      <c r="U251" s="37"/>
      <c r="V251" s="40">
        <v>1</v>
      </c>
    </row>
    <row r="252" spans="2:22" s="2" customFormat="1">
      <c r="B252" s="213" t="s">
        <v>112</v>
      </c>
      <c r="C252" s="211" t="s">
        <v>468</v>
      </c>
      <c r="D252" s="41">
        <v>304</v>
      </c>
      <c r="E252" s="41">
        <v>0</v>
      </c>
      <c r="F252" s="22" t="s">
        <v>986</v>
      </c>
      <c r="G252" s="40">
        <v>30</v>
      </c>
      <c r="H252" s="388">
        <v>303.30578512396693</v>
      </c>
      <c r="I252" s="65"/>
      <c r="J252" s="40" t="s">
        <v>3</v>
      </c>
      <c r="K252" s="37"/>
      <c r="L252" s="35">
        <v>99</v>
      </c>
      <c r="M252" s="35">
        <v>19</v>
      </c>
      <c r="N252" s="40">
        <v>19</v>
      </c>
      <c r="O252" s="37"/>
      <c r="P252" s="35">
        <v>0</v>
      </c>
      <c r="Q252" s="35">
        <v>0</v>
      </c>
      <c r="R252" s="35">
        <v>0</v>
      </c>
      <c r="S252" s="35">
        <v>0</v>
      </c>
      <c r="T252" s="40">
        <v>0</v>
      </c>
      <c r="U252" s="37"/>
      <c r="V252" s="40">
        <v>1</v>
      </c>
    </row>
    <row r="253" spans="2:22" s="2" customFormat="1">
      <c r="B253" s="213" t="s">
        <v>113</v>
      </c>
      <c r="C253" s="211" t="s">
        <v>770</v>
      </c>
      <c r="D253" s="41">
        <v>412</v>
      </c>
      <c r="E253" s="41">
        <v>0</v>
      </c>
      <c r="F253" s="41" t="s">
        <v>986</v>
      </c>
      <c r="G253" s="413">
        <v>24</v>
      </c>
      <c r="H253" s="414">
        <v>361.98347107438019</v>
      </c>
      <c r="I253" s="65"/>
      <c r="J253" s="40" t="s">
        <v>3</v>
      </c>
      <c r="K253" s="37"/>
      <c r="L253" s="35">
        <v>119</v>
      </c>
      <c r="M253" s="35">
        <v>19</v>
      </c>
      <c r="N253" s="40">
        <v>19</v>
      </c>
      <c r="O253" s="37"/>
      <c r="P253" s="35">
        <v>0</v>
      </c>
      <c r="Q253" s="35">
        <v>0</v>
      </c>
      <c r="R253" s="35">
        <v>0</v>
      </c>
      <c r="S253" s="35">
        <v>0</v>
      </c>
      <c r="T253" s="40">
        <v>0</v>
      </c>
      <c r="U253" s="37"/>
      <c r="V253" s="40">
        <v>50</v>
      </c>
    </row>
    <row r="254" spans="2:22" s="2" customFormat="1">
      <c r="B254" s="213" t="s">
        <v>113</v>
      </c>
      <c r="C254" s="211" t="s">
        <v>770</v>
      </c>
      <c r="D254" s="41">
        <v>412</v>
      </c>
      <c r="E254" s="41">
        <v>0</v>
      </c>
      <c r="F254" s="22" t="s">
        <v>986</v>
      </c>
      <c r="G254" s="40">
        <v>30</v>
      </c>
      <c r="H254" s="388">
        <v>361.98347107438019</v>
      </c>
      <c r="I254" s="65"/>
      <c r="J254" s="40" t="s">
        <v>3</v>
      </c>
      <c r="K254" s="37"/>
      <c r="L254" s="35">
        <v>119</v>
      </c>
      <c r="M254" s="35">
        <v>19</v>
      </c>
      <c r="N254" s="40">
        <v>19</v>
      </c>
      <c r="O254" s="37"/>
      <c r="P254" s="35">
        <v>0</v>
      </c>
      <c r="Q254" s="35">
        <v>0</v>
      </c>
      <c r="R254" s="35">
        <v>0</v>
      </c>
      <c r="S254" s="35">
        <v>0</v>
      </c>
      <c r="T254" s="40">
        <v>0</v>
      </c>
      <c r="U254" s="37"/>
      <c r="V254" s="40">
        <v>50</v>
      </c>
    </row>
    <row r="255" spans="2:22" s="2" customFormat="1">
      <c r="B255" s="213" t="s">
        <v>113</v>
      </c>
      <c r="C255" s="211" t="s">
        <v>379</v>
      </c>
      <c r="D255" s="41">
        <v>198</v>
      </c>
      <c r="E255" s="41">
        <v>0</v>
      </c>
      <c r="F255" s="41" t="s">
        <v>986</v>
      </c>
      <c r="G255" s="413">
        <v>24</v>
      </c>
      <c r="H255" s="414">
        <v>212.39669421487605</v>
      </c>
      <c r="I255" s="65"/>
      <c r="J255" s="40" t="s">
        <v>3</v>
      </c>
      <c r="K255" s="37"/>
      <c r="L255" s="35">
        <v>39</v>
      </c>
      <c r="M255" s="35">
        <v>0</v>
      </c>
      <c r="N255" s="40">
        <v>0</v>
      </c>
      <c r="O255" s="37"/>
      <c r="P255" s="35">
        <v>0</v>
      </c>
      <c r="Q255" s="35">
        <v>0</v>
      </c>
      <c r="R255" s="35">
        <v>0</v>
      </c>
      <c r="S255" s="35">
        <v>0</v>
      </c>
      <c r="T255" s="40">
        <v>0</v>
      </c>
      <c r="U255" s="37"/>
      <c r="V255" s="40">
        <v>-14</v>
      </c>
    </row>
    <row r="256" spans="2:22" s="2" customFormat="1">
      <c r="B256" s="213" t="s">
        <v>113</v>
      </c>
      <c r="C256" s="211" t="s">
        <v>379</v>
      </c>
      <c r="D256" s="41">
        <v>198</v>
      </c>
      <c r="E256" s="41">
        <v>0</v>
      </c>
      <c r="F256" s="22" t="s">
        <v>986</v>
      </c>
      <c r="G256" s="40">
        <v>30</v>
      </c>
      <c r="H256" s="388">
        <v>212.39669421487605</v>
      </c>
      <c r="I256" s="65"/>
      <c r="J256" s="40" t="s">
        <v>3</v>
      </c>
      <c r="K256" s="37"/>
      <c r="L256" s="35">
        <v>39</v>
      </c>
      <c r="M256" s="35">
        <v>0</v>
      </c>
      <c r="N256" s="40">
        <v>0</v>
      </c>
      <c r="O256" s="37"/>
      <c r="P256" s="35">
        <v>0</v>
      </c>
      <c r="Q256" s="35">
        <v>0</v>
      </c>
      <c r="R256" s="35">
        <v>0</v>
      </c>
      <c r="S256" s="35">
        <v>0</v>
      </c>
      <c r="T256" s="40">
        <v>0</v>
      </c>
      <c r="U256" s="37"/>
      <c r="V256" s="40">
        <v>-14</v>
      </c>
    </row>
    <row r="257" spans="2:22" s="2" customFormat="1">
      <c r="B257" s="213" t="s">
        <v>113</v>
      </c>
      <c r="C257" s="211" t="s">
        <v>558</v>
      </c>
      <c r="D257" s="41">
        <v>358</v>
      </c>
      <c r="E257" s="41">
        <v>0</v>
      </c>
      <c r="F257" s="41" t="s">
        <v>986</v>
      </c>
      <c r="G257" s="413">
        <v>24</v>
      </c>
      <c r="H257" s="414">
        <v>411.57024793388433</v>
      </c>
      <c r="I257" s="65"/>
      <c r="J257" s="40" t="s">
        <v>3</v>
      </c>
      <c r="K257" s="37"/>
      <c r="L257" s="35">
        <v>139</v>
      </c>
      <c r="M257" s="35">
        <v>19</v>
      </c>
      <c r="N257" s="40">
        <v>19</v>
      </c>
      <c r="O257" s="37"/>
      <c r="P257" s="35">
        <v>0</v>
      </c>
      <c r="Q257" s="35">
        <v>0</v>
      </c>
      <c r="R257" s="35">
        <v>0</v>
      </c>
      <c r="S257" s="35">
        <v>0</v>
      </c>
      <c r="T257" s="40">
        <v>0</v>
      </c>
      <c r="U257" s="37"/>
      <c r="V257" s="40">
        <v>-54</v>
      </c>
    </row>
    <row r="258" spans="2:22" s="2" customFormat="1">
      <c r="B258" s="213" t="s">
        <v>113</v>
      </c>
      <c r="C258" s="211" t="s">
        <v>558</v>
      </c>
      <c r="D258" s="41">
        <v>358</v>
      </c>
      <c r="E258" s="41">
        <v>0</v>
      </c>
      <c r="F258" s="22" t="s">
        <v>986</v>
      </c>
      <c r="G258" s="40">
        <v>30</v>
      </c>
      <c r="H258" s="388">
        <v>411.57024793388433</v>
      </c>
      <c r="I258" s="65"/>
      <c r="J258" s="40" t="s">
        <v>3</v>
      </c>
      <c r="K258" s="37"/>
      <c r="L258" s="35">
        <v>139</v>
      </c>
      <c r="M258" s="35">
        <v>19</v>
      </c>
      <c r="N258" s="40">
        <v>19</v>
      </c>
      <c r="O258" s="37"/>
      <c r="P258" s="35">
        <v>0</v>
      </c>
      <c r="Q258" s="35">
        <v>0</v>
      </c>
      <c r="R258" s="35">
        <v>0</v>
      </c>
      <c r="S258" s="35">
        <v>0</v>
      </c>
      <c r="T258" s="40">
        <v>0</v>
      </c>
      <c r="U258" s="37"/>
      <c r="V258" s="40">
        <v>-54</v>
      </c>
    </row>
    <row r="259" spans="2:22" s="2" customFormat="1">
      <c r="B259" s="213" t="s">
        <v>79</v>
      </c>
      <c r="C259" s="211" t="s">
        <v>530</v>
      </c>
      <c r="D259" s="41">
        <v>447</v>
      </c>
      <c r="E259" s="41">
        <v>0</v>
      </c>
      <c r="F259" s="41" t="s">
        <v>986</v>
      </c>
      <c r="G259" s="413">
        <v>24</v>
      </c>
      <c r="H259" s="414">
        <v>541.32231404958679</v>
      </c>
      <c r="I259" s="65"/>
      <c r="J259" s="40" t="s">
        <v>3</v>
      </c>
      <c r="K259" s="37"/>
      <c r="L259" s="35">
        <v>229</v>
      </c>
      <c r="M259" s="35">
        <v>139</v>
      </c>
      <c r="N259" s="40">
        <v>139</v>
      </c>
      <c r="O259" s="37"/>
      <c r="P259" s="35">
        <v>0</v>
      </c>
      <c r="Q259" s="35">
        <v>0</v>
      </c>
      <c r="R259" s="35">
        <v>0</v>
      </c>
      <c r="S259" s="35">
        <v>0</v>
      </c>
      <c r="T259" s="40">
        <v>0</v>
      </c>
      <c r="U259" s="37"/>
      <c r="V259" s="40">
        <v>-94</v>
      </c>
    </row>
    <row r="260" spans="2:22" s="2" customFormat="1">
      <c r="B260" s="213" t="s">
        <v>79</v>
      </c>
      <c r="C260" s="211" t="s">
        <v>530</v>
      </c>
      <c r="D260" s="41">
        <v>447</v>
      </c>
      <c r="E260" s="41">
        <v>0</v>
      </c>
      <c r="F260" s="22" t="s">
        <v>986</v>
      </c>
      <c r="G260" s="40">
        <v>30</v>
      </c>
      <c r="H260" s="388">
        <v>541.32231404958679</v>
      </c>
      <c r="I260" s="65"/>
      <c r="J260" s="40" t="s">
        <v>3</v>
      </c>
      <c r="K260" s="37"/>
      <c r="L260" s="35">
        <v>229</v>
      </c>
      <c r="M260" s="35">
        <v>139</v>
      </c>
      <c r="N260" s="40">
        <v>139</v>
      </c>
      <c r="O260" s="37"/>
      <c r="P260" s="35">
        <v>0</v>
      </c>
      <c r="Q260" s="35">
        <v>0</v>
      </c>
      <c r="R260" s="35">
        <v>0</v>
      </c>
      <c r="S260" s="35">
        <v>0</v>
      </c>
      <c r="T260" s="40">
        <v>0</v>
      </c>
      <c r="U260" s="37"/>
      <c r="V260" s="40">
        <v>-94</v>
      </c>
    </row>
    <row r="261" spans="2:22" s="2" customFormat="1">
      <c r="B261" s="213" t="s">
        <v>79</v>
      </c>
      <c r="C261" s="211" t="s">
        <v>778</v>
      </c>
      <c r="D261" s="41">
        <v>542</v>
      </c>
      <c r="E261" s="41">
        <v>0</v>
      </c>
      <c r="F261" s="41" t="s">
        <v>986</v>
      </c>
      <c r="G261" s="413">
        <v>24</v>
      </c>
      <c r="H261" s="414">
        <v>541.32231404958679</v>
      </c>
      <c r="I261" s="65"/>
      <c r="J261" s="40" t="s">
        <v>3</v>
      </c>
      <c r="K261" s="37"/>
      <c r="L261" s="35">
        <v>229</v>
      </c>
      <c r="M261" s="35">
        <v>139</v>
      </c>
      <c r="N261" s="40">
        <v>139</v>
      </c>
      <c r="O261" s="37"/>
      <c r="P261" s="35">
        <v>0</v>
      </c>
      <c r="Q261" s="35">
        <v>0</v>
      </c>
      <c r="R261" s="35">
        <v>0</v>
      </c>
      <c r="S261" s="35">
        <v>0</v>
      </c>
      <c r="T261" s="40">
        <v>0</v>
      </c>
      <c r="U261" s="37"/>
      <c r="V261" s="40">
        <v>1</v>
      </c>
    </row>
    <row r="262" spans="2:22" s="2" customFormat="1">
      <c r="B262" s="213" t="s">
        <v>79</v>
      </c>
      <c r="C262" s="211" t="s">
        <v>778</v>
      </c>
      <c r="D262" s="41">
        <v>542</v>
      </c>
      <c r="E262" s="41">
        <v>0</v>
      </c>
      <c r="F262" s="22" t="s">
        <v>986</v>
      </c>
      <c r="G262" s="40">
        <v>30</v>
      </c>
      <c r="H262" s="388">
        <v>541.32231404958679</v>
      </c>
      <c r="I262" s="65"/>
      <c r="J262" s="40" t="s">
        <v>3</v>
      </c>
      <c r="K262" s="37"/>
      <c r="L262" s="35">
        <v>229</v>
      </c>
      <c r="M262" s="35">
        <v>139</v>
      </c>
      <c r="N262" s="40">
        <v>139</v>
      </c>
      <c r="O262" s="37"/>
      <c r="P262" s="35">
        <v>0</v>
      </c>
      <c r="Q262" s="35">
        <v>0</v>
      </c>
      <c r="R262" s="35">
        <v>0</v>
      </c>
      <c r="S262" s="35">
        <v>0</v>
      </c>
      <c r="T262" s="40">
        <v>0</v>
      </c>
      <c r="U262" s="37"/>
      <c r="V262" s="40">
        <v>1</v>
      </c>
    </row>
    <row r="263" spans="2:22" s="2" customFormat="1">
      <c r="B263" s="213" t="s">
        <v>79</v>
      </c>
      <c r="C263" s="211" t="s">
        <v>531</v>
      </c>
      <c r="D263" s="41">
        <v>366</v>
      </c>
      <c r="E263" s="41">
        <v>0</v>
      </c>
      <c r="F263" s="41" t="s">
        <v>986</v>
      </c>
      <c r="G263" s="413">
        <v>24</v>
      </c>
      <c r="H263" s="414">
        <v>442.14876033057851</v>
      </c>
      <c r="I263" s="65"/>
      <c r="J263" s="40" t="s">
        <v>3</v>
      </c>
      <c r="K263" s="37"/>
      <c r="L263" s="35">
        <v>149</v>
      </c>
      <c r="M263" s="35">
        <v>19</v>
      </c>
      <c r="N263" s="40">
        <v>19</v>
      </c>
      <c r="O263" s="37"/>
      <c r="P263" s="35">
        <v>0</v>
      </c>
      <c r="Q263" s="35">
        <v>0</v>
      </c>
      <c r="R263" s="35">
        <v>0</v>
      </c>
      <c r="S263" s="35">
        <v>0</v>
      </c>
      <c r="T263" s="40">
        <v>0</v>
      </c>
      <c r="U263" s="37"/>
      <c r="V263" s="40">
        <v>-76</v>
      </c>
    </row>
    <row r="264" spans="2:22" s="2" customFormat="1">
      <c r="B264" s="213" t="s">
        <v>79</v>
      </c>
      <c r="C264" s="211" t="s">
        <v>531</v>
      </c>
      <c r="D264" s="41">
        <v>366</v>
      </c>
      <c r="E264" s="41">
        <v>0</v>
      </c>
      <c r="F264" s="22" t="s">
        <v>986</v>
      </c>
      <c r="G264" s="40">
        <v>30</v>
      </c>
      <c r="H264" s="388">
        <v>442.14876033057851</v>
      </c>
      <c r="I264" s="65"/>
      <c r="J264" s="40" t="s">
        <v>3</v>
      </c>
      <c r="K264" s="37"/>
      <c r="L264" s="35">
        <v>149</v>
      </c>
      <c r="M264" s="35">
        <v>19</v>
      </c>
      <c r="N264" s="40">
        <v>19</v>
      </c>
      <c r="O264" s="37"/>
      <c r="P264" s="35">
        <v>0</v>
      </c>
      <c r="Q264" s="35">
        <v>0</v>
      </c>
      <c r="R264" s="35">
        <v>0</v>
      </c>
      <c r="S264" s="35">
        <v>0</v>
      </c>
      <c r="T264" s="40">
        <v>0</v>
      </c>
      <c r="U264" s="37"/>
      <c r="V264" s="40">
        <v>-76</v>
      </c>
    </row>
    <row r="265" spans="2:22" s="2" customFormat="1">
      <c r="B265" s="213" t="s">
        <v>79</v>
      </c>
      <c r="C265" s="211" t="s">
        <v>779</v>
      </c>
      <c r="D265" s="41">
        <v>443</v>
      </c>
      <c r="E265" s="41">
        <v>0</v>
      </c>
      <c r="F265" s="41" t="s">
        <v>986</v>
      </c>
      <c r="G265" s="413">
        <v>24</v>
      </c>
      <c r="H265" s="414">
        <v>442.14876033057851</v>
      </c>
      <c r="I265" s="65"/>
      <c r="J265" s="40" t="s">
        <v>3</v>
      </c>
      <c r="K265" s="37"/>
      <c r="L265" s="35">
        <v>149</v>
      </c>
      <c r="M265" s="35">
        <v>19</v>
      </c>
      <c r="N265" s="40">
        <v>19</v>
      </c>
      <c r="O265" s="37"/>
      <c r="P265" s="35">
        <v>0</v>
      </c>
      <c r="Q265" s="35">
        <v>0</v>
      </c>
      <c r="R265" s="35">
        <v>0</v>
      </c>
      <c r="S265" s="35">
        <v>0</v>
      </c>
      <c r="T265" s="40">
        <v>0</v>
      </c>
      <c r="U265" s="37"/>
      <c r="V265" s="40">
        <v>1</v>
      </c>
    </row>
    <row r="266" spans="2:22" s="2" customFormat="1">
      <c r="B266" s="213" t="s">
        <v>79</v>
      </c>
      <c r="C266" s="211" t="s">
        <v>779</v>
      </c>
      <c r="D266" s="41">
        <v>443</v>
      </c>
      <c r="E266" s="41">
        <v>0</v>
      </c>
      <c r="F266" s="22" t="s">
        <v>986</v>
      </c>
      <c r="G266" s="40">
        <v>30</v>
      </c>
      <c r="H266" s="388">
        <v>442.14876033057851</v>
      </c>
      <c r="I266" s="65"/>
      <c r="J266" s="40" t="s">
        <v>3</v>
      </c>
      <c r="K266" s="37"/>
      <c r="L266" s="35">
        <v>149</v>
      </c>
      <c r="M266" s="35">
        <v>19</v>
      </c>
      <c r="N266" s="40">
        <v>19</v>
      </c>
      <c r="O266" s="37"/>
      <c r="P266" s="35">
        <v>0</v>
      </c>
      <c r="Q266" s="35">
        <v>0</v>
      </c>
      <c r="R266" s="35">
        <v>0</v>
      </c>
      <c r="S266" s="35">
        <v>0</v>
      </c>
      <c r="T266" s="40">
        <v>0</v>
      </c>
      <c r="U266" s="37"/>
      <c r="V266" s="40">
        <v>1</v>
      </c>
    </row>
    <row r="267" spans="2:22" s="2" customFormat="1">
      <c r="B267" s="213" t="s">
        <v>79</v>
      </c>
      <c r="C267" s="211" t="s">
        <v>541</v>
      </c>
      <c r="D267" s="41">
        <v>770</v>
      </c>
      <c r="E267" s="41">
        <v>0</v>
      </c>
      <c r="F267" s="41" t="s">
        <v>986</v>
      </c>
      <c r="G267" s="413">
        <v>24</v>
      </c>
      <c r="H267" s="414">
        <v>769.42148760330576</v>
      </c>
      <c r="I267" s="65"/>
      <c r="J267" s="40" t="s">
        <v>3</v>
      </c>
      <c r="K267" s="37"/>
      <c r="L267" s="35">
        <v>319</v>
      </c>
      <c r="M267" s="35">
        <v>189</v>
      </c>
      <c r="N267" s="40">
        <v>189</v>
      </c>
      <c r="O267" s="37"/>
      <c r="P267" s="35">
        <v>0</v>
      </c>
      <c r="Q267" s="35">
        <v>0</v>
      </c>
      <c r="R267" s="35">
        <v>0</v>
      </c>
      <c r="S267" s="35">
        <v>0</v>
      </c>
      <c r="T267" s="40">
        <v>0</v>
      </c>
      <c r="U267" s="37"/>
      <c r="V267" s="40">
        <v>1</v>
      </c>
    </row>
    <row r="268" spans="2:22" s="2" customFormat="1">
      <c r="B268" s="213" t="s">
        <v>79</v>
      </c>
      <c r="C268" s="211" t="s">
        <v>541</v>
      </c>
      <c r="D268" s="41">
        <v>770</v>
      </c>
      <c r="E268" s="41">
        <v>0</v>
      </c>
      <c r="F268" s="22" t="s">
        <v>986</v>
      </c>
      <c r="G268" s="40">
        <v>30</v>
      </c>
      <c r="H268" s="388">
        <v>769.42148760330576</v>
      </c>
      <c r="I268" s="65"/>
      <c r="J268" s="40" t="s">
        <v>3</v>
      </c>
      <c r="K268" s="37"/>
      <c r="L268" s="35">
        <v>319</v>
      </c>
      <c r="M268" s="35">
        <v>189</v>
      </c>
      <c r="N268" s="40">
        <v>189</v>
      </c>
      <c r="O268" s="37"/>
      <c r="P268" s="35">
        <v>0</v>
      </c>
      <c r="Q268" s="35">
        <v>0</v>
      </c>
      <c r="R268" s="35">
        <v>0</v>
      </c>
      <c r="S268" s="35">
        <v>0</v>
      </c>
      <c r="T268" s="40">
        <v>0</v>
      </c>
      <c r="U268" s="37"/>
      <c r="V268" s="40">
        <v>1</v>
      </c>
    </row>
    <row r="269" spans="2:22" s="2" customFormat="1">
      <c r="B269" s="213" t="s">
        <v>79</v>
      </c>
      <c r="C269" s="211" t="s">
        <v>780</v>
      </c>
      <c r="D269" s="41">
        <v>653</v>
      </c>
      <c r="E269" s="41">
        <v>0</v>
      </c>
      <c r="F269" s="41" t="s">
        <v>986</v>
      </c>
      <c r="G269" s="413">
        <v>24</v>
      </c>
      <c r="H269" s="414">
        <v>595.04132231404958</v>
      </c>
      <c r="I269" s="65"/>
      <c r="J269" s="40" t="s">
        <v>3</v>
      </c>
      <c r="K269" s="37"/>
      <c r="L269" s="35">
        <v>249</v>
      </c>
      <c r="M269" s="35">
        <v>149</v>
      </c>
      <c r="N269" s="40">
        <v>149</v>
      </c>
      <c r="O269" s="37"/>
      <c r="P269" s="35">
        <v>0</v>
      </c>
      <c r="Q269" s="35">
        <v>0</v>
      </c>
      <c r="R269" s="35">
        <v>0</v>
      </c>
      <c r="S269" s="35">
        <v>0</v>
      </c>
      <c r="T269" s="40">
        <v>0</v>
      </c>
      <c r="U269" s="37"/>
      <c r="V269" s="40">
        <v>58</v>
      </c>
    </row>
    <row r="270" spans="2:22" s="2" customFormat="1">
      <c r="B270" s="213" t="s">
        <v>79</v>
      </c>
      <c r="C270" s="211" t="s">
        <v>780</v>
      </c>
      <c r="D270" s="41">
        <v>653</v>
      </c>
      <c r="E270" s="41">
        <v>0</v>
      </c>
      <c r="F270" s="22" t="s">
        <v>986</v>
      </c>
      <c r="G270" s="40">
        <v>30</v>
      </c>
      <c r="H270" s="388">
        <v>595.04132231404958</v>
      </c>
      <c r="I270" s="65"/>
      <c r="J270" s="40" t="s">
        <v>3</v>
      </c>
      <c r="K270" s="37"/>
      <c r="L270" s="35">
        <v>249</v>
      </c>
      <c r="M270" s="35">
        <v>149</v>
      </c>
      <c r="N270" s="40">
        <v>149</v>
      </c>
      <c r="O270" s="37"/>
      <c r="P270" s="35">
        <v>0</v>
      </c>
      <c r="Q270" s="35">
        <v>0</v>
      </c>
      <c r="R270" s="35">
        <v>0</v>
      </c>
      <c r="S270" s="35">
        <v>0</v>
      </c>
      <c r="T270" s="40">
        <v>0</v>
      </c>
      <c r="U270" s="37"/>
      <c r="V270" s="40">
        <v>58</v>
      </c>
    </row>
    <row r="271" spans="2:22" s="2" customFormat="1">
      <c r="B271" s="213" t="s">
        <v>79</v>
      </c>
      <c r="C271" s="211" t="s">
        <v>781</v>
      </c>
      <c r="D271" s="41">
        <v>778</v>
      </c>
      <c r="E271" s="41">
        <v>0</v>
      </c>
      <c r="F271" s="41" t="s">
        <v>986</v>
      </c>
      <c r="G271" s="413">
        <v>24</v>
      </c>
      <c r="H271" s="414">
        <v>777.68595041322317</v>
      </c>
      <c r="I271" s="65"/>
      <c r="J271" s="40" t="s">
        <v>3</v>
      </c>
      <c r="K271" s="37"/>
      <c r="L271" s="35">
        <v>329</v>
      </c>
      <c r="M271" s="35">
        <v>189</v>
      </c>
      <c r="N271" s="40">
        <v>189</v>
      </c>
      <c r="O271" s="37"/>
      <c r="P271" s="35">
        <v>0</v>
      </c>
      <c r="Q271" s="35">
        <v>0</v>
      </c>
      <c r="R271" s="35">
        <v>0</v>
      </c>
      <c r="S271" s="35">
        <v>0</v>
      </c>
      <c r="T271" s="40">
        <v>0</v>
      </c>
      <c r="U271" s="37"/>
      <c r="V271" s="40">
        <v>0</v>
      </c>
    </row>
    <row r="272" spans="2:22" s="2" customFormat="1">
      <c r="B272" s="213" t="s">
        <v>79</v>
      </c>
      <c r="C272" s="211" t="s">
        <v>781</v>
      </c>
      <c r="D272" s="41">
        <v>778</v>
      </c>
      <c r="E272" s="41">
        <v>0</v>
      </c>
      <c r="F272" s="22" t="s">
        <v>986</v>
      </c>
      <c r="G272" s="40">
        <v>30</v>
      </c>
      <c r="H272" s="388">
        <v>777.68595041322317</v>
      </c>
      <c r="I272" s="65"/>
      <c r="J272" s="40" t="s">
        <v>3</v>
      </c>
      <c r="K272" s="37"/>
      <c r="L272" s="35">
        <v>329</v>
      </c>
      <c r="M272" s="35">
        <v>189</v>
      </c>
      <c r="N272" s="40">
        <v>189</v>
      </c>
      <c r="O272" s="37"/>
      <c r="P272" s="35">
        <v>0</v>
      </c>
      <c r="Q272" s="35">
        <v>0</v>
      </c>
      <c r="R272" s="35">
        <v>0</v>
      </c>
      <c r="S272" s="35">
        <v>0</v>
      </c>
      <c r="T272" s="40">
        <v>0</v>
      </c>
      <c r="U272" s="37"/>
      <c r="V272" s="40">
        <v>0</v>
      </c>
    </row>
    <row r="273" spans="2:22" s="2" customFormat="1">
      <c r="B273" s="213" t="s">
        <v>672</v>
      </c>
      <c r="C273" s="211" t="s">
        <v>740</v>
      </c>
      <c r="D273" s="41">
        <v>204</v>
      </c>
      <c r="E273" s="41">
        <v>0</v>
      </c>
      <c r="F273" s="41" t="s">
        <v>1034</v>
      </c>
      <c r="G273" s="413">
        <v>24</v>
      </c>
      <c r="H273" s="414">
        <v>183.47107438016531</v>
      </c>
      <c r="I273" s="65"/>
      <c r="J273" s="40" t="s">
        <v>3</v>
      </c>
      <c r="K273" s="37"/>
      <c r="L273" s="35">
        <v>29</v>
      </c>
      <c r="M273" s="35">
        <v>0</v>
      </c>
      <c r="N273" s="40">
        <v>0</v>
      </c>
      <c r="O273" s="37"/>
      <c r="P273" s="35">
        <v>0</v>
      </c>
      <c r="Q273" s="35">
        <v>0</v>
      </c>
      <c r="R273" s="35">
        <v>0</v>
      </c>
      <c r="S273" s="35">
        <v>0</v>
      </c>
      <c r="T273" s="40">
        <v>0</v>
      </c>
      <c r="U273" s="37"/>
      <c r="V273" s="40">
        <v>21</v>
      </c>
    </row>
    <row r="274" spans="2:22" s="2" customFormat="1">
      <c r="B274" s="213" t="s">
        <v>59</v>
      </c>
      <c r="C274" s="211" t="s">
        <v>739</v>
      </c>
      <c r="D274" s="41">
        <v>66</v>
      </c>
      <c r="E274" s="41">
        <v>0</v>
      </c>
      <c r="F274" s="22" t="s">
        <v>1034</v>
      </c>
      <c r="G274" s="40">
        <v>24</v>
      </c>
      <c r="H274" s="388">
        <v>56.198347107438018</v>
      </c>
      <c r="I274" s="65"/>
      <c r="J274" s="40" t="s">
        <v>3</v>
      </c>
      <c r="K274" s="37"/>
      <c r="L274" s="35">
        <v>0</v>
      </c>
      <c r="M274" s="35">
        <v>0</v>
      </c>
      <c r="N274" s="40">
        <v>0</v>
      </c>
      <c r="O274" s="37"/>
      <c r="P274" s="35">
        <v>0</v>
      </c>
      <c r="Q274" s="35">
        <v>0</v>
      </c>
      <c r="R274" s="35">
        <v>0</v>
      </c>
      <c r="S274" s="35">
        <v>0</v>
      </c>
      <c r="T274" s="40">
        <v>0</v>
      </c>
      <c r="U274" s="37"/>
      <c r="V274" s="40">
        <v>10</v>
      </c>
    </row>
    <row r="275" spans="2:22" s="2" customFormat="1">
      <c r="B275" s="213" t="s">
        <v>59</v>
      </c>
      <c r="C275" s="211" t="s">
        <v>527</v>
      </c>
      <c r="D275" s="41">
        <v>107</v>
      </c>
      <c r="E275" s="41">
        <v>0</v>
      </c>
      <c r="F275" s="41" t="s">
        <v>1034</v>
      </c>
      <c r="G275" s="413">
        <v>24</v>
      </c>
      <c r="H275" s="414">
        <v>93.388429752066116</v>
      </c>
      <c r="I275" s="65"/>
      <c r="J275" s="40" t="s">
        <v>3</v>
      </c>
      <c r="K275" s="37"/>
      <c r="L275" s="35">
        <v>0</v>
      </c>
      <c r="M275" s="35">
        <v>0</v>
      </c>
      <c r="N275" s="40">
        <v>0</v>
      </c>
      <c r="O275" s="37"/>
      <c r="P275" s="35">
        <v>0</v>
      </c>
      <c r="Q275" s="35">
        <v>0</v>
      </c>
      <c r="R275" s="35">
        <v>0</v>
      </c>
      <c r="S275" s="35">
        <v>0</v>
      </c>
      <c r="T275" s="40">
        <v>0</v>
      </c>
      <c r="U275" s="37"/>
      <c r="V275" s="40">
        <v>14</v>
      </c>
    </row>
    <row r="276" spans="2:22" s="2" customFormat="1">
      <c r="B276" s="213" t="s">
        <v>106</v>
      </c>
      <c r="C276" s="211" t="s">
        <v>405</v>
      </c>
      <c r="D276" s="41">
        <v>89</v>
      </c>
      <c r="E276" s="41">
        <v>0</v>
      </c>
      <c r="F276" s="22" t="s">
        <v>1038</v>
      </c>
      <c r="G276" s="40">
        <v>24</v>
      </c>
      <c r="H276" s="388">
        <v>87.603305785123965</v>
      </c>
      <c r="I276" s="65"/>
      <c r="J276" s="40" t="s">
        <v>3</v>
      </c>
      <c r="K276" s="37"/>
      <c r="L276" s="35">
        <v>0</v>
      </c>
      <c r="M276" s="35">
        <v>0</v>
      </c>
      <c r="N276" s="40">
        <v>0</v>
      </c>
      <c r="O276" s="37"/>
      <c r="P276" s="35">
        <v>0</v>
      </c>
      <c r="Q276" s="35">
        <v>0</v>
      </c>
      <c r="R276" s="35">
        <v>0</v>
      </c>
      <c r="S276" s="35">
        <v>0</v>
      </c>
      <c r="T276" s="40">
        <v>0</v>
      </c>
      <c r="U276" s="37"/>
      <c r="V276" s="40">
        <v>1</v>
      </c>
    </row>
    <row r="277" spans="2:22" s="2" customFormat="1">
      <c r="B277" s="213" t="s">
        <v>106</v>
      </c>
      <c r="C277" s="211" t="s">
        <v>380</v>
      </c>
      <c r="D277" s="41">
        <v>49</v>
      </c>
      <c r="E277" s="41">
        <v>0</v>
      </c>
      <c r="F277" s="41" t="s">
        <v>1038</v>
      </c>
      <c r="G277" s="413">
        <v>24</v>
      </c>
      <c r="H277" s="414">
        <v>59.504132231404959</v>
      </c>
      <c r="I277" s="65"/>
      <c r="J277" s="40" t="s">
        <v>3</v>
      </c>
      <c r="K277" s="37"/>
      <c r="L277" s="35">
        <v>0</v>
      </c>
      <c r="M277" s="35">
        <v>0</v>
      </c>
      <c r="N277" s="40">
        <v>0</v>
      </c>
      <c r="O277" s="37"/>
      <c r="P277" s="35">
        <v>0</v>
      </c>
      <c r="Q277" s="35">
        <v>0</v>
      </c>
      <c r="R277" s="35">
        <v>0</v>
      </c>
      <c r="S277" s="35">
        <v>0</v>
      </c>
      <c r="T277" s="40">
        <v>0</v>
      </c>
      <c r="U277" s="37"/>
      <c r="V277" s="40">
        <v>-11</v>
      </c>
    </row>
    <row r="278" spans="2:22" s="2" customFormat="1">
      <c r="B278" s="213" t="s">
        <v>675</v>
      </c>
      <c r="C278" s="211" t="s">
        <v>452</v>
      </c>
      <c r="D278" s="41">
        <v>71</v>
      </c>
      <c r="E278" s="41">
        <v>0</v>
      </c>
      <c r="F278" s="22" t="s">
        <v>1041</v>
      </c>
      <c r="G278" s="40">
        <v>24</v>
      </c>
      <c r="H278" s="388">
        <v>53.719008264462815</v>
      </c>
      <c r="I278" s="65"/>
      <c r="J278" s="40" t="s">
        <v>3</v>
      </c>
      <c r="K278" s="37"/>
      <c r="L278" s="35">
        <v>0</v>
      </c>
      <c r="M278" s="35">
        <v>0</v>
      </c>
      <c r="N278" s="40">
        <v>0</v>
      </c>
      <c r="O278" s="37"/>
      <c r="P278" s="35">
        <v>0</v>
      </c>
      <c r="Q278" s="35">
        <v>0</v>
      </c>
      <c r="R278" s="35">
        <v>0</v>
      </c>
      <c r="S278" s="35">
        <v>0</v>
      </c>
      <c r="T278" s="40">
        <v>0</v>
      </c>
      <c r="U278" s="37"/>
      <c r="V278" s="40">
        <v>17</v>
      </c>
    </row>
    <row r="279" spans="2:22" s="2" customFormat="1">
      <c r="B279" s="213" t="s">
        <v>675</v>
      </c>
      <c r="C279" s="211" t="s">
        <v>453</v>
      </c>
      <c r="D279" s="41">
        <v>49</v>
      </c>
      <c r="E279" s="41">
        <v>0</v>
      </c>
      <c r="F279" s="41" t="s">
        <v>1041</v>
      </c>
      <c r="G279" s="413">
        <v>24</v>
      </c>
      <c r="H279" s="414">
        <v>35.537190082644628</v>
      </c>
      <c r="I279" s="65"/>
      <c r="J279" s="40" t="s">
        <v>3</v>
      </c>
      <c r="K279" s="37"/>
      <c r="L279" s="35">
        <v>0</v>
      </c>
      <c r="M279" s="35">
        <v>0</v>
      </c>
      <c r="N279" s="40">
        <v>0</v>
      </c>
      <c r="O279" s="37"/>
      <c r="P279" s="35">
        <v>0</v>
      </c>
      <c r="Q279" s="35">
        <v>0</v>
      </c>
      <c r="R279" s="35">
        <v>0</v>
      </c>
      <c r="S279" s="35">
        <v>0</v>
      </c>
      <c r="T279" s="40">
        <v>0</v>
      </c>
      <c r="U279" s="37"/>
      <c r="V279" s="40">
        <v>13</v>
      </c>
    </row>
    <row r="280" spans="2:22" s="2" customFormat="1">
      <c r="B280" s="213" t="s">
        <v>58</v>
      </c>
      <c r="C280" s="211" t="s">
        <v>372</v>
      </c>
      <c r="D280" s="41">
        <v>223</v>
      </c>
      <c r="E280" s="41">
        <v>0</v>
      </c>
      <c r="F280" s="22" t="s">
        <v>1041</v>
      </c>
      <c r="G280" s="40">
        <v>24</v>
      </c>
      <c r="H280" s="388">
        <v>136.36363636363637</v>
      </c>
      <c r="I280" s="65"/>
      <c r="J280" s="40" t="s">
        <v>3</v>
      </c>
      <c r="K280" s="37"/>
      <c r="L280" s="35">
        <v>19</v>
      </c>
      <c r="M280" s="35">
        <v>0</v>
      </c>
      <c r="N280" s="40">
        <v>0</v>
      </c>
      <c r="O280" s="37"/>
      <c r="P280" s="35">
        <v>0</v>
      </c>
      <c r="Q280" s="35">
        <v>0</v>
      </c>
      <c r="R280" s="35">
        <v>0</v>
      </c>
      <c r="S280" s="35">
        <v>0</v>
      </c>
      <c r="T280" s="40">
        <v>0</v>
      </c>
      <c r="U280" s="37"/>
      <c r="V280" s="40">
        <v>87</v>
      </c>
    </row>
    <row r="281" spans="2:22" s="2" customFormat="1">
      <c r="B281" s="213" t="s">
        <v>58</v>
      </c>
      <c r="C281" s="211" t="s">
        <v>372</v>
      </c>
      <c r="D281" s="41">
        <v>223</v>
      </c>
      <c r="E281" s="41">
        <v>0</v>
      </c>
      <c r="F281" s="41" t="s">
        <v>1041</v>
      </c>
      <c r="G281" s="413">
        <v>30</v>
      </c>
      <c r="H281" s="414">
        <v>136.36363636363637</v>
      </c>
      <c r="I281" s="65"/>
      <c r="J281" s="40" t="s">
        <v>3</v>
      </c>
      <c r="K281" s="37"/>
      <c r="L281" s="35">
        <v>19</v>
      </c>
      <c r="M281" s="35">
        <v>0</v>
      </c>
      <c r="N281" s="40">
        <v>0</v>
      </c>
      <c r="O281" s="37"/>
      <c r="P281" s="35">
        <v>0</v>
      </c>
      <c r="Q281" s="35">
        <v>0</v>
      </c>
      <c r="R281" s="35">
        <v>0</v>
      </c>
      <c r="S281" s="35">
        <v>0</v>
      </c>
      <c r="T281" s="40">
        <v>0</v>
      </c>
      <c r="U281" s="37"/>
      <c r="V281" s="40">
        <v>87</v>
      </c>
    </row>
    <row r="282" spans="2:22" s="2" customFormat="1">
      <c r="B282" s="213" t="s">
        <v>58</v>
      </c>
      <c r="C282" s="211" t="s">
        <v>741</v>
      </c>
      <c r="D282" s="41">
        <v>137</v>
      </c>
      <c r="E282" s="41">
        <v>0</v>
      </c>
      <c r="F282" s="22" t="s">
        <v>1041</v>
      </c>
      <c r="G282" s="40">
        <v>24</v>
      </c>
      <c r="H282" s="388">
        <v>136.36363636363637</v>
      </c>
      <c r="I282" s="65"/>
      <c r="J282" s="40" t="s">
        <v>3</v>
      </c>
      <c r="K282" s="37"/>
      <c r="L282" s="35">
        <v>19</v>
      </c>
      <c r="M282" s="35">
        <v>0</v>
      </c>
      <c r="N282" s="40">
        <v>0</v>
      </c>
      <c r="O282" s="37"/>
      <c r="P282" s="35">
        <v>0</v>
      </c>
      <c r="Q282" s="35">
        <v>0</v>
      </c>
      <c r="R282" s="35">
        <v>0</v>
      </c>
      <c r="S282" s="35">
        <v>0</v>
      </c>
      <c r="T282" s="40">
        <v>0</v>
      </c>
      <c r="U282" s="37"/>
      <c r="V282" s="40">
        <v>1</v>
      </c>
    </row>
    <row r="283" spans="2:22" s="2" customFormat="1">
      <c r="B283" s="213" t="s">
        <v>58</v>
      </c>
      <c r="C283" s="211" t="s">
        <v>741</v>
      </c>
      <c r="D283" s="41">
        <v>137</v>
      </c>
      <c r="E283" s="41">
        <v>0</v>
      </c>
      <c r="F283" s="41" t="s">
        <v>1041</v>
      </c>
      <c r="G283" s="413">
        <v>30</v>
      </c>
      <c r="H283" s="414">
        <v>136.36363636363637</v>
      </c>
      <c r="I283" s="65"/>
      <c r="J283" s="40" t="s">
        <v>3</v>
      </c>
      <c r="K283" s="37"/>
      <c r="L283" s="35">
        <v>19</v>
      </c>
      <c r="M283" s="35">
        <v>0</v>
      </c>
      <c r="N283" s="40">
        <v>0</v>
      </c>
      <c r="O283" s="37"/>
      <c r="P283" s="35">
        <v>0</v>
      </c>
      <c r="Q283" s="35">
        <v>0</v>
      </c>
      <c r="R283" s="35">
        <v>0</v>
      </c>
      <c r="S283" s="35">
        <v>0</v>
      </c>
      <c r="T283" s="40">
        <v>0</v>
      </c>
      <c r="U283" s="37"/>
      <c r="V283" s="40">
        <v>1</v>
      </c>
    </row>
    <row r="284" spans="2:22" s="2" customFormat="1">
      <c r="B284" s="213" t="s">
        <v>58</v>
      </c>
      <c r="C284" s="211" t="s">
        <v>742</v>
      </c>
      <c r="D284" s="41">
        <v>184</v>
      </c>
      <c r="E284" s="41">
        <v>0</v>
      </c>
      <c r="F284" s="22" t="s">
        <v>1041</v>
      </c>
      <c r="G284" s="40">
        <v>24</v>
      </c>
      <c r="H284" s="388">
        <v>183.47107438016531</v>
      </c>
      <c r="I284" s="65"/>
      <c r="J284" s="40" t="s">
        <v>3</v>
      </c>
      <c r="K284" s="37"/>
      <c r="L284" s="35">
        <v>29</v>
      </c>
      <c r="M284" s="35">
        <v>0</v>
      </c>
      <c r="N284" s="40">
        <v>0</v>
      </c>
      <c r="O284" s="37"/>
      <c r="P284" s="35">
        <v>0</v>
      </c>
      <c r="Q284" s="35">
        <v>0</v>
      </c>
      <c r="R284" s="35">
        <v>0</v>
      </c>
      <c r="S284" s="35">
        <v>0</v>
      </c>
      <c r="T284" s="40">
        <v>0</v>
      </c>
      <c r="U284" s="37"/>
      <c r="V284" s="40">
        <v>1</v>
      </c>
    </row>
    <row r="285" spans="2:22" s="2" customFormat="1">
      <c r="B285" s="213" t="s">
        <v>58</v>
      </c>
      <c r="C285" s="211" t="s">
        <v>742</v>
      </c>
      <c r="D285" s="41">
        <v>184</v>
      </c>
      <c r="E285" s="41">
        <v>0</v>
      </c>
      <c r="F285" s="41" t="s">
        <v>1041</v>
      </c>
      <c r="G285" s="413">
        <v>30</v>
      </c>
      <c r="H285" s="414">
        <v>183.47107438016531</v>
      </c>
      <c r="I285" s="65"/>
      <c r="J285" s="40" t="s">
        <v>3</v>
      </c>
      <c r="K285" s="37"/>
      <c r="L285" s="35">
        <v>29</v>
      </c>
      <c r="M285" s="35">
        <v>0</v>
      </c>
      <c r="N285" s="40">
        <v>0</v>
      </c>
      <c r="O285" s="37"/>
      <c r="P285" s="35">
        <v>0</v>
      </c>
      <c r="Q285" s="35">
        <v>0</v>
      </c>
      <c r="R285" s="35">
        <v>0</v>
      </c>
      <c r="S285" s="35">
        <v>0</v>
      </c>
      <c r="T285" s="40">
        <v>0</v>
      </c>
      <c r="U285" s="37"/>
      <c r="V285" s="40">
        <v>1</v>
      </c>
    </row>
    <row r="286" spans="2:22" s="2" customFormat="1">
      <c r="B286" s="213" t="s">
        <v>58</v>
      </c>
      <c r="C286" s="211" t="s">
        <v>552</v>
      </c>
      <c r="D286" s="41">
        <v>279</v>
      </c>
      <c r="E286" s="41">
        <v>0</v>
      </c>
      <c r="F286" s="22" t="s">
        <v>1041</v>
      </c>
      <c r="G286" s="40">
        <v>24</v>
      </c>
      <c r="H286" s="388">
        <v>277.68595041322317</v>
      </c>
      <c r="I286" s="65"/>
      <c r="J286" s="40" t="s">
        <v>3</v>
      </c>
      <c r="K286" s="37"/>
      <c r="L286" s="35">
        <v>39</v>
      </c>
      <c r="M286" s="35">
        <v>0</v>
      </c>
      <c r="N286" s="40">
        <v>0</v>
      </c>
      <c r="O286" s="37"/>
      <c r="P286" s="35">
        <v>0</v>
      </c>
      <c r="Q286" s="35">
        <v>0</v>
      </c>
      <c r="R286" s="35">
        <v>0</v>
      </c>
      <c r="S286" s="35">
        <v>0</v>
      </c>
      <c r="T286" s="40">
        <v>0</v>
      </c>
      <c r="U286" s="37"/>
      <c r="V286" s="40">
        <v>1</v>
      </c>
    </row>
    <row r="287" spans="2:22" s="2" customFormat="1">
      <c r="B287" s="213" t="s">
        <v>58</v>
      </c>
      <c r="C287" s="211" t="s">
        <v>552</v>
      </c>
      <c r="D287" s="41">
        <v>279</v>
      </c>
      <c r="E287" s="41">
        <v>0</v>
      </c>
      <c r="F287" s="41" t="s">
        <v>1041</v>
      </c>
      <c r="G287" s="413">
        <v>30</v>
      </c>
      <c r="H287" s="414">
        <v>277.68595041322317</v>
      </c>
      <c r="I287" s="65"/>
      <c r="J287" s="40" t="s">
        <v>3</v>
      </c>
      <c r="K287" s="37"/>
      <c r="L287" s="35">
        <v>39</v>
      </c>
      <c r="M287" s="35">
        <v>0</v>
      </c>
      <c r="N287" s="40">
        <v>0</v>
      </c>
      <c r="O287" s="37"/>
      <c r="P287" s="35">
        <v>0</v>
      </c>
      <c r="Q287" s="35">
        <v>0</v>
      </c>
      <c r="R287" s="35">
        <v>0</v>
      </c>
      <c r="S287" s="35">
        <v>0</v>
      </c>
      <c r="T287" s="40">
        <v>0</v>
      </c>
      <c r="U287" s="37"/>
      <c r="V287" s="40">
        <v>1</v>
      </c>
    </row>
    <row r="288" spans="2:22" s="2" customFormat="1">
      <c r="B288" s="213" t="s">
        <v>672</v>
      </c>
      <c r="C288" s="211" t="s">
        <v>750</v>
      </c>
      <c r="D288" s="41">
        <v>168</v>
      </c>
      <c r="E288" s="41">
        <v>0</v>
      </c>
      <c r="F288" s="22" t="s">
        <v>1041</v>
      </c>
      <c r="G288" s="40">
        <v>24</v>
      </c>
      <c r="H288" s="388">
        <v>157.85123966942149</v>
      </c>
      <c r="I288" s="65"/>
      <c r="J288" s="40" t="s">
        <v>3</v>
      </c>
      <c r="K288" s="37"/>
      <c r="L288" s="35">
        <v>29</v>
      </c>
      <c r="M288" s="35">
        <v>0</v>
      </c>
      <c r="N288" s="40">
        <v>0</v>
      </c>
      <c r="O288" s="37"/>
      <c r="P288" s="35">
        <v>0</v>
      </c>
      <c r="Q288" s="35">
        <v>0</v>
      </c>
      <c r="R288" s="35">
        <v>0</v>
      </c>
      <c r="S288" s="35">
        <v>0</v>
      </c>
      <c r="T288" s="40">
        <v>0</v>
      </c>
      <c r="U288" s="37"/>
      <c r="V288" s="40">
        <v>10</v>
      </c>
    </row>
    <row r="289" spans="2:22" s="2" customFormat="1">
      <c r="B289" s="213" t="s">
        <v>106</v>
      </c>
      <c r="C289" s="211" t="s">
        <v>751</v>
      </c>
      <c r="D289" s="41">
        <v>204</v>
      </c>
      <c r="E289" s="41">
        <v>0</v>
      </c>
      <c r="F289" s="41" t="s">
        <v>1041</v>
      </c>
      <c r="G289" s="413">
        <v>24</v>
      </c>
      <c r="H289" s="414">
        <v>195.04132231404958</v>
      </c>
      <c r="I289" s="65"/>
      <c r="J289" s="40" t="s">
        <v>3</v>
      </c>
      <c r="K289" s="37"/>
      <c r="L289" s="35">
        <v>29</v>
      </c>
      <c r="M289" s="35">
        <v>0</v>
      </c>
      <c r="N289" s="40">
        <v>0</v>
      </c>
      <c r="O289" s="37"/>
      <c r="P289" s="35">
        <v>0</v>
      </c>
      <c r="Q289" s="35">
        <v>0</v>
      </c>
      <c r="R289" s="35">
        <v>0</v>
      </c>
      <c r="S289" s="35">
        <v>0</v>
      </c>
      <c r="T289" s="40">
        <v>0</v>
      </c>
      <c r="U289" s="37"/>
      <c r="V289" s="40">
        <v>9</v>
      </c>
    </row>
    <row r="290" spans="2:22" s="2" customFormat="1">
      <c r="B290" s="213" t="s">
        <v>670</v>
      </c>
      <c r="C290" s="211" t="s">
        <v>588</v>
      </c>
      <c r="D290" s="41">
        <v>47</v>
      </c>
      <c r="E290" s="41">
        <v>0</v>
      </c>
      <c r="F290" s="22" t="s">
        <v>1041</v>
      </c>
      <c r="G290" s="40">
        <v>24</v>
      </c>
      <c r="H290" s="388">
        <v>46.280991735537192</v>
      </c>
      <c r="I290" s="65"/>
      <c r="J290" s="40" t="s">
        <v>3</v>
      </c>
      <c r="K290" s="37"/>
      <c r="L290" s="35">
        <v>0</v>
      </c>
      <c r="M290" s="35">
        <v>0</v>
      </c>
      <c r="N290" s="40">
        <v>0</v>
      </c>
      <c r="O290" s="37"/>
      <c r="P290" s="35">
        <v>0</v>
      </c>
      <c r="Q290" s="35">
        <v>0</v>
      </c>
      <c r="R290" s="35">
        <v>0</v>
      </c>
      <c r="S290" s="35">
        <v>0</v>
      </c>
      <c r="T290" s="40">
        <v>0</v>
      </c>
      <c r="U290" s="37"/>
      <c r="V290" s="40">
        <v>1</v>
      </c>
    </row>
    <row r="291" spans="2:22" s="2" customFormat="1">
      <c r="B291" s="213" t="s">
        <v>57</v>
      </c>
      <c r="C291" s="211" t="s">
        <v>639</v>
      </c>
      <c r="D291" s="41">
        <v>94</v>
      </c>
      <c r="E291" s="41">
        <v>0</v>
      </c>
      <c r="F291" s="41" t="s">
        <v>1041</v>
      </c>
      <c r="G291" s="413">
        <v>24</v>
      </c>
      <c r="H291" s="414">
        <v>73.553719008264466</v>
      </c>
      <c r="I291" s="65"/>
      <c r="J291" s="40" t="s">
        <v>3</v>
      </c>
      <c r="K291" s="37"/>
      <c r="L291" s="35">
        <v>0</v>
      </c>
      <c r="M291" s="35">
        <v>0</v>
      </c>
      <c r="N291" s="40">
        <v>0</v>
      </c>
      <c r="O291" s="37"/>
      <c r="P291" s="35">
        <v>0</v>
      </c>
      <c r="Q291" s="35">
        <v>0</v>
      </c>
      <c r="R291" s="35">
        <v>0</v>
      </c>
      <c r="S291" s="35">
        <v>0</v>
      </c>
      <c r="T291" s="40">
        <v>0</v>
      </c>
      <c r="U291" s="37"/>
      <c r="V291" s="40">
        <v>20</v>
      </c>
    </row>
    <row r="292" spans="2:22" s="2" customFormat="1">
      <c r="B292" s="213" t="s">
        <v>57</v>
      </c>
      <c r="C292" s="211" t="s">
        <v>565</v>
      </c>
      <c r="D292" s="41">
        <v>41</v>
      </c>
      <c r="E292" s="41">
        <v>0</v>
      </c>
      <c r="F292" s="22" t="s">
        <v>1041</v>
      </c>
      <c r="G292" s="40">
        <v>24</v>
      </c>
      <c r="H292" s="388">
        <v>38.84297520661157</v>
      </c>
      <c r="I292" s="65"/>
      <c r="J292" s="40" t="s">
        <v>3</v>
      </c>
      <c r="K292" s="37"/>
      <c r="L292" s="35">
        <v>0</v>
      </c>
      <c r="M292" s="35">
        <v>0</v>
      </c>
      <c r="N292" s="40">
        <v>0</v>
      </c>
      <c r="O292" s="37"/>
      <c r="P292" s="35">
        <v>0</v>
      </c>
      <c r="Q292" s="35">
        <v>0</v>
      </c>
      <c r="R292" s="35">
        <v>0</v>
      </c>
      <c r="S292" s="35">
        <v>0</v>
      </c>
      <c r="T292" s="40">
        <v>0</v>
      </c>
      <c r="U292" s="37"/>
      <c r="V292" s="40">
        <v>2</v>
      </c>
    </row>
    <row r="293" spans="2:22" s="2" customFormat="1">
      <c r="B293" s="213" t="s">
        <v>57</v>
      </c>
      <c r="C293" s="211" t="s">
        <v>621</v>
      </c>
      <c r="D293" s="41">
        <v>188</v>
      </c>
      <c r="E293" s="41">
        <v>0</v>
      </c>
      <c r="F293" s="41" t="s">
        <v>1041</v>
      </c>
      <c r="G293" s="413">
        <v>24</v>
      </c>
      <c r="H293" s="414">
        <v>133.05785123966942</v>
      </c>
      <c r="I293" s="65"/>
      <c r="J293" s="40" t="s">
        <v>3</v>
      </c>
      <c r="K293" s="37"/>
      <c r="L293" s="35">
        <v>19</v>
      </c>
      <c r="M293" s="35">
        <v>0</v>
      </c>
      <c r="N293" s="40">
        <v>0</v>
      </c>
      <c r="O293" s="37"/>
      <c r="P293" s="35">
        <v>0</v>
      </c>
      <c r="Q293" s="35">
        <v>0</v>
      </c>
      <c r="R293" s="35">
        <v>0</v>
      </c>
      <c r="S293" s="35">
        <v>0</v>
      </c>
      <c r="T293" s="40">
        <v>0</v>
      </c>
      <c r="U293" s="37"/>
      <c r="V293" s="40">
        <v>55</v>
      </c>
    </row>
    <row r="294" spans="2:22" s="2" customFormat="1">
      <c r="B294" s="213" t="s">
        <v>110</v>
      </c>
      <c r="C294" s="211" t="s">
        <v>610</v>
      </c>
      <c r="D294" s="41">
        <v>65</v>
      </c>
      <c r="E294" s="41">
        <v>0</v>
      </c>
      <c r="F294" s="22" t="s">
        <v>1041</v>
      </c>
      <c r="G294" s="40">
        <v>24</v>
      </c>
      <c r="H294" s="388">
        <v>42.97520661157025</v>
      </c>
      <c r="I294" s="65"/>
      <c r="J294" s="40" t="s">
        <v>3</v>
      </c>
      <c r="K294" s="37"/>
      <c r="L294" s="35">
        <v>0</v>
      </c>
      <c r="M294" s="35">
        <v>0</v>
      </c>
      <c r="N294" s="40">
        <v>0</v>
      </c>
      <c r="O294" s="37"/>
      <c r="P294" s="35">
        <v>0</v>
      </c>
      <c r="Q294" s="35">
        <v>0</v>
      </c>
      <c r="R294" s="35">
        <v>0</v>
      </c>
      <c r="S294" s="35">
        <v>0</v>
      </c>
      <c r="T294" s="40">
        <v>0</v>
      </c>
      <c r="U294" s="37"/>
      <c r="V294" s="40">
        <v>22</v>
      </c>
    </row>
    <row r="295" spans="2:22" s="2" customFormat="1">
      <c r="B295" s="213" t="s">
        <v>667</v>
      </c>
      <c r="C295" s="211" t="s">
        <v>582</v>
      </c>
      <c r="D295" s="41">
        <v>53</v>
      </c>
      <c r="E295" s="41">
        <v>0</v>
      </c>
      <c r="F295" s="41" t="s">
        <v>1041</v>
      </c>
      <c r="G295" s="413">
        <v>24</v>
      </c>
      <c r="H295" s="414">
        <v>36.363636363636367</v>
      </c>
      <c r="I295" s="65"/>
      <c r="J295" s="40" t="s">
        <v>3</v>
      </c>
      <c r="K295" s="37"/>
      <c r="L295" s="35">
        <v>0</v>
      </c>
      <c r="M295" s="35">
        <v>0</v>
      </c>
      <c r="N295" s="40">
        <v>0</v>
      </c>
      <c r="O295" s="37"/>
      <c r="P295" s="35">
        <v>0</v>
      </c>
      <c r="Q295" s="35">
        <v>0</v>
      </c>
      <c r="R295" s="35">
        <v>0</v>
      </c>
      <c r="S295" s="35">
        <v>0</v>
      </c>
      <c r="T295" s="40">
        <v>0</v>
      </c>
      <c r="U295" s="37"/>
      <c r="V295" s="40">
        <v>17</v>
      </c>
    </row>
    <row r="296" spans="2:22" s="2" customFormat="1">
      <c r="B296" s="213" t="s">
        <v>60</v>
      </c>
      <c r="C296" s="211" t="s">
        <v>658</v>
      </c>
      <c r="D296" s="41">
        <v>172</v>
      </c>
      <c r="E296" s="41">
        <v>0</v>
      </c>
      <c r="F296" s="22" t="s">
        <v>1041</v>
      </c>
      <c r="G296" s="40">
        <v>24</v>
      </c>
      <c r="H296" s="388">
        <v>130.57851239669421</v>
      </c>
      <c r="I296" s="65"/>
      <c r="J296" s="40" t="s">
        <v>3</v>
      </c>
      <c r="K296" s="37"/>
      <c r="L296" s="35">
        <v>19</v>
      </c>
      <c r="M296" s="35">
        <v>0</v>
      </c>
      <c r="N296" s="40">
        <v>0</v>
      </c>
      <c r="O296" s="37"/>
      <c r="P296" s="35">
        <v>0</v>
      </c>
      <c r="Q296" s="35">
        <v>0</v>
      </c>
      <c r="R296" s="35">
        <v>0</v>
      </c>
      <c r="S296" s="35">
        <v>0</v>
      </c>
      <c r="T296" s="40">
        <v>0</v>
      </c>
      <c r="U296" s="37"/>
      <c r="V296" s="40">
        <v>41</v>
      </c>
    </row>
    <row r="297" spans="2:22" s="2" customFormat="1">
      <c r="B297" s="213" t="s">
        <v>60</v>
      </c>
      <c r="C297" s="211" t="s">
        <v>659</v>
      </c>
      <c r="D297" s="41">
        <v>240</v>
      </c>
      <c r="E297" s="41">
        <v>0</v>
      </c>
      <c r="F297" s="41" t="s">
        <v>1041</v>
      </c>
      <c r="G297" s="413">
        <v>24</v>
      </c>
      <c r="H297" s="414">
        <v>187.60330578512398</v>
      </c>
      <c r="I297" s="65"/>
      <c r="J297" s="40" t="s">
        <v>3</v>
      </c>
      <c r="K297" s="37"/>
      <c r="L297" s="35">
        <v>29</v>
      </c>
      <c r="M297" s="35">
        <v>0</v>
      </c>
      <c r="N297" s="40">
        <v>0</v>
      </c>
      <c r="O297" s="37"/>
      <c r="P297" s="35">
        <v>0</v>
      </c>
      <c r="Q297" s="35">
        <v>0</v>
      </c>
      <c r="R297" s="35">
        <v>0</v>
      </c>
      <c r="S297" s="35">
        <v>0</v>
      </c>
      <c r="T297" s="40">
        <v>0</v>
      </c>
      <c r="U297" s="37"/>
      <c r="V297" s="40">
        <v>52</v>
      </c>
    </row>
    <row r="298" spans="2:22" s="2" customFormat="1">
      <c r="B298" s="213" t="s">
        <v>60</v>
      </c>
      <c r="C298" s="211" t="s">
        <v>555</v>
      </c>
      <c r="D298" s="41">
        <v>99</v>
      </c>
      <c r="E298" s="41">
        <v>0</v>
      </c>
      <c r="F298" s="22" t="s">
        <v>1041</v>
      </c>
      <c r="G298" s="40">
        <v>24</v>
      </c>
      <c r="H298" s="388">
        <v>75.206611570247929</v>
      </c>
      <c r="I298" s="65"/>
      <c r="J298" s="40" t="s">
        <v>3</v>
      </c>
      <c r="K298" s="37"/>
      <c r="L298" s="35">
        <v>0</v>
      </c>
      <c r="M298" s="35">
        <v>0</v>
      </c>
      <c r="N298" s="40">
        <v>0</v>
      </c>
      <c r="O298" s="37"/>
      <c r="P298" s="35">
        <v>0</v>
      </c>
      <c r="Q298" s="35">
        <v>0</v>
      </c>
      <c r="R298" s="35">
        <v>0</v>
      </c>
      <c r="S298" s="35">
        <v>0</v>
      </c>
      <c r="T298" s="40">
        <v>0</v>
      </c>
      <c r="U298" s="37"/>
      <c r="V298" s="40">
        <v>24</v>
      </c>
    </row>
    <row r="299" spans="2:22" s="2" customFormat="1">
      <c r="B299" s="213" t="s">
        <v>673</v>
      </c>
      <c r="C299" s="211" t="s">
        <v>526</v>
      </c>
      <c r="D299" s="41">
        <v>46</v>
      </c>
      <c r="E299" s="41">
        <v>0</v>
      </c>
      <c r="F299" s="41" t="s">
        <v>1041</v>
      </c>
      <c r="G299" s="413">
        <v>24</v>
      </c>
      <c r="H299" s="414">
        <v>42.97520661157025</v>
      </c>
      <c r="I299" s="65"/>
      <c r="J299" s="40" t="s">
        <v>3</v>
      </c>
      <c r="K299" s="37"/>
      <c r="L299" s="35">
        <v>0</v>
      </c>
      <c r="M299" s="35">
        <v>0</v>
      </c>
      <c r="N299" s="40">
        <v>0</v>
      </c>
      <c r="O299" s="37"/>
      <c r="P299" s="35">
        <v>0</v>
      </c>
      <c r="Q299" s="35">
        <v>0</v>
      </c>
      <c r="R299" s="35">
        <v>0</v>
      </c>
      <c r="S299" s="35">
        <v>0</v>
      </c>
      <c r="T299" s="40">
        <v>0</v>
      </c>
      <c r="U299" s="37"/>
      <c r="V299" s="40">
        <v>3</v>
      </c>
    </row>
    <row r="300" spans="2:22" s="2" customFormat="1">
      <c r="B300" s="213" t="s">
        <v>664</v>
      </c>
      <c r="C300" s="211" t="s">
        <v>640</v>
      </c>
      <c r="D300" s="41">
        <v>93</v>
      </c>
      <c r="E300" s="41">
        <v>0</v>
      </c>
      <c r="F300" s="22" t="s">
        <v>1041</v>
      </c>
      <c r="G300" s="40">
        <v>24</v>
      </c>
      <c r="H300" s="388">
        <v>92.561983471074385</v>
      </c>
      <c r="I300" s="65"/>
      <c r="J300" s="40" t="s">
        <v>3</v>
      </c>
      <c r="K300" s="37"/>
      <c r="L300" s="35">
        <v>0</v>
      </c>
      <c r="M300" s="35">
        <v>0</v>
      </c>
      <c r="N300" s="40">
        <v>0</v>
      </c>
      <c r="O300" s="37"/>
      <c r="P300" s="35">
        <v>0</v>
      </c>
      <c r="Q300" s="35">
        <v>0</v>
      </c>
      <c r="R300" s="35">
        <v>0</v>
      </c>
      <c r="S300" s="35">
        <v>0</v>
      </c>
      <c r="T300" s="40">
        <v>0</v>
      </c>
      <c r="U300" s="37"/>
      <c r="V300" s="40">
        <v>0</v>
      </c>
    </row>
    <row r="301" spans="2:22" s="2" customFormat="1">
      <c r="B301" s="213" t="s">
        <v>664</v>
      </c>
      <c r="C301" s="211" t="s">
        <v>573</v>
      </c>
      <c r="D301" s="41">
        <v>71</v>
      </c>
      <c r="E301" s="41">
        <v>0</v>
      </c>
      <c r="F301" s="41" t="s">
        <v>1041</v>
      </c>
      <c r="G301" s="413">
        <v>24</v>
      </c>
      <c r="H301" s="414">
        <v>48.760330578512395</v>
      </c>
      <c r="I301" s="65"/>
      <c r="J301" s="40" t="s">
        <v>3</v>
      </c>
      <c r="K301" s="37"/>
      <c r="L301" s="35">
        <v>0</v>
      </c>
      <c r="M301" s="35">
        <v>0</v>
      </c>
      <c r="N301" s="40">
        <v>0</v>
      </c>
      <c r="O301" s="37"/>
      <c r="P301" s="35">
        <v>0</v>
      </c>
      <c r="Q301" s="35">
        <v>0</v>
      </c>
      <c r="R301" s="35">
        <v>0</v>
      </c>
      <c r="S301" s="35">
        <v>0</v>
      </c>
      <c r="T301" s="40">
        <v>0</v>
      </c>
      <c r="U301" s="37"/>
      <c r="V301" s="40">
        <v>22</v>
      </c>
    </row>
    <row r="302" spans="2:22" s="2" customFormat="1">
      <c r="B302" s="213" t="s">
        <v>664</v>
      </c>
      <c r="C302" s="211" t="s">
        <v>752</v>
      </c>
      <c r="D302" s="41">
        <v>32</v>
      </c>
      <c r="E302" s="41">
        <v>0</v>
      </c>
      <c r="F302" s="22" t="s">
        <v>1041</v>
      </c>
      <c r="G302" s="40">
        <v>24</v>
      </c>
      <c r="H302" s="388">
        <v>31.404958677685951</v>
      </c>
      <c r="I302" s="65"/>
      <c r="J302" s="40" t="s">
        <v>3</v>
      </c>
      <c r="K302" s="37"/>
      <c r="L302" s="35">
        <v>0</v>
      </c>
      <c r="M302" s="35">
        <v>0</v>
      </c>
      <c r="N302" s="40">
        <v>0</v>
      </c>
      <c r="O302" s="37"/>
      <c r="P302" s="35">
        <v>0</v>
      </c>
      <c r="Q302" s="35">
        <v>0</v>
      </c>
      <c r="R302" s="35">
        <v>0</v>
      </c>
      <c r="S302" s="35">
        <v>0</v>
      </c>
      <c r="T302" s="40">
        <v>0</v>
      </c>
      <c r="U302" s="37"/>
      <c r="V302" s="40">
        <v>1</v>
      </c>
    </row>
    <row r="303" spans="2:22" s="2" customFormat="1">
      <c r="B303" s="213" t="s">
        <v>664</v>
      </c>
      <c r="C303" s="211" t="s">
        <v>753</v>
      </c>
      <c r="D303" s="41">
        <v>85</v>
      </c>
      <c r="E303" s="41">
        <v>0</v>
      </c>
      <c r="F303" s="41" t="s">
        <v>1041</v>
      </c>
      <c r="G303" s="413">
        <v>24</v>
      </c>
      <c r="H303" s="414">
        <v>84.297520661157023</v>
      </c>
      <c r="I303" s="65"/>
      <c r="J303" s="40" t="s">
        <v>3</v>
      </c>
      <c r="K303" s="37"/>
      <c r="L303" s="35">
        <v>0</v>
      </c>
      <c r="M303" s="35">
        <v>0</v>
      </c>
      <c r="N303" s="40">
        <v>0</v>
      </c>
      <c r="O303" s="37"/>
      <c r="P303" s="35">
        <v>0</v>
      </c>
      <c r="Q303" s="35">
        <v>0</v>
      </c>
      <c r="R303" s="35">
        <v>0</v>
      </c>
      <c r="S303" s="35">
        <v>0</v>
      </c>
      <c r="T303" s="40">
        <v>0</v>
      </c>
      <c r="U303" s="37"/>
      <c r="V303" s="40">
        <v>1</v>
      </c>
    </row>
    <row r="304" spans="2:22" s="2" customFormat="1">
      <c r="B304" s="213" t="s">
        <v>540</v>
      </c>
      <c r="C304" s="211" t="s">
        <v>548</v>
      </c>
      <c r="D304" s="41">
        <v>38</v>
      </c>
      <c r="E304" s="41">
        <v>0</v>
      </c>
      <c r="F304" s="22" t="s">
        <v>1041</v>
      </c>
      <c r="G304" s="40">
        <v>24</v>
      </c>
      <c r="H304" s="388">
        <v>37.190082644628099</v>
      </c>
      <c r="I304" s="65"/>
      <c r="J304" s="40" t="s">
        <v>3</v>
      </c>
      <c r="K304" s="37"/>
      <c r="L304" s="35">
        <v>0</v>
      </c>
      <c r="M304" s="35">
        <v>0</v>
      </c>
      <c r="N304" s="40">
        <v>0</v>
      </c>
      <c r="O304" s="37"/>
      <c r="P304" s="35">
        <v>0</v>
      </c>
      <c r="Q304" s="35">
        <v>0</v>
      </c>
      <c r="R304" s="35">
        <v>0</v>
      </c>
      <c r="S304" s="35">
        <v>0</v>
      </c>
      <c r="T304" s="40">
        <v>0</v>
      </c>
      <c r="U304" s="37"/>
      <c r="V304" s="40">
        <v>1</v>
      </c>
    </row>
    <row r="305" spans="2:22" s="2" customFormat="1">
      <c r="B305" s="213" t="s">
        <v>59</v>
      </c>
      <c r="C305" s="211" t="s">
        <v>519</v>
      </c>
      <c r="D305" s="41">
        <v>165</v>
      </c>
      <c r="E305" s="41">
        <v>0</v>
      </c>
      <c r="F305" s="41" t="s">
        <v>1069</v>
      </c>
      <c r="G305" s="413">
        <v>24</v>
      </c>
      <c r="H305" s="414">
        <v>157.02479338842977</v>
      </c>
      <c r="I305" s="65"/>
      <c r="J305" s="40" t="s">
        <v>3</v>
      </c>
      <c r="K305" s="37"/>
      <c r="L305" s="35">
        <v>29</v>
      </c>
      <c r="M305" s="35">
        <v>0</v>
      </c>
      <c r="N305" s="40">
        <v>0</v>
      </c>
      <c r="O305" s="37"/>
      <c r="P305" s="35">
        <v>0</v>
      </c>
      <c r="Q305" s="35">
        <v>0</v>
      </c>
      <c r="R305" s="35">
        <v>0</v>
      </c>
      <c r="S305" s="35">
        <v>0</v>
      </c>
      <c r="T305" s="40">
        <v>0</v>
      </c>
      <c r="U305" s="37"/>
      <c r="V305" s="40">
        <v>8</v>
      </c>
    </row>
    <row r="306" spans="2:22" s="2" customFormat="1">
      <c r="B306" s="213" t="s">
        <v>59</v>
      </c>
      <c r="C306" s="211" t="s">
        <v>754</v>
      </c>
      <c r="D306" s="41">
        <v>248</v>
      </c>
      <c r="E306" s="41">
        <v>0</v>
      </c>
      <c r="F306" s="22" t="s">
        <v>1069</v>
      </c>
      <c r="G306" s="40">
        <v>24</v>
      </c>
      <c r="H306" s="388">
        <v>243.801652892562</v>
      </c>
      <c r="I306" s="65"/>
      <c r="J306" s="40" t="s">
        <v>3</v>
      </c>
      <c r="K306" s="37"/>
      <c r="L306" s="35">
        <v>39</v>
      </c>
      <c r="M306" s="35">
        <v>0</v>
      </c>
      <c r="N306" s="40">
        <v>0</v>
      </c>
      <c r="O306" s="37"/>
      <c r="P306" s="35">
        <v>0</v>
      </c>
      <c r="Q306" s="35">
        <v>0</v>
      </c>
      <c r="R306" s="35">
        <v>0</v>
      </c>
      <c r="S306" s="35">
        <v>0</v>
      </c>
      <c r="T306" s="40">
        <v>0</v>
      </c>
      <c r="U306" s="37"/>
      <c r="V306" s="40">
        <v>4</v>
      </c>
    </row>
    <row r="307" spans="2:22" s="2" customFormat="1">
      <c r="B307" s="213" t="s">
        <v>60</v>
      </c>
      <c r="C307" s="211" t="s">
        <v>544</v>
      </c>
      <c r="D307" s="41">
        <v>190</v>
      </c>
      <c r="E307" s="41">
        <v>0</v>
      </c>
      <c r="F307" s="41" t="s">
        <v>1069</v>
      </c>
      <c r="G307" s="413">
        <v>24</v>
      </c>
      <c r="H307" s="414">
        <v>114.87603305785125</v>
      </c>
      <c r="I307" s="65"/>
      <c r="J307" s="40" t="s">
        <v>3</v>
      </c>
      <c r="K307" s="37"/>
      <c r="L307" s="35">
        <v>0</v>
      </c>
      <c r="M307" s="35">
        <v>0</v>
      </c>
      <c r="N307" s="40">
        <v>0</v>
      </c>
      <c r="O307" s="37"/>
      <c r="P307" s="35">
        <v>0</v>
      </c>
      <c r="Q307" s="35">
        <v>0</v>
      </c>
      <c r="R307" s="35">
        <v>0</v>
      </c>
      <c r="S307" s="35">
        <v>0</v>
      </c>
      <c r="T307" s="40">
        <v>0</v>
      </c>
      <c r="U307" s="37"/>
      <c r="V307" s="40">
        <v>75</v>
      </c>
    </row>
    <row r="308" spans="2:22" s="2" customFormat="1">
      <c r="B308" s="213" t="s">
        <v>293</v>
      </c>
      <c r="C308" s="211" t="s">
        <v>755</v>
      </c>
      <c r="D308" s="41">
        <v>75</v>
      </c>
      <c r="E308" s="41">
        <v>0</v>
      </c>
      <c r="F308" s="22" t="s">
        <v>1069</v>
      </c>
      <c r="G308" s="40">
        <v>24</v>
      </c>
      <c r="H308" s="388">
        <v>90.082644628099175</v>
      </c>
      <c r="I308" s="65"/>
      <c r="J308" s="40" t="s">
        <v>3</v>
      </c>
      <c r="K308" s="37"/>
      <c r="L308" s="35">
        <v>0</v>
      </c>
      <c r="M308" s="35">
        <v>0</v>
      </c>
      <c r="N308" s="40">
        <v>0</v>
      </c>
      <c r="O308" s="37"/>
      <c r="P308" s="35">
        <v>0</v>
      </c>
      <c r="Q308" s="35">
        <v>0</v>
      </c>
      <c r="R308" s="35">
        <v>0</v>
      </c>
      <c r="S308" s="35">
        <v>0</v>
      </c>
      <c r="T308" s="40">
        <v>0</v>
      </c>
      <c r="U308" s="37"/>
      <c r="V308" s="40">
        <v>-15</v>
      </c>
    </row>
    <row r="309" spans="2:22" s="2" customFormat="1">
      <c r="B309" s="213" t="s">
        <v>673</v>
      </c>
      <c r="C309" s="211" t="s">
        <v>651</v>
      </c>
      <c r="D309" s="41">
        <v>165</v>
      </c>
      <c r="E309" s="41">
        <v>0</v>
      </c>
      <c r="F309" s="41" t="s">
        <v>1069</v>
      </c>
      <c r="G309" s="413">
        <v>24</v>
      </c>
      <c r="H309" s="414">
        <v>133.05785123966942</v>
      </c>
      <c r="I309" s="65"/>
      <c r="J309" s="40" t="s">
        <v>3</v>
      </c>
      <c r="K309" s="37"/>
      <c r="L309" s="35">
        <v>19</v>
      </c>
      <c r="M309" s="35">
        <v>0</v>
      </c>
      <c r="N309" s="40">
        <v>0</v>
      </c>
      <c r="O309" s="37"/>
      <c r="P309" s="35">
        <v>0</v>
      </c>
      <c r="Q309" s="35">
        <v>0</v>
      </c>
      <c r="R309" s="35">
        <v>0</v>
      </c>
      <c r="S309" s="35">
        <v>0</v>
      </c>
      <c r="T309" s="40">
        <v>0</v>
      </c>
      <c r="U309" s="37"/>
      <c r="V309" s="40">
        <v>32</v>
      </c>
    </row>
    <row r="310" spans="2:22" s="2" customFormat="1">
      <c r="B310" s="213" t="s">
        <v>671</v>
      </c>
      <c r="C310" s="211" t="s">
        <v>638</v>
      </c>
      <c r="D310" s="41">
        <v>538</v>
      </c>
      <c r="E310" s="41">
        <v>0</v>
      </c>
      <c r="F310" s="22" t="s">
        <v>1075</v>
      </c>
      <c r="G310" s="40">
        <v>24</v>
      </c>
      <c r="H310" s="388">
        <v>533.05785123966939</v>
      </c>
      <c r="I310" s="65"/>
      <c r="J310" s="40" t="s">
        <v>3</v>
      </c>
      <c r="K310" s="37"/>
      <c r="L310" s="35">
        <v>219</v>
      </c>
      <c r="M310" s="35">
        <v>139</v>
      </c>
      <c r="N310" s="40">
        <v>139</v>
      </c>
      <c r="O310" s="37"/>
      <c r="P310" s="35">
        <v>0</v>
      </c>
      <c r="Q310" s="35">
        <v>0</v>
      </c>
      <c r="R310" s="35">
        <v>0</v>
      </c>
      <c r="S310" s="35">
        <v>0</v>
      </c>
      <c r="T310" s="40">
        <v>0</v>
      </c>
      <c r="U310" s="37"/>
      <c r="V310" s="40">
        <v>5</v>
      </c>
    </row>
    <row r="311" spans="2:22" s="2" customFormat="1">
      <c r="B311" s="213" t="s">
        <v>671</v>
      </c>
      <c r="C311" s="211" t="s">
        <v>638</v>
      </c>
      <c r="D311" s="41">
        <v>538</v>
      </c>
      <c r="E311" s="41">
        <v>0</v>
      </c>
      <c r="F311" s="41" t="s">
        <v>1075</v>
      </c>
      <c r="G311" s="413">
        <v>30</v>
      </c>
      <c r="H311" s="414">
        <v>533.05785123966939</v>
      </c>
      <c r="I311" s="65"/>
      <c r="J311" s="40" t="s">
        <v>3</v>
      </c>
      <c r="K311" s="37"/>
      <c r="L311" s="35">
        <v>219</v>
      </c>
      <c r="M311" s="35">
        <v>139</v>
      </c>
      <c r="N311" s="40">
        <v>139</v>
      </c>
      <c r="O311" s="37"/>
      <c r="P311" s="35">
        <v>0</v>
      </c>
      <c r="Q311" s="35">
        <v>0</v>
      </c>
      <c r="R311" s="35">
        <v>0</v>
      </c>
      <c r="S311" s="35">
        <v>0</v>
      </c>
      <c r="T311" s="40">
        <v>0</v>
      </c>
      <c r="V311" s="40">
        <v>5</v>
      </c>
    </row>
    <row r="312" spans="2:22" s="2" customFormat="1">
      <c r="B312" s="213" t="s">
        <v>671</v>
      </c>
      <c r="C312" s="211" t="s">
        <v>758</v>
      </c>
      <c r="D312" s="41">
        <v>589</v>
      </c>
      <c r="E312" s="41">
        <v>0</v>
      </c>
      <c r="F312" s="22" t="s">
        <v>1075</v>
      </c>
      <c r="G312" s="40">
        <v>24</v>
      </c>
      <c r="H312" s="388">
        <v>589.25619834710744</v>
      </c>
      <c r="I312" s="65"/>
      <c r="J312" s="40" t="s">
        <v>3</v>
      </c>
      <c r="K312" s="37"/>
      <c r="L312" s="35">
        <v>249</v>
      </c>
      <c r="M312" s="35">
        <v>149</v>
      </c>
      <c r="N312" s="40">
        <v>149</v>
      </c>
      <c r="O312" s="37"/>
      <c r="P312" s="35">
        <v>0</v>
      </c>
      <c r="Q312" s="35">
        <v>0</v>
      </c>
      <c r="R312" s="35">
        <v>0</v>
      </c>
      <c r="S312" s="35">
        <v>0</v>
      </c>
      <c r="T312" s="40">
        <v>0</v>
      </c>
      <c r="V312" s="40">
        <v>0</v>
      </c>
    </row>
    <row r="313" spans="2:22" s="2" customFormat="1">
      <c r="B313" s="213" t="s">
        <v>671</v>
      </c>
      <c r="C313" s="211" t="s">
        <v>758</v>
      </c>
      <c r="D313" s="41">
        <v>589</v>
      </c>
      <c r="E313" s="41">
        <v>0</v>
      </c>
      <c r="F313" s="41" t="s">
        <v>1075</v>
      </c>
      <c r="G313" s="413">
        <v>30</v>
      </c>
      <c r="H313" s="414">
        <v>589.25619834710744</v>
      </c>
      <c r="I313" s="65"/>
      <c r="J313" s="40" t="s">
        <v>3</v>
      </c>
      <c r="K313" s="37"/>
      <c r="L313" s="35">
        <v>249</v>
      </c>
      <c r="M313" s="35">
        <v>149</v>
      </c>
      <c r="N313" s="40">
        <v>149</v>
      </c>
      <c r="O313" s="37"/>
      <c r="P313" s="35">
        <v>0</v>
      </c>
      <c r="Q313" s="35">
        <v>0</v>
      </c>
      <c r="R313" s="35">
        <v>0</v>
      </c>
      <c r="S313" s="35">
        <v>0</v>
      </c>
      <c r="T313" s="40">
        <v>0</v>
      </c>
      <c r="V313" s="40">
        <v>0</v>
      </c>
    </row>
    <row r="314" spans="2:22" s="2" customFormat="1">
      <c r="B314" s="213" t="s">
        <v>671</v>
      </c>
      <c r="C314" s="211" t="s">
        <v>759</v>
      </c>
      <c r="D314" s="41">
        <v>434</v>
      </c>
      <c r="E314" s="41">
        <v>0</v>
      </c>
      <c r="F314" s="22" t="s">
        <v>1075</v>
      </c>
      <c r="G314" s="40">
        <v>24</v>
      </c>
      <c r="H314" s="388">
        <v>433.88429752066116</v>
      </c>
      <c r="I314" s="65"/>
      <c r="J314" s="40" t="s">
        <v>3</v>
      </c>
      <c r="K314" s="37"/>
      <c r="L314" s="35">
        <v>139</v>
      </c>
      <c r="M314" s="35">
        <v>19</v>
      </c>
      <c r="N314" s="40">
        <v>19</v>
      </c>
      <c r="O314" s="37"/>
      <c r="P314" s="35">
        <v>0</v>
      </c>
      <c r="Q314" s="35">
        <v>0</v>
      </c>
      <c r="R314" s="35">
        <v>0</v>
      </c>
      <c r="S314" s="35">
        <v>0</v>
      </c>
      <c r="T314" s="40">
        <v>0</v>
      </c>
      <c r="V314" s="40">
        <v>0</v>
      </c>
    </row>
    <row r="315" spans="2:22" s="2" customFormat="1">
      <c r="B315" s="213" t="s">
        <v>671</v>
      </c>
      <c r="C315" s="211" t="s">
        <v>759</v>
      </c>
      <c r="D315" s="41">
        <v>434</v>
      </c>
      <c r="E315" s="41">
        <v>0</v>
      </c>
      <c r="F315" s="41" t="s">
        <v>1075</v>
      </c>
      <c r="G315" s="413">
        <v>30</v>
      </c>
      <c r="H315" s="414">
        <v>433.88429752066116</v>
      </c>
      <c r="I315" s="65"/>
      <c r="J315" s="40"/>
      <c r="K315" s="37"/>
      <c r="L315" s="35">
        <v>139</v>
      </c>
      <c r="M315" s="35">
        <v>19</v>
      </c>
      <c r="N315" s="40">
        <v>19</v>
      </c>
      <c r="O315" s="37"/>
      <c r="P315" s="35">
        <v>0</v>
      </c>
      <c r="Q315" s="35">
        <v>0</v>
      </c>
      <c r="R315" s="35">
        <v>0</v>
      </c>
      <c r="S315" s="35">
        <v>0</v>
      </c>
      <c r="T315" s="40">
        <v>0</v>
      </c>
      <c r="V315" s="40">
        <v>0</v>
      </c>
    </row>
    <row r="316" spans="2:22" s="2" customFormat="1">
      <c r="B316" s="213" t="s">
        <v>79</v>
      </c>
      <c r="C316" s="211" t="s">
        <v>586</v>
      </c>
      <c r="D316" s="41">
        <v>622</v>
      </c>
      <c r="E316" s="41">
        <v>0</v>
      </c>
      <c r="F316" s="22" t="s">
        <v>1075</v>
      </c>
      <c r="G316" s="40">
        <v>24</v>
      </c>
      <c r="H316" s="388">
        <v>621.48760330578511</v>
      </c>
      <c r="I316" s="65"/>
      <c r="J316" s="40"/>
      <c r="K316" s="37"/>
      <c r="L316" s="35">
        <v>269</v>
      </c>
      <c r="M316" s="35">
        <v>159</v>
      </c>
      <c r="N316" s="40">
        <v>159</v>
      </c>
      <c r="O316" s="37"/>
      <c r="P316" s="35">
        <v>0</v>
      </c>
      <c r="Q316" s="35">
        <v>0</v>
      </c>
      <c r="R316" s="35">
        <v>0</v>
      </c>
      <c r="S316" s="35">
        <v>0</v>
      </c>
      <c r="T316" s="40">
        <v>0</v>
      </c>
      <c r="V316" s="40">
        <v>1</v>
      </c>
    </row>
    <row r="317" spans="2:22" s="2" customFormat="1">
      <c r="B317" s="213" t="s">
        <v>79</v>
      </c>
      <c r="C317" s="211" t="s">
        <v>586</v>
      </c>
      <c r="D317" s="41">
        <v>622</v>
      </c>
      <c r="E317" s="41">
        <v>0</v>
      </c>
      <c r="F317" s="41" t="s">
        <v>1075</v>
      </c>
      <c r="G317" s="413">
        <v>30</v>
      </c>
      <c r="H317" s="414">
        <v>621.48760330578511</v>
      </c>
      <c r="I317" s="65"/>
      <c r="J317" s="40"/>
      <c r="K317" s="37"/>
      <c r="L317" s="35">
        <v>269</v>
      </c>
      <c r="M317" s="35">
        <v>159</v>
      </c>
      <c r="N317" s="40">
        <v>159</v>
      </c>
      <c r="O317" s="37"/>
      <c r="P317" s="35">
        <v>0</v>
      </c>
      <c r="Q317" s="35">
        <v>0</v>
      </c>
      <c r="R317" s="35">
        <v>0</v>
      </c>
      <c r="S317" s="35">
        <v>0</v>
      </c>
      <c r="T317" s="40">
        <v>0</v>
      </c>
      <c r="V317" s="40">
        <v>1</v>
      </c>
    </row>
    <row r="318" spans="2:22" s="2" customFormat="1">
      <c r="B318" s="213" t="s">
        <v>187</v>
      </c>
      <c r="C318" s="211" t="s">
        <v>505</v>
      </c>
      <c r="D318" s="41">
        <v>41</v>
      </c>
      <c r="E318" s="41">
        <v>0</v>
      </c>
      <c r="F318" s="22" t="s">
        <v>1084</v>
      </c>
      <c r="G318" s="40">
        <v>24</v>
      </c>
      <c r="H318" s="388">
        <v>40.495867768595041</v>
      </c>
      <c r="I318" s="65"/>
      <c r="J318" s="40"/>
      <c r="K318" s="37"/>
      <c r="L318" s="35">
        <v>0</v>
      </c>
      <c r="M318" s="35">
        <v>0</v>
      </c>
      <c r="N318" s="40">
        <v>0</v>
      </c>
      <c r="O318" s="37"/>
      <c r="P318" s="35">
        <v>0</v>
      </c>
      <c r="Q318" s="35">
        <v>0</v>
      </c>
      <c r="R318" s="35">
        <v>0</v>
      </c>
      <c r="S318" s="35">
        <v>0</v>
      </c>
      <c r="T318" s="40">
        <v>0</v>
      </c>
      <c r="V318" s="40">
        <v>1</v>
      </c>
    </row>
    <row r="319" spans="2:22" s="2" customFormat="1">
      <c r="B319" s="213" t="s">
        <v>187</v>
      </c>
      <c r="C319" s="211" t="s">
        <v>545</v>
      </c>
      <c r="D319" s="41">
        <v>38</v>
      </c>
      <c r="E319" s="41">
        <v>0</v>
      </c>
      <c r="F319" s="41" t="s">
        <v>1084</v>
      </c>
      <c r="G319" s="413">
        <v>24</v>
      </c>
      <c r="H319" s="414">
        <v>37.190082644628099</v>
      </c>
      <c r="I319" s="65"/>
      <c r="J319" s="40"/>
      <c r="K319" s="37"/>
      <c r="L319" s="35">
        <v>0</v>
      </c>
      <c r="M319" s="35">
        <v>0</v>
      </c>
      <c r="N319" s="40">
        <v>0</v>
      </c>
      <c r="O319" s="37"/>
      <c r="P319" s="35">
        <v>0</v>
      </c>
      <c r="Q319" s="35">
        <v>0</v>
      </c>
      <c r="R319" s="35">
        <v>0</v>
      </c>
      <c r="S319" s="35">
        <v>0</v>
      </c>
      <c r="T319" s="40">
        <v>0</v>
      </c>
      <c r="V319" s="40">
        <v>1</v>
      </c>
    </row>
    <row r="320" spans="2:22" s="2" customFormat="1">
      <c r="B320" s="213" t="s">
        <v>187</v>
      </c>
      <c r="C320" s="211" t="s">
        <v>546</v>
      </c>
      <c r="D320" s="41">
        <v>36</v>
      </c>
      <c r="E320" s="41">
        <v>0</v>
      </c>
      <c r="F320" s="22" t="s">
        <v>1084</v>
      </c>
      <c r="G320" s="40">
        <v>24</v>
      </c>
      <c r="H320" s="388">
        <v>35.537190082644628</v>
      </c>
      <c r="I320" s="65"/>
      <c r="J320" s="40"/>
      <c r="K320" s="37"/>
      <c r="L320" s="35">
        <v>0</v>
      </c>
      <c r="M320" s="35">
        <v>0</v>
      </c>
      <c r="N320" s="40">
        <v>0</v>
      </c>
      <c r="O320" s="37"/>
      <c r="P320" s="35">
        <v>0</v>
      </c>
      <c r="Q320" s="35">
        <v>0</v>
      </c>
      <c r="R320" s="35">
        <v>0</v>
      </c>
      <c r="S320" s="35">
        <v>0</v>
      </c>
      <c r="T320" s="40">
        <v>0</v>
      </c>
      <c r="V320" s="40">
        <v>0</v>
      </c>
    </row>
    <row r="321" spans="2:22" s="2" customFormat="1">
      <c r="B321" s="213" t="s">
        <v>187</v>
      </c>
      <c r="C321" s="211" t="s">
        <v>471</v>
      </c>
      <c r="D321" s="41">
        <v>33</v>
      </c>
      <c r="E321" s="41">
        <v>0</v>
      </c>
      <c r="F321" s="41" t="s">
        <v>1084</v>
      </c>
      <c r="G321" s="413">
        <v>24</v>
      </c>
      <c r="H321" s="414">
        <v>32.231404958677686</v>
      </c>
      <c r="I321" s="65"/>
      <c r="J321" s="40"/>
      <c r="K321" s="37"/>
      <c r="L321" s="35">
        <v>0</v>
      </c>
      <c r="M321" s="35">
        <v>0</v>
      </c>
      <c r="N321" s="40">
        <v>0</v>
      </c>
      <c r="O321" s="37"/>
      <c r="P321" s="35">
        <v>0</v>
      </c>
      <c r="Q321" s="35">
        <v>0</v>
      </c>
      <c r="R321" s="35">
        <v>0</v>
      </c>
      <c r="S321" s="35">
        <v>0</v>
      </c>
      <c r="T321" s="40">
        <v>0</v>
      </c>
      <c r="V321" s="40">
        <v>1</v>
      </c>
    </row>
    <row r="322" spans="2:22" s="2" customFormat="1">
      <c r="B322" s="213" t="s">
        <v>1089</v>
      </c>
      <c r="C322" s="211" t="s">
        <v>462</v>
      </c>
      <c r="D322" s="41">
        <v>47</v>
      </c>
      <c r="E322" s="41">
        <v>0</v>
      </c>
      <c r="F322" s="22" t="s">
        <v>1084</v>
      </c>
      <c r="G322" s="40">
        <v>24</v>
      </c>
      <c r="H322" s="388">
        <v>35.537190082644628</v>
      </c>
      <c r="I322" s="65"/>
      <c r="J322" s="40"/>
      <c r="K322" s="37"/>
      <c r="L322" s="35">
        <v>0</v>
      </c>
      <c r="M322" s="35">
        <v>0</v>
      </c>
      <c r="N322" s="40">
        <v>0</v>
      </c>
      <c r="O322" s="37"/>
      <c r="P322" s="35">
        <v>0</v>
      </c>
      <c r="Q322" s="35">
        <v>0</v>
      </c>
      <c r="R322" s="35">
        <v>0</v>
      </c>
      <c r="S322" s="35">
        <v>0</v>
      </c>
      <c r="T322" s="40">
        <v>0</v>
      </c>
      <c r="V322" s="40">
        <v>11</v>
      </c>
    </row>
    <row r="323" spans="2:22" s="2" customFormat="1">
      <c r="B323" s="213" t="s">
        <v>1089</v>
      </c>
      <c r="C323" s="211" t="s">
        <v>774</v>
      </c>
      <c r="D323" s="41">
        <v>33</v>
      </c>
      <c r="E323" s="41">
        <v>0</v>
      </c>
      <c r="F323" s="41" t="s">
        <v>1084</v>
      </c>
      <c r="G323" s="413">
        <v>24</v>
      </c>
      <c r="H323" s="414">
        <v>40.495867768595041</v>
      </c>
      <c r="I323" s="65"/>
      <c r="J323" s="40"/>
      <c r="K323" s="37"/>
      <c r="L323" s="35">
        <v>0</v>
      </c>
      <c r="M323" s="35">
        <v>0</v>
      </c>
      <c r="N323" s="40">
        <v>0</v>
      </c>
      <c r="O323" s="37"/>
      <c r="P323" s="35">
        <v>0</v>
      </c>
      <c r="Q323" s="35">
        <v>0</v>
      </c>
      <c r="R323" s="35">
        <v>0</v>
      </c>
      <c r="S323" s="35">
        <v>0</v>
      </c>
      <c r="T323" s="40">
        <v>0</v>
      </c>
      <c r="V323" s="40">
        <v>-7</v>
      </c>
    </row>
    <row r="324" spans="2:22" s="2" customFormat="1">
      <c r="B324" s="213" t="s">
        <v>1092</v>
      </c>
      <c r="C324" s="211" t="s">
        <v>772</v>
      </c>
      <c r="D324" s="41">
        <v>176</v>
      </c>
      <c r="E324" s="41">
        <v>0</v>
      </c>
      <c r="F324" s="22" t="s">
        <v>1084</v>
      </c>
      <c r="G324" s="40">
        <v>24</v>
      </c>
      <c r="H324" s="388">
        <v>175.20661157024793</v>
      </c>
      <c r="I324" s="65"/>
      <c r="J324" s="40"/>
      <c r="K324" s="37"/>
      <c r="L324" s="35">
        <v>29</v>
      </c>
      <c r="M324" s="35">
        <v>0</v>
      </c>
      <c r="N324" s="40">
        <v>0</v>
      </c>
      <c r="O324" s="37"/>
      <c r="P324" s="35">
        <v>0</v>
      </c>
      <c r="Q324" s="35">
        <v>0</v>
      </c>
      <c r="R324" s="35">
        <v>0</v>
      </c>
      <c r="S324" s="35">
        <v>0</v>
      </c>
      <c r="T324" s="40">
        <v>0</v>
      </c>
      <c r="V324" s="40">
        <v>1</v>
      </c>
    </row>
    <row r="325" spans="2:22" s="2" customFormat="1">
      <c r="B325" s="213" t="s">
        <v>55</v>
      </c>
      <c r="C325" s="211" t="s">
        <v>470</v>
      </c>
      <c r="D325" s="41">
        <v>82</v>
      </c>
      <c r="E325" s="41">
        <v>0</v>
      </c>
      <c r="F325" s="41" t="s">
        <v>1084</v>
      </c>
      <c r="G325" s="413">
        <v>24</v>
      </c>
      <c r="H325" s="414">
        <v>95.041322314049594</v>
      </c>
      <c r="I325" s="65"/>
      <c r="J325" s="40"/>
      <c r="K325" s="37"/>
      <c r="L325" s="35">
        <v>0</v>
      </c>
      <c r="M325" s="35">
        <v>0</v>
      </c>
      <c r="N325" s="40">
        <v>0</v>
      </c>
      <c r="O325" s="37"/>
      <c r="P325" s="35">
        <v>0</v>
      </c>
      <c r="Q325" s="35">
        <v>0</v>
      </c>
      <c r="R325" s="35">
        <v>0</v>
      </c>
      <c r="S325" s="35">
        <v>0</v>
      </c>
      <c r="T325" s="40">
        <v>0</v>
      </c>
      <c r="V325" s="40">
        <v>-13</v>
      </c>
    </row>
    <row r="326" spans="2:22" s="2" customFormat="1">
      <c r="B326" s="213" t="s">
        <v>55</v>
      </c>
      <c r="C326" s="211" t="s">
        <v>525</v>
      </c>
      <c r="D326" s="41">
        <v>100</v>
      </c>
      <c r="E326" s="41">
        <v>0</v>
      </c>
      <c r="F326" s="22" t="s">
        <v>1084</v>
      </c>
      <c r="G326" s="40">
        <v>24</v>
      </c>
      <c r="H326" s="388">
        <v>104.95867768595042</v>
      </c>
      <c r="I326" s="65"/>
      <c r="J326" s="40"/>
      <c r="K326" s="37"/>
      <c r="L326" s="35">
        <v>0</v>
      </c>
      <c r="M326" s="35">
        <v>0</v>
      </c>
      <c r="N326" s="40">
        <v>0</v>
      </c>
      <c r="O326" s="37"/>
      <c r="P326" s="35">
        <v>0</v>
      </c>
      <c r="Q326" s="35">
        <v>0</v>
      </c>
      <c r="R326" s="35">
        <v>0</v>
      </c>
      <c r="S326" s="35">
        <v>0</v>
      </c>
      <c r="T326" s="40">
        <v>0</v>
      </c>
      <c r="V326" s="40">
        <v>-5</v>
      </c>
    </row>
    <row r="327" spans="2:22" s="2" customFormat="1">
      <c r="B327" s="213" t="s">
        <v>55</v>
      </c>
      <c r="C327" s="211" t="s">
        <v>506</v>
      </c>
      <c r="D327" s="41">
        <v>41</v>
      </c>
      <c r="E327" s="41">
        <v>0</v>
      </c>
      <c r="F327" s="41" t="s">
        <v>1084</v>
      </c>
      <c r="G327" s="413">
        <v>24</v>
      </c>
      <c r="H327" s="414">
        <v>62.809917355371901</v>
      </c>
      <c r="I327" s="65"/>
      <c r="J327" s="40"/>
      <c r="K327" s="37"/>
      <c r="L327" s="35">
        <v>0</v>
      </c>
      <c r="M327" s="35">
        <v>0</v>
      </c>
      <c r="N327" s="40">
        <v>0</v>
      </c>
      <c r="O327" s="37"/>
      <c r="P327" s="35">
        <v>0</v>
      </c>
      <c r="Q327" s="35">
        <v>0</v>
      </c>
      <c r="R327" s="35">
        <v>0</v>
      </c>
      <c r="S327" s="35">
        <v>0</v>
      </c>
      <c r="T327" s="40">
        <v>0</v>
      </c>
      <c r="V327" s="40">
        <v>-22</v>
      </c>
    </row>
    <row r="328" spans="2:22" s="2" customFormat="1">
      <c r="B328" s="213" t="s">
        <v>55</v>
      </c>
      <c r="C328" s="211" t="s">
        <v>556</v>
      </c>
      <c r="D328" s="41">
        <v>91</v>
      </c>
      <c r="E328" s="41">
        <v>0</v>
      </c>
      <c r="F328" s="22" t="s">
        <v>1084</v>
      </c>
      <c r="G328" s="40">
        <v>24</v>
      </c>
      <c r="H328" s="388">
        <v>84.297520661157023</v>
      </c>
      <c r="I328" s="65"/>
      <c r="J328" s="40"/>
      <c r="K328" s="37"/>
      <c r="L328" s="35">
        <v>0</v>
      </c>
      <c r="M328" s="35">
        <v>0</v>
      </c>
      <c r="N328" s="40">
        <v>0</v>
      </c>
      <c r="O328" s="37"/>
      <c r="P328" s="35">
        <v>0</v>
      </c>
      <c r="Q328" s="35">
        <v>0</v>
      </c>
      <c r="R328" s="35">
        <v>0</v>
      </c>
      <c r="S328" s="35">
        <v>0</v>
      </c>
      <c r="T328" s="40">
        <v>0</v>
      </c>
      <c r="V328" s="40">
        <v>7</v>
      </c>
    </row>
    <row r="329" spans="2:22" s="2" customFormat="1">
      <c r="B329" s="213" t="s">
        <v>55</v>
      </c>
      <c r="C329" s="211" t="s">
        <v>480</v>
      </c>
      <c r="D329" s="41">
        <v>48</v>
      </c>
      <c r="E329" s="41">
        <v>0</v>
      </c>
      <c r="F329" s="41" t="s">
        <v>1084</v>
      </c>
      <c r="G329" s="413">
        <v>24</v>
      </c>
      <c r="H329" s="414">
        <v>90.082644628099175</v>
      </c>
      <c r="I329" s="65"/>
      <c r="J329" s="40"/>
      <c r="K329" s="37"/>
      <c r="L329" s="35">
        <v>0</v>
      </c>
      <c r="M329" s="35">
        <v>0</v>
      </c>
      <c r="N329" s="40">
        <v>0</v>
      </c>
      <c r="O329" s="37"/>
      <c r="P329" s="35">
        <v>0</v>
      </c>
      <c r="Q329" s="35">
        <v>0</v>
      </c>
      <c r="R329" s="35">
        <v>0</v>
      </c>
      <c r="S329" s="35">
        <v>0</v>
      </c>
      <c r="T329" s="40">
        <v>0</v>
      </c>
      <c r="V329" s="40">
        <v>-42</v>
      </c>
    </row>
    <row r="330" spans="2:22" s="2" customFormat="1">
      <c r="B330" s="213" t="s">
        <v>664</v>
      </c>
      <c r="C330" s="211" t="s">
        <v>650</v>
      </c>
      <c r="D330" s="41">
        <v>60</v>
      </c>
      <c r="E330" s="41">
        <v>0</v>
      </c>
      <c r="F330" s="22" t="s">
        <v>1099</v>
      </c>
      <c r="G330" s="40">
        <v>24</v>
      </c>
      <c r="H330" s="388">
        <v>55.371900826446286</v>
      </c>
      <c r="I330" s="65"/>
      <c r="J330" s="40"/>
      <c r="K330" s="37"/>
      <c r="L330" s="35">
        <v>0</v>
      </c>
      <c r="M330" s="35">
        <v>0</v>
      </c>
      <c r="N330" s="40">
        <v>0</v>
      </c>
      <c r="O330" s="37"/>
      <c r="P330" s="35">
        <v>0</v>
      </c>
      <c r="Q330" s="35">
        <v>0</v>
      </c>
      <c r="R330" s="35">
        <v>0</v>
      </c>
      <c r="S330" s="35">
        <v>0</v>
      </c>
      <c r="T330" s="40">
        <v>0</v>
      </c>
      <c r="V330" s="40">
        <v>5</v>
      </c>
    </row>
    <row r="331" spans="2:22" s="2" customFormat="1">
      <c r="B331" s="213" t="s">
        <v>674</v>
      </c>
      <c r="C331" s="211" t="s">
        <v>543</v>
      </c>
      <c r="D331" s="41">
        <v>48</v>
      </c>
      <c r="E331" s="41">
        <v>0</v>
      </c>
      <c r="F331" s="41" t="s">
        <v>1101</v>
      </c>
      <c r="G331" s="413">
        <v>24</v>
      </c>
      <c r="H331" s="414">
        <v>46.280991735537192</v>
      </c>
      <c r="I331" s="65"/>
      <c r="J331" s="40"/>
      <c r="K331" s="37"/>
      <c r="L331" s="35">
        <v>0</v>
      </c>
      <c r="M331" s="35">
        <v>0</v>
      </c>
      <c r="N331" s="40">
        <v>0</v>
      </c>
      <c r="O331" s="37"/>
      <c r="P331" s="35">
        <v>0</v>
      </c>
      <c r="Q331" s="35">
        <v>0</v>
      </c>
      <c r="R331" s="35">
        <v>0</v>
      </c>
      <c r="S331" s="35">
        <v>0</v>
      </c>
      <c r="T331" s="40">
        <v>0</v>
      </c>
      <c r="V331" s="40">
        <v>2</v>
      </c>
    </row>
    <row r="332" spans="2:22" s="2" customFormat="1">
      <c r="B332" s="213" t="s">
        <v>55</v>
      </c>
      <c r="C332" s="211" t="s">
        <v>564</v>
      </c>
      <c r="D332" s="41">
        <v>59</v>
      </c>
      <c r="E332" s="41">
        <v>0</v>
      </c>
      <c r="F332" s="22" t="s">
        <v>1101</v>
      </c>
      <c r="G332" s="40">
        <v>24</v>
      </c>
      <c r="H332" s="388">
        <v>58.677685950413228</v>
      </c>
      <c r="I332" s="65"/>
      <c r="J332" s="40"/>
      <c r="K332" s="37"/>
      <c r="L332" s="35">
        <v>0</v>
      </c>
      <c r="M332" s="35">
        <v>0</v>
      </c>
      <c r="N332" s="40">
        <v>0</v>
      </c>
      <c r="O332" s="37"/>
      <c r="P332" s="35">
        <v>0</v>
      </c>
      <c r="Q332" s="35">
        <v>0</v>
      </c>
      <c r="R332" s="35">
        <v>0</v>
      </c>
      <c r="S332" s="35">
        <v>0</v>
      </c>
      <c r="T332" s="40">
        <v>0</v>
      </c>
      <c r="V332" s="40">
        <v>0</v>
      </c>
    </row>
    <row r="333" spans="2:22" s="2" customFormat="1">
      <c r="B333" s="213" t="s">
        <v>1104</v>
      </c>
      <c r="C333" s="211" t="s">
        <v>749</v>
      </c>
      <c r="D333" s="41">
        <v>781</v>
      </c>
      <c r="E333" s="41">
        <v>0</v>
      </c>
      <c r="F333" s="41" t="s">
        <v>1105</v>
      </c>
      <c r="G333" s="413">
        <v>24</v>
      </c>
      <c r="H333" s="414">
        <v>620.6611570247934</v>
      </c>
      <c r="I333" s="65"/>
      <c r="J333" s="40"/>
      <c r="K333" s="37"/>
      <c r="L333" s="35">
        <v>269</v>
      </c>
      <c r="M333" s="35">
        <v>159</v>
      </c>
      <c r="N333" s="40">
        <v>159</v>
      </c>
      <c r="O333" s="37"/>
      <c r="P333" s="35">
        <v>0</v>
      </c>
      <c r="Q333" s="35">
        <v>0</v>
      </c>
      <c r="R333" s="35">
        <v>0</v>
      </c>
      <c r="S333" s="35">
        <v>0</v>
      </c>
      <c r="T333" s="40">
        <v>0</v>
      </c>
      <c r="V333" s="40">
        <v>160</v>
      </c>
    </row>
    <row r="334" spans="2:22" s="2" customFormat="1">
      <c r="B334" s="213" t="s">
        <v>1104</v>
      </c>
      <c r="C334" s="211" t="s">
        <v>749</v>
      </c>
      <c r="D334" s="41">
        <v>781</v>
      </c>
      <c r="E334" s="41">
        <v>0</v>
      </c>
      <c r="F334" s="22" t="s">
        <v>1105</v>
      </c>
      <c r="G334" s="40">
        <v>30</v>
      </c>
      <c r="H334" s="388">
        <v>620.6611570247934</v>
      </c>
      <c r="I334" s="65"/>
      <c r="J334" s="40"/>
      <c r="K334" s="37"/>
      <c r="L334" s="35">
        <v>269</v>
      </c>
      <c r="M334" s="35">
        <v>159</v>
      </c>
      <c r="N334" s="40">
        <v>159</v>
      </c>
      <c r="O334" s="37"/>
      <c r="P334" s="35">
        <v>0</v>
      </c>
      <c r="Q334" s="35">
        <v>0</v>
      </c>
      <c r="R334" s="35">
        <v>0</v>
      </c>
      <c r="S334" s="35">
        <v>0</v>
      </c>
      <c r="T334" s="40">
        <v>0</v>
      </c>
      <c r="V334" s="40">
        <v>160</v>
      </c>
    </row>
    <row r="335" spans="2:22" s="2" customFormat="1">
      <c r="B335" s="213" t="s">
        <v>1104</v>
      </c>
      <c r="C335" s="211" t="s">
        <v>768</v>
      </c>
      <c r="D335" s="41">
        <v>375</v>
      </c>
      <c r="E335" s="41">
        <v>0</v>
      </c>
      <c r="F335" s="41" t="s">
        <v>1105</v>
      </c>
      <c r="G335" s="413">
        <v>24</v>
      </c>
      <c r="H335" s="414">
        <v>317.35537190082647</v>
      </c>
      <c r="I335" s="65"/>
      <c r="J335" s="40"/>
      <c r="K335" s="37"/>
      <c r="L335" s="35">
        <v>99</v>
      </c>
      <c r="M335" s="35">
        <v>19</v>
      </c>
      <c r="N335" s="40">
        <v>19</v>
      </c>
      <c r="O335" s="37"/>
      <c r="P335" s="35">
        <v>0</v>
      </c>
      <c r="Q335" s="35">
        <v>0</v>
      </c>
      <c r="R335" s="35">
        <v>0</v>
      </c>
      <c r="S335" s="35">
        <v>0</v>
      </c>
      <c r="T335" s="40">
        <v>0</v>
      </c>
      <c r="V335" s="40">
        <v>58</v>
      </c>
    </row>
    <row r="336" spans="2:22" s="2" customFormat="1">
      <c r="B336" s="213" t="s">
        <v>1104</v>
      </c>
      <c r="C336" s="211" t="s">
        <v>768</v>
      </c>
      <c r="D336" s="41">
        <v>375</v>
      </c>
      <c r="E336" s="41">
        <v>0</v>
      </c>
      <c r="F336" s="22" t="s">
        <v>1105</v>
      </c>
      <c r="G336" s="40">
        <v>30</v>
      </c>
      <c r="H336" s="388">
        <v>317.35537190082647</v>
      </c>
      <c r="I336" s="65"/>
      <c r="J336" s="40"/>
      <c r="K336" s="37"/>
      <c r="L336" s="35">
        <v>99</v>
      </c>
      <c r="M336" s="35">
        <v>19</v>
      </c>
      <c r="N336" s="40">
        <v>19</v>
      </c>
      <c r="O336" s="37"/>
      <c r="P336" s="35">
        <v>0</v>
      </c>
      <c r="Q336" s="35">
        <v>0</v>
      </c>
      <c r="R336" s="35">
        <v>0</v>
      </c>
      <c r="S336" s="35">
        <v>0</v>
      </c>
      <c r="T336" s="40">
        <v>0</v>
      </c>
      <c r="V336" s="40">
        <v>58</v>
      </c>
    </row>
    <row r="337" spans="2:22" s="2" customFormat="1">
      <c r="B337" s="213" t="s">
        <v>1104</v>
      </c>
      <c r="C337" s="211" t="s">
        <v>773</v>
      </c>
      <c r="D337" s="41">
        <v>482</v>
      </c>
      <c r="E337" s="41">
        <v>0</v>
      </c>
      <c r="F337" s="41" t="s">
        <v>1105</v>
      </c>
      <c r="G337" s="413">
        <v>24</v>
      </c>
      <c r="H337" s="414">
        <v>419.83471074380168</v>
      </c>
      <c r="I337" s="65"/>
      <c r="J337" s="40"/>
      <c r="K337" s="37"/>
      <c r="L337" s="35">
        <v>139</v>
      </c>
      <c r="M337" s="35">
        <v>19</v>
      </c>
      <c r="N337" s="40">
        <v>19</v>
      </c>
      <c r="O337" s="37"/>
      <c r="P337" s="35">
        <v>0</v>
      </c>
      <c r="Q337" s="35">
        <v>0</v>
      </c>
      <c r="R337" s="35">
        <v>0</v>
      </c>
      <c r="S337" s="35">
        <v>0</v>
      </c>
      <c r="T337" s="40">
        <v>0</v>
      </c>
      <c r="V337" s="40">
        <v>62</v>
      </c>
    </row>
    <row r="338" spans="2:22" s="2" customFormat="1">
      <c r="B338" s="213" t="s">
        <v>1104</v>
      </c>
      <c r="C338" s="211" t="s">
        <v>773</v>
      </c>
      <c r="D338" s="41">
        <v>482</v>
      </c>
      <c r="E338" s="41">
        <v>0</v>
      </c>
      <c r="F338" s="22" t="s">
        <v>1105</v>
      </c>
      <c r="G338" s="40">
        <v>30</v>
      </c>
      <c r="H338" s="388">
        <v>419.83471074380168</v>
      </c>
      <c r="I338" s="65"/>
      <c r="J338" s="40"/>
      <c r="K338" s="37"/>
      <c r="L338" s="35">
        <v>139</v>
      </c>
      <c r="M338" s="35">
        <v>19</v>
      </c>
      <c r="N338" s="40">
        <v>19</v>
      </c>
      <c r="O338" s="37"/>
      <c r="P338" s="35">
        <v>0</v>
      </c>
      <c r="Q338" s="35">
        <v>0</v>
      </c>
      <c r="R338" s="35">
        <v>0</v>
      </c>
      <c r="S338" s="35">
        <v>0</v>
      </c>
      <c r="T338" s="40">
        <v>0</v>
      </c>
      <c r="V338" s="40">
        <v>62</v>
      </c>
    </row>
    <row r="339" spans="2:22" s="2" customFormat="1">
      <c r="B339" s="213" t="s">
        <v>1104</v>
      </c>
      <c r="C339" s="211" t="s">
        <v>777</v>
      </c>
      <c r="D339" s="41">
        <v>482</v>
      </c>
      <c r="E339" s="41">
        <v>0</v>
      </c>
      <c r="F339" s="41" t="s">
        <v>1105</v>
      </c>
      <c r="G339" s="413">
        <v>24</v>
      </c>
      <c r="H339" s="414">
        <v>419.83471074380168</v>
      </c>
      <c r="I339" s="65"/>
      <c r="J339" s="40"/>
      <c r="K339" s="37"/>
      <c r="L339" s="35">
        <v>139</v>
      </c>
      <c r="M339" s="35">
        <v>19</v>
      </c>
      <c r="N339" s="40">
        <v>19</v>
      </c>
      <c r="O339" s="37"/>
      <c r="P339" s="35">
        <v>0</v>
      </c>
      <c r="Q339" s="35">
        <v>0</v>
      </c>
      <c r="R339" s="35">
        <v>0</v>
      </c>
      <c r="S339" s="35">
        <v>0</v>
      </c>
      <c r="T339" s="40">
        <v>0</v>
      </c>
      <c r="V339" s="40">
        <v>62</v>
      </c>
    </row>
    <row r="340" spans="2:22" s="2" customFormat="1">
      <c r="B340" s="213" t="s">
        <v>1104</v>
      </c>
      <c r="C340" s="211" t="s">
        <v>777</v>
      </c>
      <c r="D340" s="41">
        <v>482</v>
      </c>
      <c r="E340" s="41">
        <v>0</v>
      </c>
      <c r="F340" s="22" t="s">
        <v>1105</v>
      </c>
      <c r="G340" s="40">
        <v>30</v>
      </c>
      <c r="H340" s="388">
        <v>419.83471074380168</v>
      </c>
      <c r="I340" s="65"/>
      <c r="J340" s="40"/>
      <c r="K340" s="37"/>
      <c r="L340" s="35">
        <v>139</v>
      </c>
      <c r="M340" s="35">
        <v>19</v>
      </c>
      <c r="N340" s="40">
        <v>19</v>
      </c>
      <c r="O340" s="37"/>
      <c r="P340" s="35">
        <v>0</v>
      </c>
      <c r="Q340" s="35">
        <v>0</v>
      </c>
      <c r="R340" s="35">
        <v>0</v>
      </c>
      <c r="S340" s="35">
        <v>0</v>
      </c>
      <c r="T340" s="40">
        <v>0</v>
      </c>
      <c r="V340" s="40">
        <v>62</v>
      </c>
    </row>
    <row r="341" spans="2:22" s="2" customFormat="1">
      <c r="B341" s="213" t="s">
        <v>60</v>
      </c>
      <c r="C341" s="211" t="s">
        <v>637</v>
      </c>
      <c r="D341" s="41">
        <v>367</v>
      </c>
      <c r="E341" s="41">
        <v>0</v>
      </c>
      <c r="F341" s="41" t="s">
        <v>1105</v>
      </c>
      <c r="G341" s="413">
        <v>24</v>
      </c>
      <c r="H341" s="414">
        <v>366.94214876033061</v>
      </c>
      <c r="I341" s="65"/>
      <c r="J341" s="40"/>
      <c r="K341" s="37"/>
      <c r="L341" s="35">
        <v>129</v>
      </c>
      <c r="M341" s="35">
        <v>19</v>
      </c>
      <c r="N341" s="40">
        <v>19</v>
      </c>
      <c r="O341" s="37"/>
      <c r="P341" s="35">
        <v>0</v>
      </c>
      <c r="Q341" s="35">
        <v>0</v>
      </c>
      <c r="R341" s="35">
        <v>0</v>
      </c>
      <c r="S341" s="35">
        <v>0</v>
      </c>
      <c r="T341" s="40">
        <v>0</v>
      </c>
      <c r="V341" s="40">
        <v>0</v>
      </c>
    </row>
    <row r="342" spans="2:22" s="2" customFormat="1">
      <c r="B342" s="213" t="s">
        <v>60</v>
      </c>
      <c r="C342" s="211" t="s">
        <v>637</v>
      </c>
      <c r="D342" s="41">
        <v>367</v>
      </c>
      <c r="E342" s="41">
        <v>0</v>
      </c>
      <c r="F342" s="22" t="s">
        <v>1105</v>
      </c>
      <c r="G342" s="40">
        <v>30</v>
      </c>
      <c r="H342" s="388">
        <v>366.94214876033061</v>
      </c>
      <c r="I342" s="65"/>
      <c r="J342" s="40"/>
      <c r="K342" s="37"/>
      <c r="L342" s="35">
        <v>129</v>
      </c>
      <c r="M342" s="35">
        <v>19</v>
      </c>
      <c r="N342" s="40">
        <v>19</v>
      </c>
      <c r="O342" s="37"/>
      <c r="P342" s="35">
        <v>0</v>
      </c>
      <c r="Q342" s="35">
        <v>0</v>
      </c>
      <c r="R342" s="35">
        <v>0</v>
      </c>
      <c r="S342" s="35">
        <v>0</v>
      </c>
      <c r="T342" s="40">
        <v>0</v>
      </c>
      <c r="V342" s="40">
        <v>0</v>
      </c>
    </row>
    <row r="343" spans="2:22" s="2" customFormat="1">
      <c r="B343" s="213" t="s">
        <v>60</v>
      </c>
      <c r="C343" s="211" t="s">
        <v>624</v>
      </c>
      <c r="D343" s="41">
        <v>643</v>
      </c>
      <c r="E343" s="41">
        <v>0</v>
      </c>
      <c r="F343" s="41" t="s">
        <v>1105</v>
      </c>
      <c r="G343" s="413">
        <v>24</v>
      </c>
      <c r="H343" s="414">
        <v>446.28099173553721</v>
      </c>
      <c r="I343" s="65"/>
      <c r="J343" s="40"/>
      <c r="K343" s="37"/>
      <c r="L343" s="35">
        <v>169</v>
      </c>
      <c r="M343" s="35">
        <v>19</v>
      </c>
      <c r="N343" s="40">
        <v>19</v>
      </c>
      <c r="O343" s="37"/>
      <c r="P343" s="35">
        <v>0</v>
      </c>
      <c r="Q343" s="35">
        <v>0</v>
      </c>
      <c r="R343" s="35">
        <v>0</v>
      </c>
      <c r="S343" s="35">
        <v>0</v>
      </c>
      <c r="T343" s="40">
        <v>0</v>
      </c>
      <c r="V343" s="40">
        <v>197</v>
      </c>
    </row>
    <row r="344" spans="2:22" s="2" customFormat="1">
      <c r="B344" s="213" t="s">
        <v>60</v>
      </c>
      <c r="C344" s="211" t="s">
        <v>624</v>
      </c>
      <c r="D344" s="41">
        <v>643</v>
      </c>
      <c r="E344" s="41">
        <v>0</v>
      </c>
      <c r="F344" s="22" t="s">
        <v>1105</v>
      </c>
      <c r="G344" s="40">
        <v>30</v>
      </c>
      <c r="H344" s="388">
        <v>446.28099173553721</v>
      </c>
      <c r="I344" s="65"/>
      <c r="J344" s="40"/>
      <c r="K344" s="37"/>
      <c r="L344" s="35">
        <v>169</v>
      </c>
      <c r="M344" s="35">
        <v>19</v>
      </c>
      <c r="N344" s="40">
        <v>19</v>
      </c>
      <c r="O344" s="37"/>
      <c r="P344" s="35">
        <v>0</v>
      </c>
      <c r="Q344" s="35">
        <v>0</v>
      </c>
      <c r="R344" s="35">
        <v>0</v>
      </c>
      <c r="S344" s="35">
        <v>0</v>
      </c>
      <c r="T344" s="40">
        <v>0</v>
      </c>
      <c r="V344" s="40">
        <v>197</v>
      </c>
    </row>
    <row r="345" spans="2:22" s="2" customFormat="1">
      <c r="B345" s="213" t="s">
        <v>664</v>
      </c>
      <c r="C345" s="211" t="s">
        <v>518</v>
      </c>
      <c r="D345" s="41">
        <v>109</v>
      </c>
      <c r="E345" s="41">
        <v>0</v>
      </c>
      <c r="F345" s="41" t="s">
        <v>1105</v>
      </c>
      <c r="G345" s="413">
        <v>24</v>
      </c>
      <c r="H345" s="414">
        <v>65.289256198347104</v>
      </c>
      <c r="I345" s="65"/>
      <c r="J345" s="40"/>
      <c r="K345" s="37"/>
      <c r="L345" s="35">
        <v>0</v>
      </c>
      <c r="M345" s="35">
        <v>0</v>
      </c>
      <c r="N345" s="40">
        <v>0</v>
      </c>
      <c r="O345" s="37"/>
      <c r="P345" s="35">
        <v>0</v>
      </c>
      <c r="Q345" s="35">
        <v>0</v>
      </c>
      <c r="R345" s="35">
        <v>0</v>
      </c>
      <c r="S345" s="35">
        <v>0</v>
      </c>
      <c r="T345" s="40">
        <v>0</v>
      </c>
      <c r="V345" s="40">
        <v>44</v>
      </c>
    </row>
    <row r="346" spans="2:22" s="2" customFormat="1">
      <c r="B346" s="213" t="s">
        <v>664</v>
      </c>
      <c r="C346" s="211" t="s">
        <v>574</v>
      </c>
      <c r="D346" s="41">
        <v>116</v>
      </c>
      <c r="E346" s="41">
        <v>0</v>
      </c>
      <c r="F346" s="22" t="s">
        <v>1105</v>
      </c>
      <c r="G346" s="40">
        <v>24</v>
      </c>
      <c r="H346" s="388">
        <v>95.041322314049594</v>
      </c>
      <c r="I346" s="65"/>
      <c r="J346" s="40"/>
      <c r="K346" s="37"/>
      <c r="L346" s="35">
        <v>0</v>
      </c>
      <c r="M346" s="35">
        <v>0</v>
      </c>
      <c r="N346" s="40">
        <v>0</v>
      </c>
      <c r="O346" s="37"/>
      <c r="P346" s="35">
        <v>0</v>
      </c>
      <c r="Q346" s="35">
        <v>0</v>
      </c>
      <c r="R346" s="35">
        <v>0</v>
      </c>
      <c r="S346" s="35">
        <v>0</v>
      </c>
      <c r="T346" s="40">
        <v>0</v>
      </c>
      <c r="V346" s="40">
        <v>21</v>
      </c>
    </row>
    <row r="347" spans="2:22" s="2" customFormat="1">
      <c r="B347" s="213" t="s">
        <v>664</v>
      </c>
      <c r="C347" s="211" t="s">
        <v>520</v>
      </c>
      <c r="D347" s="41">
        <v>174</v>
      </c>
      <c r="E347" s="41">
        <v>0</v>
      </c>
      <c r="F347" s="41" t="s">
        <v>1105</v>
      </c>
      <c r="G347" s="413">
        <v>24</v>
      </c>
      <c r="H347" s="414">
        <v>157.85123966942149</v>
      </c>
      <c r="I347" s="65"/>
      <c r="J347" s="40"/>
      <c r="K347" s="37"/>
      <c r="L347" s="35">
        <v>29</v>
      </c>
      <c r="M347" s="35">
        <v>0</v>
      </c>
      <c r="N347" s="40">
        <v>0</v>
      </c>
      <c r="O347" s="37"/>
      <c r="P347" s="35">
        <v>0</v>
      </c>
      <c r="Q347" s="35">
        <v>0</v>
      </c>
      <c r="R347" s="35">
        <v>0</v>
      </c>
      <c r="S347" s="35">
        <v>0</v>
      </c>
      <c r="T347" s="40">
        <v>0</v>
      </c>
      <c r="V347" s="40">
        <v>16</v>
      </c>
    </row>
    <row r="348" spans="2:22" s="2" customFormat="1">
      <c r="B348" s="213" t="s">
        <v>664</v>
      </c>
      <c r="C348" s="211" t="s">
        <v>520</v>
      </c>
      <c r="D348" s="41">
        <v>174</v>
      </c>
      <c r="E348" s="41">
        <v>0</v>
      </c>
      <c r="F348" s="22" t="s">
        <v>1105</v>
      </c>
      <c r="G348" s="40">
        <v>30</v>
      </c>
      <c r="H348" s="388">
        <v>157.85123966942149</v>
      </c>
      <c r="I348" s="65"/>
      <c r="J348" s="40"/>
      <c r="K348" s="37"/>
      <c r="L348" s="35">
        <v>29</v>
      </c>
      <c r="M348" s="35">
        <v>0</v>
      </c>
      <c r="N348" s="40">
        <v>0</v>
      </c>
      <c r="O348" s="37"/>
      <c r="P348" s="35">
        <v>0</v>
      </c>
      <c r="Q348" s="35">
        <v>0</v>
      </c>
      <c r="R348" s="35">
        <v>0</v>
      </c>
      <c r="S348" s="35">
        <v>0</v>
      </c>
      <c r="T348" s="40">
        <v>0</v>
      </c>
      <c r="V348" s="40">
        <v>16</v>
      </c>
    </row>
    <row r="349" spans="2:22" s="2" customFormat="1">
      <c r="B349" s="213" t="s">
        <v>664</v>
      </c>
      <c r="C349" s="211" t="s">
        <v>775</v>
      </c>
      <c r="D349" s="41">
        <v>188</v>
      </c>
      <c r="E349" s="41">
        <v>0</v>
      </c>
      <c r="F349" s="41" t="s">
        <v>1105</v>
      </c>
      <c r="G349" s="413">
        <v>24</v>
      </c>
      <c r="H349" s="414">
        <v>187.60330578512398</v>
      </c>
      <c r="I349" s="65"/>
      <c r="J349" s="40"/>
      <c r="K349" s="37"/>
      <c r="L349" s="35">
        <v>29</v>
      </c>
      <c r="M349" s="35">
        <v>0</v>
      </c>
      <c r="N349" s="40">
        <v>0</v>
      </c>
      <c r="O349" s="37"/>
      <c r="P349" s="35">
        <v>0</v>
      </c>
      <c r="Q349" s="35">
        <v>0</v>
      </c>
      <c r="R349" s="35">
        <v>0</v>
      </c>
      <c r="S349" s="35">
        <v>0</v>
      </c>
      <c r="T349" s="40">
        <v>0</v>
      </c>
      <c r="V349" s="40">
        <v>0</v>
      </c>
    </row>
    <row r="350" spans="2:22" s="2" customFormat="1">
      <c r="B350" s="213" t="s">
        <v>664</v>
      </c>
      <c r="C350" s="211" t="s">
        <v>775</v>
      </c>
      <c r="D350" s="41">
        <v>188</v>
      </c>
      <c r="E350" s="41">
        <v>0</v>
      </c>
      <c r="F350" s="22" t="s">
        <v>1105</v>
      </c>
      <c r="G350" s="40">
        <v>30</v>
      </c>
      <c r="H350" s="388">
        <v>187.60330578512398</v>
      </c>
      <c r="I350" s="65"/>
      <c r="J350" s="40" t="s">
        <v>3</v>
      </c>
      <c r="K350" s="37"/>
      <c r="L350" s="35">
        <v>29</v>
      </c>
      <c r="M350" s="35">
        <v>0</v>
      </c>
      <c r="N350" s="40">
        <v>0</v>
      </c>
      <c r="O350" s="37"/>
      <c r="P350" s="35">
        <v>0</v>
      </c>
      <c r="Q350" s="35">
        <v>0</v>
      </c>
      <c r="R350" s="35">
        <v>0</v>
      </c>
      <c r="S350" s="35">
        <v>0</v>
      </c>
      <c r="T350" s="40">
        <v>0</v>
      </c>
      <c r="U350" s="37"/>
      <c r="V350" s="40">
        <v>0</v>
      </c>
    </row>
    <row r="351" spans="2:22" s="2" customFormat="1">
      <c r="B351" s="213" t="s">
        <v>664</v>
      </c>
      <c r="C351" s="211" t="s">
        <v>623</v>
      </c>
      <c r="D351" s="41">
        <v>374</v>
      </c>
      <c r="E351" s="41">
        <v>0</v>
      </c>
      <c r="F351" s="41" t="s">
        <v>1105</v>
      </c>
      <c r="G351" s="413">
        <v>24</v>
      </c>
      <c r="H351" s="414">
        <v>333.88429752066116</v>
      </c>
      <c r="I351" s="65"/>
      <c r="J351" s="40" t="s">
        <v>3</v>
      </c>
      <c r="K351" s="37"/>
      <c r="L351" s="35">
        <v>109</v>
      </c>
      <c r="M351" s="35">
        <v>19</v>
      </c>
      <c r="N351" s="40">
        <v>19</v>
      </c>
      <c r="O351" s="37"/>
      <c r="P351" s="35">
        <v>0</v>
      </c>
      <c r="Q351" s="35">
        <v>0</v>
      </c>
      <c r="R351" s="35">
        <v>0</v>
      </c>
      <c r="S351" s="35">
        <v>0</v>
      </c>
      <c r="T351" s="40">
        <v>0</v>
      </c>
      <c r="U351" s="37"/>
      <c r="V351" s="40">
        <v>40</v>
      </c>
    </row>
    <row r="352" spans="2:22" s="2" customFormat="1">
      <c r="B352" s="213" t="s">
        <v>664</v>
      </c>
      <c r="C352" s="211" t="s">
        <v>623</v>
      </c>
      <c r="D352" s="41">
        <v>374</v>
      </c>
      <c r="E352" s="41">
        <v>0</v>
      </c>
      <c r="F352" s="22" t="s">
        <v>1105</v>
      </c>
      <c r="G352" s="40">
        <v>30</v>
      </c>
      <c r="H352" s="388">
        <v>333.88429752066116</v>
      </c>
      <c r="I352" s="65"/>
      <c r="J352" s="40" t="s">
        <v>3</v>
      </c>
      <c r="K352" s="37"/>
      <c r="L352" s="35">
        <v>109</v>
      </c>
      <c r="M352" s="35">
        <v>19</v>
      </c>
      <c r="N352" s="40">
        <v>19</v>
      </c>
      <c r="O352" s="37"/>
      <c r="P352" s="35">
        <v>0</v>
      </c>
      <c r="Q352" s="35">
        <v>0</v>
      </c>
      <c r="R352" s="35">
        <v>0</v>
      </c>
      <c r="S352" s="35">
        <v>0</v>
      </c>
      <c r="T352" s="40">
        <v>0</v>
      </c>
      <c r="U352" s="37"/>
      <c r="V352" s="40">
        <v>40</v>
      </c>
    </row>
    <row r="353" spans="2:22" s="2" customFormat="1">
      <c r="B353" s="213" t="s">
        <v>189</v>
      </c>
      <c r="C353" s="211" t="s">
        <v>782</v>
      </c>
      <c r="D353" s="41">
        <v>25</v>
      </c>
      <c r="E353" s="41">
        <v>0</v>
      </c>
      <c r="F353" s="41" t="s">
        <v>1128</v>
      </c>
      <c r="G353" s="413">
        <v>24</v>
      </c>
      <c r="H353" s="414">
        <v>32.231404958677686</v>
      </c>
      <c r="I353" s="65"/>
      <c r="J353" s="40" t="s">
        <v>3</v>
      </c>
      <c r="K353" s="37"/>
      <c r="L353" s="35">
        <v>0</v>
      </c>
      <c r="M353" s="35">
        <v>0</v>
      </c>
      <c r="N353" s="40">
        <v>0</v>
      </c>
      <c r="O353" s="37"/>
      <c r="P353" s="35">
        <v>0</v>
      </c>
      <c r="Q353" s="35">
        <v>0</v>
      </c>
      <c r="R353" s="35">
        <v>0</v>
      </c>
      <c r="S353" s="35">
        <v>0</v>
      </c>
      <c r="T353" s="40">
        <v>0</v>
      </c>
      <c r="U353" s="37"/>
      <c r="V353" s="40">
        <v>-7</v>
      </c>
    </row>
    <row r="354" spans="2:22" s="2" customFormat="1">
      <c r="B354" s="213" t="s">
        <v>669</v>
      </c>
      <c r="C354" s="211" t="s">
        <v>409</v>
      </c>
      <c r="D354" s="41">
        <v>53</v>
      </c>
      <c r="E354" s="41">
        <v>5.25</v>
      </c>
      <c r="F354" s="22" t="s">
        <v>1130</v>
      </c>
      <c r="G354" s="40">
        <v>24</v>
      </c>
      <c r="H354" s="388">
        <v>52.892561983471076</v>
      </c>
      <c r="I354" s="65"/>
      <c r="J354" s="40" t="s">
        <v>3</v>
      </c>
      <c r="K354" s="37"/>
      <c r="L354" s="35">
        <v>0</v>
      </c>
      <c r="M354" s="35">
        <v>0</v>
      </c>
      <c r="N354" s="40">
        <v>0</v>
      </c>
      <c r="O354" s="37"/>
      <c r="P354" s="35">
        <v>0</v>
      </c>
      <c r="Q354" s="35">
        <v>0</v>
      </c>
      <c r="R354" s="35">
        <v>0</v>
      </c>
      <c r="S354" s="35">
        <v>0</v>
      </c>
      <c r="T354" s="40">
        <v>0</v>
      </c>
      <c r="U354" s="37"/>
      <c r="V354" s="40">
        <v>0</v>
      </c>
    </row>
    <row r="355" spans="2:22" s="2" customFormat="1">
      <c r="B355" s="213" t="s">
        <v>669</v>
      </c>
      <c r="C355" s="211" t="s">
        <v>766</v>
      </c>
      <c r="D355" s="41">
        <v>191</v>
      </c>
      <c r="E355" s="41">
        <v>5.25</v>
      </c>
      <c r="F355" s="41" t="s">
        <v>1130</v>
      </c>
      <c r="G355" s="413">
        <v>24</v>
      </c>
      <c r="H355" s="414">
        <v>182.64462809917356</v>
      </c>
      <c r="I355" s="65"/>
      <c r="J355" s="40" t="s">
        <v>3</v>
      </c>
      <c r="K355" s="37"/>
      <c r="L355" s="35">
        <v>29</v>
      </c>
      <c r="M355" s="35">
        <v>0</v>
      </c>
      <c r="N355" s="40">
        <v>0</v>
      </c>
      <c r="O355" s="37"/>
      <c r="P355" s="35">
        <v>0</v>
      </c>
      <c r="Q355" s="35">
        <v>0</v>
      </c>
      <c r="R355" s="35">
        <v>0</v>
      </c>
      <c r="S355" s="35">
        <v>0</v>
      </c>
      <c r="T355" s="40">
        <v>0</v>
      </c>
      <c r="U355" s="37"/>
      <c r="V355" s="40">
        <v>8</v>
      </c>
    </row>
    <row r="356" spans="2:22" s="2" customFormat="1">
      <c r="B356" s="213" t="s">
        <v>225</v>
      </c>
      <c r="C356" s="211" t="s">
        <v>769</v>
      </c>
      <c r="D356" s="41">
        <v>140</v>
      </c>
      <c r="E356" s="41">
        <v>0</v>
      </c>
      <c r="F356" s="22" t="s">
        <v>1130</v>
      </c>
      <c r="G356" s="40">
        <v>24</v>
      </c>
      <c r="H356" s="388">
        <v>129.75206611570249</v>
      </c>
      <c r="I356" s="65"/>
      <c r="J356" s="40" t="s">
        <v>3</v>
      </c>
      <c r="K356" s="37"/>
      <c r="L356" s="35">
        <v>19</v>
      </c>
      <c r="M356" s="35">
        <v>0</v>
      </c>
      <c r="N356" s="40">
        <v>0</v>
      </c>
      <c r="O356" s="37"/>
      <c r="P356" s="35">
        <v>0</v>
      </c>
      <c r="Q356" s="35">
        <v>0</v>
      </c>
      <c r="R356" s="35">
        <v>0</v>
      </c>
      <c r="S356" s="35">
        <v>0</v>
      </c>
      <c r="T356" s="40">
        <v>0</v>
      </c>
      <c r="U356" s="37"/>
      <c r="V356" s="40">
        <v>10</v>
      </c>
    </row>
    <row r="357" spans="2:22" s="2" customFormat="1">
      <c r="B357" s="213" t="s">
        <v>664</v>
      </c>
      <c r="C357" s="211" t="s">
        <v>652</v>
      </c>
      <c r="D357" s="41">
        <v>40</v>
      </c>
      <c r="E357" s="41">
        <v>0</v>
      </c>
      <c r="F357" s="41" t="s">
        <v>1134</v>
      </c>
      <c r="G357" s="413">
        <v>24</v>
      </c>
      <c r="H357" s="414">
        <v>39.669421487603309</v>
      </c>
      <c r="I357" s="65"/>
      <c r="J357" s="40" t="s">
        <v>3</v>
      </c>
      <c r="K357" s="37"/>
      <c r="L357" s="35">
        <v>0</v>
      </c>
      <c r="M357" s="35">
        <v>0</v>
      </c>
      <c r="N357" s="40">
        <v>0</v>
      </c>
      <c r="O357" s="37"/>
      <c r="P357" s="35">
        <v>0</v>
      </c>
      <c r="Q357" s="35">
        <v>0</v>
      </c>
      <c r="R357" s="35">
        <v>0</v>
      </c>
      <c r="S357" s="35">
        <v>0</v>
      </c>
      <c r="T357" s="40">
        <v>0</v>
      </c>
      <c r="V357" s="40">
        <v>0</v>
      </c>
    </row>
    <row r="358" spans="2:22" s="2" customFormat="1">
      <c r="B358" s="213" t="s">
        <v>670</v>
      </c>
      <c r="C358" s="211" t="s">
        <v>648</v>
      </c>
      <c r="D358" s="41">
        <v>62</v>
      </c>
      <c r="E358" s="41">
        <v>0</v>
      </c>
      <c r="F358" s="22" t="s">
        <v>1136</v>
      </c>
      <c r="G358" s="40">
        <v>24</v>
      </c>
      <c r="H358" s="388">
        <v>50.413223140495866</v>
      </c>
      <c r="I358" s="65"/>
      <c r="J358" s="40" t="s">
        <v>3</v>
      </c>
      <c r="K358" s="37"/>
      <c r="L358" s="35">
        <v>0</v>
      </c>
      <c r="M358" s="35">
        <v>0</v>
      </c>
      <c r="N358" s="40">
        <v>0</v>
      </c>
      <c r="O358" s="37"/>
      <c r="P358" s="35">
        <v>0</v>
      </c>
      <c r="Q358" s="35">
        <v>0</v>
      </c>
      <c r="R358" s="35">
        <v>0</v>
      </c>
      <c r="S358" s="35">
        <v>0</v>
      </c>
      <c r="T358" s="40">
        <v>0</v>
      </c>
      <c r="V358" s="40">
        <v>12</v>
      </c>
    </row>
    <row r="359" spans="2:22" s="2" customFormat="1">
      <c r="B359" s="213" t="s">
        <v>57</v>
      </c>
      <c r="C359" s="211" t="s">
        <v>649</v>
      </c>
      <c r="D359" s="41">
        <v>58</v>
      </c>
      <c r="E359" s="41">
        <v>0</v>
      </c>
      <c r="F359" s="41" t="s">
        <v>1136</v>
      </c>
      <c r="G359" s="413">
        <v>24</v>
      </c>
      <c r="H359" s="414">
        <v>48.760330578512395</v>
      </c>
      <c r="I359" s="65"/>
      <c r="J359" s="40" t="s">
        <v>3</v>
      </c>
      <c r="K359" s="37"/>
      <c r="L359" s="35">
        <v>0</v>
      </c>
      <c r="M359" s="35">
        <v>0</v>
      </c>
      <c r="N359" s="40">
        <v>0</v>
      </c>
      <c r="O359" s="37"/>
      <c r="P359" s="35">
        <v>0</v>
      </c>
      <c r="Q359" s="35">
        <v>0</v>
      </c>
      <c r="R359" s="35">
        <v>0</v>
      </c>
      <c r="S359" s="35">
        <v>0</v>
      </c>
      <c r="T359" s="40">
        <v>0</v>
      </c>
      <c r="V359" s="40">
        <v>9</v>
      </c>
    </row>
    <row r="360" spans="2:22" s="2" customFormat="1">
      <c r="B360" s="213" t="s">
        <v>60</v>
      </c>
      <c r="C360" s="211" t="s">
        <v>776</v>
      </c>
      <c r="D360" s="41">
        <v>61</v>
      </c>
      <c r="E360" s="41">
        <v>0</v>
      </c>
      <c r="F360" s="22" t="s">
        <v>1136</v>
      </c>
      <c r="G360" s="40">
        <v>24</v>
      </c>
      <c r="H360" s="388">
        <v>48.760330578512395</v>
      </c>
      <c r="I360" s="65"/>
      <c r="J360" s="40" t="s">
        <v>3</v>
      </c>
      <c r="K360" s="37"/>
      <c r="L360" s="35">
        <v>0</v>
      </c>
      <c r="M360" s="35">
        <v>0</v>
      </c>
      <c r="N360" s="40">
        <v>0</v>
      </c>
      <c r="O360" s="37"/>
      <c r="P360" s="35">
        <v>0</v>
      </c>
      <c r="Q360" s="35">
        <v>0</v>
      </c>
      <c r="R360" s="35">
        <v>0</v>
      </c>
      <c r="S360" s="35">
        <v>0</v>
      </c>
      <c r="T360" s="40">
        <v>0</v>
      </c>
      <c r="V360" s="40">
        <v>12</v>
      </c>
    </row>
    <row r="361" spans="2:22" s="2" customFormat="1">
      <c r="B361" s="213" t="s">
        <v>58</v>
      </c>
      <c r="C361" s="211" t="s">
        <v>743</v>
      </c>
      <c r="D361" s="41">
        <v>532</v>
      </c>
      <c r="E361" s="41">
        <v>2.5</v>
      </c>
      <c r="F361" s="41" t="s">
        <v>1140</v>
      </c>
      <c r="G361" s="413">
        <v>24</v>
      </c>
      <c r="H361" s="414">
        <v>531.40495867768595</v>
      </c>
      <c r="I361" s="65"/>
      <c r="J361" s="40"/>
      <c r="K361" s="37"/>
      <c r="L361" s="35">
        <v>169</v>
      </c>
      <c r="M361" s="35">
        <v>0</v>
      </c>
      <c r="N361" s="40">
        <v>0</v>
      </c>
      <c r="O361" s="37"/>
      <c r="P361" s="35">
        <v>0</v>
      </c>
      <c r="Q361" s="35">
        <v>0</v>
      </c>
      <c r="R361" s="35">
        <v>0</v>
      </c>
      <c r="S361" s="35">
        <v>0</v>
      </c>
      <c r="T361" s="40">
        <v>0</v>
      </c>
      <c r="V361" s="40">
        <v>1</v>
      </c>
    </row>
    <row r="362" spans="2:22" s="2" customFormat="1">
      <c r="B362" s="213" t="s">
        <v>58</v>
      </c>
      <c r="C362" s="211" t="s">
        <v>743</v>
      </c>
      <c r="D362" s="41">
        <v>532</v>
      </c>
      <c r="E362" s="41">
        <v>2.5</v>
      </c>
      <c r="F362" s="22" t="s">
        <v>1140</v>
      </c>
      <c r="G362" s="40">
        <v>30</v>
      </c>
      <c r="H362" s="388">
        <v>531.40495867768595</v>
      </c>
      <c r="I362" s="65"/>
      <c r="J362" s="40"/>
      <c r="K362" s="37"/>
      <c r="L362" s="35">
        <v>169</v>
      </c>
      <c r="M362" s="35">
        <v>0</v>
      </c>
      <c r="N362" s="40">
        <v>0</v>
      </c>
      <c r="O362" s="37"/>
      <c r="P362" s="35">
        <v>0</v>
      </c>
      <c r="Q362" s="35">
        <v>0</v>
      </c>
      <c r="R362" s="35">
        <v>0</v>
      </c>
      <c r="S362" s="35">
        <v>0</v>
      </c>
      <c r="T362" s="40">
        <v>0</v>
      </c>
      <c r="V362" s="40">
        <v>1</v>
      </c>
    </row>
    <row r="363" spans="2:22" s="2" customFormat="1">
      <c r="B363" s="213" t="s">
        <v>58</v>
      </c>
      <c r="C363" s="211" t="s">
        <v>744</v>
      </c>
      <c r="D363" s="41">
        <v>555</v>
      </c>
      <c r="E363" s="41">
        <v>2.5</v>
      </c>
      <c r="F363" s="41" t="s">
        <v>1140</v>
      </c>
      <c r="G363" s="413">
        <v>24</v>
      </c>
      <c r="H363" s="414">
        <v>554.54545454545462</v>
      </c>
      <c r="I363" s="65"/>
      <c r="J363" s="40"/>
      <c r="K363" s="37"/>
      <c r="L363" s="35">
        <v>169</v>
      </c>
      <c r="M363" s="35">
        <v>0</v>
      </c>
      <c r="N363" s="40">
        <v>0</v>
      </c>
      <c r="O363" s="37"/>
      <c r="P363" s="35">
        <v>0</v>
      </c>
      <c r="Q363" s="35">
        <v>0</v>
      </c>
      <c r="R363" s="35">
        <v>0</v>
      </c>
      <c r="S363" s="35">
        <v>0</v>
      </c>
      <c r="T363" s="40">
        <v>0</v>
      </c>
      <c r="V363" s="40">
        <v>0</v>
      </c>
    </row>
    <row r="364" spans="2:22" s="2" customFormat="1">
      <c r="B364" s="213" t="s">
        <v>58</v>
      </c>
      <c r="C364" s="211" t="s">
        <v>744</v>
      </c>
      <c r="D364" s="41">
        <v>555</v>
      </c>
      <c r="E364" s="41">
        <v>2.5</v>
      </c>
      <c r="F364" s="22" t="s">
        <v>1140</v>
      </c>
      <c r="G364" s="40">
        <v>30</v>
      </c>
      <c r="H364" s="388">
        <v>554.54545454545462</v>
      </c>
      <c r="I364" s="65"/>
      <c r="J364" s="40"/>
      <c r="K364" s="37"/>
      <c r="L364" s="35">
        <v>169</v>
      </c>
      <c r="M364" s="35">
        <v>0</v>
      </c>
      <c r="N364" s="40">
        <v>0</v>
      </c>
      <c r="O364" s="37"/>
      <c r="P364" s="35">
        <v>0</v>
      </c>
      <c r="Q364" s="35">
        <v>0</v>
      </c>
      <c r="R364" s="35">
        <v>0</v>
      </c>
      <c r="S364" s="35">
        <v>0</v>
      </c>
      <c r="T364" s="40">
        <v>0</v>
      </c>
      <c r="V364" s="40">
        <v>0</v>
      </c>
    </row>
    <row r="365" spans="2:22" s="2" customFormat="1">
      <c r="B365" s="213" t="s">
        <v>58</v>
      </c>
      <c r="C365" s="211" t="s">
        <v>745</v>
      </c>
      <c r="D365" s="41">
        <v>423</v>
      </c>
      <c r="E365" s="41">
        <v>2.5</v>
      </c>
      <c r="F365" s="41" t="s">
        <v>1140</v>
      </c>
      <c r="G365" s="413">
        <v>24</v>
      </c>
      <c r="H365" s="414">
        <v>422.31404958677689</v>
      </c>
      <c r="I365" s="65"/>
      <c r="J365" s="40"/>
      <c r="K365" s="37"/>
      <c r="L365" s="35">
        <v>139</v>
      </c>
      <c r="M365" s="35">
        <v>0</v>
      </c>
      <c r="N365" s="40">
        <v>0</v>
      </c>
      <c r="O365" s="37"/>
      <c r="P365" s="35">
        <v>0</v>
      </c>
      <c r="Q365" s="35">
        <v>0</v>
      </c>
      <c r="R365" s="35">
        <v>0</v>
      </c>
      <c r="S365" s="35">
        <v>0</v>
      </c>
      <c r="T365" s="40">
        <v>0</v>
      </c>
      <c r="V365" s="40">
        <v>1</v>
      </c>
    </row>
    <row r="366" spans="2:22" s="2" customFormat="1">
      <c r="B366" s="213" t="s">
        <v>58</v>
      </c>
      <c r="C366" s="211" t="s">
        <v>745</v>
      </c>
      <c r="D366" s="41">
        <v>423</v>
      </c>
      <c r="E366" s="41">
        <v>2.5</v>
      </c>
      <c r="F366" s="22" t="s">
        <v>1140</v>
      </c>
      <c r="G366" s="40">
        <v>30</v>
      </c>
      <c r="H366" s="388">
        <v>422.31404958677689</v>
      </c>
      <c r="I366" s="65"/>
      <c r="J366" s="40"/>
      <c r="K366" s="37"/>
      <c r="L366" s="35">
        <v>139</v>
      </c>
      <c r="M366" s="35">
        <v>0</v>
      </c>
      <c r="N366" s="40">
        <v>0</v>
      </c>
      <c r="O366" s="37"/>
      <c r="P366" s="35">
        <v>0</v>
      </c>
      <c r="Q366" s="35">
        <v>0</v>
      </c>
      <c r="R366" s="35">
        <v>0</v>
      </c>
      <c r="S366" s="35">
        <v>0</v>
      </c>
      <c r="T366" s="40">
        <v>0</v>
      </c>
      <c r="V366" s="40">
        <v>1</v>
      </c>
    </row>
    <row r="367" spans="2:22" s="2" customFormat="1">
      <c r="B367" s="213" t="s">
        <v>58</v>
      </c>
      <c r="C367" s="211" t="s">
        <v>746</v>
      </c>
      <c r="D367" s="41">
        <v>445</v>
      </c>
      <c r="E367" s="41">
        <v>2.5</v>
      </c>
      <c r="F367" s="41" t="s">
        <v>1140</v>
      </c>
      <c r="G367" s="413">
        <v>24</v>
      </c>
      <c r="H367" s="414">
        <v>444.62809917355372</v>
      </c>
      <c r="I367" s="65"/>
      <c r="J367" s="40"/>
      <c r="K367" s="37"/>
      <c r="L367" s="35">
        <v>149</v>
      </c>
      <c r="M367" s="35">
        <v>0</v>
      </c>
      <c r="N367" s="40">
        <v>0</v>
      </c>
      <c r="O367" s="37"/>
      <c r="P367" s="35">
        <v>0</v>
      </c>
      <c r="Q367" s="35">
        <v>0</v>
      </c>
      <c r="R367" s="35">
        <v>0</v>
      </c>
      <c r="S367" s="35">
        <v>0</v>
      </c>
      <c r="T367" s="40">
        <v>0</v>
      </c>
      <c r="V367" s="40">
        <v>0</v>
      </c>
    </row>
    <row r="368" spans="2:22" s="2" customFormat="1">
      <c r="B368" s="213" t="s">
        <v>58</v>
      </c>
      <c r="C368" s="211" t="s">
        <v>746</v>
      </c>
      <c r="D368" s="41">
        <v>445</v>
      </c>
      <c r="E368" s="41">
        <v>2.5</v>
      </c>
      <c r="F368" s="22" t="s">
        <v>1140</v>
      </c>
      <c r="G368" s="40">
        <v>30</v>
      </c>
      <c r="H368" s="388">
        <v>444.62809917355372</v>
      </c>
      <c r="I368" s="65"/>
      <c r="J368" s="40"/>
      <c r="K368" s="37"/>
      <c r="L368" s="35">
        <v>149</v>
      </c>
      <c r="M368" s="35">
        <v>0</v>
      </c>
      <c r="N368" s="40">
        <v>0</v>
      </c>
      <c r="O368" s="37"/>
      <c r="P368" s="35">
        <v>0</v>
      </c>
      <c r="Q368" s="35">
        <v>0</v>
      </c>
      <c r="R368" s="35">
        <v>0</v>
      </c>
      <c r="S368" s="35">
        <v>0</v>
      </c>
      <c r="T368" s="40">
        <v>0</v>
      </c>
      <c r="V368" s="40">
        <v>0</v>
      </c>
    </row>
    <row r="369" spans="2:22" s="2" customFormat="1">
      <c r="B369" s="213" t="s">
        <v>58</v>
      </c>
      <c r="C369" s="211" t="s">
        <v>553</v>
      </c>
      <c r="D369" s="41">
        <v>555</v>
      </c>
      <c r="E369" s="41">
        <v>2.5</v>
      </c>
      <c r="F369" s="41" t="s">
        <v>1140</v>
      </c>
      <c r="G369" s="413">
        <v>24</v>
      </c>
      <c r="H369" s="414">
        <v>554.54545454545462</v>
      </c>
      <c r="I369" s="65"/>
      <c r="J369" s="40"/>
      <c r="K369" s="37"/>
      <c r="L369" s="35">
        <v>169</v>
      </c>
      <c r="M369" s="35">
        <v>0</v>
      </c>
      <c r="N369" s="40">
        <v>0</v>
      </c>
      <c r="O369" s="37"/>
      <c r="P369" s="35">
        <v>0</v>
      </c>
      <c r="Q369" s="35">
        <v>0</v>
      </c>
      <c r="R369" s="35">
        <v>0</v>
      </c>
      <c r="S369" s="35">
        <v>0</v>
      </c>
      <c r="T369" s="40">
        <v>0</v>
      </c>
      <c r="V369" s="40">
        <v>0</v>
      </c>
    </row>
    <row r="370" spans="2:22" s="2" customFormat="1">
      <c r="B370" s="213" t="s">
        <v>58</v>
      </c>
      <c r="C370" s="211" t="s">
        <v>553</v>
      </c>
      <c r="D370" s="41">
        <v>555</v>
      </c>
      <c r="E370" s="41">
        <v>2.5</v>
      </c>
      <c r="F370" s="22" t="s">
        <v>1140</v>
      </c>
      <c r="G370" s="40">
        <v>30</v>
      </c>
      <c r="H370" s="388">
        <v>554.54545454545462</v>
      </c>
      <c r="I370" s="65"/>
      <c r="J370" s="40"/>
      <c r="K370" s="37"/>
      <c r="L370" s="35">
        <v>169</v>
      </c>
      <c r="M370" s="35">
        <v>0</v>
      </c>
      <c r="N370" s="40">
        <v>0</v>
      </c>
      <c r="O370" s="37"/>
      <c r="P370" s="35">
        <v>0</v>
      </c>
      <c r="Q370" s="35">
        <v>0</v>
      </c>
      <c r="R370" s="35">
        <v>0</v>
      </c>
      <c r="S370" s="35">
        <v>0</v>
      </c>
      <c r="T370" s="40">
        <v>0</v>
      </c>
      <c r="V370" s="40">
        <v>0</v>
      </c>
    </row>
    <row r="371" spans="2:22" s="2" customFormat="1">
      <c r="B371" s="213" t="s">
        <v>58</v>
      </c>
      <c r="C371" s="211" t="s">
        <v>747</v>
      </c>
      <c r="D371" s="41">
        <v>300</v>
      </c>
      <c r="E371" s="41">
        <v>2.5</v>
      </c>
      <c r="F371" s="41" t="s">
        <v>1140</v>
      </c>
      <c r="G371" s="413">
        <v>24</v>
      </c>
      <c r="H371" s="414">
        <v>299.17355371900828</v>
      </c>
      <c r="I371" s="65"/>
      <c r="J371" s="40"/>
      <c r="K371" s="37"/>
      <c r="L371" s="35">
        <v>99</v>
      </c>
      <c r="M371" s="35">
        <v>0</v>
      </c>
      <c r="N371" s="40">
        <v>0</v>
      </c>
      <c r="O371" s="37"/>
      <c r="P371" s="35">
        <v>0</v>
      </c>
      <c r="Q371" s="35">
        <v>0</v>
      </c>
      <c r="R371" s="35">
        <v>0</v>
      </c>
      <c r="S371" s="35">
        <v>0</v>
      </c>
      <c r="T371" s="40">
        <v>0</v>
      </c>
      <c r="V371" s="40">
        <v>1</v>
      </c>
    </row>
    <row r="372" spans="2:22" s="2" customFormat="1">
      <c r="B372" s="213" t="s">
        <v>58</v>
      </c>
      <c r="C372" s="211" t="s">
        <v>747</v>
      </c>
      <c r="D372" s="41">
        <v>300</v>
      </c>
      <c r="E372" s="41">
        <v>2.5</v>
      </c>
      <c r="F372" s="22" t="s">
        <v>1140</v>
      </c>
      <c r="G372" s="40">
        <v>30</v>
      </c>
      <c r="H372" s="388">
        <v>299.17355371900828</v>
      </c>
      <c r="I372" s="65"/>
      <c r="J372" s="40"/>
      <c r="K372" s="37"/>
      <c r="L372" s="35">
        <v>99</v>
      </c>
      <c r="M372" s="35">
        <v>0</v>
      </c>
      <c r="N372" s="40">
        <v>0</v>
      </c>
      <c r="O372" s="37"/>
      <c r="P372" s="35">
        <v>0</v>
      </c>
      <c r="Q372" s="35">
        <v>0</v>
      </c>
      <c r="R372" s="35">
        <v>0</v>
      </c>
      <c r="S372" s="35">
        <v>0</v>
      </c>
      <c r="T372" s="40">
        <v>0</v>
      </c>
      <c r="V372" s="40">
        <v>1</v>
      </c>
    </row>
    <row r="373" spans="2:22" s="2" customFormat="1">
      <c r="B373" s="213" t="s">
        <v>58</v>
      </c>
      <c r="C373" s="211" t="s">
        <v>748</v>
      </c>
      <c r="D373" s="41">
        <v>322</v>
      </c>
      <c r="E373" s="41">
        <v>2.5</v>
      </c>
      <c r="F373" s="41" t="s">
        <v>1140</v>
      </c>
      <c r="G373" s="413">
        <v>24</v>
      </c>
      <c r="H373" s="414">
        <v>321.48760330578511</v>
      </c>
      <c r="I373" s="65"/>
      <c r="J373" s="40"/>
      <c r="K373" s="37"/>
      <c r="L373" s="35">
        <v>99</v>
      </c>
      <c r="M373" s="35">
        <v>0</v>
      </c>
      <c r="N373" s="40">
        <v>0</v>
      </c>
      <c r="O373" s="37"/>
      <c r="P373" s="35">
        <v>0</v>
      </c>
      <c r="Q373" s="35">
        <v>0</v>
      </c>
      <c r="R373" s="35">
        <v>0</v>
      </c>
      <c r="S373" s="35">
        <v>0</v>
      </c>
      <c r="T373" s="40">
        <v>0</v>
      </c>
      <c r="V373" s="40">
        <v>1</v>
      </c>
    </row>
    <row r="374" spans="2:22" s="2" customFormat="1">
      <c r="B374" s="213" t="s">
        <v>58</v>
      </c>
      <c r="C374" s="211" t="s">
        <v>748</v>
      </c>
      <c r="D374" s="41">
        <v>322</v>
      </c>
      <c r="E374" s="41">
        <v>2.5</v>
      </c>
      <c r="F374" s="22" t="s">
        <v>1140</v>
      </c>
      <c r="G374" s="40">
        <v>30</v>
      </c>
      <c r="H374" s="388">
        <v>321.48760330578511</v>
      </c>
      <c r="I374" s="65"/>
      <c r="J374" s="40"/>
      <c r="K374" s="37"/>
      <c r="L374" s="35">
        <v>99</v>
      </c>
      <c r="M374" s="35">
        <v>0</v>
      </c>
      <c r="N374" s="40">
        <v>0</v>
      </c>
      <c r="O374" s="37"/>
      <c r="P374" s="35">
        <v>0</v>
      </c>
      <c r="Q374" s="35">
        <v>0</v>
      </c>
      <c r="R374" s="35">
        <v>0</v>
      </c>
      <c r="S374" s="35">
        <v>0</v>
      </c>
      <c r="T374" s="40">
        <v>0</v>
      </c>
      <c r="V374" s="40">
        <v>1</v>
      </c>
    </row>
    <row r="375" spans="2:22" s="2" customFormat="1">
      <c r="B375" s="213" t="s">
        <v>58</v>
      </c>
      <c r="C375" s="211" t="s">
        <v>554</v>
      </c>
      <c r="D375" s="41">
        <v>782</v>
      </c>
      <c r="E375" s="41">
        <v>2.5</v>
      </c>
      <c r="F375" s="41" t="s">
        <v>1140</v>
      </c>
      <c r="G375" s="413">
        <v>24</v>
      </c>
      <c r="H375" s="414">
        <v>781.81818181818187</v>
      </c>
      <c r="I375" s="65"/>
      <c r="J375" s="40"/>
      <c r="K375" s="37"/>
      <c r="L375" s="35">
        <v>169</v>
      </c>
      <c r="M375" s="35">
        <v>0</v>
      </c>
      <c r="N375" s="40">
        <v>0</v>
      </c>
      <c r="O375" s="37"/>
      <c r="P375" s="35">
        <v>0</v>
      </c>
      <c r="Q375" s="35">
        <v>0</v>
      </c>
      <c r="R375" s="35">
        <v>0</v>
      </c>
      <c r="S375" s="35">
        <v>0</v>
      </c>
      <c r="T375" s="40">
        <v>0</v>
      </c>
      <c r="V375" s="40">
        <v>0</v>
      </c>
    </row>
    <row r="376" spans="2:22" s="2" customFormat="1">
      <c r="B376" s="213" t="s">
        <v>58</v>
      </c>
      <c r="C376" s="211" t="s">
        <v>554</v>
      </c>
      <c r="D376" s="41">
        <v>782</v>
      </c>
      <c r="E376" s="41">
        <v>2.5</v>
      </c>
      <c r="F376" s="22" t="s">
        <v>1140</v>
      </c>
      <c r="G376" s="40">
        <v>30</v>
      </c>
      <c r="H376" s="388">
        <v>781.81818181818187</v>
      </c>
      <c r="I376" s="65"/>
      <c r="J376" s="40"/>
      <c r="K376" s="37"/>
      <c r="L376" s="35">
        <v>169</v>
      </c>
      <c r="M376" s="35">
        <v>0</v>
      </c>
      <c r="N376" s="40">
        <v>0</v>
      </c>
      <c r="O376" s="37"/>
      <c r="P376" s="35">
        <v>0</v>
      </c>
      <c r="Q376" s="35">
        <v>0</v>
      </c>
      <c r="R376" s="35">
        <v>0</v>
      </c>
      <c r="S376" s="35">
        <v>0</v>
      </c>
      <c r="T376" s="40">
        <v>0</v>
      </c>
      <c r="V376" s="40">
        <v>0</v>
      </c>
    </row>
    <row r="377" spans="2:22" s="2" customFormat="1">
      <c r="B377" s="213" t="s">
        <v>672</v>
      </c>
      <c r="C377" s="211" t="s">
        <v>542</v>
      </c>
      <c r="D377" s="41">
        <v>75</v>
      </c>
      <c r="E377" s="41">
        <v>0</v>
      </c>
      <c r="F377" s="41" t="s">
        <v>1140</v>
      </c>
      <c r="G377" s="413">
        <v>24</v>
      </c>
      <c r="H377" s="414">
        <v>74.380165289256198</v>
      </c>
      <c r="I377" s="65"/>
      <c r="J377" s="40"/>
      <c r="K377" s="37"/>
      <c r="L377" s="35">
        <v>0</v>
      </c>
      <c r="M377" s="35">
        <v>0</v>
      </c>
      <c r="N377" s="40">
        <v>0</v>
      </c>
      <c r="O377" s="37"/>
      <c r="P377" s="35">
        <v>0</v>
      </c>
      <c r="Q377" s="35">
        <v>0</v>
      </c>
      <c r="R377" s="35">
        <v>0</v>
      </c>
      <c r="S377" s="35">
        <v>0</v>
      </c>
      <c r="T377" s="40">
        <v>0</v>
      </c>
      <c r="V377" s="40">
        <v>1</v>
      </c>
    </row>
    <row r="378" spans="2:22" s="2" customFormat="1">
      <c r="B378" s="213" t="s">
        <v>106</v>
      </c>
      <c r="C378" s="211" t="s">
        <v>760</v>
      </c>
      <c r="D378" s="41">
        <v>413</v>
      </c>
      <c r="E378" s="41">
        <v>2.5</v>
      </c>
      <c r="F378" s="22" t="s">
        <v>1140</v>
      </c>
      <c r="G378" s="40">
        <v>24</v>
      </c>
      <c r="H378" s="388">
        <v>305.78512396694214</v>
      </c>
      <c r="I378" s="65"/>
      <c r="J378" s="40"/>
      <c r="K378" s="37"/>
      <c r="L378" s="35">
        <v>99</v>
      </c>
      <c r="M378" s="35">
        <v>19</v>
      </c>
      <c r="N378" s="40">
        <v>19</v>
      </c>
      <c r="O378" s="37"/>
      <c r="P378" s="35">
        <v>0</v>
      </c>
      <c r="Q378" s="35">
        <v>0</v>
      </c>
      <c r="R378" s="35">
        <v>0</v>
      </c>
      <c r="S378" s="35">
        <v>0</v>
      </c>
      <c r="T378" s="40">
        <v>0</v>
      </c>
      <c r="V378" s="40">
        <v>107</v>
      </c>
    </row>
    <row r="379" spans="2:22" s="2" customFormat="1">
      <c r="B379" s="213" t="s">
        <v>106</v>
      </c>
      <c r="C379" s="211" t="s">
        <v>760</v>
      </c>
      <c r="D379" s="41">
        <v>413</v>
      </c>
      <c r="E379" s="41">
        <v>2.5</v>
      </c>
      <c r="F379" s="41" t="s">
        <v>1140</v>
      </c>
      <c r="G379" s="413">
        <v>30</v>
      </c>
      <c r="H379" s="414">
        <v>305.78512396694214</v>
      </c>
      <c r="I379" s="65"/>
      <c r="J379" s="40"/>
      <c r="K379" s="37"/>
      <c r="L379" s="35">
        <v>99</v>
      </c>
      <c r="M379" s="35">
        <v>19</v>
      </c>
      <c r="N379" s="40">
        <v>19</v>
      </c>
      <c r="O379" s="37"/>
      <c r="P379" s="35">
        <v>0</v>
      </c>
      <c r="Q379" s="35">
        <v>0</v>
      </c>
      <c r="R379" s="35">
        <v>0</v>
      </c>
      <c r="S379" s="35">
        <v>0</v>
      </c>
      <c r="T379" s="40">
        <v>0</v>
      </c>
      <c r="V379" s="40">
        <v>107</v>
      </c>
    </row>
    <row r="380" spans="2:22" s="2" customFormat="1">
      <c r="B380" s="213" t="s">
        <v>57</v>
      </c>
      <c r="C380" s="211" t="s">
        <v>622</v>
      </c>
      <c r="D380" s="41">
        <v>161</v>
      </c>
      <c r="E380" s="41">
        <v>2.5</v>
      </c>
      <c r="F380" s="22" t="s">
        <v>1140</v>
      </c>
      <c r="G380" s="40">
        <v>24</v>
      </c>
      <c r="H380" s="388">
        <v>100</v>
      </c>
      <c r="I380" s="65"/>
      <c r="J380" s="40"/>
      <c r="K380" s="37"/>
      <c r="L380" s="35">
        <v>0</v>
      </c>
      <c r="M380" s="35">
        <v>0</v>
      </c>
      <c r="N380" s="40">
        <v>0</v>
      </c>
      <c r="O380" s="37"/>
      <c r="P380" s="35">
        <v>0</v>
      </c>
      <c r="Q380" s="35">
        <v>0</v>
      </c>
      <c r="R380" s="35">
        <v>0</v>
      </c>
      <c r="S380" s="35">
        <v>0</v>
      </c>
      <c r="T380" s="40">
        <v>0</v>
      </c>
      <c r="V380" s="40">
        <v>61</v>
      </c>
    </row>
    <row r="381" spans="2:22" s="2" customFormat="1">
      <c r="B381" s="213" t="s">
        <v>57</v>
      </c>
      <c r="C381" s="211" t="s">
        <v>765</v>
      </c>
      <c r="D381" s="41">
        <v>377</v>
      </c>
      <c r="E381" s="41">
        <v>2.5</v>
      </c>
      <c r="F381" s="41" t="s">
        <v>1140</v>
      </c>
      <c r="G381" s="413">
        <v>24</v>
      </c>
      <c r="H381" s="414">
        <v>237.19008264462812</v>
      </c>
      <c r="I381" s="65"/>
      <c r="J381" s="40"/>
      <c r="K381" s="37"/>
      <c r="L381" s="35">
        <v>39</v>
      </c>
      <c r="M381" s="35">
        <v>0</v>
      </c>
      <c r="N381" s="40">
        <v>0</v>
      </c>
      <c r="O381" s="37"/>
      <c r="P381" s="35">
        <v>0</v>
      </c>
      <c r="Q381" s="35">
        <v>0</v>
      </c>
      <c r="R381" s="35">
        <v>0</v>
      </c>
      <c r="S381" s="35">
        <v>0</v>
      </c>
      <c r="T381" s="40">
        <v>0</v>
      </c>
      <c r="V381" s="40">
        <v>140</v>
      </c>
    </row>
    <row r="382" spans="2:22" s="2" customFormat="1">
      <c r="B382" s="213" t="s">
        <v>57</v>
      </c>
      <c r="C382" s="211" t="s">
        <v>537</v>
      </c>
      <c r="D382" s="41">
        <v>748</v>
      </c>
      <c r="E382" s="41">
        <v>2.5</v>
      </c>
      <c r="F382" s="22" t="s">
        <v>1140</v>
      </c>
      <c r="G382" s="40">
        <v>24</v>
      </c>
      <c r="H382" s="388">
        <v>376.85950413223139</v>
      </c>
      <c r="I382" s="65"/>
      <c r="J382" s="40"/>
      <c r="K382" s="37"/>
      <c r="L382" s="35">
        <v>129</v>
      </c>
      <c r="M382" s="35">
        <v>19</v>
      </c>
      <c r="N382" s="40">
        <v>19</v>
      </c>
      <c r="O382" s="37"/>
      <c r="P382" s="35">
        <v>0</v>
      </c>
      <c r="Q382" s="35">
        <v>0</v>
      </c>
      <c r="R382" s="35">
        <v>0</v>
      </c>
      <c r="S382" s="35">
        <v>0</v>
      </c>
      <c r="T382" s="40">
        <v>0</v>
      </c>
      <c r="V382" s="40">
        <v>371</v>
      </c>
    </row>
    <row r="383" spans="2:22" s="2" customFormat="1">
      <c r="B383" s="213" t="s">
        <v>57</v>
      </c>
      <c r="C383" s="211" t="s">
        <v>537</v>
      </c>
      <c r="D383" s="41">
        <v>748</v>
      </c>
      <c r="E383" s="41">
        <v>2.5</v>
      </c>
      <c r="F383" s="41" t="s">
        <v>1140</v>
      </c>
      <c r="G383" s="413">
        <v>30</v>
      </c>
      <c r="H383" s="414">
        <v>376.85950413223139</v>
      </c>
      <c r="I383" s="65"/>
      <c r="J383" s="40"/>
      <c r="K383" s="37"/>
      <c r="L383" s="35">
        <v>129</v>
      </c>
      <c r="M383" s="35">
        <v>19</v>
      </c>
      <c r="N383" s="40">
        <v>19</v>
      </c>
      <c r="O383" s="37"/>
      <c r="P383" s="35">
        <v>0</v>
      </c>
      <c r="Q383" s="35">
        <v>0</v>
      </c>
      <c r="R383" s="35">
        <v>0</v>
      </c>
      <c r="S383" s="35">
        <v>0</v>
      </c>
      <c r="T383" s="40">
        <v>0</v>
      </c>
      <c r="V383" s="40">
        <v>371</v>
      </c>
    </row>
    <row r="384" spans="2:22" s="2" customFormat="1">
      <c r="B384" s="213" t="s">
        <v>667</v>
      </c>
      <c r="C384" s="211" t="s">
        <v>636</v>
      </c>
      <c r="D384" s="41">
        <v>288</v>
      </c>
      <c r="E384" s="41">
        <v>2.5</v>
      </c>
      <c r="F384" s="22" t="s">
        <v>1140</v>
      </c>
      <c r="G384" s="40">
        <v>24</v>
      </c>
      <c r="H384" s="388">
        <v>186.77685950413223</v>
      </c>
      <c r="I384" s="65"/>
      <c r="J384" s="40"/>
      <c r="K384" s="37"/>
      <c r="L384" s="35">
        <v>29</v>
      </c>
      <c r="M384" s="35">
        <v>0</v>
      </c>
      <c r="N384" s="40">
        <v>0</v>
      </c>
      <c r="O384" s="37"/>
      <c r="P384" s="35">
        <v>0</v>
      </c>
      <c r="Q384" s="35">
        <v>0</v>
      </c>
      <c r="R384" s="35">
        <v>0</v>
      </c>
      <c r="S384" s="35">
        <v>0</v>
      </c>
      <c r="T384" s="40">
        <v>0</v>
      </c>
      <c r="V384" s="40">
        <v>101</v>
      </c>
    </row>
    <row r="385" spans="2:22" s="2" customFormat="1">
      <c r="B385" s="213" t="s">
        <v>60</v>
      </c>
      <c r="C385" s="211" t="s">
        <v>547</v>
      </c>
      <c r="D385" s="41">
        <v>421</v>
      </c>
      <c r="E385" s="41">
        <v>2.5</v>
      </c>
      <c r="F385" s="41" t="s">
        <v>1140</v>
      </c>
      <c r="G385" s="413">
        <v>24</v>
      </c>
      <c r="H385" s="414">
        <v>420.6611570247934</v>
      </c>
      <c r="I385" s="65"/>
      <c r="J385" s="40"/>
      <c r="K385" s="37"/>
      <c r="L385" s="35">
        <v>139</v>
      </c>
      <c r="M385" s="35">
        <v>19</v>
      </c>
      <c r="N385" s="40">
        <v>19</v>
      </c>
      <c r="O385" s="37"/>
      <c r="P385" s="35">
        <v>0</v>
      </c>
      <c r="Q385" s="35">
        <v>0</v>
      </c>
      <c r="R385" s="35">
        <v>0</v>
      </c>
      <c r="S385" s="35">
        <v>0</v>
      </c>
      <c r="T385" s="40">
        <v>0</v>
      </c>
      <c r="V385" s="40">
        <v>0</v>
      </c>
    </row>
    <row r="386" spans="2:22" s="2" customFormat="1">
      <c r="B386" s="213" t="s">
        <v>60</v>
      </c>
      <c r="C386" s="211" t="s">
        <v>547</v>
      </c>
      <c r="D386" s="41">
        <v>421</v>
      </c>
      <c r="E386" s="41">
        <v>2.5</v>
      </c>
      <c r="F386" s="22" t="s">
        <v>1140</v>
      </c>
      <c r="G386" s="40">
        <v>30</v>
      </c>
      <c r="H386" s="388">
        <v>420.6611570247934</v>
      </c>
      <c r="I386" s="65"/>
      <c r="J386" s="40"/>
      <c r="K386" s="37"/>
      <c r="L386" s="35">
        <v>139</v>
      </c>
      <c r="M386" s="35">
        <v>19</v>
      </c>
      <c r="N386" s="40">
        <v>19</v>
      </c>
      <c r="O386" s="37"/>
      <c r="P386" s="35">
        <v>0</v>
      </c>
      <c r="Q386" s="35">
        <v>0</v>
      </c>
      <c r="R386" s="35">
        <v>0</v>
      </c>
      <c r="S386" s="35">
        <v>0</v>
      </c>
      <c r="T386" s="40">
        <v>0</v>
      </c>
      <c r="V386" s="40">
        <v>0</v>
      </c>
    </row>
    <row r="387" spans="2:22" s="2" customFormat="1">
      <c r="B387" s="213" t="s">
        <v>60</v>
      </c>
      <c r="C387" s="211" t="s">
        <v>660</v>
      </c>
      <c r="D387" s="41">
        <v>315</v>
      </c>
      <c r="E387" s="41">
        <v>2.5</v>
      </c>
      <c r="F387" s="41" t="s">
        <v>1140</v>
      </c>
      <c r="G387" s="413">
        <v>24</v>
      </c>
      <c r="H387" s="414">
        <v>253.71900826446281</v>
      </c>
      <c r="I387" s="65"/>
      <c r="J387" s="40"/>
      <c r="K387" s="37"/>
      <c r="L387" s="35">
        <v>39</v>
      </c>
      <c r="M387" s="35">
        <v>0</v>
      </c>
      <c r="N387" s="40">
        <v>0</v>
      </c>
      <c r="O387" s="37"/>
      <c r="P387" s="35">
        <v>0</v>
      </c>
      <c r="Q387" s="35">
        <v>0</v>
      </c>
      <c r="R387" s="35">
        <v>0</v>
      </c>
      <c r="S387" s="35">
        <v>0</v>
      </c>
      <c r="T387" s="40">
        <v>0</v>
      </c>
      <c r="V387" s="40">
        <v>61</v>
      </c>
    </row>
    <row r="388" spans="2:22" s="2" customFormat="1">
      <c r="B388" s="213" t="s">
        <v>60</v>
      </c>
      <c r="C388" s="211" t="s">
        <v>661</v>
      </c>
      <c r="D388" s="41">
        <v>373</v>
      </c>
      <c r="E388" s="41">
        <v>2.5</v>
      </c>
      <c r="F388" s="22" t="s">
        <v>1140</v>
      </c>
      <c r="G388" s="40">
        <v>24</v>
      </c>
      <c r="H388" s="388">
        <v>333.05785123966945</v>
      </c>
      <c r="I388" s="65"/>
      <c r="J388" s="40"/>
      <c r="K388" s="37"/>
      <c r="L388" s="35">
        <v>109</v>
      </c>
      <c r="M388" s="35">
        <v>19</v>
      </c>
      <c r="N388" s="40">
        <v>19</v>
      </c>
      <c r="O388" s="37"/>
      <c r="P388" s="35">
        <v>0</v>
      </c>
      <c r="Q388" s="35">
        <v>0</v>
      </c>
      <c r="R388" s="35">
        <v>0</v>
      </c>
      <c r="S388" s="35">
        <v>0</v>
      </c>
      <c r="T388" s="40">
        <v>0</v>
      </c>
      <c r="V388" s="40">
        <v>40</v>
      </c>
    </row>
    <row r="389" spans="2:22" s="2" customFormat="1">
      <c r="B389" s="213" t="s">
        <v>60</v>
      </c>
      <c r="C389" s="211" t="s">
        <v>662</v>
      </c>
      <c r="D389" s="41">
        <v>338</v>
      </c>
      <c r="E389" s="41">
        <v>2.5</v>
      </c>
      <c r="F389" s="41" t="s">
        <v>1140</v>
      </c>
      <c r="G389" s="413">
        <v>24</v>
      </c>
      <c r="H389" s="414">
        <v>296.69421487603307</v>
      </c>
      <c r="I389" s="65"/>
      <c r="J389" s="40"/>
      <c r="K389" s="37"/>
      <c r="L389" s="35">
        <v>99</v>
      </c>
      <c r="M389" s="35">
        <v>19</v>
      </c>
      <c r="N389" s="40">
        <v>19</v>
      </c>
      <c r="O389" s="37"/>
      <c r="P389" s="35">
        <v>0</v>
      </c>
      <c r="Q389" s="35">
        <v>0</v>
      </c>
      <c r="R389" s="35">
        <v>0</v>
      </c>
      <c r="S389" s="35">
        <v>0</v>
      </c>
      <c r="T389" s="40">
        <v>0</v>
      </c>
      <c r="V389" s="40">
        <v>41</v>
      </c>
    </row>
    <row r="390" spans="2:22" s="2" customFormat="1">
      <c r="B390" s="213" t="s">
        <v>60</v>
      </c>
      <c r="C390" s="211" t="s">
        <v>647</v>
      </c>
      <c r="D390" s="41">
        <v>207</v>
      </c>
      <c r="E390" s="41">
        <v>2.5</v>
      </c>
      <c r="F390" s="22" t="s">
        <v>1140</v>
      </c>
      <c r="G390" s="40">
        <v>24</v>
      </c>
      <c r="H390" s="388">
        <v>181.81818181818181</v>
      </c>
      <c r="I390" s="65"/>
      <c r="J390" s="40"/>
      <c r="K390" s="37"/>
      <c r="L390" s="35">
        <v>29</v>
      </c>
      <c r="M390" s="35">
        <v>0</v>
      </c>
      <c r="N390" s="40">
        <v>0</v>
      </c>
      <c r="O390" s="37"/>
      <c r="P390" s="35">
        <v>0</v>
      </c>
      <c r="Q390" s="35">
        <v>0</v>
      </c>
      <c r="R390" s="35">
        <v>0</v>
      </c>
      <c r="S390" s="35">
        <v>0</v>
      </c>
      <c r="T390" s="40">
        <v>0</v>
      </c>
      <c r="V390" s="40">
        <v>25</v>
      </c>
    </row>
    <row r="391" spans="2:22" s="2" customFormat="1">
      <c r="B391" s="213" t="s">
        <v>60</v>
      </c>
      <c r="C391" s="211" t="s">
        <v>663</v>
      </c>
      <c r="D391" s="41">
        <v>626</v>
      </c>
      <c r="E391" s="41">
        <v>2.5</v>
      </c>
      <c r="F391" s="41" t="s">
        <v>1140</v>
      </c>
      <c r="G391" s="413">
        <v>24</v>
      </c>
      <c r="H391" s="414">
        <v>525.61983471074382</v>
      </c>
      <c r="I391" s="65"/>
      <c r="J391" s="40"/>
      <c r="K391" s="37"/>
      <c r="L391" s="35">
        <v>219</v>
      </c>
      <c r="M391" s="35">
        <v>139</v>
      </c>
      <c r="N391" s="40">
        <v>139</v>
      </c>
      <c r="O391" s="37"/>
      <c r="P391" s="35">
        <v>0</v>
      </c>
      <c r="Q391" s="35">
        <v>0</v>
      </c>
      <c r="R391" s="35">
        <v>0</v>
      </c>
      <c r="S391" s="35">
        <v>0</v>
      </c>
      <c r="T391" s="40">
        <v>0</v>
      </c>
      <c r="V391" s="40">
        <v>100</v>
      </c>
    </row>
    <row r="392" spans="2:22" s="2" customFormat="1">
      <c r="B392" s="213" t="s">
        <v>664</v>
      </c>
      <c r="C392" s="211" t="s">
        <v>577</v>
      </c>
      <c r="D392" s="41">
        <v>93</v>
      </c>
      <c r="E392" s="41">
        <v>2.5</v>
      </c>
      <c r="F392" s="22" t="s">
        <v>1140</v>
      </c>
      <c r="G392" s="40">
        <v>24</v>
      </c>
      <c r="H392" s="388">
        <v>66.11570247933885</v>
      </c>
      <c r="I392" s="65"/>
      <c r="J392" s="40"/>
      <c r="K392" s="37"/>
      <c r="L392" s="35">
        <v>0</v>
      </c>
      <c r="M392" s="35">
        <v>0</v>
      </c>
      <c r="N392" s="40">
        <v>0</v>
      </c>
      <c r="O392" s="37"/>
      <c r="P392" s="35">
        <v>0</v>
      </c>
      <c r="Q392" s="35">
        <v>0</v>
      </c>
      <c r="R392" s="35">
        <v>0</v>
      </c>
      <c r="S392" s="35">
        <v>0</v>
      </c>
      <c r="T392" s="40">
        <v>0</v>
      </c>
      <c r="V392" s="40">
        <v>27</v>
      </c>
    </row>
    <row r="393" spans="2:22" s="2" customFormat="1">
      <c r="B393" s="213" t="s">
        <v>664</v>
      </c>
      <c r="C393" s="211" t="s">
        <v>784</v>
      </c>
      <c r="D393" s="41">
        <v>110</v>
      </c>
      <c r="E393" s="41">
        <v>2.5</v>
      </c>
      <c r="F393" s="41" t="s">
        <v>1140</v>
      </c>
      <c r="G393" s="413">
        <v>24</v>
      </c>
      <c r="H393" s="414">
        <v>89.256198347107443</v>
      </c>
      <c r="I393" s="65"/>
      <c r="J393" s="40"/>
      <c r="K393" s="37"/>
      <c r="L393" s="35">
        <v>0</v>
      </c>
      <c r="M393" s="35">
        <v>0</v>
      </c>
      <c r="N393" s="40">
        <v>0</v>
      </c>
      <c r="O393" s="37"/>
      <c r="P393" s="35">
        <v>0</v>
      </c>
      <c r="Q393" s="35">
        <v>0</v>
      </c>
      <c r="R393" s="35">
        <v>0</v>
      </c>
      <c r="S393" s="35">
        <v>0</v>
      </c>
      <c r="T393" s="40">
        <v>0</v>
      </c>
      <c r="V393" s="40">
        <v>21</v>
      </c>
    </row>
    <row r="394" spans="2:22" s="2" customFormat="1">
      <c r="B394" s="213" t="s">
        <v>664</v>
      </c>
      <c r="C394" s="211" t="s">
        <v>785</v>
      </c>
      <c r="D394" s="41">
        <v>64</v>
      </c>
      <c r="E394" s="41">
        <v>2.5</v>
      </c>
      <c r="F394" s="22" t="s">
        <v>1140</v>
      </c>
      <c r="G394" s="40">
        <v>24</v>
      </c>
      <c r="H394" s="388">
        <v>58.677685950413228</v>
      </c>
      <c r="I394" s="65"/>
      <c r="J394" s="40"/>
      <c r="K394" s="37"/>
      <c r="L394" s="35">
        <v>0</v>
      </c>
      <c r="M394" s="35">
        <v>0</v>
      </c>
      <c r="N394" s="40">
        <v>0</v>
      </c>
      <c r="O394" s="37"/>
      <c r="P394" s="35">
        <v>0</v>
      </c>
      <c r="Q394" s="35">
        <v>0</v>
      </c>
      <c r="R394" s="35">
        <v>0</v>
      </c>
      <c r="S394" s="35">
        <v>0</v>
      </c>
      <c r="T394" s="40">
        <v>0</v>
      </c>
      <c r="V394" s="40">
        <v>5</v>
      </c>
    </row>
    <row r="395" spans="2:22" s="2" customFormat="1">
      <c r="B395" s="213" t="s">
        <v>664</v>
      </c>
      <c r="C395" s="211" t="s">
        <v>562</v>
      </c>
      <c r="D395" s="41">
        <v>348</v>
      </c>
      <c r="E395" s="41">
        <v>2.5</v>
      </c>
      <c r="F395" s="41" t="s">
        <v>1140</v>
      </c>
      <c r="G395" s="413">
        <v>24</v>
      </c>
      <c r="H395" s="414">
        <v>161.98347107438016</v>
      </c>
      <c r="I395" s="65"/>
      <c r="J395" s="40"/>
      <c r="K395" s="37"/>
      <c r="L395" s="35">
        <v>29</v>
      </c>
      <c r="M395" s="35">
        <v>0</v>
      </c>
      <c r="N395" s="40">
        <v>0</v>
      </c>
      <c r="O395" s="37"/>
      <c r="P395" s="35">
        <v>0</v>
      </c>
      <c r="Q395" s="35">
        <v>0</v>
      </c>
      <c r="R395" s="35">
        <v>0</v>
      </c>
      <c r="S395" s="35">
        <v>0</v>
      </c>
      <c r="T395" s="40">
        <v>0</v>
      </c>
      <c r="V395" s="40">
        <v>186</v>
      </c>
    </row>
    <row r="396" spans="2:22" s="2" customFormat="1">
      <c r="B396" s="213" t="s">
        <v>664</v>
      </c>
      <c r="C396" s="211" t="s">
        <v>605</v>
      </c>
      <c r="D396" s="41">
        <v>141</v>
      </c>
      <c r="E396" s="41">
        <v>2.5</v>
      </c>
      <c r="F396" s="22" t="s">
        <v>1140</v>
      </c>
      <c r="G396" s="40">
        <v>24</v>
      </c>
      <c r="H396" s="388">
        <v>105.78512396694215</v>
      </c>
      <c r="I396" s="65"/>
      <c r="J396" s="40"/>
      <c r="K396" s="37"/>
      <c r="L396" s="35">
        <v>0</v>
      </c>
      <c r="M396" s="35">
        <v>0</v>
      </c>
      <c r="N396" s="40">
        <v>0</v>
      </c>
      <c r="O396" s="37"/>
      <c r="P396" s="35">
        <v>0</v>
      </c>
      <c r="Q396" s="35">
        <v>0</v>
      </c>
      <c r="R396" s="35">
        <v>0</v>
      </c>
      <c r="S396" s="35">
        <v>0</v>
      </c>
      <c r="T396" s="40">
        <v>0</v>
      </c>
      <c r="V396" s="40">
        <v>35</v>
      </c>
    </row>
    <row r="397" spans="2:22" s="2" customFormat="1">
      <c r="B397" s="213" t="s">
        <v>664</v>
      </c>
      <c r="C397" s="211" t="s">
        <v>618</v>
      </c>
      <c r="D397" s="41">
        <v>553</v>
      </c>
      <c r="E397" s="41">
        <v>0</v>
      </c>
      <c r="F397" s="41" t="s">
        <v>1177</v>
      </c>
      <c r="G397" s="413">
        <v>24</v>
      </c>
      <c r="H397" s="414">
        <v>412.39669421487605</v>
      </c>
      <c r="I397" s="65"/>
      <c r="J397" s="40"/>
      <c r="K397" s="37"/>
      <c r="L397" s="35">
        <v>139</v>
      </c>
      <c r="M397" s="35">
        <v>19</v>
      </c>
      <c r="N397" s="40">
        <v>19</v>
      </c>
      <c r="O397" s="37"/>
      <c r="P397" s="35">
        <v>0</v>
      </c>
      <c r="Q397" s="35">
        <v>0</v>
      </c>
      <c r="R397" s="35">
        <v>0</v>
      </c>
      <c r="S397" s="35">
        <v>0</v>
      </c>
      <c r="T397" s="40">
        <v>0</v>
      </c>
      <c r="V397" s="40">
        <v>141</v>
      </c>
    </row>
    <row r="398" spans="2:22" s="2" customFormat="1">
      <c r="B398" s="213" t="s">
        <v>664</v>
      </c>
      <c r="C398" s="211" t="s">
        <v>618</v>
      </c>
      <c r="D398" s="41">
        <v>553</v>
      </c>
      <c r="E398" s="41">
        <v>0</v>
      </c>
      <c r="F398" s="22" t="s">
        <v>1177</v>
      </c>
      <c r="G398" s="40">
        <v>30</v>
      </c>
      <c r="H398" s="388">
        <v>412.39669421487605</v>
      </c>
      <c r="I398" s="65"/>
      <c r="J398" s="40" t="s">
        <v>3</v>
      </c>
      <c r="K398" s="37"/>
      <c r="L398" s="35">
        <v>139</v>
      </c>
      <c r="M398" s="35">
        <v>19</v>
      </c>
      <c r="N398" s="40">
        <v>19</v>
      </c>
      <c r="O398" s="37"/>
      <c r="P398" s="35">
        <v>0</v>
      </c>
      <c r="Q398" s="35">
        <v>0</v>
      </c>
      <c r="R398" s="35">
        <v>0</v>
      </c>
      <c r="S398" s="35">
        <v>0</v>
      </c>
      <c r="T398" s="40">
        <v>0</v>
      </c>
      <c r="U398" s="37"/>
      <c r="V398" s="40">
        <v>141</v>
      </c>
    </row>
    <row r="399" spans="2:22" s="2" customFormat="1">
      <c r="B399" s="213" t="s">
        <v>664</v>
      </c>
      <c r="C399" s="211" t="s">
        <v>539</v>
      </c>
      <c r="D399" s="41">
        <v>459</v>
      </c>
      <c r="E399" s="41">
        <v>0</v>
      </c>
      <c r="F399" s="41" t="s">
        <v>1177</v>
      </c>
      <c r="G399" s="413">
        <v>24</v>
      </c>
      <c r="H399" s="414">
        <v>303.30578512396693</v>
      </c>
      <c r="I399" s="65"/>
      <c r="J399" s="40" t="s">
        <v>3</v>
      </c>
      <c r="K399" s="37"/>
      <c r="L399" s="35">
        <v>99</v>
      </c>
      <c r="M399" s="35">
        <v>19</v>
      </c>
      <c r="N399" s="40">
        <v>19</v>
      </c>
      <c r="O399" s="37"/>
      <c r="P399" s="35">
        <v>0</v>
      </c>
      <c r="Q399" s="35">
        <v>0</v>
      </c>
      <c r="R399" s="35">
        <v>0</v>
      </c>
      <c r="S399" s="35">
        <v>0</v>
      </c>
      <c r="T399" s="40">
        <v>0</v>
      </c>
      <c r="U399" s="37"/>
      <c r="V399" s="40">
        <v>156</v>
      </c>
    </row>
    <row r="400" spans="2:22" s="2" customFormat="1">
      <c r="B400" s="213" t="s">
        <v>664</v>
      </c>
      <c r="C400" s="211" t="s">
        <v>539</v>
      </c>
      <c r="D400" s="41">
        <v>459</v>
      </c>
      <c r="E400" s="41">
        <v>0</v>
      </c>
      <c r="F400" s="22" t="s">
        <v>1177</v>
      </c>
      <c r="G400" s="40">
        <v>30</v>
      </c>
      <c r="H400" s="388">
        <v>303.30578512396693</v>
      </c>
      <c r="I400" s="65"/>
      <c r="J400" s="40" t="s">
        <v>3</v>
      </c>
      <c r="K400" s="37"/>
      <c r="L400" s="35">
        <v>99</v>
      </c>
      <c r="M400" s="35">
        <v>19</v>
      </c>
      <c r="N400" s="40">
        <v>19</v>
      </c>
      <c r="O400" s="37"/>
      <c r="P400" s="35">
        <v>0</v>
      </c>
      <c r="Q400" s="35">
        <v>0</v>
      </c>
      <c r="R400" s="35">
        <v>0</v>
      </c>
      <c r="S400" s="35">
        <v>0</v>
      </c>
      <c r="T400" s="40">
        <v>0</v>
      </c>
      <c r="U400" s="37"/>
      <c r="V400" s="40">
        <v>156</v>
      </c>
    </row>
    <row r="401" spans="2:22" s="2" customFormat="1">
      <c r="B401" s="213" t="s">
        <v>664</v>
      </c>
      <c r="C401" s="211" t="s">
        <v>646</v>
      </c>
      <c r="D401" s="41">
        <v>516</v>
      </c>
      <c r="E401" s="41">
        <v>0</v>
      </c>
      <c r="F401" s="41" t="s">
        <v>1177</v>
      </c>
      <c r="G401" s="413">
        <v>24</v>
      </c>
      <c r="H401" s="414">
        <v>385.1239669421488</v>
      </c>
      <c r="I401" s="65"/>
      <c r="J401" s="40" t="s">
        <v>3</v>
      </c>
      <c r="K401" s="37"/>
      <c r="L401" s="35">
        <v>129</v>
      </c>
      <c r="M401" s="35">
        <v>19</v>
      </c>
      <c r="N401" s="40">
        <v>19</v>
      </c>
      <c r="O401" s="37"/>
      <c r="P401" s="35">
        <v>0</v>
      </c>
      <c r="Q401" s="35">
        <v>0</v>
      </c>
      <c r="R401" s="35">
        <v>0</v>
      </c>
      <c r="S401" s="35">
        <v>0</v>
      </c>
      <c r="T401" s="40">
        <v>0</v>
      </c>
      <c r="U401" s="37"/>
      <c r="V401" s="40">
        <v>131</v>
      </c>
    </row>
    <row r="402" spans="2:22" s="2" customFormat="1">
      <c r="B402" s="213" t="s">
        <v>664</v>
      </c>
      <c r="C402" s="211" t="s">
        <v>646</v>
      </c>
      <c r="D402" s="41">
        <v>516</v>
      </c>
      <c r="E402" s="41">
        <v>0</v>
      </c>
      <c r="F402" s="22" t="s">
        <v>1177</v>
      </c>
      <c r="G402" s="40">
        <v>30</v>
      </c>
      <c r="H402" s="388">
        <v>385.1239669421488</v>
      </c>
      <c r="I402" s="65"/>
      <c r="J402" s="40" t="s">
        <v>3</v>
      </c>
      <c r="K402" s="37"/>
      <c r="L402" s="35">
        <v>129</v>
      </c>
      <c r="M402" s="35">
        <v>19</v>
      </c>
      <c r="N402" s="40">
        <v>19</v>
      </c>
      <c r="O402" s="37"/>
      <c r="P402" s="35">
        <v>0</v>
      </c>
      <c r="Q402" s="35">
        <v>0</v>
      </c>
      <c r="R402" s="35">
        <v>0</v>
      </c>
      <c r="S402" s="35">
        <v>0</v>
      </c>
      <c r="T402" s="40">
        <v>0</v>
      </c>
      <c r="U402" s="37"/>
      <c r="V402" s="40">
        <v>131</v>
      </c>
    </row>
    <row r="403" spans="2:22" s="2" customFormat="1">
      <c r="B403" s="213" t="s">
        <v>57</v>
      </c>
      <c r="C403" s="211" t="s">
        <v>761</v>
      </c>
      <c r="D403" s="41">
        <v>288</v>
      </c>
      <c r="E403" s="41">
        <v>2.5</v>
      </c>
      <c r="F403" s="41" t="s">
        <v>1184</v>
      </c>
      <c r="G403" s="413">
        <v>24</v>
      </c>
      <c r="H403" s="414">
        <v>323.96694214876032</v>
      </c>
      <c r="I403" s="65"/>
      <c r="J403" s="40" t="s">
        <v>3</v>
      </c>
      <c r="K403" s="37"/>
      <c r="L403" s="35">
        <v>39</v>
      </c>
      <c r="M403" s="35">
        <v>0</v>
      </c>
      <c r="N403" s="40">
        <v>0</v>
      </c>
      <c r="O403" s="37"/>
      <c r="P403" s="35">
        <v>0</v>
      </c>
      <c r="Q403" s="35">
        <v>0</v>
      </c>
      <c r="R403" s="35">
        <v>0</v>
      </c>
      <c r="S403" s="35">
        <v>0</v>
      </c>
      <c r="T403" s="40">
        <v>0</v>
      </c>
      <c r="U403" s="37"/>
      <c r="V403" s="40">
        <v>-36</v>
      </c>
    </row>
    <row r="404" spans="2:22" s="2" customFormat="1">
      <c r="B404" s="213" t="s">
        <v>57</v>
      </c>
      <c r="C404" s="211" t="s">
        <v>762</v>
      </c>
      <c r="D404" s="41">
        <v>245</v>
      </c>
      <c r="E404" s="41">
        <v>2.5</v>
      </c>
      <c r="F404" s="22" t="s">
        <v>1184</v>
      </c>
      <c r="G404" s="40">
        <v>24</v>
      </c>
      <c r="H404" s="388">
        <v>311.57024793388433</v>
      </c>
      <c r="I404" s="65"/>
      <c r="J404" s="40" t="s">
        <v>3</v>
      </c>
      <c r="K404" s="37"/>
      <c r="L404" s="35">
        <v>39</v>
      </c>
      <c r="M404" s="35">
        <v>0</v>
      </c>
      <c r="N404" s="40">
        <v>0</v>
      </c>
      <c r="O404" s="37"/>
      <c r="P404" s="35">
        <v>0</v>
      </c>
      <c r="Q404" s="35">
        <v>0</v>
      </c>
      <c r="R404" s="35">
        <v>0</v>
      </c>
      <c r="S404" s="35">
        <v>0</v>
      </c>
      <c r="T404" s="40">
        <v>0</v>
      </c>
      <c r="U404" s="37"/>
      <c r="V404" s="40">
        <v>-67</v>
      </c>
    </row>
    <row r="405" spans="2:22" s="2" customFormat="1">
      <c r="B405" s="213" t="s">
        <v>57</v>
      </c>
      <c r="C405" s="211" t="s">
        <v>763</v>
      </c>
      <c r="D405" s="41">
        <v>288</v>
      </c>
      <c r="E405" s="41">
        <v>2.5</v>
      </c>
      <c r="F405" s="41" t="s">
        <v>1184</v>
      </c>
      <c r="G405" s="413">
        <v>24</v>
      </c>
      <c r="H405" s="414">
        <v>323.96694214876032</v>
      </c>
      <c r="I405" s="65"/>
      <c r="J405" s="40" t="s">
        <v>3</v>
      </c>
      <c r="K405" s="37"/>
      <c r="L405" s="35">
        <v>39</v>
      </c>
      <c r="M405" s="35">
        <v>0</v>
      </c>
      <c r="N405" s="40">
        <v>0</v>
      </c>
      <c r="O405" s="37"/>
      <c r="P405" s="35">
        <v>0</v>
      </c>
      <c r="Q405" s="35">
        <v>0</v>
      </c>
      <c r="R405" s="35">
        <v>0</v>
      </c>
      <c r="S405" s="35">
        <v>0</v>
      </c>
      <c r="T405" s="40">
        <v>0</v>
      </c>
      <c r="V405" s="40">
        <v>-36</v>
      </c>
    </row>
    <row r="406" spans="2:22" s="2" customFormat="1">
      <c r="B406" s="213" t="s">
        <v>57</v>
      </c>
      <c r="C406" s="211" t="s">
        <v>764</v>
      </c>
      <c r="D406" s="41">
        <v>468</v>
      </c>
      <c r="E406" s="41">
        <v>2.5</v>
      </c>
      <c r="F406" s="22" t="s">
        <v>1184</v>
      </c>
      <c r="G406" s="40">
        <v>24</v>
      </c>
      <c r="H406" s="388">
        <v>506.61157024793391</v>
      </c>
      <c r="I406" s="65"/>
      <c r="J406" s="40" t="s">
        <v>3</v>
      </c>
      <c r="K406" s="37"/>
      <c r="L406" s="35">
        <v>99</v>
      </c>
      <c r="M406" s="35">
        <v>19</v>
      </c>
      <c r="N406" s="40">
        <v>19</v>
      </c>
      <c r="O406" s="37"/>
      <c r="P406" s="35">
        <v>0</v>
      </c>
      <c r="Q406" s="35">
        <v>0</v>
      </c>
      <c r="R406" s="35">
        <v>0</v>
      </c>
      <c r="S406" s="35">
        <v>0</v>
      </c>
      <c r="T406" s="40">
        <v>0</v>
      </c>
      <c r="V406" s="40">
        <v>-39</v>
      </c>
    </row>
    <row r="407" spans="2:22" s="2" customFormat="1">
      <c r="B407" s="213" t="s">
        <v>21</v>
      </c>
      <c r="C407" s="211" t="s">
        <v>516</v>
      </c>
      <c r="D407" s="41">
        <v>74</v>
      </c>
      <c r="E407" s="41">
        <v>1.1000000000000001</v>
      </c>
      <c r="F407" s="41" t="s">
        <v>507</v>
      </c>
      <c r="G407" s="413">
        <v>24</v>
      </c>
      <c r="H407" s="414">
        <v>73.553719008264466</v>
      </c>
      <c r="I407" s="65"/>
      <c r="J407" s="40" t="s">
        <v>3</v>
      </c>
      <c r="K407" s="37"/>
      <c r="L407" s="35">
        <v>0</v>
      </c>
      <c r="M407" s="35">
        <v>0</v>
      </c>
      <c r="N407" s="40">
        <v>0</v>
      </c>
      <c r="O407" s="37"/>
      <c r="P407" s="35">
        <v>0</v>
      </c>
      <c r="Q407" s="35">
        <v>0</v>
      </c>
      <c r="R407" s="35">
        <v>0</v>
      </c>
      <c r="S407" s="35">
        <v>0</v>
      </c>
      <c r="T407" s="40">
        <v>0</v>
      </c>
      <c r="V407" s="40">
        <v>0</v>
      </c>
    </row>
    <row r="408" spans="2:22" s="2" customFormat="1">
      <c r="B408" s="213" t="s">
        <v>21</v>
      </c>
      <c r="C408" s="211" t="s">
        <v>523</v>
      </c>
      <c r="D408" s="41">
        <v>74</v>
      </c>
      <c r="E408" s="41">
        <v>1.1000000000000001</v>
      </c>
      <c r="F408" s="22" t="s">
        <v>507</v>
      </c>
      <c r="G408" s="40">
        <v>24</v>
      </c>
      <c r="H408" s="388">
        <v>74.380165289256198</v>
      </c>
      <c r="I408" s="65"/>
      <c r="J408" s="40" t="s">
        <v>3</v>
      </c>
      <c r="K408" s="37"/>
      <c r="L408" s="35">
        <v>0</v>
      </c>
      <c r="M408" s="35">
        <v>0</v>
      </c>
      <c r="N408" s="40">
        <v>0</v>
      </c>
      <c r="O408" s="37"/>
      <c r="P408" s="35">
        <v>0</v>
      </c>
      <c r="Q408" s="35">
        <v>0</v>
      </c>
      <c r="R408" s="35">
        <v>0</v>
      </c>
      <c r="S408" s="35">
        <v>0</v>
      </c>
      <c r="T408" s="40">
        <v>0</v>
      </c>
      <c r="V408" s="40">
        <v>0</v>
      </c>
    </row>
    <row r="409" spans="2:22" s="2" customFormat="1">
      <c r="B409" s="213" t="s">
        <v>21</v>
      </c>
      <c r="C409" s="211" t="s">
        <v>676</v>
      </c>
      <c r="D409" s="41">
        <v>70</v>
      </c>
      <c r="E409" s="41">
        <v>1.1000000000000001</v>
      </c>
      <c r="F409" s="41" t="s">
        <v>507</v>
      </c>
      <c r="G409" s="41">
        <v>24</v>
      </c>
      <c r="H409" s="414">
        <v>69.421487603305792</v>
      </c>
      <c r="I409" s="65"/>
      <c r="J409" s="40"/>
      <c r="K409" s="37"/>
      <c r="L409" s="35" t="s">
        <v>3</v>
      </c>
      <c r="M409" s="35" t="s">
        <v>3</v>
      </c>
      <c r="N409" s="40" t="s">
        <v>3</v>
      </c>
      <c r="O409" s="37"/>
      <c r="P409" s="35">
        <v>0</v>
      </c>
      <c r="Q409" s="35">
        <v>0</v>
      </c>
      <c r="R409" s="35">
        <v>0</v>
      </c>
      <c r="S409" s="35">
        <v>0</v>
      </c>
      <c r="T409" s="40">
        <v>0</v>
      </c>
      <c r="V409" s="40">
        <v>1</v>
      </c>
    </row>
    <row r="410" spans="2:22" s="2" customFormat="1">
      <c r="B410" s="213" t="s">
        <v>21</v>
      </c>
      <c r="C410" s="211" t="s">
        <v>512</v>
      </c>
      <c r="D410" s="41">
        <v>64</v>
      </c>
      <c r="E410" s="41">
        <v>1.1000000000000001</v>
      </c>
      <c r="F410" s="41" t="s">
        <v>507</v>
      </c>
      <c r="G410" s="413">
        <v>24</v>
      </c>
      <c r="H410" s="414">
        <v>63.63636363636364</v>
      </c>
      <c r="I410" s="65"/>
      <c r="J410" s="40"/>
      <c r="K410" s="37"/>
      <c r="L410" s="35" t="s">
        <v>3</v>
      </c>
      <c r="M410" s="35" t="s">
        <v>3</v>
      </c>
      <c r="N410" s="40" t="s">
        <v>3</v>
      </c>
      <c r="O410" s="37"/>
      <c r="P410" s="35">
        <v>0</v>
      </c>
      <c r="Q410" s="35">
        <v>0</v>
      </c>
      <c r="R410" s="35">
        <v>0</v>
      </c>
      <c r="S410" s="35">
        <v>0</v>
      </c>
      <c r="T410" s="40">
        <v>0</v>
      </c>
      <c r="V410" s="40">
        <v>0</v>
      </c>
    </row>
    <row r="411" spans="2:22" s="2" customFormat="1">
      <c r="B411" s="213" t="s">
        <v>1200</v>
      </c>
      <c r="C411" s="211" t="s">
        <v>756</v>
      </c>
      <c r="D411" s="41">
        <v>436</v>
      </c>
      <c r="E411" s="41">
        <v>0</v>
      </c>
      <c r="F411" s="139" t="s">
        <v>1215</v>
      </c>
      <c r="G411" s="40">
        <v>24</v>
      </c>
      <c r="H411" s="388">
        <v>435.53719008264466</v>
      </c>
      <c r="I411" s="65"/>
      <c r="J411" s="40"/>
      <c r="K411" s="37"/>
      <c r="L411" s="35" t="s">
        <v>3</v>
      </c>
      <c r="M411" s="35" t="s">
        <v>3</v>
      </c>
      <c r="N411" s="40" t="s">
        <v>3</v>
      </c>
      <c r="O411" s="37"/>
      <c r="P411" s="35">
        <v>0</v>
      </c>
      <c r="Q411" s="35">
        <v>0</v>
      </c>
      <c r="R411" s="35">
        <v>0</v>
      </c>
      <c r="S411" s="35">
        <v>0</v>
      </c>
      <c r="T411" s="40">
        <v>0</v>
      </c>
      <c r="V411" s="40">
        <v>0</v>
      </c>
    </row>
    <row r="412" spans="2:22" s="2" customFormat="1">
      <c r="B412" s="213" t="s">
        <v>1200</v>
      </c>
      <c r="C412" s="211" t="s">
        <v>757</v>
      </c>
      <c r="D412" s="41">
        <v>43</v>
      </c>
      <c r="E412" s="41">
        <v>0</v>
      </c>
      <c r="F412" s="41" t="s">
        <v>1215</v>
      </c>
      <c r="G412" s="41">
        <v>24</v>
      </c>
      <c r="H412" s="414">
        <v>42.148760330578511</v>
      </c>
      <c r="I412" s="65"/>
      <c r="J412" s="40"/>
      <c r="K412" s="37"/>
      <c r="L412" s="35" t="s">
        <v>3</v>
      </c>
      <c r="M412" s="35" t="s">
        <v>3</v>
      </c>
      <c r="N412" s="40" t="s">
        <v>3</v>
      </c>
      <c r="O412" s="37"/>
      <c r="P412" s="35">
        <v>0</v>
      </c>
      <c r="Q412" s="35">
        <v>0</v>
      </c>
      <c r="R412" s="35">
        <v>0</v>
      </c>
      <c r="S412" s="35">
        <v>0</v>
      </c>
      <c r="T412" s="40">
        <v>0</v>
      </c>
      <c r="V412" s="40">
        <v>1</v>
      </c>
    </row>
    <row r="413" spans="2:22" s="2" customFormat="1">
      <c r="B413" s="213" t="s">
        <v>1200</v>
      </c>
      <c r="C413" s="211" t="s">
        <v>767</v>
      </c>
      <c r="D413" s="41">
        <v>115</v>
      </c>
      <c r="E413" s="41">
        <v>5.25</v>
      </c>
      <c r="F413" s="22" t="s">
        <v>1215</v>
      </c>
      <c r="G413" s="22">
        <v>24</v>
      </c>
      <c r="H413" s="388">
        <v>114.04958677685951</v>
      </c>
      <c r="I413" s="65"/>
      <c r="J413" s="40"/>
      <c r="K413" s="37"/>
      <c r="L413" s="35" t="s">
        <v>3</v>
      </c>
      <c r="M413" s="35" t="s">
        <v>3</v>
      </c>
      <c r="N413" s="40" t="s">
        <v>3</v>
      </c>
      <c r="O413" s="37"/>
      <c r="P413" s="35">
        <v>0</v>
      </c>
      <c r="Q413" s="35">
        <v>0</v>
      </c>
      <c r="R413" s="35">
        <v>0</v>
      </c>
      <c r="S413" s="35">
        <v>0</v>
      </c>
      <c r="T413" s="40">
        <v>0</v>
      </c>
      <c r="V413" s="40">
        <v>1</v>
      </c>
    </row>
    <row r="414" spans="2:22" s="2" customFormat="1" ht="13.5" thickBot="1">
      <c r="B414" s="227" t="s">
        <v>1200</v>
      </c>
      <c r="C414" s="296" t="s">
        <v>783</v>
      </c>
      <c r="D414" s="222">
        <v>441</v>
      </c>
      <c r="E414" s="222">
        <v>0</v>
      </c>
      <c r="F414" s="222" t="s">
        <v>1215</v>
      </c>
      <c r="G414" s="222">
        <v>24</v>
      </c>
      <c r="H414" s="505">
        <v>440.49586776859508</v>
      </c>
      <c r="I414" s="504"/>
      <c r="J414" s="224"/>
      <c r="K414" s="219"/>
      <c r="L414" s="225" t="s">
        <v>3</v>
      </c>
      <c r="M414" s="225" t="s">
        <v>3</v>
      </c>
      <c r="N414" s="224" t="s">
        <v>3</v>
      </c>
      <c r="O414" s="219"/>
      <c r="P414" s="225">
        <v>0</v>
      </c>
      <c r="Q414" s="225">
        <v>0</v>
      </c>
      <c r="R414" s="225">
        <v>0</v>
      </c>
      <c r="S414" s="225">
        <v>0</v>
      </c>
      <c r="T414" s="224">
        <v>0</v>
      </c>
      <c r="U414" s="503"/>
      <c r="V414" s="224">
        <v>1</v>
      </c>
    </row>
  </sheetData>
  <autoFilter ref="B28:Y414" xr:uid="{D56EBC1F-9050-4B03-A5D8-B28DFD07DE95}"/>
  <mergeCells count="26">
    <mergeCell ref="B2:G2"/>
    <mergeCell ref="H2:H4"/>
    <mergeCell ref="L2:T2"/>
    <mergeCell ref="D4:G4"/>
    <mergeCell ref="B5:C17"/>
    <mergeCell ref="D5:G12"/>
    <mergeCell ref="H5:H12"/>
    <mergeCell ref="J5:J12"/>
    <mergeCell ref="N5:N12"/>
    <mergeCell ref="Q5:Q12"/>
    <mergeCell ref="S5:S12"/>
    <mergeCell ref="T5:T12"/>
    <mergeCell ref="P7:P12"/>
    <mergeCell ref="D17:G17"/>
    <mergeCell ref="V22:V26"/>
    <mergeCell ref="L24:N24"/>
    <mergeCell ref="P24:T24"/>
    <mergeCell ref="D15:G15"/>
    <mergeCell ref="M5:M12"/>
    <mergeCell ref="R5:R12"/>
    <mergeCell ref="D13:G14"/>
    <mergeCell ref="B22:G26"/>
    <mergeCell ref="H22:H26"/>
    <mergeCell ref="J22:J24"/>
    <mergeCell ref="L22:T22"/>
    <mergeCell ref="D16:G16"/>
  </mergeCells>
  <pageMargins left="0.74803149606299213" right="0.74803149606299213" top="0.98425196850393704" bottom="0.98425196850393704" header="0" footer="0"/>
  <pageSetup paperSize="8" scale="70" orientation="portrait" r:id="rId1"/>
  <headerFooter alignWithMargins="0">
    <oddFooter>&amp;C&amp;1#&amp;"Calibri"&amp;8&amp;KED7D31Orange Restricted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tabColor theme="0" tint="-0.499984740745262"/>
    <pageSetUpPr fitToPage="1"/>
  </sheetPr>
  <dimension ref="B2:AH46"/>
  <sheetViews>
    <sheetView showGridLines="0" zoomScale="70" zoomScaleNormal="70" workbookViewId="0">
      <selection activeCell="B5" sqref="B5:C15"/>
    </sheetView>
  </sheetViews>
  <sheetFormatPr baseColWidth="10" defaultColWidth="11.42578125" defaultRowHeight="12.75"/>
  <cols>
    <col min="1" max="1" width="1.42578125" style="1" customWidth="1"/>
    <col min="2" max="2" width="15.7109375" style="1" customWidth="1"/>
    <col min="3" max="3" width="49.7109375" style="1" bestFit="1" customWidth="1"/>
    <col min="4" max="4" width="13.42578125" style="1" bestFit="1" customWidth="1"/>
    <col min="5" max="5" width="8.7109375" style="1" customWidth="1"/>
    <col min="6" max="6" width="10.28515625" style="1" customWidth="1"/>
    <col min="7" max="7" width="10.85546875" style="1" customWidth="1"/>
    <col min="8" max="8" width="13.28515625" style="1" customWidth="1"/>
    <col min="9" max="9" width="1.5703125" style="4" customWidth="1"/>
    <col min="10" max="10" width="9.5703125" style="1" hidden="1" customWidth="1"/>
    <col min="11" max="11" width="9.28515625" style="1" hidden="1" customWidth="1"/>
    <col min="12" max="12" width="1.5703125" style="4" customWidth="1"/>
    <col min="13" max="13" width="14.5703125" style="1" bestFit="1" customWidth="1"/>
    <col min="14" max="14" width="8.42578125" style="197" bestFit="1" customWidth="1"/>
    <col min="15" max="15" width="9.5703125" style="1" customWidth="1"/>
    <col min="16" max="16" width="9" style="1" customWidth="1"/>
    <col min="17" max="17" width="8.7109375" style="1" bestFit="1" customWidth="1"/>
    <col min="18" max="18" width="14.42578125" style="1" customWidth="1"/>
    <col min="19" max="19" width="8.7109375" style="1" bestFit="1" customWidth="1"/>
    <col min="20" max="20" width="20.140625" style="1" customWidth="1"/>
    <col min="21" max="21" width="2.28515625" style="1" customWidth="1"/>
    <col min="22" max="22" width="10" style="1" bestFit="1" customWidth="1"/>
    <col min="23" max="23" width="1.42578125" style="4" customWidth="1"/>
    <col min="24" max="25" width="9.5703125" style="1" hidden="1" customWidth="1"/>
    <col min="26" max="26" width="1.140625" style="4" customWidth="1"/>
    <col min="27" max="34" width="12.28515625" style="1" customWidth="1"/>
    <col min="35" max="35" width="3.5703125" style="1" customWidth="1"/>
    <col min="36" max="16384" width="11.42578125" style="1"/>
  </cols>
  <sheetData>
    <row r="2" spans="2:20" ht="26.25">
      <c r="B2" s="805" t="s">
        <v>22</v>
      </c>
      <c r="C2" s="805"/>
      <c r="D2" s="805"/>
      <c r="E2" s="805"/>
      <c r="F2" s="805"/>
      <c r="G2" s="805"/>
      <c r="I2" s="1"/>
      <c r="L2" s="1"/>
      <c r="N2" s="1"/>
    </row>
    <row r="3" spans="2:20" customFormat="1">
      <c r="B3" s="366"/>
      <c r="C3" s="366"/>
      <c r="D3" s="366"/>
      <c r="E3" s="366"/>
      <c r="F3" s="366"/>
      <c r="G3" s="366"/>
      <c r="H3" s="366"/>
      <c r="I3" s="366"/>
      <c r="J3" s="366"/>
      <c r="K3" s="366"/>
      <c r="L3" s="366"/>
      <c r="M3" s="366"/>
      <c r="N3" s="366"/>
      <c r="O3" s="366"/>
      <c r="P3" s="366"/>
      <c r="Q3" s="366"/>
      <c r="R3" s="366"/>
      <c r="S3" s="366"/>
      <c r="T3" s="366"/>
    </row>
    <row r="4" spans="2:20" s="14" customFormat="1" ht="30" customHeight="1" thickBot="1">
      <c r="B4" s="406">
        <v>45658</v>
      </c>
      <c r="C4" s="407" t="s">
        <v>792</v>
      </c>
    </row>
    <row r="5" spans="2:20" ht="15.75" customHeight="1">
      <c r="B5" s="825" t="s">
        <v>40</v>
      </c>
      <c r="C5" s="826"/>
      <c r="D5" s="597" t="s">
        <v>4</v>
      </c>
      <c r="E5" s="597"/>
      <c r="F5" s="597"/>
      <c r="G5" s="598"/>
      <c r="H5" s="831" t="s">
        <v>12</v>
      </c>
      <c r="I5" s="367"/>
      <c r="J5" s="806" t="s">
        <v>12</v>
      </c>
      <c r="K5" s="807"/>
      <c r="L5" s="368"/>
      <c r="M5" s="834" t="s">
        <v>349</v>
      </c>
      <c r="N5" s="812"/>
      <c r="O5" s="820" t="s">
        <v>389</v>
      </c>
      <c r="P5" s="821"/>
      <c r="Q5" s="812" t="s">
        <v>466</v>
      </c>
      <c r="R5" s="812"/>
      <c r="S5" s="814" t="s">
        <v>789</v>
      </c>
      <c r="T5" s="815"/>
    </row>
    <row r="6" spans="2:20" ht="15.75" customHeight="1">
      <c r="B6" s="827"/>
      <c r="C6" s="828"/>
      <c r="D6" s="599"/>
      <c r="E6" s="599"/>
      <c r="F6" s="599"/>
      <c r="G6" s="600"/>
      <c r="H6" s="832"/>
      <c r="I6" s="368"/>
      <c r="J6" s="808"/>
      <c r="K6" s="809"/>
      <c r="L6" s="368"/>
      <c r="M6" s="835"/>
      <c r="N6" s="813"/>
      <c r="O6" s="822"/>
      <c r="P6" s="754"/>
      <c r="Q6" s="745"/>
      <c r="R6" s="813"/>
      <c r="S6" s="816"/>
      <c r="T6" s="817"/>
    </row>
    <row r="7" spans="2:20" ht="15.75" customHeight="1">
      <c r="B7" s="827"/>
      <c r="C7" s="828"/>
      <c r="D7" s="599"/>
      <c r="E7" s="599"/>
      <c r="F7" s="599"/>
      <c r="G7" s="600"/>
      <c r="H7" s="832"/>
      <c r="I7" s="368"/>
      <c r="J7" s="808"/>
      <c r="K7" s="809"/>
      <c r="L7" s="368"/>
      <c r="M7" s="835"/>
      <c r="N7" s="813"/>
      <c r="O7" s="822"/>
      <c r="P7" s="754"/>
      <c r="Q7" s="745"/>
      <c r="R7" s="813"/>
      <c r="S7" s="816"/>
      <c r="T7" s="817"/>
    </row>
    <row r="8" spans="2:20" ht="15.75" customHeight="1">
      <c r="B8" s="827"/>
      <c r="C8" s="828"/>
      <c r="D8" s="599"/>
      <c r="E8" s="599"/>
      <c r="F8" s="599"/>
      <c r="G8" s="600"/>
      <c r="H8" s="832"/>
      <c r="I8" s="368"/>
      <c r="J8" s="808"/>
      <c r="K8" s="809"/>
      <c r="L8" s="368"/>
      <c r="M8" s="835"/>
      <c r="N8" s="813"/>
      <c r="O8" s="822"/>
      <c r="P8" s="754"/>
      <c r="Q8" s="745"/>
      <c r="R8" s="813"/>
      <c r="S8" s="816"/>
      <c r="T8" s="817"/>
    </row>
    <row r="9" spans="2:20" ht="15.75" customHeight="1">
      <c r="B9" s="827"/>
      <c r="C9" s="828"/>
      <c r="D9" s="599"/>
      <c r="E9" s="599"/>
      <c r="F9" s="599"/>
      <c r="G9" s="600"/>
      <c r="H9" s="832"/>
      <c r="I9" s="368"/>
      <c r="J9" s="808"/>
      <c r="K9" s="809"/>
      <c r="L9" s="368"/>
      <c r="M9" s="835"/>
      <c r="N9" s="813"/>
      <c r="O9" s="822"/>
      <c r="P9" s="754"/>
      <c r="Q9" s="745"/>
      <c r="R9" s="813"/>
      <c r="S9" s="816"/>
      <c r="T9" s="817"/>
    </row>
    <row r="10" spans="2:20" ht="15.75" customHeight="1">
      <c r="B10" s="827"/>
      <c r="C10" s="828"/>
      <c r="D10" s="599"/>
      <c r="E10" s="599"/>
      <c r="F10" s="599"/>
      <c r="G10" s="600"/>
      <c r="H10" s="832"/>
      <c r="I10" s="368"/>
      <c r="J10" s="808"/>
      <c r="K10" s="809"/>
      <c r="L10" s="368"/>
      <c r="M10" s="835"/>
      <c r="N10" s="813"/>
      <c r="O10" s="822"/>
      <c r="P10" s="754"/>
      <c r="Q10" s="745"/>
      <c r="R10" s="813"/>
      <c r="S10" s="816"/>
      <c r="T10" s="817"/>
    </row>
    <row r="11" spans="2:20" ht="15.75" customHeight="1">
      <c r="B11" s="827"/>
      <c r="C11" s="828"/>
      <c r="D11" s="599"/>
      <c r="E11" s="599"/>
      <c r="F11" s="599"/>
      <c r="G11" s="600"/>
      <c r="H11" s="832"/>
      <c r="I11" s="368"/>
      <c r="J11" s="808"/>
      <c r="K11" s="809"/>
      <c r="L11" s="368"/>
      <c r="M11" s="835"/>
      <c r="N11" s="813"/>
      <c r="O11" s="822"/>
      <c r="P11" s="754"/>
      <c r="Q11" s="745"/>
      <c r="R11" s="813"/>
      <c r="S11" s="816"/>
      <c r="T11" s="817"/>
    </row>
    <row r="12" spans="2:20" ht="15.75" customHeight="1" thickBot="1">
      <c r="B12" s="827"/>
      <c r="C12" s="828"/>
      <c r="D12" s="601"/>
      <c r="E12" s="601"/>
      <c r="F12" s="601"/>
      <c r="G12" s="602"/>
      <c r="H12" s="833"/>
      <c r="I12" s="368"/>
      <c r="J12" s="810"/>
      <c r="K12" s="811"/>
      <c r="L12" s="368"/>
      <c r="M12" s="836"/>
      <c r="N12" s="747"/>
      <c r="O12" s="746"/>
      <c r="P12" s="755"/>
      <c r="Q12" s="747"/>
      <c r="R12" s="747"/>
      <c r="S12" s="818"/>
      <c r="T12" s="819"/>
    </row>
    <row r="13" spans="2:20" ht="30.75" customHeight="1" thickBot="1">
      <c r="B13" s="827"/>
      <c r="C13" s="828"/>
      <c r="D13" s="611" t="s">
        <v>27</v>
      </c>
      <c r="E13" s="611"/>
      <c r="F13" s="612"/>
      <c r="G13" s="613"/>
      <c r="H13" s="372" t="s">
        <v>3</v>
      </c>
      <c r="I13" s="370"/>
      <c r="J13" s="848" t="s">
        <v>3</v>
      </c>
      <c r="K13" s="849"/>
      <c r="L13" s="368"/>
      <c r="M13" s="850" t="s">
        <v>3</v>
      </c>
      <c r="N13" s="851"/>
      <c r="O13" s="845" t="s">
        <v>3</v>
      </c>
      <c r="P13" s="852"/>
      <c r="Q13" s="853" t="s">
        <v>3</v>
      </c>
      <c r="R13" s="851"/>
      <c r="S13" s="845" t="s">
        <v>3</v>
      </c>
      <c r="T13" s="846"/>
    </row>
    <row r="14" spans="2:20" ht="65.25" customHeight="1" thickBot="1">
      <c r="B14" s="827"/>
      <c r="C14" s="828"/>
      <c r="D14" s="611" t="s">
        <v>788</v>
      </c>
      <c r="E14" s="611"/>
      <c r="F14" s="612"/>
      <c r="G14" s="613"/>
      <c r="H14" s="372" t="s">
        <v>787</v>
      </c>
      <c r="I14" s="370"/>
      <c r="J14" s="841" t="s">
        <v>76</v>
      </c>
      <c r="K14" s="842"/>
      <c r="L14" s="368"/>
      <c r="M14" s="843" t="s">
        <v>787</v>
      </c>
      <c r="N14" s="844"/>
      <c r="O14" s="823" t="s">
        <v>787</v>
      </c>
      <c r="P14" s="847"/>
      <c r="Q14" s="844" t="s">
        <v>787</v>
      </c>
      <c r="R14" s="844"/>
      <c r="S14" s="823" t="s">
        <v>787</v>
      </c>
      <c r="T14" s="824"/>
    </row>
    <row r="15" spans="2:20" ht="21" customHeight="1" thickBot="1">
      <c r="B15" s="829"/>
      <c r="C15" s="830"/>
      <c r="D15" s="647" t="s">
        <v>36</v>
      </c>
      <c r="E15" s="648"/>
      <c r="F15" s="648"/>
      <c r="G15" s="837"/>
      <c r="H15" s="371" t="s">
        <v>3</v>
      </c>
      <c r="I15" s="369"/>
      <c r="J15" s="839" t="s">
        <v>3</v>
      </c>
      <c r="K15" s="840"/>
      <c r="L15" s="368"/>
      <c r="M15" s="622" t="s">
        <v>38</v>
      </c>
      <c r="N15" s="838"/>
      <c r="O15" s="636" t="s">
        <v>38</v>
      </c>
      <c r="P15" s="586"/>
      <c r="Q15" s="636" t="s">
        <v>38</v>
      </c>
      <c r="R15" s="586"/>
      <c r="S15" s="636" t="s">
        <v>38</v>
      </c>
      <c r="T15" s="586"/>
    </row>
    <row r="16" spans="2:20" ht="65.25" customHeight="1">
      <c r="B16" s="373"/>
      <c r="C16" s="373"/>
      <c r="D16" s="373"/>
      <c r="E16" s="373"/>
      <c r="F16" s="373"/>
      <c r="G16" s="373"/>
      <c r="H16" s="373"/>
      <c r="I16" s="373"/>
      <c r="J16" s="373"/>
      <c r="K16" s="373"/>
      <c r="L16" s="373"/>
      <c r="M16" s="373"/>
      <c r="N16" s="373"/>
      <c r="O16" s="373"/>
      <c r="P16" s="373"/>
      <c r="Q16" s="373"/>
      <c r="R16" s="373"/>
      <c r="S16" s="373"/>
      <c r="T16" s="373"/>
    </row>
    <row r="17" spans="2:34" ht="21" customHeight="1">
      <c r="B17" s="3"/>
      <c r="D17" s="59" t="s">
        <v>75</v>
      </c>
      <c r="E17" s="59"/>
    </row>
    <row r="18" spans="2:34" ht="23.25" customHeight="1" thickBot="1">
      <c r="D18" s="91"/>
    </row>
    <row r="19" spans="2:34" ht="23.25" customHeight="1">
      <c r="B19" s="854" t="s">
        <v>25</v>
      </c>
      <c r="C19" s="855"/>
      <c r="D19" s="855"/>
      <c r="E19" s="855"/>
      <c r="F19" s="855"/>
      <c r="G19" s="856"/>
      <c r="H19" s="526" t="s">
        <v>791</v>
      </c>
      <c r="J19" s="533" t="s">
        <v>51</v>
      </c>
      <c r="K19" s="534"/>
      <c r="L19" s="12"/>
      <c r="M19" s="533" t="s">
        <v>790</v>
      </c>
      <c r="N19" s="804"/>
      <c r="O19" s="804"/>
      <c r="P19" s="804"/>
      <c r="Q19" s="804"/>
      <c r="R19" s="804"/>
      <c r="S19" s="804"/>
      <c r="T19" s="534"/>
      <c r="V19" s="526" t="s">
        <v>41</v>
      </c>
      <c r="X19" s="533" t="s">
        <v>52</v>
      </c>
      <c r="Y19" s="534"/>
      <c r="AA19" s="533" t="s">
        <v>47</v>
      </c>
      <c r="AB19" s="804"/>
      <c r="AC19" s="804"/>
      <c r="AD19" s="804"/>
      <c r="AE19" s="804"/>
      <c r="AF19" s="804"/>
      <c r="AG19" s="804"/>
      <c r="AH19" s="534"/>
    </row>
    <row r="20" spans="2:34" ht="3.75" customHeight="1">
      <c r="B20" s="857"/>
      <c r="C20" s="655"/>
      <c r="D20" s="655"/>
      <c r="E20" s="655"/>
      <c r="F20" s="655"/>
      <c r="G20" s="858"/>
      <c r="H20" s="527"/>
      <c r="J20" s="535"/>
      <c r="K20" s="536"/>
      <c r="L20" s="12"/>
      <c r="M20" s="26"/>
      <c r="N20" s="12"/>
      <c r="O20" s="12"/>
      <c r="P20" s="12"/>
      <c r="Q20" s="12"/>
      <c r="R20" s="12"/>
      <c r="S20" s="12"/>
      <c r="T20" s="12"/>
      <c r="V20" s="527"/>
      <c r="X20" s="535"/>
      <c r="Y20" s="536"/>
      <c r="AA20" s="26"/>
      <c r="AB20" s="12"/>
      <c r="AC20" s="12"/>
      <c r="AD20" s="12"/>
      <c r="AE20" s="12"/>
      <c r="AF20" s="12"/>
      <c r="AG20" s="12"/>
      <c r="AH20" s="12"/>
    </row>
    <row r="21" spans="2:34" ht="41.25" customHeight="1">
      <c r="B21" s="857"/>
      <c r="C21" s="655"/>
      <c r="D21" s="655"/>
      <c r="E21" s="655"/>
      <c r="F21" s="655"/>
      <c r="G21" s="858"/>
      <c r="H21" s="527"/>
      <c r="J21" s="535"/>
      <c r="K21" s="536"/>
      <c r="L21" s="11"/>
      <c r="M21" s="537" t="s">
        <v>34</v>
      </c>
      <c r="N21" s="538"/>
      <c r="O21" s="538"/>
      <c r="P21" s="538"/>
      <c r="Q21" s="538"/>
      <c r="R21" s="538"/>
      <c r="S21" s="538"/>
      <c r="T21" s="539"/>
      <c r="V21" s="527"/>
      <c r="X21" s="535"/>
      <c r="Y21" s="536"/>
      <c r="AA21" s="537" t="s">
        <v>34</v>
      </c>
      <c r="AB21" s="538"/>
      <c r="AC21" s="538"/>
      <c r="AD21" s="538"/>
      <c r="AE21" s="538"/>
      <c r="AF21" s="538"/>
      <c r="AG21" s="538"/>
      <c r="AH21" s="539"/>
    </row>
    <row r="22" spans="2:34" s="4" customFormat="1" ht="3.75" customHeight="1">
      <c r="B22" s="857"/>
      <c r="C22" s="655"/>
      <c r="D22" s="655"/>
      <c r="E22" s="655"/>
      <c r="F22" s="655"/>
      <c r="G22" s="858"/>
      <c r="H22" s="527"/>
      <c r="J22" s="12"/>
      <c r="K22" s="12"/>
      <c r="L22" s="11"/>
      <c r="M22" s="1"/>
      <c r="N22" s="197"/>
      <c r="O22" s="1"/>
      <c r="P22" s="1"/>
      <c r="Q22" s="1"/>
      <c r="R22" s="1"/>
      <c r="S22" s="1"/>
      <c r="T22" s="1"/>
      <c r="V22" s="527"/>
      <c r="X22" s="12"/>
      <c r="Y22" s="12"/>
      <c r="AA22" s="24"/>
      <c r="AB22" s="13"/>
      <c r="AC22" s="13"/>
      <c r="AD22" s="13"/>
      <c r="AE22" s="13"/>
      <c r="AF22" s="13"/>
      <c r="AG22" s="13"/>
      <c r="AH22" s="25"/>
    </row>
    <row r="23" spans="2:34" customFormat="1" ht="3.75" customHeight="1">
      <c r="B23" s="16"/>
      <c r="H23" s="1"/>
      <c r="J23" s="16"/>
      <c r="K23" s="17"/>
      <c r="M23" s="16"/>
      <c r="N23" s="198"/>
      <c r="T23" s="17"/>
      <c r="V23" s="18"/>
      <c r="X23" s="16"/>
      <c r="Y23" s="17"/>
      <c r="AA23" s="16"/>
      <c r="AH23" s="17"/>
    </row>
    <row r="24" spans="2:34" ht="48.6" customHeight="1">
      <c r="B24" s="19" t="s">
        <v>19</v>
      </c>
      <c r="C24" s="20" t="s">
        <v>32</v>
      </c>
      <c r="D24" s="21" t="s">
        <v>1</v>
      </c>
      <c r="E24" s="21" t="s">
        <v>127</v>
      </c>
      <c r="F24" s="20" t="s">
        <v>2</v>
      </c>
      <c r="G24" s="20" t="s">
        <v>11</v>
      </c>
      <c r="H24" s="20" t="s">
        <v>122</v>
      </c>
      <c r="I24" s="11"/>
      <c r="J24" s="15" t="s">
        <v>118</v>
      </c>
      <c r="K24" s="23" t="s">
        <v>28</v>
      </c>
      <c r="L24" s="11"/>
      <c r="M24" s="15" t="s">
        <v>118</v>
      </c>
      <c r="N24" s="199" t="s">
        <v>29</v>
      </c>
      <c r="O24" s="15" t="s">
        <v>118</v>
      </c>
      <c r="P24" s="23" t="s">
        <v>29</v>
      </c>
      <c r="Q24" s="15" t="s">
        <v>118</v>
      </c>
      <c r="R24" s="23" t="s">
        <v>29</v>
      </c>
      <c r="S24" s="15" t="s">
        <v>118</v>
      </c>
      <c r="T24" s="23" t="s">
        <v>29</v>
      </c>
      <c r="V24" s="20" t="s">
        <v>43</v>
      </c>
      <c r="W24" s="11"/>
      <c r="X24" s="15" t="s">
        <v>44</v>
      </c>
      <c r="Y24" s="23" t="s">
        <v>45</v>
      </c>
      <c r="Z24" s="11"/>
      <c r="AA24" s="15" t="s">
        <v>44</v>
      </c>
      <c r="AB24" s="23" t="s">
        <v>45</v>
      </c>
      <c r="AC24" s="15" t="s">
        <v>44</v>
      </c>
      <c r="AD24" s="23" t="s">
        <v>45</v>
      </c>
      <c r="AE24" s="15" t="s">
        <v>44</v>
      </c>
      <c r="AF24" s="23" t="s">
        <v>45</v>
      </c>
      <c r="AG24" s="15" t="s">
        <v>44</v>
      </c>
      <c r="AH24" s="23" t="s">
        <v>45</v>
      </c>
    </row>
    <row r="25" spans="2:34" s="2" customFormat="1">
      <c r="B25" s="325" t="s">
        <v>20</v>
      </c>
      <c r="C25" s="325" t="s">
        <v>464</v>
      </c>
      <c r="D25" s="397">
        <v>49</v>
      </c>
      <c r="E25" s="391">
        <v>0</v>
      </c>
      <c r="F25" s="325" t="s">
        <v>532</v>
      </c>
      <c r="G25" s="391">
        <v>12</v>
      </c>
      <c r="H25" s="403">
        <v>42.148760330578511</v>
      </c>
      <c r="I25" s="207"/>
      <c r="J25" s="393" t="s">
        <v>3</v>
      </c>
      <c r="K25" s="394" t="s">
        <v>3</v>
      </c>
      <c r="L25" s="395"/>
      <c r="M25" s="393">
        <v>0</v>
      </c>
      <c r="N25" s="394">
        <v>3</v>
      </c>
      <c r="O25" s="393">
        <v>0</v>
      </c>
      <c r="P25" s="394">
        <v>1</v>
      </c>
      <c r="Q25" s="393">
        <v>0</v>
      </c>
      <c r="R25" s="394">
        <v>1</v>
      </c>
      <c r="S25" s="395">
        <v>0</v>
      </c>
      <c r="T25" s="394">
        <v>0</v>
      </c>
      <c r="U25" s="47"/>
      <c r="V25" s="401">
        <v>6.8512396694214885</v>
      </c>
      <c r="W25" s="207"/>
      <c r="X25" s="393" t="s">
        <v>3</v>
      </c>
      <c r="Y25" s="394" t="s">
        <v>3</v>
      </c>
      <c r="Z25" s="395"/>
      <c r="AA25" s="393">
        <v>13</v>
      </c>
      <c r="AB25" s="394">
        <v>36</v>
      </c>
      <c r="AC25" s="393">
        <v>37</v>
      </c>
      <c r="AD25" s="394">
        <v>12</v>
      </c>
      <c r="AE25" s="393">
        <v>37</v>
      </c>
      <c r="AF25" s="394">
        <v>12</v>
      </c>
      <c r="AG25" s="395">
        <v>49</v>
      </c>
      <c r="AH25" s="394">
        <v>0</v>
      </c>
    </row>
    <row r="26" spans="2:34" s="2" customFormat="1">
      <c r="B26" s="325" t="s">
        <v>57</v>
      </c>
      <c r="C26" s="325" t="s">
        <v>390</v>
      </c>
      <c r="D26" s="397">
        <v>66</v>
      </c>
      <c r="E26" s="391">
        <v>0</v>
      </c>
      <c r="F26" s="325" t="s">
        <v>532</v>
      </c>
      <c r="G26" s="391">
        <v>12</v>
      </c>
      <c r="H26" s="403">
        <v>57.024793388429757</v>
      </c>
      <c r="I26" s="207"/>
      <c r="J26" s="393" t="s">
        <v>3</v>
      </c>
      <c r="K26" s="394" t="s">
        <v>3</v>
      </c>
      <c r="L26" s="395"/>
      <c r="M26" s="393">
        <v>0</v>
      </c>
      <c r="N26" s="394">
        <v>3</v>
      </c>
      <c r="O26" s="393">
        <v>0</v>
      </c>
      <c r="P26" s="394">
        <v>2</v>
      </c>
      <c r="Q26" s="393">
        <v>0</v>
      </c>
      <c r="R26" s="394">
        <v>2</v>
      </c>
      <c r="S26" s="395">
        <v>0</v>
      </c>
      <c r="T26" s="394">
        <v>0</v>
      </c>
      <c r="U26" s="396"/>
      <c r="V26" s="401">
        <v>8.9752066115702434</v>
      </c>
      <c r="W26" s="207"/>
      <c r="X26" s="393" t="s">
        <v>3</v>
      </c>
      <c r="Y26" s="394" t="s">
        <v>3</v>
      </c>
      <c r="Z26" s="395"/>
      <c r="AA26" s="393">
        <v>30</v>
      </c>
      <c r="AB26" s="394">
        <v>36</v>
      </c>
      <c r="AC26" s="393">
        <v>42</v>
      </c>
      <c r="AD26" s="394">
        <v>24</v>
      </c>
      <c r="AE26" s="393">
        <v>42</v>
      </c>
      <c r="AF26" s="394">
        <v>24</v>
      </c>
      <c r="AG26" s="395">
        <v>66</v>
      </c>
      <c r="AH26" s="394">
        <v>0</v>
      </c>
    </row>
    <row r="27" spans="2:34" s="2" customFormat="1">
      <c r="B27" s="325" t="s">
        <v>794</v>
      </c>
      <c r="C27" s="325" t="s">
        <v>383</v>
      </c>
      <c r="D27" s="397">
        <v>58</v>
      </c>
      <c r="E27" s="391">
        <v>0</v>
      </c>
      <c r="F27" s="325" t="s">
        <v>532</v>
      </c>
      <c r="G27" s="391">
        <v>12</v>
      </c>
      <c r="H27" s="403">
        <v>48</v>
      </c>
      <c r="I27" s="207"/>
      <c r="J27" s="393" t="s">
        <v>3</v>
      </c>
      <c r="K27" s="394" t="s">
        <v>3</v>
      </c>
      <c r="L27" s="395"/>
      <c r="M27" s="393">
        <v>0</v>
      </c>
      <c r="N27" s="394">
        <v>4</v>
      </c>
      <c r="O27" s="393">
        <v>0</v>
      </c>
      <c r="P27" s="394">
        <v>2</v>
      </c>
      <c r="Q27" s="393">
        <v>0</v>
      </c>
      <c r="R27" s="394">
        <v>2</v>
      </c>
      <c r="S27" s="395">
        <v>0</v>
      </c>
      <c r="T27" s="394">
        <v>1</v>
      </c>
      <c r="U27" s="47"/>
      <c r="V27" s="401">
        <v>10</v>
      </c>
      <c r="W27" s="207"/>
      <c r="X27" s="393" t="s">
        <v>3</v>
      </c>
      <c r="Y27" s="394" t="s">
        <v>3</v>
      </c>
      <c r="Z27" s="395"/>
      <c r="AA27" s="393">
        <v>10</v>
      </c>
      <c r="AB27" s="394">
        <v>48</v>
      </c>
      <c r="AC27" s="393">
        <v>34</v>
      </c>
      <c r="AD27" s="394">
        <v>24</v>
      </c>
      <c r="AE27" s="393">
        <v>34</v>
      </c>
      <c r="AF27" s="394">
        <v>24</v>
      </c>
      <c r="AG27" s="395">
        <v>46</v>
      </c>
      <c r="AH27" s="394">
        <v>12</v>
      </c>
    </row>
    <row r="28" spans="2:34" s="2" customFormat="1">
      <c r="B28" s="325" t="s">
        <v>794</v>
      </c>
      <c r="C28" s="325" t="s">
        <v>385</v>
      </c>
      <c r="D28" s="397">
        <v>58</v>
      </c>
      <c r="E28" s="391">
        <v>0</v>
      </c>
      <c r="F28" s="325" t="s">
        <v>532</v>
      </c>
      <c r="G28" s="391" t="s">
        <v>3</v>
      </c>
      <c r="H28" s="403">
        <v>48</v>
      </c>
      <c r="I28" s="207"/>
      <c r="J28" s="393" t="s">
        <v>3</v>
      </c>
      <c r="K28" s="394" t="s">
        <v>3</v>
      </c>
      <c r="L28" s="395"/>
      <c r="M28" s="455" t="s">
        <v>3</v>
      </c>
      <c r="N28" s="456" t="s">
        <v>3</v>
      </c>
      <c r="O28" s="455" t="s">
        <v>3</v>
      </c>
      <c r="P28" s="456" t="s">
        <v>3</v>
      </c>
      <c r="Q28" s="455" t="s">
        <v>3</v>
      </c>
      <c r="R28" s="456" t="s">
        <v>3</v>
      </c>
      <c r="S28" s="457" t="s">
        <v>3</v>
      </c>
      <c r="T28" s="456" t="s">
        <v>3</v>
      </c>
      <c r="U28" s="396"/>
      <c r="V28" s="401">
        <v>10</v>
      </c>
      <c r="W28" s="207"/>
      <c r="X28" s="393" t="s">
        <v>3</v>
      </c>
      <c r="Y28" s="394" t="s">
        <v>3</v>
      </c>
      <c r="Z28" s="395"/>
      <c r="AA28" s="393" t="s">
        <v>3</v>
      </c>
      <c r="AB28" s="394" t="s">
        <v>3</v>
      </c>
      <c r="AC28" s="393" t="s">
        <v>3</v>
      </c>
      <c r="AD28" s="394" t="s">
        <v>3</v>
      </c>
      <c r="AE28" s="393" t="s">
        <v>3</v>
      </c>
      <c r="AF28" s="394" t="s">
        <v>3</v>
      </c>
      <c r="AG28" s="395" t="s">
        <v>3</v>
      </c>
      <c r="AH28" s="394" t="s">
        <v>3</v>
      </c>
    </row>
    <row r="29" spans="2:34" s="2" customFormat="1">
      <c r="B29" s="325" t="s">
        <v>794</v>
      </c>
      <c r="C29" s="325" t="s">
        <v>382</v>
      </c>
      <c r="D29" s="397">
        <v>0</v>
      </c>
      <c r="E29" s="391">
        <v>0</v>
      </c>
      <c r="F29" s="325" t="s">
        <v>532</v>
      </c>
      <c r="G29" s="391">
        <v>12</v>
      </c>
      <c r="H29" s="403">
        <v>0</v>
      </c>
      <c r="I29" s="207"/>
      <c r="J29" s="393" t="s">
        <v>3</v>
      </c>
      <c r="K29" s="394" t="s">
        <v>3</v>
      </c>
      <c r="L29" s="395"/>
      <c r="M29" s="393" t="s">
        <v>3</v>
      </c>
      <c r="N29" s="394" t="s">
        <v>3</v>
      </c>
      <c r="O29" s="393" t="s">
        <v>3</v>
      </c>
      <c r="P29" s="394" t="s">
        <v>3</v>
      </c>
      <c r="Q29" s="393" t="s">
        <v>3</v>
      </c>
      <c r="R29" s="394" t="s">
        <v>3</v>
      </c>
      <c r="S29" s="395">
        <v>0</v>
      </c>
      <c r="T29" s="394">
        <v>0</v>
      </c>
      <c r="U29" s="47"/>
      <c r="V29" s="401">
        <v>0</v>
      </c>
      <c r="W29" s="207"/>
      <c r="X29" s="393" t="s">
        <v>3</v>
      </c>
      <c r="Y29" s="394" t="s">
        <v>3</v>
      </c>
      <c r="Z29" s="395"/>
      <c r="AA29" s="393" t="s">
        <v>3</v>
      </c>
      <c r="AB29" s="394" t="s">
        <v>3</v>
      </c>
      <c r="AC29" s="393" t="s">
        <v>3</v>
      </c>
      <c r="AD29" s="394" t="s">
        <v>3</v>
      </c>
      <c r="AE29" s="393" t="s">
        <v>3</v>
      </c>
      <c r="AF29" s="394" t="s">
        <v>3</v>
      </c>
      <c r="AG29" s="395">
        <v>0</v>
      </c>
      <c r="AH29" s="394">
        <v>0</v>
      </c>
    </row>
    <row r="30" spans="2:34" s="2" customFormat="1">
      <c r="B30" s="325" t="s">
        <v>540</v>
      </c>
      <c r="C30" s="325" t="s">
        <v>509</v>
      </c>
      <c r="D30" s="397">
        <v>66</v>
      </c>
      <c r="E30" s="391">
        <v>0</v>
      </c>
      <c r="F30" s="325" t="s">
        <v>532</v>
      </c>
      <c r="G30" s="391">
        <v>12</v>
      </c>
      <c r="H30" s="403">
        <v>45.454545454545453</v>
      </c>
      <c r="I30" s="207"/>
      <c r="J30" s="393" t="s">
        <v>3</v>
      </c>
      <c r="K30" s="394" t="s">
        <v>3</v>
      </c>
      <c r="L30" s="395"/>
      <c r="M30" s="393">
        <v>0</v>
      </c>
      <c r="N30" s="394">
        <v>3</v>
      </c>
      <c r="O30" s="393">
        <v>0</v>
      </c>
      <c r="P30" s="394">
        <v>2</v>
      </c>
      <c r="Q30" s="393">
        <v>0</v>
      </c>
      <c r="R30" s="394">
        <v>2</v>
      </c>
      <c r="S30" s="395">
        <v>0</v>
      </c>
      <c r="T30" s="394">
        <v>0</v>
      </c>
      <c r="U30" s="396"/>
      <c r="V30" s="401">
        <v>20.545454545454547</v>
      </c>
      <c r="W30" s="207"/>
      <c r="X30" s="393" t="s">
        <v>3</v>
      </c>
      <c r="Y30" s="394" t="s">
        <v>3</v>
      </c>
      <c r="Z30" s="395"/>
      <c r="AA30" s="393">
        <v>30</v>
      </c>
      <c r="AB30" s="394">
        <v>36</v>
      </c>
      <c r="AC30" s="393">
        <v>42</v>
      </c>
      <c r="AD30" s="394">
        <v>24</v>
      </c>
      <c r="AE30" s="393">
        <v>42</v>
      </c>
      <c r="AF30" s="394">
        <v>24</v>
      </c>
      <c r="AG30" s="395">
        <v>66</v>
      </c>
      <c r="AH30" s="394">
        <v>0</v>
      </c>
    </row>
    <row r="31" spans="2:34" s="2" customFormat="1">
      <c r="B31" s="325" t="s">
        <v>540</v>
      </c>
      <c r="C31" s="325" t="s">
        <v>455</v>
      </c>
      <c r="D31" s="397">
        <v>244</v>
      </c>
      <c r="E31" s="391">
        <v>0</v>
      </c>
      <c r="F31" s="325" t="s">
        <v>532</v>
      </c>
      <c r="G31" s="391">
        <v>24</v>
      </c>
      <c r="H31" s="403">
        <v>243.801652892562</v>
      </c>
      <c r="I31" s="207"/>
      <c r="J31" s="393"/>
      <c r="K31" s="394"/>
      <c r="L31" s="395"/>
      <c r="M31" s="393">
        <v>39</v>
      </c>
      <c r="N31" s="394">
        <v>6</v>
      </c>
      <c r="O31" s="393">
        <v>0</v>
      </c>
      <c r="P31" s="394">
        <v>7</v>
      </c>
      <c r="Q31" s="393">
        <v>0</v>
      </c>
      <c r="R31" s="394">
        <v>7</v>
      </c>
      <c r="S31" s="395">
        <v>0</v>
      </c>
      <c r="T31" s="394">
        <v>6</v>
      </c>
      <c r="U31" s="47"/>
      <c r="V31" s="401">
        <v>0.19834710743799633</v>
      </c>
      <c r="W31" s="207"/>
      <c r="X31" s="393"/>
      <c r="Y31" s="394"/>
      <c r="Z31" s="395"/>
      <c r="AA31" s="393">
        <v>61</v>
      </c>
      <c r="AB31" s="394">
        <v>144</v>
      </c>
      <c r="AC31" s="393">
        <v>76</v>
      </c>
      <c r="AD31" s="394">
        <v>168</v>
      </c>
      <c r="AE31" s="393">
        <v>76</v>
      </c>
      <c r="AF31" s="394">
        <v>168</v>
      </c>
      <c r="AG31" s="395">
        <v>100</v>
      </c>
      <c r="AH31" s="394">
        <v>144</v>
      </c>
    </row>
    <row r="32" spans="2:34" s="2" customFormat="1">
      <c r="B32" s="325" t="s">
        <v>540</v>
      </c>
      <c r="C32" s="325" t="s">
        <v>456</v>
      </c>
      <c r="D32" s="397">
        <v>200</v>
      </c>
      <c r="E32" s="391">
        <v>0</v>
      </c>
      <c r="F32" s="325" t="s">
        <v>532</v>
      </c>
      <c r="G32" s="391">
        <v>24</v>
      </c>
      <c r="H32" s="403">
        <v>200</v>
      </c>
      <c r="I32" s="207"/>
      <c r="J32" s="393" t="s">
        <v>3</v>
      </c>
      <c r="K32" s="394" t="s">
        <v>3</v>
      </c>
      <c r="L32" s="395"/>
      <c r="M32" s="393">
        <v>29</v>
      </c>
      <c r="N32" s="394">
        <v>6</v>
      </c>
      <c r="O32" s="393">
        <v>0</v>
      </c>
      <c r="P32" s="394">
        <v>6</v>
      </c>
      <c r="Q32" s="393">
        <v>0</v>
      </c>
      <c r="R32" s="394">
        <v>6</v>
      </c>
      <c r="S32" s="395">
        <v>0</v>
      </c>
      <c r="T32" s="394">
        <v>6</v>
      </c>
      <c r="U32" s="396"/>
      <c r="V32" s="401">
        <v>0</v>
      </c>
      <c r="W32" s="207"/>
      <c r="X32" s="393" t="s">
        <v>3</v>
      </c>
      <c r="Y32" s="394" t="s">
        <v>3</v>
      </c>
      <c r="Z32" s="395"/>
      <c r="AA32" s="393">
        <v>27</v>
      </c>
      <c r="AB32" s="394">
        <v>144</v>
      </c>
      <c r="AC32" s="393">
        <v>56</v>
      </c>
      <c r="AD32" s="394">
        <v>144</v>
      </c>
      <c r="AE32" s="393">
        <v>56</v>
      </c>
      <c r="AF32" s="394">
        <v>144</v>
      </c>
      <c r="AG32" s="395">
        <v>56</v>
      </c>
      <c r="AH32" s="394">
        <v>144</v>
      </c>
    </row>
    <row r="33" spans="2:34" s="2" customFormat="1">
      <c r="B33" s="325" t="s">
        <v>795</v>
      </c>
      <c r="C33" s="325" t="s">
        <v>699</v>
      </c>
      <c r="D33" s="397">
        <v>207</v>
      </c>
      <c r="E33" s="391">
        <v>0</v>
      </c>
      <c r="F33" s="325" t="s">
        <v>532</v>
      </c>
      <c r="G33" s="391">
        <v>24</v>
      </c>
      <c r="H33" s="403">
        <v>177.68595041322314</v>
      </c>
      <c r="I33" s="207"/>
      <c r="J33" s="393" t="s">
        <v>3</v>
      </c>
      <c r="K33" s="394" t="s">
        <v>3</v>
      </c>
      <c r="L33" s="395"/>
      <c r="M33" s="393">
        <v>29</v>
      </c>
      <c r="N33" s="394">
        <v>4</v>
      </c>
      <c r="O33" s="393">
        <v>0</v>
      </c>
      <c r="P33" s="394">
        <v>5</v>
      </c>
      <c r="Q33" s="393">
        <v>0</v>
      </c>
      <c r="R33" s="394">
        <v>5</v>
      </c>
      <c r="S33" s="395">
        <v>0</v>
      </c>
      <c r="T33" s="394">
        <v>4</v>
      </c>
      <c r="U33" s="47"/>
      <c r="V33" s="401">
        <v>29.314049586776861</v>
      </c>
      <c r="W33" s="207"/>
      <c r="X33" s="393" t="s">
        <v>3</v>
      </c>
      <c r="Y33" s="394" t="s">
        <v>3</v>
      </c>
      <c r="Z33" s="395"/>
      <c r="AA33" s="393">
        <v>82</v>
      </c>
      <c r="AB33" s="394">
        <v>96</v>
      </c>
      <c r="AC33" s="393">
        <v>87</v>
      </c>
      <c r="AD33" s="394">
        <v>120</v>
      </c>
      <c r="AE33" s="393">
        <v>87</v>
      </c>
      <c r="AF33" s="394">
        <v>120</v>
      </c>
      <c r="AG33" s="395">
        <v>111</v>
      </c>
      <c r="AH33" s="394">
        <v>96</v>
      </c>
    </row>
    <row r="34" spans="2:34" s="2" customFormat="1">
      <c r="B34" s="325" t="s">
        <v>57</v>
      </c>
      <c r="C34" s="325" t="s">
        <v>700</v>
      </c>
      <c r="D34" s="397">
        <v>248</v>
      </c>
      <c r="E34" s="391">
        <v>0</v>
      </c>
      <c r="F34" s="325" t="s">
        <v>532</v>
      </c>
      <c r="G34" s="391">
        <v>24</v>
      </c>
      <c r="H34" s="403">
        <v>132</v>
      </c>
      <c r="I34" s="207"/>
      <c r="J34" s="393" t="s">
        <v>3</v>
      </c>
      <c r="K34" s="394" t="s">
        <v>3</v>
      </c>
      <c r="L34" s="395"/>
      <c r="M34" s="393">
        <v>0</v>
      </c>
      <c r="N34" s="394">
        <v>4</v>
      </c>
      <c r="O34" s="393">
        <v>0</v>
      </c>
      <c r="P34" s="394">
        <v>4</v>
      </c>
      <c r="Q34" s="393">
        <v>0</v>
      </c>
      <c r="R34" s="394">
        <v>4</v>
      </c>
      <c r="S34" s="395">
        <v>0</v>
      </c>
      <c r="T34" s="394">
        <v>3</v>
      </c>
      <c r="U34" s="396"/>
      <c r="V34" s="401">
        <v>116</v>
      </c>
      <c r="W34" s="207"/>
      <c r="X34" s="393" t="s">
        <v>3</v>
      </c>
      <c r="Y34" s="394" t="s">
        <v>3</v>
      </c>
      <c r="Z34" s="395"/>
      <c r="AA34" s="393">
        <v>152</v>
      </c>
      <c r="AB34" s="394">
        <v>96</v>
      </c>
      <c r="AC34" s="393">
        <v>152</v>
      </c>
      <c r="AD34" s="394">
        <v>96</v>
      </c>
      <c r="AE34" s="393">
        <v>152</v>
      </c>
      <c r="AF34" s="394">
        <v>96</v>
      </c>
      <c r="AG34" s="395">
        <v>176</v>
      </c>
      <c r="AH34" s="394">
        <v>72</v>
      </c>
    </row>
    <row r="35" spans="2:34" s="2" customFormat="1">
      <c r="B35" s="325" t="s">
        <v>57</v>
      </c>
      <c r="C35" s="405" t="s">
        <v>701</v>
      </c>
      <c r="D35" s="397">
        <v>248</v>
      </c>
      <c r="E35" s="391">
        <v>0</v>
      </c>
      <c r="F35" s="325" t="s">
        <v>532</v>
      </c>
      <c r="G35" s="391" t="s">
        <v>3</v>
      </c>
      <c r="H35" s="403">
        <v>132</v>
      </c>
      <c r="I35" s="207"/>
      <c r="J35" s="393" t="s">
        <v>3</v>
      </c>
      <c r="K35" s="394" t="s">
        <v>3</v>
      </c>
      <c r="L35" s="395"/>
      <c r="M35" s="455" t="s">
        <v>3</v>
      </c>
      <c r="N35" s="456" t="s">
        <v>3</v>
      </c>
      <c r="O35" s="455" t="s">
        <v>3</v>
      </c>
      <c r="P35" s="456" t="s">
        <v>3</v>
      </c>
      <c r="Q35" s="455" t="s">
        <v>3</v>
      </c>
      <c r="R35" s="456" t="s">
        <v>3</v>
      </c>
      <c r="S35" s="457" t="s">
        <v>3</v>
      </c>
      <c r="T35" s="456" t="s">
        <v>3</v>
      </c>
      <c r="U35" s="47"/>
      <c r="V35" s="401">
        <v>116</v>
      </c>
      <c r="W35" s="207"/>
      <c r="X35" s="393" t="s">
        <v>3</v>
      </c>
      <c r="Y35" s="394" t="s">
        <v>3</v>
      </c>
      <c r="Z35" s="395"/>
      <c r="AA35" s="393" t="s">
        <v>3</v>
      </c>
      <c r="AB35" s="394" t="s">
        <v>3</v>
      </c>
      <c r="AC35" s="393" t="s">
        <v>3</v>
      </c>
      <c r="AD35" s="394" t="s">
        <v>3</v>
      </c>
      <c r="AE35" s="393" t="s">
        <v>3</v>
      </c>
      <c r="AF35" s="394" t="s">
        <v>3</v>
      </c>
      <c r="AG35" s="395" t="s">
        <v>3</v>
      </c>
      <c r="AH35" s="394" t="s">
        <v>3</v>
      </c>
    </row>
    <row r="36" spans="2:34" s="2" customFormat="1">
      <c r="B36" s="325" t="s">
        <v>60</v>
      </c>
      <c r="C36" s="325" t="s">
        <v>568</v>
      </c>
      <c r="D36" s="397">
        <v>182</v>
      </c>
      <c r="E36" s="391">
        <v>3.75</v>
      </c>
      <c r="F36" s="325" t="s">
        <v>381</v>
      </c>
      <c r="G36" s="391">
        <v>24</v>
      </c>
      <c r="H36" s="403">
        <v>161.98347107438016</v>
      </c>
      <c r="I36" s="207"/>
      <c r="J36" s="393" t="s">
        <v>3</v>
      </c>
      <c r="K36" s="394" t="s">
        <v>3</v>
      </c>
      <c r="L36" s="395"/>
      <c r="M36" s="393">
        <v>29</v>
      </c>
      <c r="N36" s="394">
        <v>4</v>
      </c>
      <c r="O36" s="393">
        <v>0</v>
      </c>
      <c r="P36" s="394">
        <v>5</v>
      </c>
      <c r="Q36" s="393">
        <v>0</v>
      </c>
      <c r="R36" s="394">
        <v>5</v>
      </c>
      <c r="S36" s="395">
        <v>0</v>
      </c>
      <c r="T36" s="394">
        <v>4</v>
      </c>
      <c r="U36" s="396"/>
      <c r="V36" s="401">
        <v>20.016528925619838</v>
      </c>
      <c r="W36" s="207"/>
      <c r="X36" s="393" t="s">
        <v>3</v>
      </c>
      <c r="Y36" s="394" t="s">
        <v>3</v>
      </c>
      <c r="Z36" s="395"/>
      <c r="AA36" s="393">
        <v>57</v>
      </c>
      <c r="AB36" s="394">
        <v>96</v>
      </c>
      <c r="AC36" s="393">
        <v>62</v>
      </c>
      <c r="AD36" s="394">
        <v>120</v>
      </c>
      <c r="AE36" s="393">
        <v>62</v>
      </c>
      <c r="AF36" s="394">
        <v>120</v>
      </c>
      <c r="AG36" s="395">
        <v>86</v>
      </c>
      <c r="AH36" s="394">
        <v>96</v>
      </c>
    </row>
    <row r="37" spans="2:34" s="2" customFormat="1">
      <c r="B37" s="447" t="s">
        <v>664</v>
      </c>
      <c r="C37" s="447" t="s">
        <v>641</v>
      </c>
      <c r="D37" s="448">
        <v>167</v>
      </c>
      <c r="E37" s="449">
        <v>3.75</v>
      </c>
      <c r="F37" s="447" t="s">
        <v>381</v>
      </c>
      <c r="G37" s="449">
        <v>24</v>
      </c>
      <c r="H37" s="450">
        <v>123.14049586776859</v>
      </c>
      <c r="I37" s="207"/>
      <c r="J37" s="393" t="s">
        <v>3</v>
      </c>
      <c r="K37" s="394" t="s">
        <v>3</v>
      </c>
      <c r="L37" s="395"/>
      <c r="M37" s="451">
        <v>0</v>
      </c>
      <c r="N37" s="452">
        <v>4</v>
      </c>
      <c r="O37" s="451">
        <v>0</v>
      </c>
      <c r="P37" s="452">
        <v>4</v>
      </c>
      <c r="Q37" s="451">
        <v>0</v>
      </c>
      <c r="R37" s="452">
        <v>4</v>
      </c>
      <c r="S37" s="453">
        <v>0</v>
      </c>
      <c r="T37" s="452">
        <v>3</v>
      </c>
      <c r="U37" s="47"/>
      <c r="V37" s="454">
        <v>43.859504132231407</v>
      </c>
      <c r="W37" s="207"/>
      <c r="X37" s="451" t="s">
        <v>3</v>
      </c>
      <c r="Y37" s="452" t="s">
        <v>3</v>
      </c>
      <c r="Z37" s="395"/>
      <c r="AA37" s="451">
        <v>71</v>
      </c>
      <c r="AB37" s="452">
        <v>96</v>
      </c>
      <c r="AC37" s="451">
        <v>71</v>
      </c>
      <c r="AD37" s="452">
        <v>96</v>
      </c>
      <c r="AE37" s="451">
        <v>71</v>
      </c>
      <c r="AF37" s="452">
        <v>96</v>
      </c>
      <c r="AG37" s="453">
        <v>95</v>
      </c>
      <c r="AH37" s="452">
        <v>72</v>
      </c>
    </row>
    <row r="38" spans="2:34" s="2" customFormat="1">
      <c r="I38" s="207"/>
      <c r="J38" s="393" t="s">
        <v>3</v>
      </c>
      <c r="K38" s="394" t="s">
        <v>3</v>
      </c>
      <c r="L38" s="395"/>
      <c r="N38" s="446"/>
      <c r="U38" s="396"/>
      <c r="W38" s="207"/>
      <c r="Z38" s="395"/>
    </row>
    <row r="39" spans="2:34" s="392" customFormat="1" ht="21" thickBot="1">
      <c r="B39" s="302" t="s">
        <v>465</v>
      </c>
      <c r="C39" s="356"/>
      <c r="D39" s="303"/>
      <c r="E39" s="303"/>
      <c r="F39" s="356"/>
      <c r="G39" s="303"/>
      <c r="H39" s="207"/>
      <c r="I39" s="207"/>
      <c r="J39" s="395"/>
      <c r="K39" s="395"/>
      <c r="L39" s="395"/>
      <c r="M39" s="395"/>
      <c r="N39" s="395"/>
      <c r="O39" s="395"/>
      <c r="P39" s="395"/>
      <c r="Q39" s="395"/>
      <c r="R39" s="395"/>
      <c r="S39" s="395"/>
      <c r="T39" s="395"/>
      <c r="U39" s="396"/>
      <c r="V39" s="395"/>
      <c r="W39" s="207"/>
      <c r="X39" s="395"/>
      <c r="Y39" s="395"/>
      <c r="Z39" s="395"/>
      <c r="AA39" s="395"/>
      <c r="AB39" s="395"/>
      <c r="AC39" s="395"/>
      <c r="AD39" s="395"/>
      <c r="AE39" s="395"/>
      <c r="AF39" s="395"/>
      <c r="AG39" s="395"/>
      <c r="AH39" s="395"/>
    </row>
    <row r="40" spans="2:34" s="392" customFormat="1">
      <c r="B40" s="304" t="s">
        <v>540</v>
      </c>
      <c r="C40" s="304" t="s">
        <v>509</v>
      </c>
      <c r="D40" s="305">
        <v>66</v>
      </c>
      <c r="E40" s="306">
        <v>0</v>
      </c>
      <c r="F40" s="304" t="s">
        <v>532</v>
      </c>
      <c r="G40" s="306">
        <v>12</v>
      </c>
      <c r="H40" s="307">
        <v>47.11</v>
      </c>
      <c r="I40" s="308"/>
      <c r="J40" s="309" t="s">
        <v>3</v>
      </c>
      <c r="K40" s="310" t="s">
        <v>3</v>
      </c>
      <c r="L40" s="400"/>
      <c r="M40" s="311" t="s">
        <v>3</v>
      </c>
      <c r="N40" s="312" t="s">
        <v>3</v>
      </c>
      <c r="O40" s="311" t="s">
        <v>3</v>
      </c>
      <c r="P40" s="312" t="s">
        <v>3</v>
      </c>
      <c r="Q40" s="313">
        <v>0</v>
      </c>
      <c r="R40" s="314">
        <v>0</v>
      </c>
      <c r="S40" s="315" t="s">
        <v>3</v>
      </c>
      <c r="T40" s="312" t="s">
        <v>3</v>
      </c>
      <c r="U40" s="316"/>
      <c r="V40" s="317">
        <v>18.89</v>
      </c>
      <c r="W40" s="308"/>
      <c r="X40" s="309" t="s">
        <v>3</v>
      </c>
      <c r="Y40" s="310" t="s">
        <v>3</v>
      </c>
      <c r="Z40" s="400"/>
      <c r="AA40" s="311" t="s">
        <v>3</v>
      </c>
      <c r="AB40" s="312" t="s">
        <v>3</v>
      </c>
      <c r="AC40" s="311" t="s">
        <v>3</v>
      </c>
      <c r="AD40" s="312" t="s">
        <v>3</v>
      </c>
      <c r="AE40" s="311">
        <v>66</v>
      </c>
      <c r="AF40" s="312">
        <v>0</v>
      </c>
      <c r="AG40" s="315" t="s">
        <v>3</v>
      </c>
      <c r="AH40" s="312" t="s">
        <v>3</v>
      </c>
    </row>
    <row r="41" spans="2:34" s="396" customFormat="1" ht="13.5" thickBot="1">
      <c r="B41" s="297" t="s">
        <v>20</v>
      </c>
      <c r="C41" s="297" t="s">
        <v>464</v>
      </c>
      <c r="D41" s="300">
        <v>49</v>
      </c>
      <c r="E41" s="301">
        <v>0</v>
      </c>
      <c r="F41" s="297" t="s">
        <v>532</v>
      </c>
      <c r="G41" s="301">
        <v>12</v>
      </c>
      <c r="H41" s="298">
        <v>43.801652892561982</v>
      </c>
      <c r="I41" s="207"/>
      <c r="J41" s="399" t="s">
        <v>3</v>
      </c>
      <c r="K41" s="354" t="s">
        <v>3</v>
      </c>
      <c r="L41" s="401"/>
      <c r="M41" s="399" t="s">
        <v>3</v>
      </c>
      <c r="N41" s="354" t="s">
        <v>3</v>
      </c>
      <c r="O41" s="399" t="s">
        <v>3</v>
      </c>
      <c r="P41" s="354" t="s">
        <v>3</v>
      </c>
      <c r="Q41" s="444">
        <v>0</v>
      </c>
      <c r="R41" s="445">
        <v>0</v>
      </c>
      <c r="S41" s="355" t="s">
        <v>3</v>
      </c>
      <c r="T41" s="354" t="s">
        <v>3</v>
      </c>
      <c r="V41" s="408">
        <v>5.1983471074380176</v>
      </c>
      <c r="W41" s="207"/>
      <c r="X41" s="399" t="s">
        <v>3</v>
      </c>
      <c r="Y41" s="354" t="s">
        <v>3</v>
      </c>
      <c r="Z41" s="401"/>
      <c r="AA41" s="399" t="s">
        <v>3</v>
      </c>
      <c r="AB41" s="354" t="s">
        <v>3</v>
      </c>
      <c r="AC41" s="399" t="s">
        <v>3</v>
      </c>
      <c r="AD41" s="354" t="s">
        <v>3</v>
      </c>
      <c r="AE41" s="399">
        <v>49</v>
      </c>
      <c r="AF41" s="354">
        <v>0</v>
      </c>
      <c r="AG41" s="355" t="s">
        <v>3</v>
      </c>
      <c r="AH41" s="354" t="s">
        <v>3</v>
      </c>
    </row>
    <row r="42" spans="2:34" s="392" customFormat="1">
      <c r="C42" s="318"/>
      <c r="I42" s="366"/>
      <c r="L42" s="366"/>
      <c r="N42" s="319"/>
      <c r="W42" s="366"/>
      <c r="Z42" s="366"/>
    </row>
    <row r="43" spans="2:34" s="392" customFormat="1">
      <c r="C43" s="396" t="s">
        <v>447</v>
      </c>
      <c r="H43" s="320"/>
      <c r="I43" s="366"/>
      <c r="L43" s="366"/>
      <c r="W43" s="366"/>
      <c r="Z43" s="366"/>
    </row>
    <row r="44" spans="2:34" s="392" customFormat="1">
      <c r="C44" s="392" t="s">
        <v>448</v>
      </c>
      <c r="I44" s="366"/>
      <c r="L44" s="366"/>
      <c r="W44" s="366"/>
      <c r="Z44" s="366"/>
    </row>
    <row r="45" spans="2:34">
      <c r="I45" s="207"/>
      <c r="J45" s="393" t="s">
        <v>3</v>
      </c>
      <c r="K45" s="394" t="s">
        <v>3</v>
      </c>
      <c r="L45" s="395"/>
      <c r="N45" s="1"/>
      <c r="U45" s="4"/>
      <c r="W45" s="1"/>
      <c r="X45" s="4"/>
      <c r="Z45" s="1"/>
    </row>
    <row r="46" spans="2:34">
      <c r="I46" s="207"/>
      <c r="J46" s="393" t="s">
        <v>3</v>
      </c>
      <c r="K46" s="394" t="s">
        <v>3</v>
      </c>
      <c r="L46" s="395"/>
    </row>
  </sheetData>
  <autoFilter ref="B24:AH24" xr:uid="{00000000-0001-0000-0300-000000000000}"/>
  <sortState xmlns:xlrd2="http://schemas.microsoft.com/office/spreadsheetml/2017/richdata2" ref="A25:AI37">
    <sortCondition ref="F25:F37"/>
    <sortCondition ref="C25:C37"/>
  </sortState>
  <mergeCells count="36">
    <mergeCell ref="O13:P13"/>
    <mergeCell ref="Q13:R13"/>
    <mergeCell ref="B19:G22"/>
    <mergeCell ref="J19:K21"/>
    <mergeCell ref="Q14:R14"/>
    <mergeCell ref="H19:H22"/>
    <mergeCell ref="S14:T14"/>
    <mergeCell ref="B5:C15"/>
    <mergeCell ref="D5:G12"/>
    <mergeCell ref="H5:H12"/>
    <mergeCell ref="M5:N12"/>
    <mergeCell ref="D15:G15"/>
    <mergeCell ref="M15:N15"/>
    <mergeCell ref="J15:K15"/>
    <mergeCell ref="D14:G14"/>
    <mergeCell ref="J14:K14"/>
    <mergeCell ref="M14:N14"/>
    <mergeCell ref="D13:G13"/>
    <mergeCell ref="S13:T13"/>
    <mergeCell ref="O14:P14"/>
    <mergeCell ref="J13:K13"/>
    <mergeCell ref="M13:N13"/>
    <mergeCell ref="B2:G2"/>
    <mergeCell ref="J5:K12"/>
    <mergeCell ref="Q5:R12"/>
    <mergeCell ref="S5:T12"/>
    <mergeCell ref="O5:P12"/>
    <mergeCell ref="AA19:AH19"/>
    <mergeCell ref="AA21:AH21"/>
    <mergeCell ref="M19:T19"/>
    <mergeCell ref="M21:T21"/>
    <mergeCell ref="O15:P15"/>
    <mergeCell ref="Q15:R15"/>
    <mergeCell ref="S15:T15"/>
    <mergeCell ref="V19:V22"/>
    <mergeCell ref="X19:Y21"/>
  </mergeCells>
  <conditionalFormatting sqref="C42">
    <cfRule type="cellIs" dxfId="7" priority="1" operator="equal">
      <formula>"Phase Out"</formula>
    </cfRule>
    <cfRule type="cellIs" dxfId="6" priority="2" operator="equal">
      <formula>"Liquidado"</formula>
    </cfRule>
  </conditionalFormatting>
  <pageMargins left="0.70866141732283472" right="0.70866141732283472" top="0.74803149606299213" bottom="0.74803149606299213" header="0.31496062992125984" footer="0.31496062992125984"/>
  <pageSetup paperSize="9" scale="61" orientation="landscape" r:id="rId1"/>
  <headerFooter>
    <oddFooter>&amp;C&amp;1#&amp;"Calibri"&amp;8&amp;KED7D31Orange Restricted</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tabColor rgb="FFFF6600"/>
    <pageSetUpPr fitToPage="1"/>
  </sheetPr>
  <dimension ref="B2:Z40"/>
  <sheetViews>
    <sheetView showGridLines="0" zoomScale="70" zoomScaleNormal="70" workbookViewId="0">
      <selection activeCell="B5" sqref="B5:C16"/>
    </sheetView>
  </sheetViews>
  <sheetFormatPr baseColWidth="10" defaultColWidth="11.42578125" defaultRowHeight="12.75"/>
  <cols>
    <col min="1" max="1" width="4.5703125" style="1" customWidth="1"/>
    <col min="2" max="2" width="22.5703125" style="1" customWidth="1"/>
    <col min="3" max="3" width="57.7109375" style="1" bestFit="1" customWidth="1"/>
    <col min="4" max="4" width="9.5703125" style="1" customWidth="1"/>
    <col min="5" max="5" width="15.42578125" style="1" customWidth="1"/>
    <col min="6" max="6" width="17.7109375" style="1" customWidth="1"/>
    <col min="7" max="7" width="13" style="1" customWidth="1"/>
    <col min="8" max="8" width="18.5703125" style="1" customWidth="1"/>
    <col min="9" max="9" width="2.28515625" style="4" customWidth="1"/>
    <col min="10" max="10" width="10.7109375" style="1" customWidth="1"/>
    <col min="11" max="11" width="10.28515625" style="1" customWidth="1"/>
    <col min="12" max="12" width="2.42578125" style="4" customWidth="1"/>
    <col min="13" max="13" width="14.5703125" style="1" customWidth="1"/>
    <col min="14" max="14" width="9.7109375" style="1" customWidth="1"/>
    <col min="15" max="15" width="11.5703125" style="1" customWidth="1"/>
    <col min="16" max="16" width="9.7109375" style="1" customWidth="1"/>
    <col min="17" max="17" width="1.28515625" style="1" customWidth="1"/>
    <col min="18" max="18" width="9.7109375" style="1" customWidth="1"/>
    <col min="19" max="19" width="2.42578125" style="4" customWidth="1"/>
    <col min="20" max="21" width="9.5703125" style="1" customWidth="1"/>
    <col min="22" max="22" width="1.7109375" style="1" customWidth="1"/>
    <col min="23" max="24" width="10.28515625" style="1" customWidth="1"/>
    <col min="25" max="26" width="9.5703125" style="1" customWidth="1"/>
    <col min="27" max="27" width="14.7109375" style="1" customWidth="1"/>
    <col min="28" max="28" width="41.42578125" style="1" bestFit="1" customWidth="1"/>
    <col min="29" max="16384" width="11.42578125" style="1"/>
  </cols>
  <sheetData>
    <row r="2" spans="2:16" ht="23.25" customHeight="1">
      <c r="B2" s="582" t="s">
        <v>22</v>
      </c>
      <c r="C2" s="582"/>
      <c r="D2" s="582"/>
      <c r="E2" s="582"/>
      <c r="F2" s="582"/>
      <c r="G2" s="84"/>
      <c r="H2" s="593" t="s">
        <v>23</v>
      </c>
      <c r="J2" s="595" t="s">
        <v>30</v>
      </c>
      <c r="K2" s="596"/>
      <c r="M2" s="609" t="s">
        <v>0</v>
      </c>
      <c r="N2" s="610"/>
      <c r="O2" s="610"/>
      <c r="P2" s="596"/>
    </row>
    <row r="3" spans="2:16" customFormat="1" ht="3.75" customHeight="1">
      <c r="H3" s="594"/>
      <c r="M3" s="30"/>
      <c r="P3" s="43"/>
    </row>
    <row r="4" spans="2:16" s="14" customFormat="1" ht="30" customHeight="1" thickBot="1">
      <c r="B4" s="406">
        <v>45658</v>
      </c>
      <c r="C4" s="407" t="s">
        <v>792</v>
      </c>
      <c r="D4" s="331"/>
      <c r="E4" s="331"/>
      <c r="F4" s="326">
        <v>0</v>
      </c>
      <c r="G4" s="86"/>
      <c r="H4" s="594"/>
      <c r="I4" s="53"/>
      <c r="J4" s="553" t="s">
        <v>7</v>
      </c>
      <c r="K4" s="859"/>
      <c r="L4" s="11"/>
      <c r="M4" s="553" t="s">
        <v>7</v>
      </c>
      <c r="N4" s="859"/>
      <c r="O4" s="555" t="s">
        <v>3</v>
      </c>
      <c r="P4" s="865"/>
    </row>
    <row r="5" spans="2:16" ht="15.75" customHeight="1">
      <c r="B5" s="587" t="s">
        <v>39</v>
      </c>
      <c r="C5" s="588"/>
      <c r="D5" s="862" t="s">
        <v>4</v>
      </c>
      <c r="E5" s="597"/>
      <c r="F5" s="597"/>
      <c r="G5" s="598"/>
      <c r="H5" s="616" t="s">
        <v>148</v>
      </c>
      <c r="I5" s="6"/>
      <c r="J5" s="603" t="s">
        <v>148</v>
      </c>
      <c r="K5" s="604"/>
      <c r="L5" s="6"/>
      <c r="M5" s="584" t="s">
        <v>35</v>
      </c>
      <c r="N5" s="866"/>
      <c r="O5" s="572" t="s">
        <v>3</v>
      </c>
      <c r="P5" s="616"/>
    </row>
    <row r="6" spans="2:16" ht="15.75" customHeight="1">
      <c r="B6" s="589"/>
      <c r="C6" s="590"/>
      <c r="D6" s="863"/>
      <c r="E6" s="599"/>
      <c r="F6" s="599"/>
      <c r="G6" s="600"/>
      <c r="H6" s="606"/>
      <c r="I6" s="7"/>
      <c r="J6" s="605"/>
      <c r="K6" s="606"/>
      <c r="L6" s="7"/>
      <c r="M6" s="605"/>
      <c r="N6" s="867"/>
      <c r="O6" s="574"/>
      <c r="P6" s="640"/>
    </row>
    <row r="7" spans="2:16" ht="15.75" customHeight="1">
      <c r="B7" s="589"/>
      <c r="C7" s="590"/>
      <c r="D7" s="863"/>
      <c r="E7" s="599"/>
      <c r="F7" s="599"/>
      <c r="G7" s="600"/>
      <c r="H7" s="606"/>
      <c r="I7" s="7"/>
      <c r="J7" s="605"/>
      <c r="K7" s="606"/>
      <c r="L7" s="7"/>
      <c r="M7" s="605"/>
      <c r="N7" s="867"/>
      <c r="O7" s="574"/>
      <c r="P7" s="640"/>
    </row>
    <row r="8" spans="2:16" ht="15.75" customHeight="1">
      <c r="B8" s="589"/>
      <c r="C8" s="590"/>
      <c r="D8" s="863"/>
      <c r="E8" s="599"/>
      <c r="F8" s="599"/>
      <c r="G8" s="600"/>
      <c r="H8" s="606"/>
      <c r="I8" s="7"/>
      <c r="J8" s="605"/>
      <c r="K8" s="606"/>
      <c r="L8" s="7"/>
      <c r="M8" s="605"/>
      <c r="N8" s="867"/>
      <c r="O8" s="574"/>
      <c r="P8" s="640"/>
    </row>
    <row r="9" spans="2:16" ht="15.75" customHeight="1">
      <c r="B9" s="589"/>
      <c r="C9" s="590"/>
      <c r="D9" s="863"/>
      <c r="E9" s="599"/>
      <c r="F9" s="599"/>
      <c r="G9" s="600"/>
      <c r="H9" s="606"/>
      <c r="I9" s="7"/>
      <c r="J9" s="605"/>
      <c r="K9" s="606"/>
      <c r="L9" s="7"/>
      <c r="M9" s="605"/>
      <c r="N9" s="867"/>
      <c r="O9" s="574"/>
      <c r="P9" s="640"/>
    </row>
    <row r="10" spans="2:16" ht="15.75" customHeight="1">
      <c r="B10" s="589"/>
      <c r="C10" s="590"/>
      <c r="D10" s="863"/>
      <c r="E10" s="599"/>
      <c r="F10" s="599"/>
      <c r="G10" s="600"/>
      <c r="H10" s="606"/>
      <c r="I10" s="7"/>
      <c r="J10" s="605"/>
      <c r="K10" s="606"/>
      <c r="L10" s="7"/>
      <c r="M10" s="605"/>
      <c r="N10" s="867"/>
      <c r="O10" s="574"/>
      <c r="P10" s="640"/>
    </row>
    <row r="11" spans="2:16" ht="15.75" customHeight="1">
      <c r="B11" s="589"/>
      <c r="C11" s="590"/>
      <c r="D11" s="863"/>
      <c r="E11" s="599"/>
      <c r="F11" s="599"/>
      <c r="G11" s="600"/>
      <c r="H11" s="606"/>
      <c r="I11" s="7"/>
      <c r="J11" s="605"/>
      <c r="K11" s="606"/>
      <c r="L11" s="7"/>
      <c r="M11" s="605"/>
      <c r="N11" s="867"/>
      <c r="O11" s="574"/>
      <c r="P11" s="640"/>
    </row>
    <row r="12" spans="2:16" ht="15.75" customHeight="1" thickBot="1">
      <c r="B12" s="589"/>
      <c r="C12" s="590"/>
      <c r="D12" s="864"/>
      <c r="E12" s="601"/>
      <c r="F12" s="601"/>
      <c r="G12" s="602"/>
      <c r="H12" s="606"/>
      <c r="I12" s="7"/>
      <c r="J12" s="607"/>
      <c r="K12" s="608"/>
      <c r="L12" s="7"/>
      <c r="M12" s="607"/>
      <c r="N12" s="868"/>
      <c r="O12" s="576"/>
      <c r="P12" s="641"/>
    </row>
    <row r="13" spans="2:16" ht="30.75" customHeight="1" thickBot="1">
      <c r="B13" s="589"/>
      <c r="C13" s="590"/>
      <c r="D13" s="664" t="s">
        <v>27</v>
      </c>
      <c r="E13" s="664"/>
      <c r="F13" s="860"/>
      <c r="G13" s="861"/>
      <c r="H13" s="33" t="s">
        <v>13</v>
      </c>
      <c r="I13" s="10"/>
      <c r="J13" s="585" t="s">
        <v>13</v>
      </c>
      <c r="K13" s="586"/>
      <c r="L13" s="10"/>
      <c r="M13" s="585" t="s">
        <v>13</v>
      </c>
      <c r="N13" s="869"/>
      <c r="O13" s="560" t="s">
        <v>3</v>
      </c>
      <c r="P13" s="642"/>
    </row>
    <row r="14" spans="2:16" ht="65.25" customHeight="1" thickBot="1">
      <c r="B14" s="589"/>
      <c r="C14" s="590"/>
      <c r="D14" s="611" t="s">
        <v>26</v>
      </c>
      <c r="E14" s="611"/>
      <c r="F14" s="612"/>
      <c r="G14" s="613"/>
      <c r="H14" s="33" t="s">
        <v>48</v>
      </c>
      <c r="I14" s="10"/>
      <c r="J14" s="619" t="s">
        <v>149</v>
      </c>
      <c r="K14" s="604"/>
      <c r="L14" s="10"/>
      <c r="M14" s="639" t="s">
        <v>150</v>
      </c>
      <c r="N14" s="643"/>
      <c r="O14" s="558" t="s">
        <v>3</v>
      </c>
      <c r="P14" s="634"/>
    </row>
    <row r="15" spans="2:16" ht="21" customHeight="1" thickBot="1">
      <c r="B15" s="589"/>
      <c r="C15" s="590"/>
      <c r="D15" s="620" t="s">
        <v>5</v>
      </c>
      <c r="E15" s="621"/>
      <c r="F15" s="621"/>
      <c r="G15" s="621"/>
      <c r="H15" s="32" t="s">
        <v>3</v>
      </c>
      <c r="I15" s="9"/>
      <c r="J15" s="622" t="s">
        <v>3</v>
      </c>
      <c r="K15" s="586"/>
      <c r="L15" s="9"/>
      <c r="M15" s="622" t="s">
        <v>3</v>
      </c>
      <c r="N15" s="838" t="s">
        <v>3</v>
      </c>
      <c r="O15" s="636" t="s">
        <v>3</v>
      </c>
      <c r="P15" s="586"/>
    </row>
    <row r="16" spans="2:16" ht="21" customHeight="1" thickBot="1">
      <c r="B16" s="591"/>
      <c r="C16" s="592"/>
      <c r="D16" s="647" t="s">
        <v>36</v>
      </c>
      <c r="E16" s="648"/>
      <c r="F16" s="648"/>
      <c r="G16" s="837"/>
      <c r="H16" s="32" t="s">
        <v>3</v>
      </c>
      <c r="I16" s="9"/>
      <c r="J16" s="622" t="s">
        <v>64</v>
      </c>
      <c r="K16" s="586"/>
      <c r="L16" s="9"/>
      <c r="M16" s="622" t="s">
        <v>64</v>
      </c>
      <c r="N16" s="838"/>
      <c r="O16" s="636" t="s">
        <v>3</v>
      </c>
      <c r="P16" s="586"/>
    </row>
    <row r="17" spans="2:26" ht="23.25" customHeight="1" thickBot="1"/>
    <row r="18" spans="2:26" ht="23.25" customHeight="1">
      <c r="B18" s="854" t="s">
        <v>25</v>
      </c>
      <c r="C18" s="855"/>
      <c r="D18" s="855"/>
      <c r="E18" s="855"/>
      <c r="F18" s="855"/>
      <c r="G18" s="856"/>
      <c r="H18" s="526" t="s">
        <v>23</v>
      </c>
      <c r="J18" s="533" t="s">
        <v>51</v>
      </c>
      <c r="K18" s="534"/>
      <c r="M18" s="533" t="s">
        <v>6</v>
      </c>
      <c r="N18" s="804"/>
      <c r="O18" s="804"/>
      <c r="P18" s="534"/>
      <c r="R18" s="526" t="s">
        <v>41</v>
      </c>
      <c r="T18" s="533" t="s">
        <v>52</v>
      </c>
      <c r="U18" s="534"/>
      <c r="W18" s="533" t="s">
        <v>46</v>
      </c>
      <c r="X18" s="804"/>
      <c r="Y18" s="804"/>
      <c r="Z18" s="534"/>
    </row>
    <row r="19" spans="2:26" ht="3.75" customHeight="1">
      <c r="B19" s="857"/>
      <c r="C19" s="655"/>
      <c r="D19" s="655"/>
      <c r="E19" s="655"/>
      <c r="F19" s="655"/>
      <c r="G19" s="858"/>
      <c r="H19" s="527"/>
      <c r="J19" s="535"/>
      <c r="K19" s="536"/>
      <c r="M19" s="26"/>
      <c r="N19" s="12"/>
      <c r="O19" s="12"/>
      <c r="P19" s="12"/>
      <c r="R19" s="527"/>
      <c r="T19" s="535"/>
      <c r="U19" s="536"/>
      <c r="W19" s="26"/>
      <c r="X19" s="12"/>
      <c r="Y19" s="12"/>
      <c r="Z19" s="12"/>
    </row>
    <row r="20" spans="2:26" ht="33.75" customHeight="1">
      <c r="B20" s="857"/>
      <c r="C20" s="655"/>
      <c r="D20" s="655"/>
      <c r="E20" s="655"/>
      <c r="F20" s="655"/>
      <c r="G20" s="858"/>
      <c r="H20" s="527"/>
      <c r="J20" s="535"/>
      <c r="K20" s="536"/>
      <c r="M20" s="537" t="s">
        <v>37</v>
      </c>
      <c r="N20" s="538"/>
      <c r="O20" s="538"/>
      <c r="P20" s="539"/>
      <c r="R20" s="527"/>
      <c r="T20" s="535"/>
      <c r="U20" s="536"/>
      <c r="W20" s="537" t="s">
        <v>37</v>
      </c>
      <c r="X20" s="538"/>
      <c r="Y20" s="538"/>
      <c r="Z20" s="539"/>
    </row>
    <row r="21" spans="2:26" s="4" customFormat="1" ht="3.75" customHeight="1">
      <c r="B21" s="857"/>
      <c r="C21" s="655"/>
      <c r="D21" s="655"/>
      <c r="E21" s="655"/>
      <c r="F21" s="655"/>
      <c r="G21" s="858"/>
      <c r="H21" s="527"/>
      <c r="J21" s="12"/>
      <c r="K21" s="12"/>
      <c r="M21" s="24"/>
      <c r="N21" s="13"/>
      <c r="O21" s="13"/>
      <c r="P21" s="25"/>
      <c r="R21" s="527"/>
      <c r="T21" s="12"/>
      <c r="U21" s="12"/>
      <c r="W21" s="24"/>
      <c r="X21" s="13"/>
      <c r="Y21" s="13"/>
      <c r="Z21" s="25"/>
    </row>
    <row r="22" spans="2:26" ht="30" customHeight="1">
      <c r="B22" s="857"/>
      <c r="C22" s="655"/>
      <c r="D22" s="655"/>
      <c r="E22" s="655"/>
      <c r="F22" s="655"/>
      <c r="G22" s="858"/>
      <c r="H22" s="527"/>
      <c r="I22" s="8"/>
      <c r="J22" s="540" t="s">
        <v>7</v>
      </c>
      <c r="K22" s="541"/>
      <c r="L22" s="8"/>
      <c r="M22" s="540" t="s">
        <v>449</v>
      </c>
      <c r="N22" s="541"/>
      <c r="O22" s="540" t="s">
        <v>450</v>
      </c>
      <c r="P22" s="541"/>
      <c r="R22" s="527"/>
      <c r="S22" s="8"/>
      <c r="T22" s="540" t="s">
        <v>7</v>
      </c>
      <c r="U22" s="541"/>
      <c r="W22" s="540" t="s">
        <v>449</v>
      </c>
      <c r="X22" s="541"/>
      <c r="Y22" s="540" t="s">
        <v>450</v>
      </c>
      <c r="Z22" s="541"/>
    </row>
    <row r="23" spans="2:26" customFormat="1" ht="3.75" customHeight="1">
      <c r="B23" s="16"/>
      <c r="G23" s="17"/>
      <c r="H23" s="18"/>
      <c r="J23" s="16"/>
      <c r="K23" s="17"/>
      <c r="M23" s="16"/>
      <c r="O23" s="16"/>
      <c r="R23" s="18"/>
      <c r="T23" s="16"/>
      <c r="U23" s="17"/>
      <c r="W23" s="16"/>
      <c r="X23" s="57"/>
      <c r="Y23" s="57"/>
      <c r="Z23" s="18"/>
    </row>
    <row r="24" spans="2:26" ht="48.75" customHeight="1">
      <c r="B24" s="337" t="s">
        <v>19</v>
      </c>
      <c r="C24" s="335" t="s">
        <v>698</v>
      </c>
      <c r="D24" s="336" t="s">
        <v>1</v>
      </c>
      <c r="E24" s="345" t="s">
        <v>127</v>
      </c>
      <c r="F24" s="337" t="s">
        <v>2</v>
      </c>
      <c r="G24" s="335" t="s">
        <v>11</v>
      </c>
      <c r="H24" s="335" t="s">
        <v>122</v>
      </c>
      <c r="I24" s="286"/>
      <c r="J24" s="339" t="s">
        <v>118</v>
      </c>
      <c r="K24" s="344" t="s">
        <v>28</v>
      </c>
      <c r="L24" s="11"/>
      <c r="M24" s="339" t="s">
        <v>118</v>
      </c>
      <c r="N24" s="344" t="s">
        <v>29</v>
      </c>
      <c r="O24" s="339" t="s">
        <v>118</v>
      </c>
      <c r="P24" s="344" t="s">
        <v>29</v>
      </c>
      <c r="R24" s="335" t="s">
        <v>43</v>
      </c>
      <c r="S24" s="11"/>
      <c r="T24" s="339" t="s">
        <v>44</v>
      </c>
      <c r="U24" s="344" t="s">
        <v>45</v>
      </c>
      <c r="W24" s="339" t="s">
        <v>44</v>
      </c>
      <c r="X24" s="344" t="s">
        <v>45</v>
      </c>
      <c r="Y24" s="339" t="s">
        <v>44</v>
      </c>
      <c r="Z24" s="344" t="s">
        <v>45</v>
      </c>
    </row>
    <row r="25" spans="2:26" s="2" customFormat="1" ht="12.75" customHeight="1">
      <c r="B25" s="398" t="s">
        <v>675</v>
      </c>
      <c r="C25" s="403" t="s">
        <v>508</v>
      </c>
      <c r="D25" s="41">
        <v>64</v>
      </c>
      <c r="E25" s="142">
        <v>1.1000000000000001</v>
      </c>
      <c r="F25" s="146" t="s">
        <v>227</v>
      </c>
      <c r="G25" s="136">
        <v>24</v>
      </c>
      <c r="H25" s="143">
        <v>63.63636363636364</v>
      </c>
      <c r="I25" s="292"/>
      <c r="J25" s="35">
        <v>0</v>
      </c>
      <c r="K25" s="136">
        <v>0</v>
      </c>
      <c r="L25" s="45"/>
      <c r="M25" s="35">
        <v>0</v>
      </c>
      <c r="N25" s="136">
        <v>0</v>
      </c>
      <c r="O25" s="35">
        <v>0</v>
      </c>
      <c r="P25" s="136">
        <v>0</v>
      </c>
      <c r="R25" s="147">
        <v>0</v>
      </c>
      <c r="S25" s="45"/>
      <c r="T25" s="148">
        <v>64</v>
      </c>
      <c r="U25" s="149">
        <v>0</v>
      </c>
      <c r="W25" s="148">
        <v>64</v>
      </c>
      <c r="X25" s="149">
        <v>0</v>
      </c>
      <c r="Y25" s="148">
        <v>64</v>
      </c>
      <c r="Z25" s="149">
        <v>0</v>
      </c>
    </row>
    <row r="26" spans="2:26" s="2" customFormat="1" ht="12.75" customHeight="1">
      <c r="B26" s="145" t="s">
        <v>675</v>
      </c>
      <c r="C26" s="325" t="s">
        <v>612</v>
      </c>
      <c r="D26" s="41">
        <v>77</v>
      </c>
      <c r="E26" s="142">
        <v>1.1000000000000001</v>
      </c>
      <c r="F26" s="146" t="s">
        <v>227</v>
      </c>
      <c r="G26" s="136">
        <v>24</v>
      </c>
      <c r="H26" s="143">
        <v>76.859504132231407</v>
      </c>
      <c r="I26" s="292"/>
      <c r="J26" s="35">
        <v>0</v>
      </c>
      <c r="K26" s="136">
        <v>1</v>
      </c>
      <c r="L26" s="45"/>
      <c r="M26" s="35">
        <v>0</v>
      </c>
      <c r="N26" s="136">
        <v>1</v>
      </c>
      <c r="O26" s="35">
        <v>0</v>
      </c>
      <c r="P26" s="136">
        <v>1</v>
      </c>
      <c r="R26" s="147">
        <v>13</v>
      </c>
      <c r="S26" s="45"/>
      <c r="T26" s="148">
        <v>53</v>
      </c>
      <c r="U26" s="149">
        <v>24</v>
      </c>
      <c r="W26" s="148">
        <v>53</v>
      </c>
      <c r="X26" s="149">
        <v>24</v>
      </c>
      <c r="Y26" s="148">
        <v>53</v>
      </c>
      <c r="Z26" s="149">
        <v>24</v>
      </c>
    </row>
    <row r="27" spans="2:26" s="2" customFormat="1" ht="12.75" customHeight="1">
      <c r="B27" s="145" t="s">
        <v>667</v>
      </c>
      <c r="C27" s="325" t="s">
        <v>688</v>
      </c>
      <c r="D27" s="41">
        <v>160</v>
      </c>
      <c r="E27" s="142">
        <v>3.25</v>
      </c>
      <c r="F27" s="146" t="s">
        <v>387</v>
      </c>
      <c r="G27" s="136">
        <v>24</v>
      </c>
      <c r="H27" s="143">
        <v>88.429752066115711</v>
      </c>
      <c r="I27" s="292"/>
      <c r="J27" s="35">
        <v>0</v>
      </c>
      <c r="K27" s="136">
        <v>1.5</v>
      </c>
      <c r="L27" s="45"/>
      <c r="M27" s="35">
        <v>0</v>
      </c>
      <c r="N27" s="136">
        <v>1.5</v>
      </c>
      <c r="O27" s="35">
        <v>0</v>
      </c>
      <c r="P27" s="136">
        <v>1.5</v>
      </c>
      <c r="R27" s="147">
        <v>96</v>
      </c>
      <c r="S27" s="45"/>
      <c r="T27" s="148">
        <v>124</v>
      </c>
      <c r="U27" s="149">
        <v>36</v>
      </c>
      <c r="W27" s="148">
        <v>124</v>
      </c>
      <c r="X27" s="149">
        <v>36</v>
      </c>
      <c r="Y27" s="148">
        <v>124</v>
      </c>
      <c r="Z27" s="149">
        <v>36</v>
      </c>
    </row>
    <row r="28" spans="2:26" s="2" customFormat="1" ht="12.75" customHeight="1">
      <c r="B28" s="145" t="s">
        <v>667</v>
      </c>
      <c r="C28" s="325" t="s">
        <v>689</v>
      </c>
      <c r="D28" s="41">
        <v>176</v>
      </c>
      <c r="E28" s="142">
        <v>3.25</v>
      </c>
      <c r="F28" s="146" t="s">
        <v>387</v>
      </c>
      <c r="G28" s="136">
        <v>24</v>
      </c>
      <c r="H28" s="143">
        <v>157.85123966942149</v>
      </c>
      <c r="I28" s="292"/>
      <c r="J28" s="35">
        <v>0</v>
      </c>
      <c r="K28" s="136">
        <v>3</v>
      </c>
      <c r="L28" s="45"/>
      <c r="M28" s="35">
        <v>0</v>
      </c>
      <c r="N28" s="136">
        <v>3</v>
      </c>
      <c r="O28" s="35">
        <v>0</v>
      </c>
      <c r="P28" s="136">
        <v>3</v>
      </c>
      <c r="R28" s="147">
        <v>112</v>
      </c>
      <c r="S28" s="45"/>
      <c r="T28" s="148">
        <v>104</v>
      </c>
      <c r="U28" s="149">
        <v>72</v>
      </c>
      <c r="W28" s="148">
        <v>104</v>
      </c>
      <c r="X28" s="149">
        <v>72</v>
      </c>
      <c r="Y28" s="148">
        <v>104</v>
      </c>
      <c r="Z28" s="149">
        <v>72</v>
      </c>
    </row>
    <row r="29" spans="2:26" s="2" customFormat="1" ht="12.75" customHeight="1">
      <c r="B29" s="145" t="s">
        <v>21</v>
      </c>
      <c r="C29" s="325" t="s">
        <v>516</v>
      </c>
      <c r="D29" s="41">
        <v>74</v>
      </c>
      <c r="E29" s="142">
        <v>1.1000000000000001</v>
      </c>
      <c r="F29" s="146" t="s">
        <v>507</v>
      </c>
      <c r="G29" s="136">
        <v>24</v>
      </c>
      <c r="H29" s="143">
        <v>73.553719008264466</v>
      </c>
      <c r="I29" s="292"/>
      <c r="J29" s="35">
        <v>0</v>
      </c>
      <c r="K29" s="136">
        <v>1</v>
      </c>
      <c r="L29" s="45"/>
      <c r="M29" s="35">
        <v>0</v>
      </c>
      <c r="N29" s="136">
        <v>1</v>
      </c>
      <c r="O29" s="35">
        <v>0</v>
      </c>
      <c r="P29" s="136">
        <v>1</v>
      </c>
      <c r="R29" s="147">
        <v>10</v>
      </c>
      <c r="S29" s="45"/>
      <c r="T29" s="148">
        <v>50</v>
      </c>
      <c r="U29" s="149">
        <v>24</v>
      </c>
      <c r="W29" s="148">
        <v>50</v>
      </c>
      <c r="X29" s="149">
        <v>24</v>
      </c>
      <c r="Y29" s="148">
        <v>50</v>
      </c>
      <c r="Z29" s="149">
        <v>24</v>
      </c>
    </row>
    <row r="30" spans="2:26" s="2" customFormat="1" ht="12.75" customHeight="1">
      <c r="B30" s="145" t="s">
        <v>21</v>
      </c>
      <c r="C30" s="325" t="s">
        <v>523</v>
      </c>
      <c r="D30" s="41">
        <v>74</v>
      </c>
      <c r="E30" s="142">
        <v>1.1000000000000001</v>
      </c>
      <c r="F30" s="146" t="s">
        <v>507</v>
      </c>
      <c r="G30" s="136">
        <v>24</v>
      </c>
      <c r="H30" s="143">
        <v>74.380165289256198</v>
      </c>
      <c r="I30" s="292"/>
      <c r="J30" s="35">
        <v>0</v>
      </c>
      <c r="K30" s="136">
        <v>1</v>
      </c>
      <c r="L30" s="45"/>
      <c r="M30" s="35">
        <v>0</v>
      </c>
      <c r="N30" s="136">
        <v>1</v>
      </c>
      <c r="O30" s="35">
        <v>0</v>
      </c>
      <c r="P30" s="136">
        <v>1</v>
      </c>
      <c r="R30" s="147">
        <v>10</v>
      </c>
      <c r="S30" s="45"/>
      <c r="T30" s="148">
        <v>50</v>
      </c>
      <c r="U30" s="149">
        <v>24</v>
      </c>
      <c r="W30" s="148">
        <v>50</v>
      </c>
      <c r="X30" s="149">
        <v>24</v>
      </c>
      <c r="Y30" s="148">
        <v>50</v>
      </c>
      <c r="Z30" s="149">
        <v>24</v>
      </c>
    </row>
    <row r="31" spans="2:26" s="2" customFormat="1" ht="12.75" customHeight="1">
      <c r="B31" s="145" t="s">
        <v>21</v>
      </c>
      <c r="C31" s="325" t="s">
        <v>676</v>
      </c>
      <c r="D31" s="41">
        <v>70</v>
      </c>
      <c r="E31" s="142">
        <v>1.1000000000000001</v>
      </c>
      <c r="F31" s="146" t="s">
        <v>507</v>
      </c>
      <c r="G31" s="136">
        <v>24</v>
      </c>
      <c r="H31" s="143">
        <v>69.421487603305792</v>
      </c>
      <c r="I31" s="292"/>
      <c r="J31" s="35">
        <v>0</v>
      </c>
      <c r="K31" s="136">
        <v>1</v>
      </c>
      <c r="L31" s="45"/>
      <c r="M31" s="35">
        <v>0</v>
      </c>
      <c r="N31" s="136">
        <v>1</v>
      </c>
      <c r="O31" s="35">
        <v>0</v>
      </c>
      <c r="P31" s="136">
        <v>1</v>
      </c>
      <c r="R31" s="147">
        <v>6</v>
      </c>
      <c r="S31" s="45"/>
      <c r="T31" s="148">
        <v>46</v>
      </c>
      <c r="U31" s="149">
        <v>24</v>
      </c>
      <c r="W31" s="148">
        <v>46</v>
      </c>
      <c r="X31" s="149">
        <v>24</v>
      </c>
      <c r="Y31" s="148">
        <v>46</v>
      </c>
      <c r="Z31" s="149">
        <v>24</v>
      </c>
    </row>
    <row r="32" spans="2:26" s="2" customFormat="1" ht="12.75" customHeight="1">
      <c r="B32" s="145" t="s">
        <v>60</v>
      </c>
      <c r="C32" s="325" t="s">
        <v>696</v>
      </c>
      <c r="D32" s="41">
        <v>186</v>
      </c>
      <c r="E32" s="142">
        <v>3.25</v>
      </c>
      <c r="F32" s="146" t="s">
        <v>387</v>
      </c>
      <c r="G32" s="136">
        <v>24</v>
      </c>
      <c r="H32" s="143">
        <v>166.11570247933884</v>
      </c>
      <c r="I32" s="292"/>
      <c r="J32" s="35">
        <v>0</v>
      </c>
      <c r="K32" s="136">
        <v>3.5</v>
      </c>
      <c r="L32" s="45"/>
      <c r="M32" s="35">
        <v>0</v>
      </c>
      <c r="N32" s="136">
        <v>3.5</v>
      </c>
      <c r="O32" s="35">
        <v>0</v>
      </c>
      <c r="P32" s="136">
        <v>3.5</v>
      </c>
      <c r="R32" s="147">
        <v>122</v>
      </c>
      <c r="S32" s="45"/>
      <c r="T32" s="148">
        <v>102</v>
      </c>
      <c r="U32" s="149">
        <v>84</v>
      </c>
      <c r="W32" s="148">
        <v>102</v>
      </c>
      <c r="X32" s="149">
        <v>84</v>
      </c>
      <c r="Y32" s="148">
        <v>102</v>
      </c>
      <c r="Z32" s="149">
        <v>84</v>
      </c>
    </row>
    <row r="33" spans="2:26" s="2" customFormat="1" ht="12.75" customHeight="1">
      <c r="B33" s="145" t="s">
        <v>60</v>
      </c>
      <c r="C33" s="325" t="s">
        <v>697</v>
      </c>
      <c r="D33" s="41">
        <v>248</v>
      </c>
      <c r="E33" s="142">
        <v>3.25</v>
      </c>
      <c r="F33" s="146" t="s">
        <v>387</v>
      </c>
      <c r="G33" s="136">
        <v>24</v>
      </c>
      <c r="H33" s="143">
        <v>190.90909090909091</v>
      </c>
      <c r="I33" s="292"/>
      <c r="J33" s="35">
        <v>0</v>
      </c>
      <c r="K33" s="136">
        <v>5</v>
      </c>
      <c r="L33" s="45"/>
      <c r="M33" s="35">
        <v>0</v>
      </c>
      <c r="N33" s="136">
        <v>5</v>
      </c>
      <c r="O33" s="35">
        <v>0</v>
      </c>
      <c r="P33" s="136">
        <v>5</v>
      </c>
      <c r="R33" s="147">
        <v>184</v>
      </c>
      <c r="S33" s="45"/>
      <c r="T33" s="148">
        <v>128</v>
      </c>
      <c r="U33" s="149">
        <v>120</v>
      </c>
      <c r="W33" s="148">
        <v>128</v>
      </c>
      <c r="X33" s="149">
        <v>120</v>
      </c>
      <c r="Y33" s="148">
        <v>128</v>
      </c>
      <c r="Z33" s="149">
        <v>120</v>
      </c>
    </row>
    <row r="34" spans="2:26" s="2" customFormat="1" ht="12.75" customHeight="1">
      <c r="B34" s="285" t="s">
        <v>673</v>
      </c>
      <c r="C34" s="325" t="s">
        <v>517</v>
      </c>
      <c r="D34" s="41">
        <v>162</v>
      </c>
      <c r="E34" s="142">
        <v>3.25</v>
      </c>
      <c r="F34" s="146" t="s">
        <v>387</v>
      </c>
      <c r="G34" s="136">
        <v>24</v>
      </c>
      <c r="H34" s="143">
        <v>93.388429752066116</v>
      </c>
      <c r="I34" s="292"/>
      <c r="J34" s="35">
        <v>0</v>
      </c>
      <c r="K34" s="136">
        <v>2</v>
      </c>
      <c r="L34" s="45"/>
      <c r="M34" s="35">
        <v>0</v>
      </c>
      <c r="N34" s="136">
        <v>2</v>
      </c>
      <c r="O34" s="35">
        <v>0</v>
      </c>
      <c r="P34" s="136">
        <v>2</v>
      </c>
      <c r="R34" s="147">
        <v>98</v>
      </c>
      <c r="S34" s="45"/>
      <c r="T34" s="148">
        <v>114</v>
      </c>
      <c r="U34" s="149">
        <v>48</v>
      </c>
      <c r="W34" s="148">
        <v>114</v>
      </c>
      <c r="X34" s="149">
        <v>48</v>
      </c>
      <c r="Y34" s="148">
        <v>114</v>
      </c>
      <c r="Z34" s="149">
        <v>48</v>
      </c>
    </row>
    <row r="35" spans="2:26" s="2" customFormat="1" ht="12.75" customHeight="1">
      <c r="B35" s="285" t="s">
        <v>673</v>
      </c>
      <c r="C35" s="325" t="s">
        <v>600</v>
      </c>
      <c r="D35" s="41">
        <v>161</v>
      </c>
      <c r="E35" s="142">
        <v>3.25</v>
      </c>
      <c r="F35" s="146" t="s">
        <v>387</v>
      </c>
      <c r="G35" s="136">
        <v>24</v>
      </c>
      <c r="H35" s="143">
        <v>134.71074380165291</v>
      </c>
      <c r="I35" s="292"/>
      <c r="J35" s="35">
        <v>0</v>
      </c>
      <c r="K35" s="136">
        <v>3</v>
      </c>
      <c r="L35" s="45"/>
      <c r="M35" s="35">
        <v>0</v>
      </c>
      <c r="N35" s="136">
        <v>3</v>
      </c>
      <c r="O35" s="35">
        <v>0</v>
      </c>
      <c r="P35" s="136">
        <v>3</v>
      </c>
      <c r="R35" s="147">
        <v>97</v>
      </c>
      <c r="S35" s="45"/>
      <c r="T35" s="148">
        <v>89</v>
      </c>
      <c r="U35" s="149">
        <v>72</v>
      </c>
      <c r="W35" s="148">
        <v>89</v>
      </c>
      <c r="X35" s="149">
        <v>72</v>
      </c>
      <c r="Y35" s="148">
        <v>89</v>
      </c>
      <c r="Z35" s="149">
        <v>72</v>
      </c>
    </row>
    <row r="36" spans="2:26" s="2" customFormat="1" ht="12.75" customHeight="1">
      <c r="B36" s="285" t="s">
        <v>673</v>
      </c>
      <c r="C36" s="325" t="s">
        <v>560</v>
      </c>
      <c r="D36" s="41">
        <v>49</v>
      </c>
      <c r="E36" s="142">
        <v>1.1000000000000001</v>
      </c>
      <c r="F36" s="146" t="s">
        <v>227</v>
      </c>
      <c r="G36" s="136">
        <v>24</v>
      </c>
      <c r="H36" s="143">
        <v>47.107438016528924</v>
      </c>
      <c r="I36" s="292"/>
      <c r="J36" s="35">
        <v>0</v>
      </c>
      <c r="K36" s="136">
        <v>0.5</v>
      </c>
      <c r="L36" s="45"/>
      <c r="M36" s="35">
        <v>0</v>
      </c>
      <c r="N36" s="136">
        <v>0.5</v>
      </c>
      <c r="O36" s="35">
        <v>0</v>
      </c>
      <c r="P36" s="136">
        <v>0.5</v>
      </c>
      <c r="R36" s="147">
        <v>-15</v>
      </c>
      <c r="S36" s="45"/>
      <c r="T36" s="148">
        <v>37</v>
      </c>
      <c r="U36" s="149">
        <v>12</v>
      </c>
      <c r="W36" s="148">
        <v>37</v>
      </c>
      <c r="X36" s="149">
        <v>12</v>
      </c>
      <c r="Y36" s="148">
        <v>37</v>
      </c>
      <c r="Z36" s="149">
        <v>12</v>
      </c>
    </row>
    <row r="37" spans="2:26" s="2" customFormat="1" ht="12.75" customHeight="1">
      <c r="B37" s="285" t="s">
        <v>673</v>
      </c>
      <c r="C37" s="325" t="s">
        <v>571</v>
      </c>
      <c r="D37" s="41">
        <v>60</v>
      </c>
      <c r="E37" s="142">
        <v>1.1000000000000001</v>
      </c>
      <c r="F37" s="146" t="s">
        <v>227</v>
      </c>
      <c r="G37" s="136">
        <v>24</v>
      </c>
      <c r="H37" s="143">
        <v>59.504132231404959</v>
      </c>
      <c r="I37" s="292"/>
      <c r="J37" s="35">
        <v>0</v>
      </c>
      <c r="K37" s="136">
        <v>0.5</v>
      </c>
      <c r="L37" s="45"/>
      <c r="M37" s="35">
        <v>0</v>
      </c>
      <c r="N37" s="136">
        <v>0.5</v>
      </c>
      <c r="O37" s="35">
        <v>0</v>
      </c>
      <c r="P37" s="136">
        <v>0.5</v>
      </c>
      <c r="R37" s="147">
        <v>-4</v>
      </c>
      <c r="S37" s="45"/>
      <c r="T37" s="148">
        <v>48</v>
      </c>
      <c r="U37" s="149">
        <v>12</v>
      </c>
      <c r="W37" s="148">
        <v>48</v>
      </c>
      <c r="X37" s="149">
        <v>12</v>
      </c>
      <c r="Y37" s="148">
        <v>48</v>
      </c>
      <c r="Z37" s="149">
        <v>12</v>
      </c>
    </row>
    <row r="38" spans="2:26" s="2" customFormat="1" ht="12.75" customHeight="1">
      <c r="B38" s="285" t="s">
        <v>664</v>
      </c>
      <c r="C38" s="325" t="s">
        <v>686</v>
      </c>
      <c r="D38" s="41">
        <v>174</v>
      </c>
      <c r="E38" s="142">
        <v>3.25</v>
      </c>
      <c r="F38" s="146" t="s">
        <v>387</v>
      </c>
      <c r="G38" s="136">
        <v>24</v>
      </c>
      <c r="H38" s="143">
        <v>88.429752066115711</v>
      </c>
      <c r="I38" s="292"/>
      <c r="J38" s="35">
        <v>0</v>
      </c>
      <c r="K38" s="136">
        <v>1.5</v>
      </c>
      <c r="L38" s="45"/>
      <c r="M38" s="35">
        <v>0</v>
      </c>
      <c r="N38" s="136">
        <v>1.5</v>
      </c>
      <c r="O38" s="35">
        <v>0</v>
      </c>
      <c r="P38" s="136">
        <v>1.5</v>
      </c>
      <c r="R38" s="147">
        <v>110</v>
      </c>
      <c r="S38" s="45"/>
      <c r="T38" s="148">
        <v>138</v>
      </c>
      <c r="U38" s="149">
        <v>36</v>
      </c>
      <c r="W38" s="148">
        <v>138</v>
      </c>
      <c r="X38" s="149">
        <v>36</v>
      </c>
      <c r="Y38" s="148">
        <v>138</v>
      </c>
      <c r="Z38" s="149">
        <v>36</v>
      </c>
    </row>
    <row r="39" spans="2:26" s="2" customFormat="1" ht="12.75" customHeight="1">
      <c r="B39" s="285" t="s">
        <v>664</v>
      </c>
      <c r="C39" s="325" t="s">
        <v>613</v>
      </c>
      <c r="D39" s="41">
        <v>205</v>
      </c>
      <c r="E39" s="142">
        <v>3.25</v>
      </c>
      <c r="F39" s="146" t="s">
        <v>387</v>
      </c>
      <c r="G39" s="136">
        <v>24</v>
      </c>
      <c r="H39" s="143">
        <v>98.347107438016536</v>
      </c>
      <c r="I39" s="292"/>
      <c r="J39" s="35">
        <v>0</v>
      </c>
      <c r="K39" s="136">
        <v>2</v>
      </c>
      <c r="L39" s="45"/>
      <c r="M39" s="35">
        <v>0</v>
      </c>
      <c r="N39" s="136">
        <v>2</v>
      </c>
      <c r="O39" s="35">
        <v>0</v>
      </c>
      <c r="P39" s="136">
        <v>2</v>
      </c>
      <c r="R39" s="147">
        <v>141</v>
      </c>
      <c r="S39" s="45"/>
      <c r="T39" s="148">
        <v>157</v>
      </c>
      <c r="U39" s="149">
        <v>48</v>
      </c>
      <c r="W39" s="148">
        <v>157</v>
      </c>
      <c r="X39" s="149">
        <v>48</v>
      </c>
      <c r="Y39" s="148">
        <v>157</v>
      </c>
      <c r="Z39" s="149">
        <v>48</v>
      </c>
    </row>
    <row r="40" spans="2:26" s="2" customFormat="1" ht="12.75" customHeight="1" thickBot="1">
      <c r="B40" s="287" t="s">
        <v>540</v>
      </c>
      <c r="C40" s="297" t="s">
        <v>687</v>
      </c>
      <c r="D40" s="222">
        <v>148</v>
      </c>
      <c r="E40" s="289">
        <v>3.25</v>
      </c>
      <c r="F40" s="290" t="s">
        <v>387</v>
      </c>
      <c r="G40" s="221">
        <v>24</v>
      </c>
      <c r="H40" s="291">
        <v>96.694214876033058</v>
      </c>
      <c r="I40" s="292"/>
      <c r="J40" s="225">
        <v>0</v>
      </c>
      <c r="K40" s="221">
        <v>2</v>
      </c>
      <c r="L40" s="45"/>
      <c r="M40" s="225">
        <v>0</v>
      </c>
      <c r="N40" s="221">
        <v>2</v>
      </c>
      <c r="O40" s="225">
        <v>0</v>
      </c>
      <c r="P40" s="221">
        <v>2</v>
      </c>
      <c r="R40" s="293">
        <v>84</v>
      </c>
      <c r="S40" s="45"/>
      <c r="T40" s="294">
        <v>100</v>
      </c>
      <c r="U40" s="295">
        <v>48</v>
      </c>
      <c r="W40" s="294">
        <v>100</v>
      </c>
      <c r="X40" s="295">
        <v>48</v>
      </c>
      <c r="Y40" s="294">
        <v>100</v>
      </c>
      <c r="Z40" s="295">
        <v>48</v>
      </c>
    </row>
  </sheetData>
  <autoFilter ref="B24:Z24" xr:uid="{00000000-0001-0000-0400-000000000000}"/>
  <mergeCells count="44">
    <mergeCell ref="B18:G22"/>
    <mergeCell ref="O22:P22"/>
    <mergeCell ref="H18:H22"/>
    <mergeCell ref="M22:N22"/>
    <mergeCell ref="Y22:Z22"/>
    <mergeCell ref="W22:X22"/>
    <mergeCell ref="W18:Z18"/>
    <mergeCell ref="W20:Z20"/>
    <mergeCell ref="J22:K22"/>
    <mergeCell ref="R18:R22"/>
    <mergeCell ref="T18:U20"/>
    <mergeCell ref="T22:U22"/>
    <mergeCell ref="M18:P18"/>
    <mergeCell ref="M20:P20"/>
    <mergeCell ref="J18:K20"/>
    <mergeCell ref="O16:P16"/>
    <mergeCell ref="J5:K12"/>
    <mergeCell ref="J13:K13"/>
    <mergeCell ref="M4:N4"/>
    <mergeCell ref="J16:K16"/>
    <mergeCell ref="O5:P12"/>
    <mergeCell ref="O4:P4"/>
    <mergeCell ref="O13:P13"/>
    <mergeCell ref="M5:N12"/>
    <mergeCell ref="M13:N13"/>
    <mergeCell ref="M14:N14"/>
    <mergeCell ref="M15:N15"/>
    <mergeCell ref="M16:N16"/>
    <mergeCell ref="B2:F2"/>
    <mergeCell ref="M2:P2"/>
    <mergeCell ref="J2:K2"/>
    <mergeCell ref="J15:K15"/>
    <mergeCell ref="J4:K4"/>
    <mergeCell ref="J14:K14"/>
    <mergeCell ref="H2:H4"/>
    <mergeCell ref="H5:H12"/>
    <mergeCell ref="O14:P14"/>
    <mergeCell ref="O15:P15"/>
    <mergeCell ref="D13:G13"/>
    <mergeCell ref="B5:C16"/>
    <mergeCell ref="D5:G12"/>
    <mergeCell ref="D14:G14"/>
    <mergeCell ref="D15:G15"/>
    <mergeCell ref="D16:G16"/>
  </mergeCells>
  <phoneticPr fontId="72" type="noConversion"/>
  <conditionalFormatting sqref="F4">
    <cfRule type="expression" dxfId="5" priority="11" stopIfTrue="1">
      <formula>ISERROR(F4)</formula>
    </cfRule>
    <cfRule type="cellIs" dxfId="4" priority="12" stopIfTrue="1" operator="lessThan">
      <formula>0</formula>
    </cfRule>
  </conditionalFormatting>
  <pageMargins left="0.70866141732283472" right="0.70866141732283472" top="0.74803149606299213" bottom="0.74803149606299213" header="0.31496062992125984" footer="0.31496062992125984"/>
  <pageSetup paperSize="9" scale="61" orientation="landscape" r:id="rId1"/>
  <headerFooter>
    <oddFooter>&amp;C&amp;1#&amp;"Calibri"&amp;8&amp;KED7D31Orange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tabColor theme="0" tint="-0.499984740745262"/>
    <pageSetUpPr fitToPage="1"/>
  </sheetPr>
  <dimension ref="B2:Q33"/>
  <sheetViews>
    <sheetView showGridLines="0" zoomScale="70" zoomScaleNormal="70" workbookViewId="0">
      <selection activeCell="B5" sqref="B5:C15"/>
    </sheetView>
  </sheetViews>
  <sheetFormatPr baseColWidth="10" defaultColWidth="11.42578125" defaultRowHeight="12.75"/>
  <cols>
    <col min="1" max="1" width="1.42578125" style="1" customWidth="1"/>
    <col min="2" max="2" width="15.7109375" style="1" customWidth="1"/>
    <col min="3" max="3" width="49.7109375" style="1" bestFit="1" customWidth="1"/>
    <col min="4" max="4" width="10.28515625" style="1" customWidth="1"/>
    <col min="5" max="5" width="12.5703125" style="1" customWidth="1"/>
    <col min="6" max="6" width="14.42578125" style="1" customWidth="1"/>
    <col min="7" max="7" width="6" style="1" customWidth="1"/>
    <col min="8" max="8" width="2.42578125" style="4" customWidth="1"/>
    <col min="9" max="11" width="17.7109375" style="1" customWidth="1"/>
    <col min="12" max="12" width="25.85546875" style="1" customWidth="1"/>
    <col min="13" max="13" width="4.7109375" style="1" customWidth="1"/>
    <col min="14" max="14" width="18.42578125" style="1" customWidth="1"/>
    <col min="15" max="15" width="18" style="1" customWidth="1"/>
    <col min="16" max="17" width="18.42578125" style="1" customWidth="1"/>
    <col min="18" max="16384" width="11.42578125" style="1"/>
  </cols>
  <sheetData>
    <row r="2" spans="2:12" ht="23.25" customHeight="1">
      <c r="B2" s="582" t="s">
        <v>22</v>
      </c>
      <c r="C2" s="582"/>
      <c r="D2" s="582"/>
      <c r="E2" s="582"/>
      <c r="F2" s="582"/>
      <c r="G2" s="582"/>
    </row>
    <row r="3" spans="2:12" customFormat="1" ht="3.75" customHeight="1" thickBot="1">
      <c r="I3" s="30"/>
    </row>
    <row r="4" spans="2:12" s="14" customFormat="1" ht="30" customHeight="1" thickBot="1">
      <c r="B4" s="406">
        <v>45658</v>
      </c>
      <c r="C4" s="407" t="s">
        <v>792</v>
      </c>
      <c r="D4" s="614"/>
      <c r="E4" s="614"/>
      <c r="F4" s="614"/>
      <c r="G4" s="614"/>
      <c r="H4" s="11"/>
      <c r="I4" s="609" t="s">
        <v>33</v>
      </c>
      <c r="J4" s="610"/>
      <c r="K4" s="610"/>
      <c r="L4" s="596"/>
    </row>
    <row r="5" spans="2:12" ht="15.75" customHeight="1">
      <c r="B5" s="587" t="s">
        <v>39</v>
      </c>
      <c r="C5" s="588"/>
      <c r="D5" s="597" t="s">
        <v>4</v>
      </c>
      <c r="E5" s="597"/>
      <c r="F5" s="597"/>
      <c r="G5" s="598"/>
      <c r="H5" s="6"/>
      <c r="I5" s="882" t="s">
        <v>349</v>
      </c>
      <c r="J5" s="879" t="s">
        <v>389</v>
      </c>
      <c r="K5" s="879" t="s">
        <v>388</v>
      </c>
      <c r="L5" s="876" t="s">
        <v>786</v>
      </c>
    </row>
    <row r="6" spans="2:12" ht="15.75" customHeight="1">
      <c r="B6" s="589"/>
      <c r="C6" s="590"/>
      <c r="D6" s="599"/>
      <c r="E6" s="599"/>
      <c r="F6" s="599"/>
      <c r="G6" s="600"/>
      <c r="H6" s="7"/>
      <c r="I6" s="883"/>
      <c r="J6" s="880"/>
      <c r="K6" s="880"/>
      <c r="L6" s="877"/>
    </row>
    <row r="7" spans="2:12" ht="15.75" customHeight="1">
      <c r="B7" s="589"/>
      <c r="C7" s="590"/>
      <c r="D7" s="599"/>
      <c r="E7" s="599"/>
      <c r="F7" s="599"/>
      <c r="G7" s="600"/>
      <c r="H7" s="7"/>
      <c r="I7" s="883"/>
      <c r="J7" s="880"/>
      <c r="K7" s="880"/>
      <c r="L7" s="877"/>
    </row>
    <row r="8" spans="2:12" ht="15.75" customHeight="1">
      <c r="B8" s="589"/>
      <c r="C8" s="590"/>
      <c r="D8" s="599"/>
      <c r="E8" s="599"/>
      <c r="F8" s="599"/>
      <c r="G8" s="600"/>
      <c r="H8" s="7"/>
      <c r="I8" s="883"/>
      <c r="J8" s="880"/>
      <c r="K8" s="880"/>
      <c r="L8" s="877"/>
    </row>
    <row r="9" spans="2:12" ht="15.75" customHeight="1">
      <c r="B9" s="589"/>
      <c r="C9" s="590"/>
      <c r="D9" s="599"/>
      <c r="E9" s="599"/>
      <c r="F9" s="599"/>
      <c r="G9" s="600"/>
      <c r="H9" s="7"/>
      <c r="I9" s="883"/>
      <c r="J9" s="880"/>
      <c r="K9" s="880"/>
      <c r="L9" s="877"/>
    </row>
    <row r="10" spans="2:12" ht="15.75" customHeight="1">
      <c r="B10" s="589"/>
      <c r="C10" s="590"/>
      <c r="D10" s="599"/>
      <c r="E10" s="599"/>
      <c r="F10" s="599"/>
      <c r="G10" s="600"/>
      <c r="H10" s="7"/>
      <c r="I10" s="883"/>
      <c r="J10" s="880"/>
      <c r="K10" s="880"/>
      <c r="L10" s="877"/>
    </row>
    <row r="11" spans="2:12" ht="15.75" customHeight="1">
      <c r="B11" s="589"/>
      <c r="C11" s="590"/>
      <c r="D11" s="599"/>
      <c r="E11" s="599"/>
      <c r="F11" s="599"/>
      <c r="G11" s="600"/>
      <c r="H11" s="7"/>
      <c r="I11" s="883"/>
      <c r="J11" s="880"/>
      <c r="K11" s="880"/>
      <c r="L11" s="877"/>
    </row>
    <row r="12" spans="2:12" ht="15.75" customHeight="1" thickBot="1">
      <c r="B12" s="589"/>
      <c r="C12" s="590"/>
      <c r="D12" s="601"/>
      <c r="E12" s="601"/>
      <c r="F12" s="601"/>
      <c r="G12" s="602"/>
      <c r="H12" s="7"/>
      <c r="I12" s="884"/>
      <c r="J12" s="881"/>
      <c r="K12" s="881"/>
      <c r="L12" s="878"/>
    </row>
    <row r="13" spans="2:12" ht="30.75" customHeight="1" thickBot="1">
      <c r="B13" s="589"/>
      <c r="C13" s="590"/>
      <c r="D13" s="611" t="s">
        <v>27</v>
      </c>
      <c r="E13" s="611"/>
      <c r="F13" s="612"/>
      <c r="G13" s="613"/>
      <c r="H13" s="10"/>
      <c r="I13" s="261" t="s">
        <v>3</v>
      </c>
      <c r="J13" s="54" t="s">
        <v>3</v>
      </c>
      <c r="K13" s="54" t="s">
        <v>3</v>
      </c>
      <c r="L13" s="346" t="s">
        <v>3</v>
      </c>
    </row>
    <row r="14" spans="2:12" ht="65.25" customHeight="1" thickBot="1">
      <c r="B14" s="589"/>
      <c r="C14" s="590"/>
      <c r="D14" s="611" t="s">
        <v>26</v>
      </c>
      <c r="E14" s="611"/>
      <c r="F14" s="612"/>
      <c r="G14" s="613"/>
      <c r="H14" s="10"/>
      <c r="I14" s="351" t="s">
        <v>787</v>
      </c>
      <c r="J14" s="378" t="s">
        <v>787</v>
      </c>
      <c r="K14" s="378" t="s">
        <v>787</v>
      </c>
      <c r="L14" s="379" t="s">
        <v>787</v>
      </c>
    </row>
    <row r="15" spans="2:12" ht="21" customHeight="1" thickBot="1">
      <c r="B15" s="591"/>
      <c r="C15" s="592"/>
      <c r="D15" s="647" t="s">
        <v>36</v>
      </c>
      <c r="E15" s="648"/>
      <c r="F15" s="648"/>
      <c r="G15" s="837"/>
      <c r="H15" s="374"/>
      <c r="I15" s="375" t="s">
        <v>38</v>
      </c>
      <c r="J15" s="376" t="s">
        <v>38</v>
      </c>
      <c r="K15" s="376" t="s">
        <v>38</v>
      </c>
      <c r="L15" s="377" t="s">
        <v>38</v>
      </c>
    </row>
    <row r="16" spans="2:12" ht="23.25" customHeight="1" thickBot="1"/>
    <row r="17" spans="2:17" ht="23.25" customHeight="1">
      <c r="B17" s="854" t="s">
        <v>25</v>
      </c>
      <c r="C17" s="855"/>
      <c r="D17" s="855"/>
      <c r="E17" s="855"/>
      <c r="F17" s="855"/>
      <c r="G17" s="856"/>
      <c r="I17" s="533" t="s">
        <v>790</v>
      </c>
      <c r="J17" s="551"/>
      <c r="K17" s="551"/>
      <c r="L17" s="552"/>
      <c r="N17" s="533" t="s">
        <v>793</v>
      </c>
      <c r="O17" s="551"/>
      <c r="P17" s="551"/>
      <c r="Q17" s="552"/>
    </row>
    <row r="18" spans="2:17" ht="3.75" customHeight="1">
      <c r="B18" s="857"/>
      <c r="C18" s="655"/>
      <c r="D18" s="655"/>
      <c r="E18" s="655"/>
      <c r="F18" s="655"/>
      <c r="G18" s="858"/>
      <c r="I18" s="26"/>
      <c r="J18" s="12"/>
      <c r="K18" s="12"/>
      <c r="L18" s="12"/>
      <c r="N18" s="26"/>
      <c r="O18" s="12"/>
      <c r="P18" s="12"/>
      <c r="Q18" s="12"/>
    </row>
    <row r="19" spans="2:17" ht="34.5" customHeight="1">
      <c r="B19" s="857"/>
      <c r="C19" s="655"/>
      <c r="D19" s="655"/>
      <c r="E19" s="655"/>
      <c r="F19" s="655"/>
      <c r="G19" s="858"/>
      <c r="I19" s="537" t="s">
        <v>34</v>
      </c>
      <c r="J19" s="538"/>
      <c r="K19" s="538"/>
      <c r="L19" s="539"/>
      <c r="N19" s="537" t="s">
        <v>34</v>
      </c>
      <c r="O19" s="538"/>
      <c r="P19" s="538"/>
      <c r="Q19" s="539"/>
    </row>
    <row r="20" spans="2:17" s="4" customFormat="1" ht="3.75" customHeight="1">
      <c r="B20" s="857"/>
      <c r="C20" s="655"/>
      <c r="D20" s="655"/>
      <c r="E20" s="655"/>
      <c r="F20" s="655"/>
      <c r="G20" s="858"/>
      <c r="I20" s="24"/>
      <c r="J20" s="13"/>
      <c r="K20" s="13"/>
      <c r="L20" s="13"/>
      <c r="N20" s="24"/>
      <c r="O20" s="13"/>
      <c r="P20" s="13"/>
      <c r="Q20" s="13"/>
    </row>
    <row r="21" spans="2:17" ht="30" customHeight="1">
      <c r="B21" s="857"/>
      <c r="C21" s="655"/>
      <c r="D21" s="655"/>
      <c r="E21" s="655"/>
      <c r="F21" s="655"/>
      <c r="G21" s="858"/>
      <c r="H21" s="8"/>
      <c r="I21" s="42" t="s">
        <v>7</v>
      </c>
      <c r="J21" s="42" t="s">
        <v>8</v>
      </c>
      <c r="K21" s="52" t="s">
        <v>9</v>
      </c>
      <c r="L21" s="52" t="s">
        <v>10</v>
      </c>
      <c r="N21" s="42" t="s">
        <v>7</v>
      </c>
      <c r="O21" s="42" t="s">
        <v>8</v>
      </c>
      <c r="P21" s="52" t="s">
        <v>9</v>
      </c>
      <c r="Q21" s="52" t="s">
        <v>10</v>
      </c>
    </row>
    <row r="22" spans="2:17" customFormat="1" ht="3.75" customHeight="1">
      <c r="B22" s="16"/>
      <c r="I22" s="16"/>
      <c r="K22" s="17"/>
      <c r="L22" s="17"/>
      <c r="M22" s="1"/>
      <c r="N22" s="16"/>
    </row>
    <row r="23" spans="2:17" ht="48.75" customHeight="1">
      <c r="B23" s="19" t="s">
        <v>19</v>
      </c>
      <c r="C23" s="20" t="s">
        <v>1216</v>
      </c>
      <c r="D23" s="21" t="s">
        <v>1</v>
      </c>
      <c r="E23" s="82" t="s">
        <v>127</v>
      </c>
      <c r="F23" s="874" t="s">
        <v>2</v>
      </c>
      <c r="G23" s="875"/>
      <c r="H23"/>
      <c r="I23" s="15" t="s">
        <v>119</v>
      </c>
      <c r="J23" s="15" t="s">
        <v>119</v>
      </c>
      <c r="K23" s="15" t="s">
        <v>119</v>
      </c>
      <c r="L23" s="15" t="s">
        <v>119</v>
      </c>
      <c r="N23" s="15" t="s">
        <v>47</v>
      </c>
      <c r="O23" s="15" t="s">
        <v>47</v>
      </c>
      <c r="P23" s="20" t="s">
        <v>47</v>
      </c>
      <c r="Q23" s="20" t="s">
        <v>47</v>
      </c>
    </row>
    <row r="24" spans="2:17" s="392" customFormat="1">
      <c r="B24" s="398" t="s">
        <v>20</v>
      </c>
      <c r="C24" s="325" t="s">
        <v>464</v>
      </c>
      <c r="D24" s="402">
        <v>49</v>
      </c>
      <c r="E24" s="391">
        <v>0</v>
      </c>
      <c r="F24" s="870" t="s">
        <v>532</v>
      </c>
      <c r="G24" s="871"/>
      <c r="H24" s="47"/>
      <c r="I24" s="393">
        <v>29</v>
      </c>
      <c r="J24" s="393">
        <v>29</v>
      </c>
      <c r="K24" s="401">
        <v>29</v>
      </c>
      <c r="L24" s="401">
        <v>29</v>
      </c>
      <c r="M24" s="396"/>
      <c r="N24" s="393">
        <v>20</v>
      </c>
      <c r="O24" s="393">
        <v>20</v>
      </c>
      <c r="P24" s="393">
        <v>20</v>
      </c>
      <c r="Q24" s="401">
        <v>20</v>
      </c>
    </row>
    <row r="25" spans="2:17" s="392" customFormat="1">
      <c r="B25" s="404" t="s">
        <v>57</v>
      </c>
      <c r="C25" s="404" t="s">
        <v>390</v>
      </c>
      <c r="D25" s="402">
        <v>66</v>
      </c>
      <c r="E25" s="391">
        <v>0</v>
      </c>
      <c r="F25" s="870" t="s">
        <v>532</v>
      </c>
      <c r="G25" s="871"/>
      <c r="H25" s="47"/>
      <c r="I25" s="393">
        <v>29</v>
      </c>
      <c r="J25" s="393">
        <v>0</v>
      </c>
      <c r="K25" s="401">
        <v>0</v>
      </c>
      <c r="L25" s="401">
        <v>0</v>
      </c>
      <c r="M25" s="396"/>
      <c r="N25" s="393">
        <v>37</v>
      </c>
      <c r="O25" s="393">
        <v>66</v>
      </c>
      <c r="P25" s="401">
        <v>66</v>
      </c>
      <c r="Q25" s="401">
        <v>66</v>
      </c>
    </row>
    <row r="26" spans="2:17" s="392" customFormat="1">
      <c r="B26" s="325" t="s">
        <v>794</v>
      </c>
      <c r="C26" s="325" t="s">
        <v>383</v>
      </c>
      <c r="D26" s="402">
        <v>58</v>
      </c>
      <c r="E26" s="391">
        <v>0</v>
      </c>
      <c r="F26" s="870" t="s">
        <v>532</v>
      </c>
      <c r="G26" s="871"/>
      <c r="H26" s="47"/>
      <c r="I26" s="393">
        <v>39</v>
      </c>
      <c r="J26" s="393">
        <v>39</v>
      </c>
      <c r="K26" s="401">
        <v>39</v>
      </c>
      <c r="L26" s="401">
        <v>39</v>
      </c>
      <c r="M26" s="396"/>
      <c r="N26" s="393">
        <v>19</v>
      </c>
      <c r="O26" s="393">
        <v>19</v>
      </c>
      <c r="P26" s="393">
        <v>19</v>
      </c>
      <c r="Q26" s="401">
        <v>19</v>
      </c>
    </row>
    <row r="27" spans="2:17" s="392" customFormat="1">
      <c r="B27" s="404" t="s">
        <v>540</v>
      </c>
      <c r="C27" s="404" t="s">
        <v>509</v>
      </c>
      <c r="D27" s="402">
        <v>66</v>
      </c>
      <c r="E27" s="391">
        <v>0</v>
      </c>
      <c r="F27" s="870" t="s">
        <v>532</v>
      </c>
      <c r="G27" s="871"/>
      <c r="H27" s="47"/>
      <c r="I27" s="393">
        <v>29</v>
      </c>
      <c r="J27" s="393">
        <v>29</v>
      </c>
      <c r="K27" s="401">
        <v>29</v>
      </c>
      <c r="L27" s="401">
        <v>29</v>
      </c>
      <c r="M27" s="396"/>
      <c r="N27" s="393">
        <v>37</v>
      </c>
      <c r="O27" s="393">
        <v>37</v>
      </c>
      <c r="P27" s="393">
        <v>37</v>
      </c>
      <c r="Q27" s="401">
        <v>37</v>
      </c>
    </row>
    <row r="28" spans="2:17" s="392" customFormat="1" ht="12.4" customHeight="1">
      <c r="B28" s="325" t="s">
        <v>540</v>
      </c>
      <c r="C28" s="325" t="s">
        <v>455</v>
      </c>
      <c r="D28" s="402">
        <v>244</v>
      </c>
      <c r="E28" s="391">
        <v>0</v>
      </c>
      <c r="F28" s="870" t="s">
        <v>532</v>
      </c>
      <c r="G28" s="871"/>
      <c r="H28" s="47"/>
      <c r="I28" s="393">
        <v>189</v>
      </c>
      <c r="J28" s="393">
        <v>189</v>
      </c>
      <c r="K28" s="401">
        <v>189</v>
      </c>
      <c r="L28" s="401">
        <v>189</v>
      </c>
      <c r="M28" s="396"/>
      <c r="N28" s="393">
        <v>55</v>
      </c>
      <c r="O28" s="393">
        <v>55</v>
      </c>
      <c r="P28" s="393">
        <v>55</v>
      </c>
      <c r="Q28" s="401">
        <v>55</v>
      </c>
    </row>
    <row r="29" spans="2:17" s="392" customFormat="1">
      <c r="B29" s="404" t="s">
        <v>540</v>
      </c>
      <c r="C29" s="404" t="s">
        <v>456</v>
      </c>
      <c r="D29" s="402">
        <v>200</v>
      </c>
      <c r="E29" s="391">
        <v>0</v>
      </c>
      <c r="F29" s="870" t="s">
        <v>532</v>
      </c>
      <c r="G29" s="871"/>
      <c r="H29" s="47"/>
      <c r="I29" s="393">
        <v>169</v>
      </c>
      <c r="J29" s="393">
        <v>169</v>
      </c>
      <c r="K29" s="401">
        <v>169</v>
      </c>
      <c r="L29" s="401">
        <v>169</v>
      </c>
      <c r="M29" s="396"/>
      <c r="N29" s="393">
        <v>31</v>
      </c>
      <c r="O29" s="393">
        <v>31</v>
      </c>
      <c r="P29" s="401">
        <v>31</v>
      </c>
      <c r="Q29" s="401">
        <v>31</v>
      </c>
    </row>
    <row r="30" spans="2:17" s="392" customFormat="1">
      <c r="B30" s="325" t="s">
        <v>795</v>
      </c>
      <c r="C30" s="459" t="s">
        <v>699</v>
      </c>
      <c r="D30" s="402">
        <v>207</v>
      </c>
      <c r="E30" s="391">
        <v>0</v>
      </c>
      <c r="F30" s="870" t="s">
        <v>532</v>
      </c>
      <c r="G30" s="871"/>
      <c r="H30" s="47"/>
      <c r="I30" s="393">
        <v>119</v>
      </c>
      <c r="J30" s="393">
        <v>119</v>
      </c>
      <c r="K30" s="401">
        <v>119</v>
      </c>
      <c r="L30" s="401">
        <v>119</v>
      </c>
      <c r="M30" s="396"/>
      <c r="N30" s="393">
        <v>88</v>
      </c>
      <c r="O30" s="393">
        <v>88</v>
      </c>
      <c r="P30" s="393">
        <v>88</v>
      </c>
      <c r="Q30" s="401">
        <v>88</v>
      </c>
    </row>
    <row r="31" spans="2:17" s="392" customFormat="1">
      <c r="B31" s="404" t="s">
        <v>57</v>
      </c>
      <c r="C31" s="460" t="s">
        <v>700</v>
      </c>
      <c r="D31" s="402">
        <v>248</v>
      </c>
      <c r="E31" s="391">
        <v>0</v>
      </c>
      <c r="F31" s="870" t="s">
        <v>532</v>
      </c>
      <c r="G31" s="871"/>
      <c r="H31" s="47"/>
      <c r="I31" s="393">
        <v>99</v>
      </c>
      <c r="J31" s="393">
        <v>99</v>
      </c>
      <c r="K31" s="401">
        <v>99</v>
      </c>
      <c r="L31" s="401">
        <v>99</v>
      </c>
      <c r="M31" s="396"/>
      <c r="N31" s="393">
        <v>149</v>
      </c>
      <c r="O31" s="393">
        <v>149</v>
      </c>
      <c r="P31" s="401">
        <v>149</v>
      </c>
      <c r="Q31" s="401">
        <v>149</v>
      </c>
    </row>
    <row r="32" spans="2:17" s="392" customFormat="1">
      <c r="B32" s="325" t="s">
        <v>60</v>
      </c>
      <c r="C32" s="325" t="s">
        <v>568</v>
      </c>
      <c r="D32" s="402">
        <v>182</v>
      </c>
      <c r="E32" s="391">
        <v>3.75</v>
      </c>
      <c r="F32" s="870" t="s">
        <v>381</v>
      </c>
      <c r="G32" s="871"/>
      <c r="H32" s="47"/>
      <c r="I32" s="393">
        <v>129</v>
      </c>
      <c r="J32" s="393">
        <v>129</v>
      </c>
      <c r="K32" s="401">
        <v>129</v>
      </c>
      <c r="L32" s="401">
        <v>129</v>
      </c>
      <c r="M32" s="396"/>
      <c r="N32" s="393">
        <v>53</v>
      </c>
      <c r="O32" s="393">
        <v>53</v>
      </c>
      <c r="P32" s="393">
        <v>53</v>
      </c>
      <c r="Q32" s="401">
        <v>53</v>
      </c>
    </row>
    <row r="33" spans="2:17" s="392" customFormat="1" ht="13.5" thickBot="1">
      <c r="B33" s="349" t="s">
        <v>664</v>
      </c>
      <c r="C33" s="349" t="s">
        <v>641</v>
      </c>
      <c r="D33" s="458">
        <v>167</v>
      </c>
      <c r="E33" s="301">
        <v>3.75</v>
      </c>
      <c r="F33" s="872" t="s">
        <v>381</v>
      </c>
      <c r="G33" s="873"/>
      <c r="H33" s="47"/>
      <c r="I33" s="399">
        <v>99</v>
      </c>
      <c r="J33" s="399">
        <v>99</v>
      </c>
      <c r="K33" s="408">
        <v>99</v>
      </c>
      <c r="L33" s="408">
        <v>99</v>
      </c>
      <c r="M33" s="396"/>
      <c r="N33" s="399">
        <v>68</v>
      </c>
      <c r="O33" s="399">
        <v>68</v>
      </c>
      <c r="P33" s="408">
        <v>68</v>
      </c>
      <c r="Q33" s="408">
        <v>68</v>
      </c>
    </row>
  </sheetData>
  <autoFilter ref="B23:Q23" xr:uid="{00000000-0001-0000-0500-000000000000}">
    <filterColumn colId="4" showButton="0"/>
  </autoFilter>
  <mergeCells count="28">
    <mergeCell ref="I4:L4"/>
    <mergeCell ref="L5:L12"/>
    <mergeCell ref="I19:L19"/>
    <mergeCell ref="K5:K12"/>
    <mergeCell ref="I5:I12"/>
    <mergeCell ref="J5:J12"/>
    <mergeCell ref="F33:G33"/>
    <mergeCell ref="F27:G27"/>
    <mergeCell ref="F23:G23"/>
    <mergeCell ref="B2:G2"/>
    <mergeCell ref="D4:G4"/>
    <mergeCell ref="D15:G15"/>
    <mergeCell ref="D14:G14"/>
    <mergeCell ref="D13:G13"/>
    <mergeCell ref="B5:C15"/>
    <mergeCell ref="D5:G12"/>
    <mergeCell ref="F30:G30"/>
    <mergeCell ref="F24:G24"/>
    <mergeCell ref="F26:G26"/>
    <mergeCell ref="F28:G28"/>
    <mergeCell ref="F29:G29"/>
    <mergeCell ref="N17:Q17"/>
    <mergeCell ref="N19:Q19"/>
    <mergeCell ref="F31:G31"/>
    <mergeCell ref="F32:G32"/>
    <mergeCell ref="F25:G25"/>
    <mergeCell ref="B17:G21"/>
    <mergeCell ref="I17:L17"/>
  </mergeCells>
  <pageMargins left="0.70866141732283472" right="0.70866141732283472" top="0.74803149606299213" bottom="0.74803149606299213" header="0.31496062992125984" footer="0.31496062992125984"/>
  <pageSetup paperSize="9" scale="80" orientation="landscape" r:id="rId1"/>
  <headerFooter>
    <oddFooter>&amp;C&amp;1#&amp;"Calibri"&amp;8&amp;KED7D31Orange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6">
    <tabColor rgb="FF808080"/>
  </sheetPr>
  <dimension ref="A2:P285"/>
  <sheetViews>
    <sheetView showGridLines="0" zoomScale="70" zoomScaleNormal="70" workbookViewId="0">
      <selection activeCell="B5" sqref="B5:C15"/>
    </sheetView>
  </sheetViews>
  <sheetFormatPr baseColWidth="10" defaultColWidth="11.42578125" defaultRowHeight="12.75"/>
  <cols>
    <col min="1" max="1" width="3" style="1" customWidth="1"/>
    <col min="2" max="2" width="15.7109375" style="2" customWidth="1"/>
    <col min="3" max="3" width="61.7109375" style="1" customWidth="1"/>
    <col min="4" max="5" width="8.5703125" style="1" customWidth="1"/>
    <col min="6" max="6" width="16.7109375" style="1" customWidth="1"/>
    <col min="7" max="7" width="9.42578125" style="1" customWidth="1"/>
    <col min="8" max="8" width="13.28515625" style="1" customWidth="1"/>
    <col min="9" max="9" width="2.5703125" style="248" customWidth="1"/>
    <col min="10" max="11" width="10.7109375" style="1" customWidth="1"/>
    <col min="12" max="12" width="2" style="4" customWidth="1"/>
    <col min="13" max="13" width="8.7109375" style="1" customWidth="1"/>
    <col min="14" max="14" width="2" style="4" customWidth="1"/>
    <col min="15" max="16" width="10.7109375" style="1" customWidth="1"/>
    <col min="17" max="17" width="11.42578125" style="47"/>
    <col min="18" max="18" width="50.42578125" style="47" customWidth="1"/>
    <col min="19" max="23" width="11.42578125" style="47"/>
    <col min="24" max="24" width="49.5703125" style="47" bestFit="1" customWidth="1"/>
    <col min="25" max="25" width="13.5703125" style="47" bestFit="1" customWidth="1"/>
    <col min="26" max="16384" width="11.42578125" style="47"/>
  </cols>
  <sheetData>
    <row r="2" spans="2:11" s="1" customFormat="1" ht="23.25" customHeight="1">
      <c r="B2" s="890" t="s">
        <v>22</v>
      </c>
      <c r="C2" s="890"/>
      <c r="D2" s="890"/>
      <c r="E2" s="890"/>
      <c r="F2" s="890"/>
      <c r="G2" s="890"/>
      <c r="H2" s="593" t="s">
        <v>23</v>
      </c>
      <c r="I2" s="248"/>
      <c r="J2" s="609" t="s">
        <v>67</v>
      </c>
      <c r="K2" s="596"/>
    </row>
    <row r="3" spans="2:11" customFormat="1" ht="3.75" customHeight="1">
      <c r="B3" s="47"/>
      <c r="C3" s="47"/>
      <c r="D3" s="47"/>
      <c r="E3" s="47"/>
      <c r="F3" s="47"/>
      <c r="G3" s="47"/>
      <c r="H3" s="594"/>
      <c r="I3" s="194"/>
    </row>
    <row r="4" spans="2:11" s="14" customFormat="1" ht="30" customHeight="1" thickBot="1">
      <c r="B4" s="481">
        <v>45658</v>
      </c>
      <c r="C4" s="407" t="s">
        <v>792</v>
      </c>
      <c r="D4" s="329"/>
      <c r="E4" s="329"/>
      <c r="F4" s="326">
        <v>0</v>
      </c>
      <c r="G4" s="330"/>
      <c r="H4" s="594"/>
      <c r="I4" s="249"/>
      <c r="J4" s="553" t="s">
        <v>68</v>
      </c>
      <c r="K4" s="865"/>
    </row>
    <row r="5" spans="2:11" s="1" customFormat="1" ht="15.75" customHeight="1">
      <c r="B5" s="587" t="s">
        <v>73</v>
      </c>
      <c r="C5" s="588"/>
      <c r="D5" s="597" t="s">
        <v>4</v>
      </c>
      <c r="E5" s="597"/>
      <c r="F5" s="597"/>
      <c r="G5" s="598"/>
      <c r="H5" s="616" t="s">
        <v>12</v>
      </c>
      <c r="I5" s="249"/>
      <c r="J5" s="603" t="s">
        <v>12</v>
      </c>
      <c r="K5" s="604"/>
    </row>
    <row r="6" spans="2:11" s="1" customFormat="1" ht="15.75" customHeight="1">
      <c r="B6" s="589"/>
      <c r="C6" s="590"/>
      <c r="D6" s="599"/>
      <c r="E6" s="599"/>
      <c r="F6" s="599"/>
      <c r="G6" s="600"/>
      <c r="H6" s="606"/>
      <c r="I6" s="250"/>
      <c r="J6" s="605"/>
      <c r="K6" s="606"/>
    </row>
    <row r="7" spans="2:11" s="1" customFormat="1" ht="15.75" customHeight="1">
      <c r="B7" s="589"/>
      <c r="C7" s="590"/>
      <c r="D7" s="599"/>
      <c r="E7" s="599"/>
      <c r="F7" s="599"/>
      <c r="G7" s="600"/>
      <c r="H7" s="606"/>
      <c r="I7" s="250"/>
      <c r="J7" s="605"/>
      <c r="K7" s="606"/>
    </row>
    <row r="8" spans="2:11" s="1" customFormat="1" ht="15.75" customHeight="1">
      <c r="B8" s="589"/>
      <c r="C8" s="590"/>
      <c r="D8" s="599"/>
      <c r="E8" s="599"/>
      <c r="F8" s="599"/>
      <c r="G8" s="600"/>
      <c r="H8" s="606"/>
      <c r="I8" s="250"/>
      <c r="J8" s="605"/>
      <c r="K8" s="606"/>
    </row>
    <row r="9" spans="2:11" s="1" customFormat="1" ht="15.75" customHeight="1">
      <c r="B9" s="589"/>
      <c r="C9" s="590"/>
      <c r="D9" s="599"/>
      <c r="E9" s="599"/>
      <c r="F9" s="599"/>
      <c r="G9" s="600"/>
      <c r="H9" s="606"/>
      <c r="I9" s="250"/>
      <c r="J9" s="605"/>
      <c r="K9" s="606"/>
    </row>
    <row r="10" spans="2:11" s="1" customFormat="1" ht="15.75" customHeight="1">
      <c r="B10" s="589"/>
      <c r="C10" s="590"/>
      <c r="D10" s="599"/>
      <c r="E10" s="599"/>
      <c r="F10" s="599"/>
      <c r="G10" s="600"/>
      <c r="H10" s="606"/>
      <c r="I10" s="250"/>
      <c r="J10" s="605"/>
      <c r="K10" s="606"/>
    </row>
    <row r="11" spans="2:11" s="1" customFormat="1" ht="15.75" customHeight="1">
      <c r="B11" s="589"/>
      <c r="C11" s="590"/>
      <c r="D11" s="599"/>
      <c r="E11" s="599"/>
      <c r="F11" s="599"/>
      <c r="G11" s="600"/>
      <c r="H11" s="606"/>
      <c r="I11" s="250"/>
      <c r="J11" s="605"/>
      <c r="K11" s="606"/>
    </row>
    <row r="12" spans="2:11" s="1" customFormat="1" ht="13.5" thickBot="1">
      <c r="B12" s="589"/>
      <c r="C12" s="590"/>
      <c r="D12" s="601"/>
      <c r="E12" s="601"/>
      <c r="F12" s="601"/>
      <c r="G12" s="602"/>
      <c r="H12" s="606"/>
      <c r="I12" s="250"/>
      <c r="J12" s="607"/>
      <c r="K12" s="608"/>
    </row>
    <row r="13" spans="2:11" s="1" customFormat="1" ht="30.75" customHeight="1" thickBot="1">
      <c r="B13" s="589"/>
      <c r="C13" s="590"/>
      <c r="D13" s="611" t="s">
        <v>71</v>
      </c>
      <c r="E13" s="611"/>
      <c r="F13" s="612"/>
      <c r="G13" s="613"/>
      <c r="H13" s="33" t="s">
        <v>3</v>
      </c>
      <c r="I13" s="251"/>
      <c r="J13" s="585" t="s">
        <v>13</v>
      </c>
      <c r="K13" s="642"/>
    </row>
    <row r="14" spans="2:11" s="1" customFormat="1" ht="65.25" customHeight="1" thickBot="1">
      <c r="B14" s="589"/>
      <c r="C14" s="590"/>
      <c r="D14" s="611" t="s">
        <v>72</v>
      </c>
      <c r="E14" s="611"/>
      <c r="F14" s="612"/>
      <c r="G14" s="613"/>
      <c r="H14" s="33" t="s">
        <v>48</v>
      </c>
      <c r="I14" s="251"/>
      <c r="J14" s="639" t="s">
        <v>328</v>
      </c>
      <c r="K14" s="634"/>
    </row>
    <row r="15" spans="2:11" s="1" customFormat="1" ht="21" customHeight="1" thickBot="1">
      <c r="B15" s="591"/>
      <c r="C15" s="592"/>
      <c r="D15" s="885" t="s">
        <v>5</v>
      </c>
      <c r="E15" s="886"/>
      <c r="F15" s="886"/>
      <c r="G15" s="886"/>
      <c r="H15" s="32" t="s">
        <v>3</v>
      </c>
      <c r="I15" s="252"/>
      <c r="J15" s="622" t="s">
        <v>64</v>
      </c>
      <c r="K15" s="586"/>
    </row>
    <row r="18" spans="2:16" s="1" customFormat="1" ht="23.25" customHeight="1">
      <c r="B18" s="854" t="s">
        <v>74</v>
      </c>
      <c r="C18" s="855"/>
      <c r="D18" s="855"/>
      <c r="E18" s="855"/>
      <c r="F18" s="855"/>
      <c r="G18" s="856"/>
      <c r="H18" s="526" t="s">
        <v>23</v>
      </c>
      <c r="I18" s="248"/>
      <c r="J18" s="533" t="s">
        <v>69</v>
      </c>
      <c r="K18" s="552"/>
      <c r="L18" s="4"/>
      <c r="M18" s="526" t="s">
        <v>41</v>
      </c>
      <c r="N18" s="4"/>
      <c r="O18" s="533" t="s">
        <v>70</v>
      </c>
      <c r="P18" s="552"/>
    </row>
    <row r="19" spans="2:16" s="1" customFormat="1" ht="3.75" customHeight="1">
      <c r="B19" s="857"/>
      <c r="C19" s="655"/>
      <c r="D19" s="655"/>
      <c r="E19" s="655"/>
      <c r="F19" s="655"/>
      <c r="G19" s="858"/>
      <c r="H19" s="527"/>
      <c r="I19" s="248"/>
      <c r="J19" s="530"/>
      <c r="K19" s="887"/>
      <c r="L19" s="4"/>
      <c r="M19" s="527"/>
      <c r="N19" s="4"/>
      <c r="O19" s="530"/>
      <c r="P19" s="887"/>
    </row>
    <row r="20" spans="2:16" s="1" customFormat="1" ht="33.75" customHeight="1">
      <c r="B20" s="857"/>
      <c r="C20" s="655"/>
      <c r="D20" s="655"/>
      <c r="E20" s="655"/>
      <c r="F20" s="655"/>
      <c r="G20" s="858"/>
      <c r="H20" s="527"/>
      <c r="I20" s="248"/>
      <c r="J20" s="530"/>
      <c r="K20" s="887"/>
      <c r="L20" s="4"/>
      <c r="M20" s="527"/>
      <c r="N20" s="4"/>
      <c r="O20" s="530"/>
      <c r="P20" s="887"/>
    </row>
    <row r="21" spans="2:16" s="4" customFormat="1" ht="3.75" customHeight="1">
      <c r="B21" s="857"/>
      <c r="C21" s="655"/>
      <c r="D21" s="655"/>
      <c r="E21" s="655"/>
      <c r="F21" s="655"/>
      <c r="G21" s="858"/>
      <c r="H21" s="527"/>
      <c r="I21" s="248"/>
      <c r="J21" s="24"/>
      <c r="K21" s="25"/>
      <c r="M21" s="527"/>
      <c r="O21" s="24"/>
      <c r="P21" s="25"/>
    </row>
    <row r="22" spans="2:16" s="1" customFormat="1" ht="30" customHeight="1">
      <c r="B22" s="857"/>
      <c r="C22" s="655"/>
      <c r="D22" s="655"/>
      <c r="E22" s="655"/>
      <c r="F22" s="655"/>
      <c r="G22" s="858"/>
      <c r="H22" s="527"/>
      <c r="I22" s="253"/>
      <c r="J22" s="888" t="s">
        <v>68</v>
      </c>
      <c r="K22" s="889"/>
      <c r="L22" s="4"/>
      <c r="M22" s="527"/>
      <c r="N22" s="4"/>
      <c r="O22" s="888" t="s">
        <v>68</v>
      </c>
      <c r="P22" s="889"/>
    </row>
    <row r="23" spans="2:16" customFormat="1" ht="3.75" customHeight="1">
      <c r="B23" s="482"/>
      <c r="H23" s="18"/>
      <c r="I23" s="194"/>
      <c r="J23" s="16"/>
      <c r="K23" s="17"/>
      <c r="M23" s="18"/>
      <c r="O23" s="16"/>
      <c r="P23" s="17"/>
    </row>
    <row r="24" spans="2:16" s="1" customFormat="1" ht="48.75" customHeight="1">
      <c r="B24" s="335" t="s">
        <v>19</v>
      </c>
      <c r="C24" s="335" t="s">
        <v>698</v>
      </c>
      <c r="D24" s="336" t="s">
        <v>1</v>
      </c>
      <c r="E24" s="336" t="s">
        <v>127</v>
      </c>
      <c r="F24" s="335" t="s">
        <v>2</v>
      </c>
      <c r="G24" s="335" t="s">
        <v>11</v>
      </c>
      <c r="H24" s="335" t="s">
        <v>122</v>
      </c>
      <c r="I24" s="279"/>
      <c r="J24" s="339" t="s">
        <v>118</v>
      </c>
      <c r="K24" s="344" t="s">
        <v>29</v>
      </c>
      <c r="L24" s="4"/>
      <c r="M24" s="335" t="s">
        <v>43</v>
      </c>
      <c r="N24" s="4"/>
      <c r="O24" s="339" t="s">
        <v>44</v>
      </c>
      <c r="P24" s="344" t="s">
        <v>45</v>
      </c>
    </row>
    <row r="25" spans="2:16">
      <c r="B25" s="352" t="s">
        <v>675</v>
      </c>
      <c r="C25" s="357" t="s">
        <v>521</v>
      </c>
      <c r="D25" s="461">
        <v>239</v>
      </c>
      <c r="E25" s="462">
        <v>3.75</v>
      </c>
      <c r="F25" s="463" t="s">
        <v>507</v>
      </c>
      <c r="G25" s="464">
        <v>24</v>
      </c>
      <c r="H25" s="465">
        <v>238.84297520661158</v>
      </c>
      <c r="I25" s="466"/>
      <c r="J25" s="467">
        <v>0</v>
      </c>
      <c r="K25" s="468">
        <v>7.635416666666667</v>
      </c>
      <c r="L25" s="469"/>
      <c r="M25" s="470">
        <v>0</v>
      </c>
      <c r="N25" s="469"/>
      <c r="O25" s="467">
        <v>56</v>
      </c>
      <c r="P25" s="471">
        <v>183.25</v>
      </c>
    </row>
    <row r="26" spans="2:16">
      <c r="B26" s="153" t="s">
        <v>21</v>
      </c>
      <c r="C26" s="472" t="s">
        <v>516</v>
      </c>
      <c r="D26" s="473">
        <v>74</v>
      </c>
      <c r="E26" s="423">
        <v>1.1000000000000001</v>
      </c>
      <c r="F26" s="474" t="s">
        <v>507</v>
      </c>
      <c r="G26" s="474">
        <v>24</v>
      </c>
      <c r="H26" s="475">
        <v>73.553719008264466</v>
      </c>
      <c r="I26" s="466"/>
      <c r="J26" s="476">
        <v>0</v>
      </c>
      <c r="K26" s="348">
        <v>2.3083333333333331</v>
      </c>
      <c r="L26" s="477"/>
      <c r="M26" s="470">
        <v>0</v>
      </c>
      <c r="N26" s="477"/>
      <c r="O26" s="476">
        <v>19</v>
      </c>
      <c r="P26" s="478">
        <v>55.399999999999991</v>
      </c>
    </row>
    <row r="27" spans="2:16">
      <c r="B27" s="153" t="s">
        <v>21</v>
      </c>
      <c r="C27" s="357" t="s">
        <v>523</v>
      </c>
      <c r="D27" s="470">
        <v>74</v>
      </c>
      <c r="E27" s="479">
        <v>1.1000000000000001</v>
      </c>
      <c r="F27" s="213" t="s">
        <v>507</v>
      </c>
      <c r="G27" s="480">
        <v>24</v>
      </c>
      <c r="H27" s="475">
        <v>74.380165289256198</v>
      </c>
      <c r="I27" s="466"/>
      <c r="J27" s="476">
        <v>0</v>
      </c>
      <c r="K27" s="348">
        <v>2.3174999999999999</v>
      </c>
      <c r="L27" s="477"/>
      <c r="M27" s="470">
        <v>0</v>
      </c>
      <c r="N27" s="477"/>
      <c r="O27" s="476">
        <v>18</v>
      </c>
      <c r="P27" s="478">
        <v>55.62</v>
      </c>
    </row>
    <row r="28" spans="2:16">
      <c r="B28" s="153" t="s">
        <v>21</v>
      </c>
      <c r="C28" s="472" t="s">
        <v>512</v>
      </c>
      <c r="D28" s="473">
        <v>64</v>
      </c>
      <c r="E28" s="423">
        <v>1.1000000000000001</v>
      </c>
      <c r="F28" s="474" t="s">
        <v>507</v>
      </c>
      <c r="G28" s="474">
        <v>24</v>
      </c>
      <c r="H28" s="475">
        <v>63.63636363636364</v>
      </c>
      <c r="I28" s="466"/>
      <c r="J28" s="476">
        <v>0</v>
      </c>
      <c r="K28" s="347">
        <v>0</v>
      </c>
      <c r="L28" s="248"/>
      <c r="M28" s="324">
        <v>0</v>
      </c>
      <c r="N28" s="141"/>
      <c r="O28" s="150">
        <v>64</v>
      </c>
      <c r="P28" s="151">
        <v>0</v>
      </c>
    </row>
    <row r="29" spans="2:16">
      <c r="B29" s="153" t="s">
        <v>21</v>
      </c>
      <c r="C29" s="357" t="s">
        <v>676</v>
      </c>
      <c r="D29" s="470">
        <v>70</v>
      </c>
      <c r="E29" s="479">
        <v>1.1000000000000001</v>
      </c>
      <c r="F29" s="213" t="s">
        <v>507</v>
      </c>
      <c r="G29" s="480">
        <v>24</v>
      </c>
      <c r="H29" s="475">
        <v>69.421487603305792</v>
      </c>
      <c r="I29" s="466"/>
      <c r="J29" s="476">
        <v>0</v>
      </c>
      <c r="K29" s="347">
        <v>0</v>
      </c>
      <c r="L29" s="248"/>
      <c r="M29" s="324">
        <v>1</v>
      </c>
      <c r="N29" s="141"/>
      <c r="O29" s="150">
        <v>70</v>
      </c>
      <c r="P29" s="151">
        <v>0</v>
      </c>
    </row>
    <row r="30" spans="2:16">
      <c r="B30" s="153" t="s">
        <v>21</v>
      </c>
      <c r="C30" s="472" t="s">
        <v>402</v>
      </c>
      <c r="D30" s="473">
        <v>137</v>
      </c>
      <c r="E30" s="423">
        <v>1.1000000000000001</v>
      </c>
      <c r="F30" s="474" t="s">
        <v>507</v>
      </c>
      <c r="G30" s="474">
        <v>24</v>
      </c>
      <c r="H30" s="475">
        <v>152.06611570247935</v>
      </c>
      <c r="I30" s="466"/>
      <c r="J30" s="476">
        <v>0</v>
      </c>
      <c r="K30" s="347">
        <v>2</v>
      </c>
      <c r="M30" s="40">
        <v>-15</v>
      </c>
      <c r="N30" s="2"/>
      <c r="O30" s="35">
        <v>89</v>
      </c>
      <c r="P30" s="36">
        <v>48</v>
      </c>
    </row>
    <row r="31" spans="2:16">
      <c r="B31" s="153" t="s">
        <v>21</v>
      </c>
      <c r="C31" s="488" t="s">
        <v>726</v>
      </c>
      <c r="D31" s="470">
        <v>115</v>
      </c>
      <c r="E31" s="479">
        <v>1.1000000000000001</v>
      </c>
      <c r="F31" s="213" t="s">
        <v>507</v>
      </c>
      <c r="G31" s="480">
        <v>24</v>
      </c>
      <c r="H31" s="475">
        <v>137</v>
      </c>
      <c r="I31" s="466"/>
      <c r="J31" s="476">
        <v>0</v>
      </c>
      <c r="K31" s="347">
        <v>2</v>
      </c>
      <c r="M31" s="40">
        <v>-22</v>
      </c>
      <c r="N31" s="2"/>
      <c r="O31" s="35">
        <v>67</v>
      </c>
      <c r="P31" s="36">
        <v>48</v>
      </c>
    </row>
    <row r="32" spans="2:16">
      <c r="B32" s="153" t="s">
        <v>666</v>
      </c>
      <c r="C32" s="472" t="s">
        <v>469</v>
      </c>
      <c r="D32" s="470">
        <v>547</v>
      </c>
      <c r="E32" s="483">
        <v>0</v>
      </c>
      <c r="F32" s="485" t="s">
        <v>1217</v>
      </c>
      <c r="G32" s="487">
        <v>24</v>
      </c>
      <c r="H32" s="475">
        <v>662</v>
      </c>
      <c r="I32" s="466"/>
      <c r="J32" s="476">
        <v>0</v>
      </c>
      <c r="K32" s="143">
        <v>18.333333333333332</v>
      </c>
      <c r="L32" s="2"/>
      <c r="M32" s="40">
        <v>-115</v>
      </c>
      <c r="N32" s="2"/>
      <c r="O32" s="35">
        <v>107</v>
      </c>
      <c r="P32" s="36">
        <v>440</v>
      </c>
    </row>
    <row r="33" spans="2:16">
      <c r="B33" s="153" t="s">
        <v>675</v>
      </c>
      <c r="C33" s="472" t="s">
        <v>508</v>
      </c>
      <c r="D33" s="473">
        <v>64</v>
      </c>
      <c r="E33" s="423">
        <v>1.1000000000000001</v>
      </c>
      <c r="F33" s="474" t="s">
        <v>227</v>
      </c>
      <c r="G33" s="474">
        <v>24</v>
      </c>
      <c r="H33" s="475">
        <v>63.63636363636364</v>
      </c>
      <c r="I33" s="466"/>
      <c r="J33" s="476">
        <v>0</v>
      </c>
      <c r="K33" s="348">
        <v>1.8912500000000001</v>
      </c>
      <c r="L33" s="477"/>
      <c r="M33" s="470">
        <v>0</v>
      </c>
      <c r="N33" s="477"/>
      <c r="O33" s="476">
        <v>19</v>
      </c>
      <c r="P33" s="478">
        <v>45.39</v>
      </c>
    </row>
    <row r="34" spans="2:16">
      <c r="B34" s="153" t="s">
        <v>675</v>
      </c>
      <c r="C34" s="357" t="s">
        <v>612</v>
      </c>
      <c r="D34" s="470">
        <v>77</v>
      </c>
      <c r="E34" s="479">
        <v>1.1000000000000001</v>
      </c>
      <c r="F34" s="213" t="s">
        <v>227</v>
      </c>
      <c r="G34" s="480">
        <v>24</v>
      </c>
      <c r="H34" s="475">
        <v>76.859504132231407</v>
      </c>
      <c r="I34" s="466"/>
      <c r="J34" s="476">
        <v>0</v>
      </c>
      <c r="K34" s="348">
        <v>2.4270833333333335</v>
      </c>
      <c r="L34" s="477"/>
      <c r="M34" s="470">
        <v>0</v>
      </c>
      <c r="N34" s="477"/>
      <c r="O34" s="476">
        <v>19</v>
      </c>
      <c r="P34" s="478">
        <v>58.25</v>
      </c>
    </row>
    <row r="35" spans="2:16">
      <c r="B35" s="153" t="s">
        <v>673</v>
      </c>
      <c r="C35" s="357" t="s">
        <v>560</v>
      </c>
      <c r="D35" s="473">
        <v>49</v>
      </c>
      <c r="E35" s="484">
        <v>1.1000000000000001</v>
      </c>
      <c r="F35" s="486" t="s">
        <v>227</v>
      </c>
      <c r="G35" s="486">
        <v>24</v>
      </c>
      <c r="H35" s="475">
        <v>47.107438016528924</v>
      </c>
      <c r="I35" s="466"/>
      <c r="J35" s="476">
        <v>0</v>
      </c>
      <c r="K35" s="143">
        <v>1.2541666666666667</v>
      </c>
      <c r="L35" s="2"/>
      <c r="M35" s="40">
        <v>2</v>
      </c>
      <c r="N35" s="2"/>
      <c r="O35" s="35">
        <v>19</v>
      </c>
      <c r="P35" s="36">
        <v>30.1</v>
      </c>
    </row>
    <row r="36" spans="2:16">
      <c r="B36" s="153" t="s">
        <v>673</v>
      </c>
      <c r="C36" s="472" t="s">
        <v>571</v>
      </c>
      <c r="D36" s="470">
        <v>60</v>
      </c>
      <c r="E36" s="483">
        <v>1.1000000000000001</v>
      </c>
      <c r="F36" s="485" t="s">
        <v>227</v>
      </c>
      <c r="G36" s="487">
        <v>24</v>
      </c>
      <c r="H36" s="475">
        <v>59.504132231404959</v>
      </c>
      <c r="I36" s="466"/>
      <c r="J36" s="476">
        <v>0</v>
      </c>
      <c r="K36" s="143">
        <v>1.7000000000000002</v>
      </c>
      <c r="L36" s="2"/>
      <c r="M36" s="40">
        <v>0</v>
      </c>
      <c r="N36" s="2"/>
      <c r="O36" s="35">
        <v>19</v>
      </c>
      <c r="P36" s="36">
        <v>40.800000000000004</v>
      </c>
    </row>
    <row r="37" spans="2:16">
      <c r="B37" s="153" t="s">
        <v>106</v>
      </c>
      <c r="C37" s="472" t="s">
        <v>608</v>
      </c>
      <c r="D37" s="473">
        <v>520</v>
      </c>
      <c r="E37" s="484">
        <v>3.25</v>
      </c>
      <c r="F37" s="486" t="s">
        <v>387</v>
      </c>
      <c r="G37" s="486">
        <v>24</v>
      </c>
      <c r="H37" s="475">
        <v>378.51239669421489</v>
      </c>
      <c r="I37" s="466"/>
      <c r="J37" s="476">
        <v>0</v>
      </c>
      <c r="K37" s="348">
        <v>12.62</v>
      </c>
      <c r="L37" s="477"/>
      <c r="M37" s="470">
        <v>141</v>
      </c>
      <c r="N37" s="477"/>
      <c r="O37" s="476">
        <v>217</v>
      </c>
      <c r="P37" s="478">
        <v>302.88</v>
      </c>
    </row>
    <row r="38" spans="2:16">
      <c r="B38" s="153" t="s">
        <v>106</v>
      </c>
      <c r="C38" s="472" t="s">
        <v>607</v>
      </c>
      <c r="D38" s="470">
        <v>564</v>
      </c>
      <c r="E38" s="483">
        <v>3.25</v>
      </c>
      <c r="F38" s="485" t="s">
        <v>387</v>
      </c>
      <c r="G38" s="487">
        <v>24</v>
      </c>
      <c r="H38" s="475">
        <v>453.71900826446284</v>
      </c>
      <c r="I38" s="466"/>
      <c r="J38" s="476">
        <v>0</v>
      </c>
      <c r="K38" s="348">
        <v>15.33375</v>
      </c>
      <c r="L38" s="477"/>
      <c r="M38" s="470">
        <v>110</v>
      </c>
      <c r="N38" s="477"/>
      <c r="O38" s="476">
        <v>196</v>
      </c>
      <c r="P38" s="478">
        <v>368.01</v>
      </c>
    </row>
    <row r="39" spans="2:16">
      <c r="B39" s="153" t="s">
        <v>106</v>
      </c>
      <c r="C39" s="472" t="s">
        <v>677</v>
      </c>
      <c r="D39" s="473">
        <v>823</v>
      </c>
      <c r="E39" s="484">
        <v>3.25</v>
      </c>
      <c r="F39" s="486" t="s">
        <v>387</v>
      </c>
      <c r="G39" s="486">
        <v>24</v>
      </c>
      <c r="H39" s="475">
        <v>657.02479338842977</v>
      </c>
      <c r="I39" s="466"/>
      <c r="J39" s="476">
        <v>0</v>
      </c>
      <c r="K39" s="348">
        <v>22.962916666666668</v>
      </c>
      <c r="L39" s="477"/>
      <c r="M39" s="470">
        <v>166</v>
      </c>
      <c r="N39" s="477"/>
      <c r="O39" s="476">
        <v>272</v>
      </c>
      <c r="P39" s="478">
        <v>551.11</v>
      </c>
    </row>
    <row r="40" spans="2:16">
      <c r="B40" s="153" t="s">
        <v>106</v>
      </c>
      <c r="C40" s="472" t="s">
        <v>702</v>
      </c>
      <c r="D40" s="470">
        <v>1062</v>
      </c>
      <c r="E40" s="483">
        <v>3.25</v>
      </c>
      <c r="F40" s="485" t="s">
        <v>387</v>
      </c>
      <c r="G40" s="487">
        <v>24</v>
      </c>
      <c r="H40" s="475">
        <v>876.03305785123973</v>
      </c>
      <c r="I40" s="466"/>
      <c r="J40" s="476">
        <v>0</v>
      </c>
      <c r="K40" s="348">
        <v>29.86375</v>
      </c>
      <c r="L40" s="477"/>
      <c r="M40" s="470">
        <v>186</v>
      </c>
      <c r="N40" s="477"/>
      <c r="O40" s="476">
        <v>345</v>
      </c>
      <c r="P40" s="478">
        <v>716.73</v>
      </c>
    </row>
    <row r="41" spans="2:16">
      <c r="B41" s="153" t="s">
        <v>106</v>
      </c>
      <c r="C41" s="472" t="s">
        <v>678</v>
      </c>
      <c r="D41" s="473">
        <v>1234</v>
      </c>
      <c r="E41" s="484">
        <v>3.25</v>
      </c>
      <c r="F41" s="486" t="s">
        <v>387</v>
      </c>
      <c r="G41" s="486">
        <v>24</v>
      </c>
      <c r="H41" s="475">
        <v>1019.00826446281</v>
      </c>
      <c r="I41" s="466"/>
      <c r="J41" s="476">
        <v>0</v>
      </c>
      <c r="K41" s="348">
        <v>35.820833333333333</v>
      </c>
      <c r="L41" s="477"/>
      <c r="M41" s="470">
        <v>215</v>
      </c>
      <c r="N41" s="477"/>
      <c r="O41" s="476">
        <v>374</v>
      </c>
      <c r="P41" s="478">
        <v>859.7</v>
      </c>
    </row>
    <row r="42" spans="2:16">
      <c r="B42" s="153" t="s">
        <v>670</v>
      </c>
      <c r="C42" s="472" t="s">
        <v>627</v>
      </c>
      <c r="D42" s="470">
        <v>539</v>
      </c>
      <c r="E42" s="483">
        <v>3.25</v>
      </c>
      <c r="F42" s="485" t="s">
        <v>387</v>
      </c>
      <c r="G42" s="487">
        <v>24</v>
      </c>
      <c r="H42" s="475">
        <v>428.09917355371903</v>
      </c>
      <c r="I42" s="466"/>
      <c r="J42" s="476">
        <v>0</v>
      </c>
      <c r="K42" s="348">
        <v>12.59375</v>
      </c>
      <c r="L42" s="477"/>
      <c r="M42" s="470">
        <v>111</v>
      </c>
      <c r="N42" s="477"/>
      <c r="O42" s="476">
        <v>237</v>
      </c>
      <c r="P42" s="478">
        <v>302.25</v>
      </c>
    </row>
    <row r="43" spans="2:16">
      <c r="B43" s="153" t="s">
        <v>670</v>
      </c>
      <c r="C43" s="472" t="s">
        <v>628</v>
      </c>
      <c r="D43" s="473">
        <v>309</v>
      </c>
      <c r="E43" s="484">
        <v>3.25</v>
      </c>
      <c r="F43" s="486" t="s">
        <v>387</v>
      </c>
      <c r="G43" s="486">
        <v>24</v>
      </c>
      <c r="H43" s="475">
        <v>240.49586776859505</v>
      </c>
      <c r="I43" s="466"/>
      <c r="J43" s="476">
        <v>0</v>
      </c>
      <c r="K43" s="348">
        <v>6.260416666666667</v>
      </c>
      <c r="L43" s="477"/>
      <c r="M43" s="470">
        <v>69</v>
      </c>
      <c r="N43" s="477"/>
      <c r="O43" s="476">
        <v>159</v>
      </c>
      <c r="P43" s="478">
        <v>150.25</v>
      </c>
    </row>
    <row r="44" spans="2:16">
      <c r="B44" s="153" t="s">
        <v>670</v>
      </c>
      <c r="C44" s="472" t="s">
        <v>629</v>
      </c>
      <c r="D44" s="470">
        <v>661</v>
      </c>
      <c r="E44" s="483">
        <v>3.25</v>
      </c>
      <c r="F44" s="485" t="s">
        <v>387</v>
      </c>
      <c r="G44" s="487">
        <v>24</v>
      </c>
      <c r="H44" s="475">
        <v>547.93388429752065</v>
      </c>
      <c r="I44" s="466"/>
      <c r="J44" s="476">
        <v>0</v>
      </c>
      <c r="K44" s="348">
        <v>15.510416666666666</v>
      </c>
      <c r="L44" s="477"/>
      <c r="M44" s="470">
        <v>113</v>
      </c>
      <c r="N44" s="477"/>
      <c r="O44" s="476">
        <v>289</v>
      </c>
      <c r="P44" s="478">
        <v>372.25</v>
      </c>
    </row>
    <row r="45" spans="2:16">
      <c r="B45" s="153" t="s">
        <v>670</v>
      </c>
      <c r="C45" s="472" t="s">
        <v>703</v>
      </c>
      <c r="D45" s="473">
        <v>181</v>
      </c>
      <c r="E45" s="484">
        <v>3.25</v>
      </c>
      <c r="F45" s="486" t="s">
        <v>387</v>
      </c>
      <c r="G45" s="486">
        <v>24</v>
      </c>
      <c r="H45" s="475">
        <v>110.74380165289257</v>
      </c>
      <c r="I45" s="466"/>
      <c r="J45" s="476">
        <v>0</v>
      </c>
      <c r="K45" s="348">
        <v>3.84375</v>
      </c>
      <c r="L45" s="477"/>
      <c r="M45" s="470">
        <v>70</v>
      </c>
      <c r="N45" s="477"/>
      <c r="O45" s="476">
        <v>89</v>
      </c>
      <c r="P45" s="478">
        <v>92.25</v>
      </c>
    </row>
    <row r="46" spans="2:16">
      <c r="B46" s="153" t="s">
        <v>670</v>
      </c>
      <c r="C46" s="472" t="s">
        <v>704</v>
      </c>
      <c r="D46" s="470">
        <v>1653</v>
      </c>
      <c r="E46" s="483">
        <v>3.25</v>
      </c>
      <c r="F46" s="485" t="s">
        <v>387</v>
      </c>
      <c r="G46" s="487">
        <v>24</v>
      </c>
      <c r="H46" s="475">
        <v>1282.6446280991736</v>
      </c>
      <c r="I46" s="466"/>
      <c r="J46" s="476">
        <v>0</v>
      </c>
      <c r="K46" s="348">
        <v>46.802083333333336</v>
      </c>
      <c r="L46" s="477"/>
      <c r="M46" s="470">
        <v>370</v>
      </c>
      <c r="N46" s="477"/>
      <c r="O46" s="476">
        <v>530</v>
      </c>
      <c r="P46" s="478">
        <v>1123.25</v>
      </c>
    </row>
    <row r="47" spans="2:16">
      <c r="B47" s="153" t="s">
        <v>670</v>
      </c>
      <c r="C47" s="472" t="s">
        <v>566</v>
      </c>
      <c r="D47" s="473">
        <v>358</v>
      </c>
      <c r="E47" s="484">
        <v>3.25</v>
      </c>
      <c r="F47" s="486" t="s">
        <v>387</v>
      </c>
      <c r="G47" s="486">
        <v>24</v>
      </c>
      <c r="H47" s="475">
        <v>297.52066115702479</v>
      </c>
      <c r="I47" s="466"/>
      <c r="J47" s="476">
        <v>0</v>
      </c>
      <c r="K47" s="348">
        <v>9.2604166666666661</v>
      </c>
      <c r="L47" s="477"/>
      <c r="M47" s="470">
        <v>60</v>
      </c>
      <c r="N47" s="477"/>
      <c r="O47" s="476">
        <v>136</v>
      </c>
      <c r="P47" s="478">
        <v>222.25</v>
      </c>
    </row>
    <row r="48" spans="2:16">
      <c r="B48" s="153" t="s">
        <v>670</v>
      </c>
      <c r="C48" s="472" t="s">
        <v>589</v>
      </c>
      <c r="D48" s="470">
        <v>1074</v>
      </c>
      <c r="E48" s="483">
        <v>3.25</v>
      </c>
      <c r="F48" s="485" t="s">
        <v>387</v>
      </c>
      <c r="G48" s="487">
        <v>24</v>
      </c>
      <c r="H48" s="475">
        <v>808.2644628099174</v>
      </c>
      <c r="I48" s="466"/>
      <c r="J48" s="476">
        <v>0</v>
      </c>
      <c r="K48" s="348">
        <v>27.59375</v>
      </c>
      <c r="L48" s="477"/>
      <c r="M48" s="470">
        <v>266</v>
      </c>
      <c r="N48" s="477"/>
      <c r="O48" s="476">
        <v>412</v>
      </c>
      <c r="P48" s="478">
        <v>662.25</v>
      </c>
    </row>
    <row r="49" spans="2:16">
      <c r="B49" s="153" t="s">
        <v>58</v>
      </c>
      <c r="C49" s="472" t="s">
        <v>472</v>
      </c>
      <c r="D49" s="473">
        <v>920</v>
      </c>
      <c r="E49" s="484">
        <v>3.25</v>
      </c>
      <c r="F49" s="486" t="s">
        <v>387</v>
      </c>
      <c r="G49" s="486">
        <v>24</v>
      </c>
      <c r="H49" s="475">
        <v>612.39669421487611</v>
      </c>
      <c r="I49" s="466"/>
      <c r="J49" s="476">
        <v>0</v>
      </c>
      <c r="K49" s="348">
        <v>23.135416666666668</v>
      </c>
      <c r="L49" s="477"/>
      <c r="M49" s="470">
        <v>308</v>
      </c>
      <c r="N49" s="477"/>
      <c r="O49" s="476">
        <v>365</v>
      </c>
      <c r="P49" s="478">
        <v>555.25</v>
      </c>
    </row>
    <row r="50" spans="2:16">
      <c r="B50" s="153" t="s">
        <v>58</v>
      </c>
      <c r="C50" s="472" t="s">
        <v>551</v>
      </c>
      <c r="D50" s="470">
        <v>883</v>
      </c>
      <c r="E50" s="483">
        <v>3.25</v>
      </c>
      <c r="F50" s="485" t="s">
        <v>387</v>
      </c>
      <c r="G50" s="487">
        <v>24</v>
      </c>
      <c r="H50" s="475">
        <v>714.04958677685954</v>
      </c>
      <c r="I50" s="466"/>
      <c r="J50" s="476">
        <v>0</v>
      </c>
      <c r="K50" s="348">
        <v>25.385416666666668</v>
      </c>
      <c r="L50" s="477"/>
      <c r="M50" s="470">
        <v>169</v>
      </c>
      <c r="N50" s="477"/>
      <c r="O50" s="476">
        <v>274</v>
      </c>
      <c r="P50" s="478">
        <v>609.25</v>
      </c>
    </row>
    <row r="51" spans="2:16">
      <c r="B51" s="153" t="s">
        <v>58</v>
      </c>
      <c r="C51" s="472" t="s">
        <v>707</v>
      </c>
      <c r="D51" s="473">
        <v>883</v>
      </c>
      <c r="E51" s="484">
        <v>3.25</v>
      </c>
      <c r="F51" s="486" t="s">
        <v>387</v>
      </c>
      <c r="G51" s="486">
        <v>24</v>
      </c>
      <c r="H51" s="475">
        <v>799.17355371900828</v>
      </c>
      <c r="I51" s="466"/>
      <c r="J51" s="476">
        <v>0</v>
      </c>
      <c r="K51" s="348">
        <v>28.552083333333332</v>
      </c>
      <c r="L51" s="477"/>
      <c r="M51" s="470">
        <v>84</v>
      </c>
      <c r="N51" s="477"/>
      <c r="O51" s="476">
        <v>198</v>
      </c>
      <c r="P51" s="478">
        <v>685.25</v>
      </c>
    </row>
    <row r="52" spans="2:16">
      <c r="B52" s="153" t="s">
        <v>58</v>
      </c>
      <c r="C52" s="472" t="s">
        <v>708</v>
      </c>
      <c r="D52" s="470">
        <v>983</v>
      </c>
      <c r="E52" s="483">
        <v>3.25</v>
      </c>
      <c r="F52" s="485" t="s">
        <v>387</v>
      </c>
      <c r="G52" s="487">
        <v>24</v>
      </c>
      <c r="H52" s="475">
        <v>909.91735537190084</v>
      </c>
      <c r="I52" s="466"/>
      <c r="J52" s="476">
        <v>0</v>
      </c>
      <c r="K52" s="348">
        <v>32.71875</v>
      </c>
      <c r="L52" s="477"/>
      <c r="M52" s="470">
        <v>73</v>
      </c>
      <c r="N52" s="477"/>
      <c r="O52" s="476">
        <v>198</v>
      </c>
      <c r="P52" s="478">
        <v>785.25</v>
      </c>
    </row>
    <row r="53" spans="2:16">
      <c r="B53" s="153" t="s">
        <v>58</v>
      </c>
      <c r="C53" s="472" t="s">
        <v>709</v>
      </c>
      <c r="D53" s="473">
        <v>998</v>
      </c>
      <c r="E53" s="484">
        <v>3.25</v>
      </c>
      <c r="F53" s="486" t="s">
        <v>387</v>
      </c>
      <c r="G53" s="486">
        <v>24</v>
      </c>
      <c r="H53" s="475">
        <v>926.44628099173553</v>
      </c>
      <c r="I53" s="466"/>
      <c r="J53" s="476">
        <v>0</v>
      </c>
      <c r="K53" s="348">
        <v>33.34375</v>
      </c>
      <c r="L53" s="477"/>
      <c r="M53" s="470">
        <v>72</v>
      </c>
      <c r="N53" s="477"/>
      <c r="O53" s="476">
        <v>198</v>
      </c>
      <c r="P53" s="478">
        <v>800.25</v>
      </c>
    </row>
    <row r="54" spans="2:16">
      <c r="B54" s="153" t="s">
        <v>58</v>
      </c>
      <c r="C54" s="472" t="s">
        <v>710</v>
      </c>
      <c r="D54" s="470">
        <v>1097</v>
      </c>
      <c r="E54" s="483">
        <v>3.25</v>
      </c>
      <c r="F54" s="485" t="s">
        <v>387</v>
      </c>
      <c r="G54" s="487">
        <v>24</v>
      </c>
      <c r="H54" s="475">
        <v>1036.3636363636365</v>
      </c>
      <c r="I54" s="466"/>
      <c r="J54" s="476">
        <v>0</v>
      </c>
      <c r="K54" s="348">
        <v>37.46875</v>
      </c>
      <c r="L54" s="477"/>
      <c r="M54" s="470">
        <v>61</v>
      </c>
      <c r="N54" s="477"/>
      <c r="O54" s="476">
        <v>198</v>
      </c>
      <c r="P54" s="478">
        <v>899.25</v>
      </c>
    </row>
    <row r="55" spans="2:16">
      <c r="B55" s="153" t="s">
        <v>58</v>
      </c>
      <c r="C55" s="472" t="s">
        <v>711</v>
      </c>
      <c r="D55" s="473">
        <v>1074</v>
      </c>
      <c r="E55" s="484">
        <v>3.25</v>
      </c>
      <c r="F55" s="486" t="s">
        <v>387</v>
      </c>
      <c r="G55" s="486">
        <v>24</v>
      </c>
      <c r="H55" s="475">
        <v>1010.7438016528926</v>
      </c>
      <c r="I55" s="466"/>
      <c r="J55" s="476">
        <v>0</v>
      </c>
      <c r="K55" s="348">
        <v>36.427083333333336</v>
      </c>
      <c r="L55" s="477"/>
      <c r="M55" s="470">
        <v>63</v>
      </c>
      <c r="N55" s="477"/>
      <c r="O55" s="476">
        <v>200</v>
      </c>
      <c r="P55" s="478">
        <v>874.25</v>
      </c>
    </row>
    <row r="56" spans="2:16">
      <c r="B56" s="153" t="s">
        <v>58</v>
      </c>
      <c r="C56" s="472" t="s">
        <v>712</v>
      </c>
      <c r="D56" s="470">
        <v>1174</v>
      </c>
      <c r="E56" s="483">
        <v>3.25</v>
      </c>
      <c r="F56" s="485" t="s">
        <v>387</v>
      </c>
      <c r="G56" s="487">
        <v>24</v>
      </c>
      <c r="H56" s="475">
        <v>1121.4876033057851</v>
      </c>
      <c r="I56" s="466"/>
      <c r="J56" s="476">
        <v>0</v>
      </c>
      <c r="K56" s="348">
        <v>40.59375</v>
      </c>
      <c r="L56" s="477"/>
      <c r="M56" s="470">
        <v>53</v>
      </c>
      <c r="N56" s="477"/>
      <c r="O56" s="476">
        <v>200</v>
      </c>
      <c r="P56" s="478">
        <v>974.25</v>
      </c>
    </row>
    <row r="57" spans="2:16">
      <c r="B57" s="153" t="s">
        <v>58</v>
      </c>
      <c r="C57" s="472" t="s">
        <v>713</v>
      </c>
      <c r="D57" s="473">
        <v>1265</v>
      </c>
      <c r="E57" s="484">
        <v>3.25</v>
      </c>
      <c r="F57" s="486" t="s">
        <v>387</v>
      </c>
      <c r="G57" s="486">
        <v>24</v>
      </c>
      <c r="H57" s="475">
        <v>1223.1404958677685</v>
      </c>
      <c r="I57" s="466"/>
      <c r="J57" s="476">
        <v>0</v>
      </c>
      <c r="K57" s="348">
        <v>44.385416666666664</v>
      </c>
      <c r="L57" s="477"/>
      <c r="M57" s="470">
        <v>42</v>
      </c>
      <c r="N57" s="477"/>
      <c r="O57" s="476">
        <v>200</v>
      </c>
      <c r="P57" s="478">
        <v>1065.25</v>
      </c>
    </row>
    <row r="58" spans="2:16">
      <c r="B58" s="153" t="s">
        <v>58</v>
      </c>
      <c r="C58" s="472" t="s">
        <v>714</v>
      </c>
      <c r="D58" s="470">
        <v>1456</v>
      </c>
      <c r="E58" s="483">
        <v>3.25</v>
      </c>
      <c r="F58" s="485" t="s">
        <v>387</v>
      </c>
      <c r="G58" s="487">
        <v>24</v>
      </c>
      <c r="H58" s="475">
        <v>1415.702479338843</v>
      </c>
      <c r="I58" s="466"/>
      <c r="J58" s="476">
        <v>0</v>
      </c>
      <c r="K58" s="348">
        <v>52.34375</v>
      </c>
      <c r="L58" s="477"/>
      <c r="M58" s="470">
        <v>40</v>
      </c>
      <c r="N58" s="477"/>
      <c r="O58" s="476">
        <v>200</v>
      </c>
      <c r="P58" s="478">
        <v>1256.25</v>
      </c>
    </row>
    <row r="59" spans="2:16">
      <c r="B59" s="153" t="s">
        <v>110</v>
      </c>
      <c r="C59" s="357" t="s">
        <v>720</v>
      </c>
      <c r="D59" s="473">
        <v>481</v>
      </c>
      <c r="E59" s="484">
        <v>3.25</v>
      </c>
      <c r="F59" s="486" t="s">
        <v>387</v>
      </c>
      <c r="G59" s="486">
        <v>24</v>
      </c>
      <c r="H59" s="475">
        <v>420.6611570247934</v>
      </c>
      <c r="I59" s="466"/>
      <c r="J59" s="476">
        <v>0</v>
      </c>
      <c r="K59" s="348">
        <v>11.876249999999999</v>
      </c>
      <c r="L59" s="477"/>
      <c r="M59" s="470">
        <v>60</v>
      </c>
      <c r="N59" s="477"/>
      <c r="O59" s="476">
        <v>196</v>
      </c>
      <c r="P59" s="478">
        <v>285.02999999999997</v>
      </c>
    </row>
    <row r="60" spans="2:16">
      <c r="B60" s="153" t="s">
        <v>110</v>
      </c>
      <c r="C60" s="357" t="s">
        <v>606</v>
      </c>
      <c r="D60" s="470">
        <v>658</v>
      </c>
      <c r="E60" s="483">
        <v>3.25</v>
      </c>
      <c r="F60" s="485" t="s">
        <v>387</v>
      </c>
      <c r="G60" s="487">
        <v>24</v>
      </c>
      <c r="H60" s="475">
        <v>429.75206611570252</v>
      </c>
      <c r="I60" s="466"/>
      <c r="J60" s="476">
        <v>0</v>
      </c>
      <c r="K60" s="348">
        <v>14.335416666666665</v>
      </c>
      <c r="L60" s="477"/>
      <c r="M60" s="470">
        <v>228</v>
      </c>
      <c r="N60" s="477"/>
      <c r="O60" s="476">
        <v>314</v>
      </c>
      <c r="P60" s="478">
        <v>344.04999999999995</v>
      </c>
    </row>
    <row r="61" spans="2:16">
      <c r="B61" s="153" t="s">
        <v>110</v>
      </c>
      <c r="C61" s="488" t="s">
        <v>721</v>
      </c>
      <c r="D61" s="473">
        <v>183</v>
      </c>
      <c r="E61" s="484">
        <v>3.25</v>
      </c>
      <c r="F61" s="486" t="s">
        <v>387</v>
      </c>
      <c r="G61" s="486">
        <v>24</v>
      </c>
      <c r="H61" s="475">
        <v>138</v>
      </c>
      <c r="I61" s="466"/>
      <c r="J61" s="476">
        <v>0</v>
      </c>
      <c r="K61" s="348">
        <v>3.9912499999999995</v>
      </c>
      <c r="L61" s="477"/>
      <c r="M61" s="470">
        <v>45</v>
      </c>
      <c r="N61" s="477"/>
      <c r="O61" s="476">
        <v>87</v>
      </c>
      <c r="P61" s="478">
        <v>95.789999999999992</v>
      </c>
    </row>
    <row r="62" spans="2:16">
      <c r="B62" s="153" t="s">
        <v>110</v>
      </c>
      <c r="C62" s="357" t="s">
        <v>722</v>
      </c>
      <c r="D62" s="470">
        <v>255</v>
      </c>
      <c r="E62" s="483">
        <v>3.25</v>
      </c>
      <c r="F62" s="485" t="s">
        <v>387</v>
      </c>
      <c r="G62" s="487">
        <v>24</v>
      </c>
      <c r="H62" s="475">
        <v>177.68595041322314</v>
      </c>
      <c r="I62" s="466"/>
      <c r="J62" s="476">
        <v>0</v>
      </c>
      <c r="K62" s="348">
        <v>5.78125</v>
      </c>
      <c r="L62" s="477"/>
      <c r="M62" s="470">
        <v>77</v>
      </c>
      <c r="N62" s="477"/>
      <c r="O62" s="476">
        <v>116</v>
      </c>
      <c r="P62" s="478">
        <v>138.75</v>
      </c>
    </row>
    <row r="63" spans="2:16">
      <c r="B63" s="153" t="s">
        <v>110</v>
      </c>
      <c r="C63" s="357" t="s">
        <v>643</v>
      </c>
      <c r="D63" s="473">
        <v>353</v>
      </c>
      <c r="E63" s="484">
        <v>3.25</v>
      </c>
      <c r="F63" s="486" t="s">
        <v>387</v>
      </c>
      <c r="G63" s="486">
        <v>24</v>
      </c>
      <c r="H63" s="475">
        <v>312.39669421487605</v>
      </c>
      <c r="I63" s="466"/>
      <c r="J63" s="476">
        <v>0</v>
      </c>
      <c r="K63" s="348">
        <v>9.8858333333333324</v>
      </c>
      <c r="L63" s="477"/>
      <c r="M63" s="470">
        <v>41</v>
      </c>
      <c r="N63" s="477"/>
      <c r="O63" s="476">
        <v>116</v>
      </c>
      <c r="P63" s="478">
        <v>237.26</v>
      </c>
    </row>
    <row r="64" spans="2:16">
      <c r="B64" s="153" t="s">
        <v>110</v>
      </c>
      <c r="C64" s="489" t="s">
        <v>723</v>
      </c>
      <c r="D64" s="470">
        <v>481</v>
      </c>
      <c r="E64" s="483">
        <v>0</v>
      </c>
      <c r="F64" s="485" t="s">
        <v>387</v>
      </c>
      <c r="G64" s="487">
        <v>24</v>
      </c>
      <c r="H64" s="475">
        <v>448</v>
      </c>
      <c r="I64" s="466"/>
      <c r="J64" s="476">
        <v>0</v>
      </c>
      <c r="K64" s="348">
        <v>11.459583333333333</v>
      </c>
      <c r="L64" s="477"/>
      <c r="M64" s="470">
        <v>33</v>
      </c>
      <c r="N64" s="477"/>
      <c r="O64" s="476">
        <v>206</v>
      </c>
      <c r="P64" s="478">
        <v>275.02999999999997</v>
      </c>
    </row>
    <row r="65" spans="2:16">
      <c r="B65" s="153" t="s">
        <v>110</v>
      </c>
      <c r="C65" s="357" t="s">
        <v>631</v>
      </c>
      <c r="D65" s="473">
        <v>869</v>
      </c>
      <c r="E65" s="484">
        <v>3.25</v>
      </c>
      <c r="F65" s="486" t="s">
        <v>387</v>
      </c>
      <c r="G65" s="486">
        <v>24</v>
      </c>
      <c r="H65" s="475">
        <v>655.37190082644634</v>
      </c>
      <c r="I65" s="466"/>
      <c r="J65" s="476">
        <v>0</v>
      </c>
      <c r="K65" s="348">
        <v>22.907499999999999</v>
      </c>
      <c r="L65" s="477"/>
      <c r="M65" s="470">
        <v>214</v>
      </c>
      <c r="N65" s="477"/>
      <c r="O65" s="476">
        <v>319</v>
      </c>
      <c r="P65" s="478">
        <v>549.78</v>
      </c>
    </row>
    <row r="66" spans="2:16">
      <c r="B66" s="153" t="s">
        <v>667</v>
      </c>
      <c r="C66" s="357" t="s">
        <v>688</v>
      </c>
      <c r="D66" s="470">
        <v>160</v>
      </c>
      <c r="E66" s="483">
        <v>3.25</v>
      </c>
      <c r="F66" s="485" t="s">
        <v>387</v>
      </c>
      <c r="G66" s="487">
        <v>24</v>
      </c>
      <c r="H66" s="475">
        <v>88.429752066115711</v>
      </c>
      <c r="I66" s="466"/>
      <c r="J66" s="476">
        <v>0</v>
      </c>
      <c r="K66" s="348">
        <v>2.9158333333333335</v>
      </c>
      <c r="L66" s="477"/>
      <c r="M66" s="470">
        <v>72</v>
      </c>
      <c r="N66" s="477"/>
      <c r="O66" s="476">
        <v>90</v>
      </c>
      <c r="P66" s="478">
        <v>69.98</v>
      </c>
    </row>
    <row r="67" spans="2:16">
      <c r="B67" s="153" t="s">
        <v>667</v>
      </c>
      <c r="C67" s="472" t="s">
        <v>689</v>
      </c>
      <c r="D67" s="473">
        <v>176</v>
      </c>
      <c r="E67" s="484">
        <v>3.25</v>
      </c>
      <c r="F67" s="486" t="s">
        <v>387</v>
      </c>
      <c r="G67" s="486">
        <v>24</v>
      </c>
      <c r="H67" s="475">
        <v>157.85123966942149</v>
      </c>
      <c r="I67" s="466"/>
      <c r="J67" s="476">
        <v>0</v>
      </c>
      <c r="K67" s="348">
        <v>3.9658333333333338</v>
      </c>
      <c r="L67" s="477"/>
      <c r="M67" s="470">
        <v>18</v>
      </c>
      <c r="N67" s="477"/>
      <c r="O67" s="476">
        <v>81</v>
      </c>
      <c r="P67" s="478">
        <v>95.18</v>
      </c>
    </row>
    <row r="68" spans="2:16">
      <c r="B68" s="153" t="s">
        <v>667</v>
      </c>
      <c r="C68" s="472" t="s">
        <v>644</v>
      </c>
      <c r="D68" s="470">
        <v>245</v>
      </c>
      <c r="E68" s="483">
        <v>3.25</v>
      </c>
      <c r="F68" s="485" t="s">
        <v>387</v>
      </c>
      <c r="G68" s="487">
        <v>24</v>
      </c>
      <c r="H68" s="475">
        <v>203.30578512396696</v>
      </c>
      <c r="I68" s="466"/>
      <c r="J68" s="476">
        <v>0</v>
      </c>
      <c r="K68" s="348">
        <v>5.8466666666666667</v>
      </c>
      <c r="L68" s="477"/>
      <c r="M68" s="470">
        <v>42</v>
      </c>
      <c r="N68" s="477"/>
      <c r="O68" s="476">
        <v>105</v>
      </c>
      <c r="P68" s="478">
        <v>140.32</v>
      </c>
    </row>
    <row r="69" spans="2:16">
      <c r="B69" s="153" t="s">
        <v>667</v>
      </c>
      <c r="C69" s="472" t="s">
        <v>724</v>
      </c>
      <c r="D69" s="473">
        <v>1072</v>
      </c>
      <c r="E69" s="484">
        <v>3.25</v>
      </c>
      <c r="F69" s="486" t="s">
        <v>387</v>
      </c>
      <c r="G69" s="486">
        <v>24</v>
      </c>
      <c r="H69" s="475">
        <v>951.23966942148763</v>
      </c>
      <c r="I69" s="466"/>
      <c r="J69" s="476">
        <v>0</v>
      </c>
      <c r="K69" s="348">
        <v>28.810416666666669</v>
      </c>
      <c r="L69" s="477"/>
      <c r="M69" s="470">
        <v>121</v>
      </c>
      <c r="N69" s="477"/>
      <c r="O69" s="476">
        <v>381</v>
      </c>
      <c r="P69" s="478">
        <v>691.45</v>
      </c>
    </row>
    <row r="70" spans="2:16">
      <c r="B70" s="153" t="s">
        <v>667</v>
      </c>
      <c r="C70" s="472" t="s">
        <v>632</v>
      </c>
      <c r="D70" s="470">
        <v>428</v>
      </c>
      <c r="E70" s="483">
        <v>3.25</v>
      </c>
      <c r="F70" s="485" t="s">
        <v>387</v>
      </c>
      <c r="G70" s="487">
        <v>24</v>
      </c>
      <c r="H70" s="475">
        <v>357.02479338842977</v>
      </c>
      <c r="I70" s="466"/>
      <c r="J70" s="476">
        <v>0</v>
      </c>
      <c r="K70" s="348">
        <v>9.6412499999999994</v>
      </c>
      <c r="L70" s="477"/>
      <c r="M70" s="470">
        <v>71</v>
      </c>
      <c r="N70" s="477"/>
      <c r="O70" s="476">
        <v>197</v>
      </c>
      <c r="P70" s="478">
        <v>231.39</v>
      </c>
    </row>
    <row r="71" spans="2:16">
      <c r="B71" s="153" t="s">
        <v>667</v>
      </c>
      <c r="C71" s="472" t="s">
        <v>725</v>
      </c>
      <c r="D71" s="473">
        <v>364</v>
      </c>
      <c r="E71" s="484">
        <v>3.25</v>
      </c>
      <c r="F71" s="486" t="s">
        <v>387</v>
      </c>
      <c r="G71" s="486">
        <v>24</v>
      </c>
      <c r="H71" s="475">
        <v>308.26446280991735</v>
      </c>
      <c r="I71" s="466"/>
      <c r="J71" s="476">
        <v>0</v>
      </c>
      <c r="K71" s="348">
        <v>9.0916666666666668</v>
      </c>
      <c r="L71" s="477"/>
      <c r="M71" s="470">
        <v>56</v>
      </c>
      <c r="N71" s="477"/>
      <c r="O71" s="476">
        <v>146</v>
      </c>
      <c r="P71" s="478">
        <v>218.2</v>
      </c>
    </row>
    <row r="72" spans="2:16">
      <c r="B72" s="153" t="s">
        <v>667</v>
      </c>
      <c r="C72" s="472" t="s">
        <v>633</v>
      </c>
      <c r="D72" s="470">
        <v>524</v>
      </c>
      <c r="E72" s="483">
        <v>3.25</v>
      </c>
      <c r="F72" s="485" t="s">
        <v>387</v>
      </c>
      <c r="G72" s="487">
        <v>24</v>
      </c>
      <c r="H72" s="475">
        <v>428.09917355371903</v>
      </c>
      <c r="I72" s="466"/>
      <c r="J72" s="476">
        <v>0</v>
      </c>
      <c r="K72" s="348">
        <v>13.434166666666668</v>
      </c>
      <c r="L72" s="477"/>
      <c r="M72" s="470">
        <v>96</v>
      </c>
      <c r="N72" s="477"/>
      <c r="O72" s="476">
        <v>202</v>
      </c>
      <c r="P72" s="478">
        <v>322.42</v>
      </c>
    </row>
    <row r="73" spans="2:16">
      <c r="B73" s="153" t="s">
        <v>60</v>
      </c>
      <c r="C73" s="472" t="s">
        <v>696</v>
      </c>
      <c r="D73" s="473">
        <v>186</v>
      </c>
      <c r="E73" s="484">
        <v>3.25</v>
      </c>
      <c r="F73" s="486" t="s">
        <v>387</v>
      </c>
      <c r="G73" s="486">
        <v>24</v>
      </c>
      <c r="H73" s="475">
        <v>166.11570247933884</v>
      </c>
      <c r="I73" s="466"/>
      <c r="J73" s="476">
        <v>0</v>
      </c>
      <c r="K73" s="143">
        <v>3.84375</v>
      </c>
      <c r="L73" s="2"/>
      <c r="M73" s="40">
        <v>20</v>
      </c>
      <c r="N73" s="2"/>
      <c r="O73" s="35">
        <v>94</v>
      </c>
      <c r="P73" s="36">
        <v>92.25</v>
      </c>
    </row>
    <row r="74" spans="2:16">
      <c r="B74" s="153" t="s">
        <v>60</v>
      </c>
      <c r="C74" s="357" t="s">
        <v>697</v>
      </c>
      <c r="D74" s="470">
        <v>248</v>
      </c>
      <c r="E74" s="483">
        <v>3.25</v>
      </c>
      <c r="F74" s="485" t="s">
        <v>387</v>
      </c>
      <c r="G74" s="487">
        <v>24</v>
      </c>
      <c r="H74" s="475">
        <v>190.90909090909091</v>
      </c>
      <c r="I74" s="466"/>
      <c r="J74" s="476">
        <v>0</v>
      </c>
      <c r="K74" s="143">
        <v>4.59375</v>
      </c>
      <c r="L74" s="2"/>
      <c r="M74" s="40">
        <v>57</v>
      </c>
      <c r="N74" s="2"/>
      <c r="O74" s="35">
        <v>138</v>
      </c>
      <c r="P74" s="36">
        <v>110.25</v>
      </c>
    </row>
    <row r="75" spans="2:16">
      <c r="B75" s="153" t="s">
        <v>60</v>
      </c>
      <c r="C75" s="357" t="s">
        <v>567</v>
      </c>
      <c r="D75" s="473">
        <v>299</v>
      </c>
      <c r="E75" s="484">
        <v>3.25</v>
      </c>
      <c r="F75" s="486" t="s">
        <v>387</v>
      </c>
      <c r="G75" s="486">
        <v>24</v>
      </c>
      <c r="H75" s="475">
        <v>278.51239669421489</v>
      </c>
      <c r="I75" s="466"/>
      <c r="J75" s="476">
        <v>0</v>
      </c>
      <c r="K75" s="143">
        <v>8.46875</v>
      </c>
      <c r="L75" s="2"/>
      <c r="M75" s="40">
        <v>20</v>
      </c>
      <c r="N75" s="2"/>
      <c r="O75" s="35">
        <v>96</v>
      </c>
      <c r="P75" s="36">
        <v>203.25</v>
      </c>
    </row>
    <row r="76" spans="2:16">
      <c r="B76" s="153" t="s">
        <v>60</v>
      </c>
      <c r="C76" s="357" t="s">
        <v>594</v>
      </c>
      <c r="D76" s="470">
        <v>358</v>
      </c>
      <c r="E76" s="483">
        <v>3.25</v>
      </c>
      <c r="F76" s="485" t="s">
        <v>387</v>
      </c>
      <c r="G76" s="487">
        <v>24</v>
      </c>
      <c r="H76" s="475">
        <v>321.48760330578511</v>
      </c>
      <c r="I76" s="466"/>
      <c r="J76" s="476">
        <v>0</v>
      </c>
      <c r="K76" s="143">
        <v>9.6354166666666661</v>
      </c>
      <c r="L76" s="2"/>
      <c r="M76" s="40">
        <v>37</v>
      </c>
      <c r="N76" s="2"/>
      <c r="O76" s="35">
        <v>127</v>
      </c>
      <c r="P76" s="36">
        <v>231.25</v>
      </c>
    </row>
    <row r="77" spans="2:16">
      <c r="B77" s="153" t="s">
        <v>60</v>
      </c>
      <c r="C77" s="357" t="s">
        <v>595</v>
      </c>
      <c r="D77" s="473">
        <v>442</v>
      </c>
      <c r="E77" s="484">
        <v>3.25</v>
      </c>
      <c r="F77" s="486" t="s">
        <v>387</v>
      </c>
      <c r="G77" s="486">
        <v>24</v>
      </c>
      <c r="H77" s="475">
        <v>380.9917355371901</v>
      </c>
      <c r="I77" s="466"/>
      <c r="J77" s="476">
        <v>0</v>
      </c>
      <c r="K77" s="143">
        <v>12.71875</v>
      </c>
      <c r="L77" s="2"/>
      <c r="M77" s="40">
        <v>61</v>
      </c>
      <c r="N77" s="2"/>
      <c r="O77" s="35">
        <v>137</v>
      </c>
      <c r="P77" s="36">
        <v>305.25</v>
      </c>
    </row>
    <row r="78" spans="2:16">
      <c r="B78" s="153" t="s">
        <v>60</v>
      </c>
      <c r="C78" s="357" t="s">
        <v>510</v>
      </c>
      <c r="D78" s="470">
        <v>938</v>
      </c>
      <c r="E78" s="483">
        <v>3.25</v>
      </c>
      <c r="F78" s="485" t="s">
        <v>387</v>
      </c>
      <c r="G78" s="487">
        <v>24</v>
      </c>
      <c r="H78" s="475">
        <v>570.24793388429748</v>
      </c>
      <c r="I78" s="466"/>
      <c r="J78" s="476">
        <v>0</v>
      </c>
      <c r="K78" s="143">
        <v>19.34375</v>
      </c>
      <c r="L78" s="2"/>
      <c r="M78" s="40">
        <v>368</v>
      </c>
      <c r="N78" s="2"/>
      <c r="O78" s="35">
        <v>474</v>
      </c>
      <c r="P78" s="36">
        <v>464.25</v>
      </c>
    </row>
    <row r="79" spans="2:16">
      <c r="B79" s="153" t="s">
        <v>60</v>
      </c>
      <c r="C79" s="357" t="s">
        <v>578</v>
      </c>
      <c r="D79" s="473">
        <v>842</v>
      </c>
      <c r="E79" s="484">
        <v>3.25</v>
      </c>
      <c r="F79" s="486" t="s">
        <v>387</v>
      </c>
      <c r="G79" s="486">
        <v>24</v>
      </c>
      <c r="H79" s="475">
        <v>651.23966942148763</v>
      </c>
      <c r="I79" s="466"/>
      <c r="J79" s="476">
        <v>0</v>
      </c>
      <c r="K79" s="143">
        <v>22.71875</v>
      </c>
      <c r="L79" s="2"/>
      <c r="M79" s="40">
        <v>191</v>
      </c>
      <c r="N79" s="2"/>
      <c r="O79" s="35">
        <v>297</v>
      </c>
      <c r="P79" s="36">
        <v>545.25</v>
      </c>
    </row>
    <row r="80" spans="2:16">
      <c r="B80" s="153" t="s">
        <v>60</v>
      </c>
      <c r="C80" s="357" t="s">
        <v>579</v>
      </c>
      <c r="D80" s="470">
        <v>902</v>
      </c>
      <c r="E80" s="483">
        <v>3.25</v>
      </c>
      <c r="F80" s="485" t="s">
        <v>387</v>
      </c>
      <c r="G80" s="487">
        <v>24</v>
      </c>
      <c r="H80" s="475">
        <v>670.24793388429759</v>
      </c>
      <c r="I80" s="466"/>
      <c r="J80" s="476">
        <v>0</v>
      </c>
      <c r="K80" s="143">
        <v>23.510416666666668</v>
      </c>
      <c r="L80" s="2"/>
      <c r="M80" s="40">
        <v>232</v>
      </c>
      <c r="N80" s="2"/>
      <c r="O80" s="35">
        <v>338</v>
      </c>
      <c r="P80" s="36">
        <v>564.25</v>
      </c>
    </row>
    <row r="81" spans="2:16">
      <c r="B81" s="153" t="s">
        <v>60</v>
      </c>
      <c r="C81" s="357" t="s">
        <v>731</v>
      </c>
      <c r="D81" s="473">
        <v>686</v>
      </c>
      <c r="E81" s="484">
        <v>3.25</v>
      </c>
      <c r="F81" s="486" t="s">
        <v>387</v>
      </c>
      <c r="G81" s="486">
        <v>24</v>
      </c>
      <c r="H81" s="475">
        <v>626.44628099173553</v>
      </c>
      <c r="I81" s="466"/>
      <c r="J81" s="476">
        <v>0</v>
      </c>
      <c r="K81" s="143">
        <v>19.177083333333332</v>
      </c>
      <c r="L81" s="2"/>
      <c r="M81" s="40">
        <v>60</v>
      </c>
      <c r="N81" s="2"/>
      <c r="O81" s="35">
        <v>226</v>
      </c>
      <c r="P81" s="36">
        <v>460.25</v>
      </c>
    </row>
    <row r="82" spans="2:16">
      <c r="B82" s="153" t="s">
        <v>60</v>
      </c>
      <c r="C82" s="357" t="s">
        <v>580</v>
      </c>
      <c r="D82" s="470">
        <v>1279</v>
      </c>
      <c r="E82" s="483">
        <v>3.25</v>
      </c>
      <c r="F82" s="485" t="s">
        <v>387</v>
      </c>
      <c r="G82" s="487">
        <v>24</v>
      </c>
      <c r="H82" s="475">
        <v>1128.9256198347107</v>
      </c>
      <c r="I82" s="466"/>
      <c r="J82" s="476">
        <v>0</v>
      </c>
      <c r="K82" s="143">
        <v>40.385416666666664</v>
      </c>
      <c r="L82" s="2"/>
      <c r="M82" s="40">
        <v>150</v>
      </c>
      <c r="N82" s="2"/>
      <c r="O82" s="35">
        <v>310</v>
      </c>
      <c r="P82" s="36">
        <v>969.25</v>
      </c>
    </row>
    <row r="83" spans="2:16">
      <c r="B83" s="153" t="s">
        <v>60</v>
      </c>
      <c r="C83" s="357" t="s">
        <v>581</v>
      </c>
      <c r="D83" s="473">
        <v>1372</v>
      </c>
      <c r="E83" s="484">
        <v>3.25</v>
      </c>
      <c r="F83" s="486" t="s">
        <v>387</v>
      </c>
      <c r="G83" s="486">
        <v>24</v>
      </c>
      <c r="H83" s="475">
        <v>1220.6611570247935</v>
      </c>
      <c r="I83" s="466"/>
      <c r="J83" s="476">
        <v>0</v>
      </c>
      <c r="K83" s="143">
        <v>44.21875</v>
      </c>
      <c r="L83" s="2"/>
      <c r="M83" s="40">
        <v>151</v>
      </c>
      <c r="N83" s="2"/>
      <c r="O83" s="35">
        <v>311</v>
      </c>
      <c r="P83" s="36">
        <v>1061.25</v>
      </c>
    </row>
    <row r="84" spans="2:16" s="334" customFormat="1">
      <c r="B84" s="153" t="s">
        <v>60</v>
      </c>
      <c r="C84" s="357" t="s">
        <v>587</v>
      </c>
      <c r="D84" s="473">
        <v>343</v>
      </c>
      <c r="E84" s="484">
        <v>3.25</v>
      </c>
      <c r="F84" s="486" t="s">
        <v>387</v>
      </c>
      <c r="G84" s="486">
        <v>24</v>
      </c>
      <c r="H84" s="475">
        <v>282.64462809917359</v>
      </c>
      <c r="I84" s="466"/>
      <c r="J84" s="476">
        <v>0</v>
      </c>
      <c r="K84" s="143">
        <v>7.802083333333333</v>
      </c>
      <c r="L84" s="2"/>
      <c r="M84" s="40">
        <v>60</v>
      </c>
      <c r="N84" s="2"/>
      <c r="O84" s="35">
        <v>156</v>
      </c>
      <c r="P84" s="36">
        <v>187.25</v>
      </c>
    </row>
    <row r="85" spans="2:16" s="334" customFormat="1">
      <c r="B85" s="153" t="s">
        <v>60</v>
      </c>
      <c r="C85" s="472" t="s">
        <v>653</v>
      </c>
      <c r="D85" s="470">
        <v>1086</v>
      </c>
      <c r="E85" s="483">
        <v>3.25</v>
      </c>
      <c r="F85" s="485" t="s">
        <v>387</v>
      </c>
      <c r="G85" s="487">
        <v>24</v>
      </c>
      <c r="H85" s="475">
        <v>985.95041322314057</v>
      </c>
      <c r="I85" s="466"/>
      <c r="J85" s="476">
        <v>0</v>
      </c>
      <c r="K85" s="143">
        <v>34.427083333333336</v>
      </c>
      <c r="L85" s="2"/>
      <c r="M85" s="40">
        <v>100</v>
      </c>
      <c r="N85" s="2"/>
      <c r="O85" s="35">
        <v>260</v>
      </c>
      <c r="P85" s="36">
        <v>826.25</v>
      </c>
    </row>
    <row r="86" spans="2:16" s="334" customFormat="1">
      <c r="B86" s="153" t="s">
        <v>60</v>
      </c>
      <c r="C86" s="472" t="s">
        <v>654</v>
      </c>
      <c r="D86" s="473">
        <v>1179</v>
      </c>
      <c r="E86" s="484">
        <v>3.25</v>
      </c>
      <c r="F86" s="486" t="s">
        <v>387</v>
      </c>
      <c r="G86" s="486">
        <v>24</v>
      </c>
      <c r="H86" s="475">
        <v>1078.5123966942149</v>
      </c>
      <c r="I86" s="466"/>
      <c r="J86" s="476">
        <v>0</v>
      </c>
      <c r="K86" s="143">
        <v>38.302083333333336</v>
      </c>
      <c r="L86" s="2"/>
      <c r="M86" s="40">
        <v>100</v>
      </c>
      <c r="N86" s="2"/>
      <c r="O86" s="35">
        <v>260</v>
      </c>
      <c r="P86" s="36">
        <v>919.25</v>
      </c>
    </row>
    <row r="87" spans="2:16">
      <c r="B87" s="153" t="s">
        <v>60</v>
      </c>
      <c r="C87" s="472" t="s">
        <v>655</v>
      </c>
      <c r="D87" s="470">
        <v>1980</v>
      </c>
      <c r="E87" s="483">
        <v>3.25</v>
      </c>
      <c r="F87" s="485" t="s">
        <v>387</v>
      </c>
      <c r="G87" s="487">
        <v>24</v>
      </c>
      <c r="H87" s="475">
        <v>1680.1652892561983</v>
      </c>
      <c r="I87" s="466"/>
      <c r="J87" s="476">
        <v>0</v>
      </c>
      <c r="K87" s="143">
        <v>63.354166666666664</v>
      </c>
      <c r="L87" s="2"/>
      <c r="M87" s="40">
        <v>300</v>
      </c>
      <c r="N87" s="2"/>
      <c r="O87" s="35">
        <v>460</v>
      </c>
      <c r="P87" s="36">
        <v>1520.5</v>
      </c>
    </row>
    <row r="88" spans="2:16">
      <c r="B88" s="153" t="s">
        <v>60</v>
      </c>
      <c r="C88" s="472" t="s">
        <v>656</v>
      </c>
      <c r="D88" s="473">
        <v>1703</v>
      </c>
      <c r="E88" s="484">
        <v>3.25</v>
      </c>
      <c r="F88" s="486" t="s">
        <v>387</v>
      </c>
      <c r="G88" s="486">
        <v>24</v>
      </c>
      <c r="H88" s="475">
        <v>1552.8925619834711</v>
      </c>
      <c r="I88" s="466"/>
      <c r="J88" s="476">
        <v>0</v>
      </c>
      <c r="K88" s="143">
        <v>58.052083333333336</v>
      </c>
      <c r="L88" s="2"/>
      <c r="M88" s="40">
        <v>150</v>
      </c>
      <c r="N88" s="2"/>
      <c r="O88" s="35">
        <v>310</v>
      </c>
      <c r="P88" s="36">
        <v>1393.25</v>
      </c>
    </row>
    <row r="89" spans="2:16">
      <c r="B89" s="153" t="s">
        <v>60</v>
      </c>
      <c r="C89" s="472" t="s">
        <v>657</v>
      </c>
      <c r="D89" s="470">
        <v>1796</v>
      </c>
      <c r="E89" s="483">
        <v>3.25</v>
      </c>
      <c r="F89" s="485" t="s">
        <v>387</v>
      </c>
      <c r="G89" s="487">
        <v>24</v>
      </c>
      <c r="H89" s="475">
        <v>1644.6280991735537</v>
      </c>
      <c r="I89" s="466"/>
      <c r="J89" s="476">
        <v>0</v>
      </c>
      <c r="K89" s="143">
        <v>61.885416666666664</v>
      </c>
      <c r="L89" s="2"/>
      <c r="M89" s="40">
        <v>151</v>
      </c>
      <c r="N89" s="2"/>
      <c r="O89" s="35">
        <v>311</v>
      </c>
      <c r="P89" s="36">
        <v>1485.25</v>
      </c>
    </row>
    <row r="90" spans="2:16">
      <c r="B90" s="153" t="s">
        <v>673</v>
      </c>
      <c r="C90" s="472" t="s">
        <v>517</v>
      </c>
      <c r="D90" s="470">
        <v>162</v>
      </c>
      <c r="E90" s="479">
        <v>3.25</v>
      </c>
      <c r="F90" s="213" t="s">
        <v>387</v>
      </c>
      <c r="G90" s="480">
        <v>24</v>
      </c>
      <c r="H90" s="475">
        <v>93.388429752066116</v>
      </c>
      <c r="I90" s="466"/>
      <c r="J90" s="476">
        <v>0</v>
      </c>
      <c r="K90" s="143">
        <v>3.1354166666666665</v>
      </c>
      <c r="L90" s="2"/>
      <c r="M90" s="40">
        <v>69</v>
      </c>
      <c r="N90" s="2"/>
      <c r="O90" s="35">
        <v>87</v>
      </c>
      <c r="P90" s="36">
        <v>75.25</v>
      </c>
    </row>
    <row r="91" spans="2:16">
      <c r="B91" s="153" t="s">
        <v>673</v>
      </c>
      <c r="C91" s="357" t="s">
        <v>600</v>
      </c>
      <c r="D91" s="473">
        <v>161</v>
      </c>
      <c r="E91" s="423">
        <v>3.25</v>
      </c>
      <c r="F91" s="474" t="s">
        <v>387</v>
      </c>
      <c r="G91" s="474">
        <v>24</v>
      </c>
      <c r="H91" s="475">
        <v>134.71074380165291</v>
      </c>
      <c r="I91" s="466"/>
      <c r="J91" s="476">
        <v>0</v>
      </c>
      <c r="K91" s="143">
        <v>4.427083333333333</v>
      </c>
      <c r="L91" s="2"/>
      <c r="M91" s="40">
        <v>26</v>
      </c>
      <c r="N91" s="2"/>
      <c r="O91" s="35">
        <v>55</v>
      </c>
      <c r="P91" s="36">
        <v>106.25</v>
      </c>
    </row>
    <row r="92" spans="2:16">
      <c r="B92" s="153" t="s">
        <v>673</v>
      </c>
      <c r="C92" s="357" t="s">
        <v>642</v>
      </c>
      <c r="D92" s="470">
        <v>201</v>
      </c>
      <c r="E92" s="479">
        <v>3.25</v>
      </c>
      <c r="F92" s="213" t="s">
        <v>387</v>
      </c>
      <c r="G92" s="480">
        <v>24</v>
      </c>
      <c r="H92" s="475">
        <v>185.95041322314052</v>
      </c>
      <c r="I92" s="466"/>
      <c r="J92" s="476">
        <v>0</v>
      </c>
      <c r="K92" s="143">
        <v>6.135416666666667</v>
      </c>
      <c r="L92" s="2"/>
      <c r="M92" s="40">
        <v>15</v>
      </c>
      <c r="N92" s="2"/>
      <c r="O92" s="35">
        <v>54</v>
      </c>
      <c r="P92" s="36">
        <v>147.25</v>
      </c>
    </row>
    <row r="93" spans="2:16">
      <c r="B93" s="153" t="s">
        <v>664</v>
      </c>
      <c r="C93" s="357" t="s">
        <v>585</v>
      </c>
      <c r="D93" s="473">
        <v>1072</v>
      </c>
      <c r="E93" s="423">
        <v>3.25</v>
      </c>
      <c r="F93" s="474" t="s">
        <v>387</v>
      </c>
      <c r="G93" s="474">
        <v>24</v>
      </c>
      <c r="H93" s="475">
        <v>687.60330578512401</v>
      </c>
      <c r="I93" s="466"/>
      <c r="J93" s="476">
        <v>0</v>
      </c>
      <c r="K93" s="143">
        <v>24.229583333333334</v>
      </c>
      <c r="L93" s="2"/>
      <c r="M93" s="40">
        <v>384</v>
      </c>
      <c r="N93" s="2"/>
      <c r="O93" s="35">
        <v>490</v>
      </c>
      <c r="P93" s="36">
        <v>581.51</v>
      </c>
    </row>
    <row r="94" spans="2:16">
      <c r="B94" s="153" t="s">
        <v>664</v>
      </c>
      <c r="C94" s="357" t="s">
        <v>686</v>
      </c>
      <c r="D94" s="470">
        <v>174</v>
      </c>
      <c r="E94" s="479">
        <v>3.25</v>
      </c>
      <c r="F94" s="213" t="s">
        <v>387</v>
      </c>
      <c r="G94" s="480">
        <v>24</v>
      </c>
      <c r="H94" s="475">
        <v>88.429752066115711</v>
      </c>
      <c r="I94" s="466"/>
      <c r="J94" s="476">
        <v>0</v>
      </c>
      <c r="K94" s="143">
        <v>2.9033333333333338</v>
      </c>
      <c r="L94" s="2"/>
      <c r="M94" s="40">
        <v>86</v>
      </c>
      <c r="N94" s="2"/>
      <c r="O94" s="35">
        <v>104</v>
      </c>
      <c r="P94" s="36">
        <v>69.680000000000007</v>
      </c>
    </row>
    <row r="95" spans="2:16">
      <c r="B95" s="153" t="s">
        <v>664</v>
      </c>
      <c r="C95" s="472" t="s">
        <v>733</v>
      </c>
      <c r="D95" s="473">
        <v>638</v>
      </c>
      <c r="E95" s="423">
        <v>3.25</v>
      </c>
      <c r="F95" s="474" t="s">
        <v>387</v>
      </c>
      <c r="G95" s="474">
        <v>24</v>
      </c>
      <c r="H95" s="475">
        <v>507.43801652892563</v>
      </c>
      <c r="I95" s="466"/>
      <c r="J95" s="476">
        <v>0</v>
      </c>
      <c r="K95" s="143">
        <v>14.648750000000001</v>
      </c>
      <c r="L95" s="2"/>
      <c r="M95" s="40">
        <v>131</v>
      </c>
      <c r="N95" s="2"/>
      <c r="O95" s="35">
        <v>286</v>
      </c>
      <c r="P95" s="36">
        <v>351.57000000000005</v>
      </c>
    </row>
    <row r="96" spans="2:16">
      <c r="B96" s="153" t="s">
        <v>664</v>
      </c>
      <c r="C96" s="472" t="s">
        <v>734</v>
      </c>
      <c r="D96" s="470">
        <v>801</v>
      </c>
      <c r="E96" s="479">
        <v>3.25</v>
      </c>
      <c r="F96" s="213" t="s">
        <v>387</v>
      </c>
      <c r="G96" s="480">
        <v>24</v>
      </c>
      <c r="H96" s="475">
        <v>614.87603305785126</v>
      </c>
      <c r="I96" s="466"/>
      <c r="J96" s="476">
        <v>0</v>
      </c>
      <c r="K96" s="143">
        <v>21.194999999999997</v>
      </c>
      <c r="L96" s="2"/>
      <c r="M96" s="40">
        <v>186</v>
      </c>
      <c r="N96" s="2"/>
      <c r="O96" s="35">
        <v>292</v>
      </c>
      <c r="P96" s="36">
        <v>508.67999999999995</v>
      </c>
    </row>
    <row r="97" spans="2:16">
      <c r="B97" s="153" t="s">
        <v>664</v>
      </c>
      <c r="C97" s="472" t="s">
        <v>735</v>
      </c>
      <c r="D97" s="473">
        <v>895</v>
      </c>
      <c r="E97" s="423">
        <v>3.25</v>
      </c>
      <c r="F97" s="474" t="s">
        <v>387</v>
      </c>
      <c r="G97" s="474">
        <v>24</v>
      </c>
      <c r="H97" s="475">
        <v>761.15702479338847</v>
      </c>
      <c r="I97" s="466"/>
      <c r="J97" s="476">
        <v>0</v>
      </c>
      <c r="K97" s="143">
        <v>21.46166666666667</v>
      </c>
      <c r="L97" s="2"/>
      <c r="M97" s="40">
        <v>134</v>
      </c>
      <c r="N97" s="2"/>
      <c r="O97" s="35">
        <v>380</v>
      </c>
      <c r="P97" s="36">
        <v>515.08000000000004</v>
      </c>
    </row>
    <row r="98" spans="2:16">
      <c r="B98" s="153" t="s">
        <v>664</v>
      </c>
      <c r="C98" s="472" t="s">
        <v>613</v>
      </c>
      <c r="D98" s="473">
        <v>205</v>
      </c>
      <c r="E98" s="484">
        <v>3.25</v>
      </c>
      <c r="F98" s="486" t="s">
        <v>387</v>
      </c>
      <c r="G98" s="486">
        <v>24</v>
      </c>
      <c r="H98" s="475">
        <v>98.347107438016536</v>
      </c>
      <c r="I98" s="466"/>
      <c r="J98" s="476">
        <v>0</v>
      </c>
      <c r="K98" s="143">
        <v>3.34375</v>
      </c>
      <c r="L98" s="2"/>
      <c r="M98" s="40">
        <v>107</v>
      </c>
      <c r="N98" s="2"/>
      <c r="O98" s="35">
        <v>125</v>
      </c>
      <c r="P98" s="36">
        <v>80.25</v>
      </c>
    </row>
    <row r="99" spans="2:16">
      <c r="B99" s="153" t="s">
        <v>664</v>
      </c>
      <c r="C99" s="472" t="s">
        <v>572</v>
      </c>
      <c r="D99" s="470">
        <v>326</v>
      </c>
      <c r="E99" s="483">
        <v>3.25</v>
      </c>
      <c r="F99" s="485" t="s">
        <v>387</v>
      </c>
      <c r="G99" s="487">
        <v>24</v>
      </c>
      <c r="H99" s="475">
        <v>179.3388429752066</v>
      </c>
      <c r="I99" s="466"/>
      <c r="J99" s="476">
        <v>0</v>
      </c>
      <c r="K99" s="143">
        <v>5.8483333333333336</v>
      </c>
      <c r="L99" s="2"/>
      <c r="M99" s="40">
        <v>147</v>
      </c>
      <c r="N99" s="2"/>
      <c r="O99" s="35">
        <v>186</v>
      </c>
      <c r="P99" s="36">
        <v>140.36000000000001</v>
      </c>
    </row>
    <row r="100" spans="2:16">
      <c r="B100" s="153" t="s">
        <v>664</v>
      </c>
      <c r="C100" s="488" t="s">
        <v>736</v>
      </c>
      <c r="D100" s="473">
        <v>323</v>
      </c>
      <c r="E100" s="484">
        <v>3.25</v>
      </c>
      <c r="F100" s="486" t="s">
        <v>387</v>
      </c>
      <c r="G100" s="486">
        <v>24</v>
      </c>
      <c r="H100" s="475">
        <v>347</v>
      </c>
      <c r="I100" s="466"/>
      <c r="J100" s="476">
        <v>0</v>
      </c>
      <c r="K100" s="143">
        <v>7.1520833333333336</v>
      </c>
      <c r="L100" s="2"/>
      <c r="M100" s="40">
        <v>-24</v>
      </c>
      <c r="N100" s="2"/>
      <c r="O100" s="35">
        <v>151</v>
      </c>
      <c r="P100" s="36">
        <v>171.65</v>
      </c>
    </row>
    <row r="101" spans="2:16">
      <c r="B101" s="153" t="s">
        <v>664</v>
      </c>
      <c r="C101" s="472" t="s">
        <v>737</v>
      </c>
      <c r="D101" s="470">
        <v>415</v>
      </c>
      <c r="E101" s="483">
        <v>3.25</v>
      </c>
      <c r="F101" s="485" t="s">
        <v>387</v>
      </c>
      <c r="G101" s="487">
        <v>24</v>
      </c>
      <c r="H101" s="475">
        <v>333.88429752066116</v>
      </c>
      <c r="I101" s="466"/>
      <c r="J101" s="476">
        <v>0</v>
      </c>
      <c r="K101" s="143">
        <v>10.7525</v>
      </c>
      <c r="L101" s="2"/>
      <c r="M101" s="40">
        <v>81</v>
      </c>
      <c r="N101" s="2"/>
      <c r="O101" s="35">
        <v>157</v>
      </c>
      <c r="P101" s="36">
        <v>258.06</v>
      </c>
    </row>
    <row r="102" spans="2:16">
      <c r="B102" s="153" t="s">
        <v>664</v>
      </c>
      <c r="C102" s="472" t="s">
        <v>738</v>
      </c>
      <c r="D102" s="473">
        <v>516</v>
      </c>
      <c r="E102" s="484">
        <v>3.25</v>
      </c>
      <c r="F102" s="486" t="s">
        <v>387</v>
      </c>
      <c r="G102" s="486">
        <v>24</v>
      </c>
      <c r="H102" s="475">
        <v>415.70247933884298</v>
      </c>
      <c r="I102" s="466"/>
      <c r="J102" s="476">
        <v>0</v>
      </c>
      <c r="K102" s="143">
        <v>13.727499999999999</v>
      </c>
      <c r="L102" s="2"/>
      <c r="M102" s="40">
        <v>100</v>
      </c>
      <c r="N102" s="2"/>
      <c r="O102" s="35">
        <v>187</v>
      </c>
      <c r="P102" s="36">
        <v>329.46</v>
      </c>
    </row>
    <row r="103" spans="2:16">
      <c r="B103" s="153" t="s">
        <v>540</v>
      </c>
      <c r="C103" s="357" t="s">
        <v>687</v>
      </c>
      <c r="D103" s="473">
        <v>148</v>
      </c>
      <c r="E103" s="423">
        <v>3.25</v>
      </c>
      <c r="F103" s="474" t="s">
        <v>387</v>
      </c>
      <c r="G103" s="474">
        <v>24</v>
      </c>
      <c r="H103" s="475">
        <v>96.694214876033058</v>
      </c>
      <c r="I103" s="466"/>
      <c r="J103" s="476">
        <v>0</v>
      </c>
      <c r="K103" s="143">
        <v>3.2604166666666665</v>
      </c>
      <c r="L103" s="2"/>
      <c r="M103" s="40">
        <v>51</v>
      </c>
      <c r="N103" s="2"/>
      <c r="O103" s="35">
        <v>70</v>
      </c>
      <c r="P103" s="36">
        <v>78.25</v>
      </c>
    </row>
    <row r="104" spans="2:16">
      <c r="B104" s="153" t="s">
        <v>57</v>
      </c>
      <c r="C104" s="357" t="s">
        <v>583</v>
      </c>
      <c r="D104" s="473">
        <v>751</v>
      </c>
      <c r="E104" s="484">
        <v>5.33</v>
      </c>
      <c r="F104" s="486" t="s">
        <v>391</v>
      </c>
      <c r="G104" s="486">
        <v>24</v>
      </c>
      <c r="H104" s="475">
        <v>621.48760330578511</v>
      </c>
      <c r="I104" s="466"/>
      <c r="J104" s="476">
        <v>0</v>
      </c>
      <c r="K104" s="348">
        <v>21.472083333333334</v>
      </c>
      <c r="L104" s="477"/>
      <c r="M104" s="470">
        <v>130</v>
      </c>
      <c r="N104" s="477"/>
      <c r="O104" s="476">
        <v>236</v>
      </c>
      <c r="P104" s="478">
        <v>515.33000000000004</v>
      </c>
    </row>
    <row r="105" spans="2:16">
      <c r="B105" s="153" t="s">
        <v>57</v>
      </c>
      <c r="C105" s="357" t="s">
        <v>590</v>
      </c>
      <c r="D105" s="470">
        <v>915</v>
      </c>
      <c r="E105" s="483">
        <v>5.33</v>
      </c>
      <c r="F105" s="485" t="s">
        <v>391</v>
      </c>
      <c r="G105" s="487">
        <v>24</v>
      </c>
      <c r="H105" s="475">
        <v>680.99173553719015</v>
      </c>
      <c r="I105" s="466"/>
      <c r="J105" s="476">
        <v>0</v>
      </c>
      <c r="K105" s="348">
        <v>23.972083333333334</v>
      </c>
      <c r="L105" s="477"/>
      <c r="M105" s="470">
        <v>234</v>
      </c>
      <c r="N105" s="477"/>
      <c r="O105" s="476">
        <v>340</v>
      </c>
      <c r="P105" s="478">
        <v>575.33000000000004</v>
      </c>
    </row>
    <row r="106" spans="2:16">
      <c r="B106" s="153" t="s">
        <v>225</v>
      </c>
      <c r="C106" s="472" t="s">
        <v>715</v>
      </c>
      <c r="D106" s="473">
        <v>867</v>
      </c>
      <c r="E106" s="484">
        <v>5.33</v>
      </c>
      <c r="F106" s="486" t="s">
        <v>391</v>
      </c>
      <c r="G106" s="486">
        <v>24</v>
      </c>
      <c r="H106" s="475">
        <v>638.01652892561981</v>
      </c>
      <c r="I106" s="466"/>
      <c r="J106" s="476">
        <v>0</v>
      </c>
      <c r="K106" s="348">
        <v>22.184583333333332</v>
      </c>
      <c r="L106" s="477"/>
      <c r="M106" s="470">
        <v>229</v>
      </c>
      <c r="N106" s="477"/>
      <c r="O106" s="476">
        <v>335</v>
      </c>
      <c r="P106" s="478">
        <v>532.42999999999995</v>
      </c>
    </row>
    <row r="107" spans="2:16">
      <c r="B107" s="153" t="s">
        <v>225</v>
      </c>
      <c r="C107" s="472" t="s">
        <v>557</v>
      </c>
      <c r="D107" s="470">
        <v>462</v>
      </c>
      <c r="E107" s="483">
        <v>5.33</v>
      </c>
      <c r="F107" s="485" t="s">
        <v>391</v>
      </c>
      <c r="G107" s="487">
        <v>24</v>
      </c>
      <c r="H107" s="475">
        <v>431.40495867768595</v>
      </c>
      <c r="I107" s="466"/>
      <c r="J107" s="476">
        <v>0</v>
      </c>
      <c r="K107" s="348">
        <v>14.38875</v>
      </c>
      <c r="L107" s="477"/>
      <c r="M107" s="470">
        <v>31</v>
      </c>
      <c r="N107" s="477"/>
      <c r="O107" s="476">
        <v>117</v>
      </c>
      <c r="P107" s="478">
        <v>345.33</v>
      </c>
    </row>
    <row r="108" spans="2:16">
      <c r="B108" s="153" t="s">
        <v>225</v>
      </c>
      <c r="C108" s="488" t="s">
        <v>716</v>
      </c>
      <c r="D108" s="473">
        <v>472</v>
      </c>
      <c r="E108" s="484">
        <v>5.33</v>
      </c>
      <c r="F108" s="486" t="s">
        <v>391</v>
      </c>
      <c r="G108" s="486">
        <v>24</v>
      </c>
      <c r="H108" s="475">
        <v>431.40495867768595</v>
      </c>
      <c r="I108" s="466"/>
      <c r="J108" s="476">
        <v>0</v>
      </c>
      <c r="K108" s="348">
        <v>14.38875</v>
      </c>
      <c r="L108" s="477"/>
      <c r="M108" s="470">
        <v>41</v>
      </c>
      <c r="N108" s="477"/>
      <c r="O108" s="476">
        <v>127</v>
      </c>
      <c r="P108" s="478">
        <v>345.33</v>
      </c>
    </row>
    <row r="109" spans="2:16">
      <c r="B109" s="153" t="s">
        <v>225</v>
      </c>
      <c r="C109" s="488" t="s">
        <v>717</v>
      </c>
      <c r="D109" s="470">
        <v>620</v>
      </c>
      <c r="E109" s="483">
        <v>5.33</v>
      </c>
      <c r="F109" s="485" t="s">
        <v>391</v>
      </c>
      <c r="G109" s="487">
        <v>24</v>
      </c>
      <c r="H109" s="475">
        <v>569.42148760330576</v>
      </c>
      <c r="I109" s="466"/>
      <c r="J109" s="476">
        <v>0</v>
      </c>
      <c r="K109" s="348">
        <v>19.31625</v>
      </c>
      <c r="L109" s="477"/>
      <c r="M109" s="470">
        <v>51</v>
      </c>
      <c r="N109" s="477"/>
      <c r="O109" s="476">
        <v>156</v>
      </c>
      <c r="P109" s="478">
        <v>463.59000000000003</v>
      </c>
    </row>
    <row r="110" spans="2:16">
      <c r="B110" s="153" t="s">
        <v>225</v>
      </c>
      <c r="C110" s="472" t="s">
        <v>533</v>
      </c>
      <c r="D110" s="473">
        <v>638</v>
      </c>
      <c r="E110" s="484">
        <v>5.33</v>
      </c>
      <c r="F110" s="486" t="s">
        <v>391</v>
      </c>
      <c r="G110" s="486">
        <v>24</v>
      </c>
      <c r="H110" s="475">
        <v>619.83471074380168</v>
      </c>
      <c r="I110" s="466"/>
      <c r="J110" s="476">
        <v>0</v>
      </c>
      <c r="K110" s="348">
        <v>21.399583333333336</v>
      </c>
      <c r="L110" s="477"/>
      <c r="M110" s="470">
        <v>18</v>
      </c>
      <c r="N110" s="477"/>
      <c r="O110" s="476">
        <v>124</v>
      </c>
      <c r="P110" s="478">
        <v>513.59</v>
      </c>
    </row>
    <row r="111" spans="2:16">
      <c r="B111" s="153" t="s">
        <v>225</v>
      </c>
      <c r="C111" s="472" t="s">
        <v>718</v>
      </c>
      <c r="D111" s="470">
        <v>915</v>
      </c>
      <c r="E111" s="483">
        <v>5.33</v>
      </c>
      <c r="F111" s="485" t="s">
        <v>391</v>
      </c>
      <c r="G111" s="487">
        <v>24</v>
      </c>
      <c r="H111" s="475">
        <v>850.41322314049592</v>
      </c>
      <c r="I111" s="466"/>
      <c r="J111" s="476">
        <v>0</v>
      </c>
      <c r="K111" s="348">
        <v>29.347083333333334</v>
      </c>
      <c r="L111" s="477"/>
      <c r="M111" s="470">
        <v>65</v>
      </c>
      <c r="N111" s="477"/>
      <c r="O111" s="476">
        <v>211</v>
      </c>
      <c r="P111" s="478">
        <v>704.33</v>
      </c>
    </row>
    <row r="112" spans="2:16">
      <c r="B112" s="153" t="s">
        <v>225</v>
      </c>
      <c r="C112" s="472" t="s">
        <v>563</v>
      </c>
      <c r="D112" s="473">
        <v>948</v>
      </c>
      <c r="E112" s="484">
        <v>5.33</v>
      </c>
      <c r="F112" s="486" t="s">
        <v>391</v>
      </c>
      <c r="G112" s="486">
        <v>24</v>
      </c>
      <c r="H112" s="475">
        <v>949.5867768595042</v>
      </c>
      <c r="I112" s="466"/>
      <c r="J112" s="476">
        <v>0</v>
      </c>
      <c r="K112" s="348">
        <v>32.930416666666666</v>
      </c>
      <c r="L112" s="477"/>
      <c r="M112" s="470">
        <v>-2</v>
      </c>
      <c r="N112" s="477"/>
      <c r="O112" s="476">
        <v>158</v>
      </c>
      <c r="P112" s="478">
        <v>790.32999999999993</v>
      </c>
    </row>
    <row r="113" spans="2:16">
      <c r="B113" s="153" t="s">
        <v>225</v>
      </c>
      <c r="C113" s="472" t="s">
        <v>645</v>
      </c>
      <c r="D113" s="470">
        <v>525</v>
      </c>
      <c r="E113" s="483">
        <v>5.33</v>
      </c>
      <c r="F113" s="485" t="s">
        <v>391</v>
      </c>
      <c r="G113" s="487">
        <v>24</v>
      </c>
      <c r="H113" s="475">
        <v>404.13</v>
      </c>
      <c r="I113" s="466"/>
      <c r="J113" s="476">
        <v>0</v>
      </c>
      <c r="K113" s="348">
        <v>13.274583333333332</v>
      </c>
      <c r="L113" s="477"/>
      <c r="M113" s="470">
        <v>121</v>
      </c>
      <c r="N113" s="477"/>
      <c r="O113" s="476">
        <v>206</v>
      </c>
      <c r="P113" s="478">
        <v>318.58999999999997</v>
      </c>
    </row>
    <row r="114" spans="2:16">
      <c r="B114" s="153" t="s">
        <v>59</v>
      </c>
      <c r="C114" s="357" t="s">
        <v>630</v>
      </c>
      <c r="D114" s="470">
        <v>867</v>
      </c>
      <c r="E114" s="479">
        <v>5.33</v>
      </c>
      <c r="F114" s="213" t="s">
        <v>391</v>
      </c>
      <c r="G114" s="480">
        <v>24</v>
      </c>
      <c r="H114" s="475">
        <v>695.8677685950413</v>
      </c>
      <c r="I114" s="466"/>
      <c r="J114" s="476">
        <v>0</v>
      </c>
      <c r="K114" s="348">
        <v>24.568333333333332</v>
      </c>
      <c r="L114" s="477"/>
      <c r="M114" s="470">
        <v>171</v>
      </c>
      <c r="N114" s="477"/>
      <c r="O114" s="476">
        <v>277</v>
      </c>
      <c r="P114" s="478">
        <v>589.64</v>
      </c>
    </row>
    <row r="115" spans="2:16">
      <c r="B115" s="153" t="s">
        <v>60</v>
      </c>
      <c r="C115" s="357" t="s">
        <v>522</v>
      </c>
      <c r="D115" s="470">
        <v>533</v>
      </c>
      <c r="E115" s="483">
        <v>5.33</v>
      </c>
      <c r="F115" s="485" t="s">
        <v>391</v>
      </c>
      <c r="G115" s="487">
        <v>24</v>
      </c>
      <c r="H115" s="475">
        <v>422.31404958677689</v>
      </c>
      <c r="I115" s="466"/>
      <c r="J115" s="476">
        <v>0</v>
      </c>
      <c r="K115" s="143">
        <v>14.005000000000001</v>
      </c>
      <c r="L115" s="2"/>
      <c r="M115" s="40">
        <v>111</v>
      </c>
      <c r="N115" s="2"/>
      <c r="O115" s="35">
        <v>197</v>
      </c>
      <c r="P115" s="36">
        <v>336.12</v>
      </c>
    </row>
    <row r="116" spans="2:16">
      <c r="B116" s="153" t="s">
        <v>60</v>
      </c>
      <c r="C116" s="489" t="s">
        <v>727</v>
      </c>
      <c r="D116" s="473">
        <v>588</v>
      </c>
      <c r="E116" s="484">
        <v>5.33</v>
      </c>
      <c r="F116" s="486" t="s">
        <v>391</v>
      </c>
      <c r="G116" s="486">
        <v>24</v>
      </c>
      <c r="H116" s="475">
        <v>614</v>
      </c>
      <c r="I116" s="466"/>
      <c r="J116" s="476">
        <v>0</v>
      </c>
      <c r="K116" s="143">
        <v>16.305416666666666</v>
      </c>
      <c r="L116" s="2"/>
      <c r="M116" s="40">
        <v>-26</v>
      </c>
      <c r="N116" s="2"/>
      <c r="O116" s="35">
        <v>197</v>
      </c>
      <c r="P116" s="36">
        <v>391.33</v>
      </c>
    </row>
    <row r="117" spans="2:16">
      <c r="B117" s="153" t="s">
        <v>60</v>
      </c>
      <c r="C117" s="489" t="s">
        <v>728</v>
      </c>
      <c r="D117" s="470">
        <v>921</v>
      </c>
      <c r="E117" s="483">
        <v>5.33</v>
      </c>
      <c r="F117" s="485" t="s">
        <v>391</v>
      </c>
      <c r="G117" s="487">
        <v>24</v>
      </c>
      <c r="H117" s="475">
        <v>792.56198347107443</v>
      </c>
      <c r="I117" s="466"/>
      <c r="J117" s="476">
        <v>0</v>
      </c>
      <c r="K117" s="143">
        <v>26.93041666666667</v>
      </c>
      <c r="L117" s="2"/>
      <c r="M117" s="40">
        <v>128</v>
      </c>
      <c r="N117" s="2"/>
      <c r="O117" s="35">
        <v>275</v>
      </c>
      <c r="P117" s="36">
        <v>646.33000000000004</v>
      </c>
    </row>
    <row r="118" spans="2:16">
      <c r="B118" s="153" t="s">
        <v>60</v>
      </c>
      <c r="C118" s="357" t="s">
        <v>729</v>
      </c>
      <c r="D118" s="473">
        <v>801</v>
      </c>
      <c r="E118" s="484">
        <v>5.33</v>
      </c>
      <c r="F118" s="486" t="s">
        <v>391</v>
      </c>
      <c r="G118" s="486">
        <v>24</v>
      </c>
      <c r="H118" s="475">
        <v>671.07438016528931</v>
      </c>
      <c r="I118" s="466"/>
      <c r="J118" s="476">
        <v>0</v>
      </c>
      <c r="K118" s="143">
        <v>23.545416666666668</v>
      </c>
      <c r="L118" s="2"/>
      <c r="M118" s="40">
        <v>130</v>
      </c>
      <c r="N118" s="2"/>
      <c r="O118" s="35">
        <v>236</v>
      </c>
      <c r="P118" s="36">
        <v>565.09</v>
      </c>
    </row>
    <row r="119" spans="2:16">
      <c r="B119" s="153" t="s">
        <v>60</v>
      </c>
      <c r="C119" s="357" t="s">
        <v>584</v>
      </c>
      <c r="D119" s="470">
        <v>1487</v>
      </c>
      <c r="E119" s="483">
        <v>5.33</v>
      </c>
      <c r="F119" s="485" t="s">
        <v>391</v>
      </c>
      <c r="G119" s="487">
        <v>24</v>
      </c>
      <c r="H119" s="475">
        <v>1228.9256198347107</v>
      </c>
      <c r="I119" s="466"/>
      <c r="J119" s="476">
        <v>0</v>
      </c>
      <c r="K119" s="143">
        <v>44.555416666666666</v>
      </c>
      <c r="L119" s="2"/>
      <c r="M119" s="40">
        <v>258</v>
      </c>
      <c r="N119" s="2"/>
      <c r="O119" s="35">
        <v>418</v>
      </c>
      <c r="P119" s="36">
        <v>1069.33</v>
      </c>
    </row>
    <row r="120" spans="2:16">
      <c r="B120" s="153" t="s">
        <v>60</v>
      </c>
      <c r="C120" s="489" t="s">
        <v>730</v>
      </c>
      <c r="D120" s="473">
        <v>1487</v>
      </c>
      <c r="E120" s="484">
        <v>5.33</v>
      </c>
      <c r="F120" s="486" t="s">
        <v>391</v>
      </c>
      <c r="G120" s="486">
        <v>24</v>
      </c>
      <c r="H120" s="475">
        <v>1511</v>
      </c>
      <c r="I120" s="466"/>
      <c r="J120" s="476">
        <v>0</v>
      </c>
      <c r="K120" s="143">
        <v>45.388749999999995</v>
      </c>
      <c r="L120" s="2"/>
      <c r="M120" s="40">
        <v>-24</v>
      </c>
      <c r="N120" s="2"/>
      <c r="O120" s="35">
        <v>398</v>
      </c>
      <c r="P120" s="36">
        <v>1089.33</v>
      </c>
    </row>
    <row r="121" spans="2:16">
      <c r="B121" s="153" t="s">
        <v>670</v>
      </c>
      <c r="C121" s="488" t="s">
        <v>705</v>
      </c>
      <c r="D121" s="473">
        <v>137</v>
      </c>
      <c r="E121" s="423">
        <v>3.75</v>
      </c>
      <c r="F121" s="213" t="s">
        <v>381</v>
      </c>
      <c r="G121" s="474">
        <v>24</v>
      </c>
      <c r="H121" s="475">
        <v>165</v>
      </c>
      <c r="I121" s="466"/>
      <c r="J121" s="476">
        <v>0</v>
      </c>
      <c r="K121" s="348">
        <v>4.510416666666667</v>
      </c>
      <c r="L121" s="477"/>
      <c r="M121" s="470">
        <v>-28</v>
      </c>
      <c r="N121" s="477"/>
      <c r="O121" s="476">
        <v>29</v>
      </c>
      <c r="P121" s="478">
        <v>108.25</v>
      </c>
    </row>
    <row r="122" spans="2:16">
      <c r="B122" s="153" t="s">
        <v>670</v>
      </c>
      <c r="C122" s="472" t="s">
        <v>614</v>
      </c>
      <c r="D122" s="470">
        <v>204</v>
      </c>
      <c r="E122" s="479">
        <v>3.75</v>
      </c>
      <c r="F122" s="213" t="s">
        <v>381</v>
      </c>
      <c r="G122" s="480">
        <v>24</v>
      </c>
      <c r="H122" s="475">
        <v>173.55371900826447</v>
      </c>
      <c r="I122" s="466"/>
      <c r="J122" s="476">
        <v>0</v>
      </c>
      <c r="K122" s="348">
        <v>5.614583333333333</v>
      </c>
      <c r="L122" s="477"/>
      <c r="M122" s="470">
        <v>30</v>
      </c>
      <c r="N122" s="477"/>
      <c r="O122" s="476">
        <v>69</v>
      </c>
      <c r="P122" s="478">
        <v>134.75</v>
      </c>
    </row>
    <row r="123" spans="2:16">
      <c r="B123" s="153" t="s">
        <v>58</v>
      </c>
      <c r="C123" s="488" t="s">
        <v>706</v>
      </c>
      <c r="D123" s="473">
        <v>367</v>
      </c>
      <c r="E123" s="423">
        <v>3.75</v>
      </c>
      <c r="F123" s="213" t="s">
        <v>381</v>
      </c>
      <c r="G123" s="474">
        <v>24</v>
      </c>
      <c r="H123" s="475">
        <v>366.11570247933884</v>
      </c>
      <c r="I123" s="466"/>
      <c r="J123" s="476">
        <v>0</v>
      </c>
      <c r="K123" s="348">
        <v>12.122916666666667</v>
      </c>
      <c r="L123" s="477"/>
      <c r="M123" s="470">
        <v>1</v>
      </c>
      <c r="N123" s="477"/>
      <c r="O123" s="476">
        <v>76</v>
      </c>
      <c r="P123" s="478">
        <v>290.95</v>
      </c>
    </row>
    <row r="124" spans="2:16">
      <c r="B124" s="153" t="s">
        <v>58</v>
      </c>
      <c r="C124" s="357" t="s">
        <v>615</v>
      </c>
      <c r="D124" s="470">
        <v>623</v>
      </c>
      <c r="E124" s="479">
        <v>3.75</v>
      </c>
      <c r="F124" s="213" t="s">
        <v>381</v>
      </c>
      <c r="G124" s="480">
        <v>24</v>
      </c>
      <c r="H124" s="475">
        <v>622.31404958677683</v>
      </c>
      <c r="I124" s="466"/>
      <c r="J124" s="476">
        <v>0</v>
      </c>
      <c r="K124" s="348">
        <v>21.499583333333334</v>
      </c>
      <c r="L124" s="477"/>
      <c r="M124" s="470">
        <v>1</v>
      </c>
      <c r="N124" s="477"/>
      <c r="O124" s="476">
        <v>107</v>
      </c>
      <c r="P124" s="478">
        <v>515.99</v>
      </c>
    </row>
    <row r="125" spans="2:16">
      <c r="B125" s="153" t="s">
        <v>58</v>
      </c>
      <c r="C125" s="472" t="s">
        <v>616</v>
      </c>
      <c r="D125" s="473">
        <v>847</v>
      </c>
      <c r="E125" s="423">
        <v>3.75</v>
      </c>
      <c r="F125" s="474" t="s">
        <v>381</v>
      </c>
      <c r="G125" s="474">
        <v>24</v>
      </c>
      <c r="H125" s="475">
        <v>846.28099173553721</v>
      </c>
      <c r="I125" s="466"/>
      <c r="J125" s="476">
        <v>0</v>
      </c>
      <c r="K125" s="348">
        <v>29.182916666666667</v>
      </c>
      <c r="L125" s="477"/>
      <c r="M125" s="470">
        <v>1</v>
      </c>
      <c r="N125" s="477"/>
      <c r="O125" s="476">
        <v>147</v>
      </c>
      <c r="P125" s="478">
        <v>700.39</v>
      </c>
    </row>
    <row r="126" spans="2:16">
      <c r="B126" s="153" t="s">
        <v>58</v>
      </c>
      <c r="C126" s="357" t="s">
        <v>617</v>
      </c>
      <c r="D126" s="470">
        <v>1044</v>
      </c>
      <c r="E126" s="479">
        <v>3.75</v>
      </c>
      <c r="F126" s="213" t="s">
        <v>381</v>
      </c>
      <c r="G126" s="480">
        <v>24</v>
      </c>
      <c r="H126" s="475">
        <v>1043.8016528925621</v>
      </c>
      <c r="I126" s="466"/>
      <c r="J126" s="476">
        <v>0</v>
      </c>
      <c r="K126" s="348">
        <v>36.866250000000001</v>
      </c>
      <c r="L126" s="477"/>
      <c r="M126" s="470">
        <v>0</v>
      </c>
      <c r="N126" s="477"/>
      <c r="O126" s="476">
        <v>159</v>
      </c>
      <c r="P126" s="478">
        <v>884.79</v>
      </c>
    </row>
    <row r="127" spans="2:16">
      <c r="B127" s="153" t="s">
        <v>225</v>
      </c>
      <c r="C127" s="472" t="s">
        <v>719</v>
      </c>
      <c r="D127" s="473">
        <v>191</v>
      </c>
      <c r="E127" s="423">
        <v>3.75</v>
      </c>
      <c r="F127" s="474" t="s">
        <v>381</v>
      </c>
      <c r="G127" s="474">
        <v>24</v>
      </c>
      <c r="H127" s="475">
        <v>166.11570247933884</v>
      </c>
      <c r="I127" s="466"/>
      <c r="J127" s="476">
        <v>0</v>
      </c>
      <c r="K127" s="348">
        <v>5.2870833333333325</v>
      </c>
      <c r="L127" s="477"/>
      <c r="M127" s="470">
        <v>25</v>
      </c>
      <c r="N127" s="477"/>
      <c r="O127" s="476">
        <v>64</v>
      </c>
      <c r="P127" s="478">
        <v>126.88999999999999</v>
      </c>
    </row>
    <row r="128" spans="2:16">
      <c r="B128" s="153" t="s">
        <v>60</v>
      </c>
      <c r="C128" s="357" t="s">
        <v>568</v>
      </c>
      <c r="D128" s="473">
        <v>182</v>
      </c>
      <c r="E128" s="484">
        <v>3.75</v>
      </c>
      <c r="F128" s="486" t="s">
        <v>381</v>
      </c>
      <c r="G128" s="486">
        <v>24</v>
      </c>
      <c r="H128" s="475">
        <v>161.98347107438016</v>
      </c>
      <c r="I128" s="466"/>
      <c r="J128" s="476">
        <v>0</v>
      </c>
      <c r="K128" s="143">
        <v>5.114583333333333</v>
      </c>
      <c r="L128" s="2"/>
      <c r="M128" s="40">
        <v>20</v>
      </c>
      <c r="N128" s="2"/>
      <c r="O128" s="35">
        <v>59</v>
      </c>
      <c r="P128" s="36">
        <v>122.75</v>
      </c>
    </row>
    <row r="129" spans="2:16">
      <c r="B129" s="153" t="s">
        <v>60</v>
      </c>
      <c r="C129" s="472" t="s">
        <v>569</v>
      </c>
      <c r="D129" s="470">
        <v>310</v>
      </c>
      <c r="E129" s="483">
        <v>3.75</v>
      </c>
      <c r="F129" s="485" t="s">
        <v>381</v>
      </c>
      <c r="G129" s="487">
        <v>24</v>
      </c>
      <c r="H129" s="475">
        <v>250.41322314049589</v>
      </c>
      <c r="I129" s="466"/>
      <c r="J129" s="476">
        <v>0</v>
      </c>
      <c r="K129" s="143">
        <v>8.1145833333333339</v>
      </c>
      <c r="L129" s="2"/>
      <c r="M129" s="40">
        <v>60</v>
      </c>
      <c r="N129" s="2"/>
      <c r="O129" s="35">
        <v>115</v>
      </c>
      <c r="P129" s="36">
        <v>194.75</v>
      </c>
    </row>
    <row r="130" spans="2:16">
      <c r="B130" s="153" t="s">
        <v>60</v>
      </c>
      <c r="C130" s="357" t="s">
        <v>570</v>
      </c>
      <c r="D130" s="473">
        <v>310</v>
      </c>
      <c r="E130" s="484">
        <v>3.75</v>
      </c>
      <c r="F130" s="486" t="s">
        <v>381</v>
      </c>
      <c r="G130" s="486">
        <v>24</v>
      </c>
      <c r="H130" s="475">
        <v>240.49586776859505</v>
      </c>
      <c r="I130" s="466"/>
      <c r="J130" s="476">
        <v>0</v>
      </c>
      <c r="K130" s="143">
        <v>7.697916666666667</v>
      </c>
      <c r="L130" s="2"/>
      <c r="M130" s="40">
        <v>70</v>
      </c>
      <c r="N130" s="2"/>
      <c r="O130" s="35">
        <v>125</v>
      </c>
      <c r="P130" s="36">
        <v>184.75</v>
      </c>
    </row>
    <row r="131" spans="2:16">
      <c r="B131" s="153" t="s">
        <v>60</v>
      </c>
      <c r="C131" s="472" t="s">
        <v>611</v>
      </c>
      <c r="D131" s="470">
        <v>544</v>
      </c>
      <c r="E131" s="483">
        <v>3.75</v>
      </c>
      <c r="F131" s="485" t="s">
        <v>381</v>
      </c>
      <c r="G131" s="487">
        <v>24</v>
      </c>
      <c r="H131" s="475">
        <v>443.801652892562</v>
      </c>
      <c r="I131" s="466"/>
      <c r="J131" s="476">
        <v>0</v>
      </c>
      <c r="K131" s="143">
        <v>14.90625</v>
      </c>
      <c r="L131" s="2"/>
      <c r="M131" s="40">
        <v>100</v>
      </c>
      <c r="N131" s="2"/>
      <c r="O131" s="35">
        <v>186</v>
      </c>
      <c r="P131" s="36">
        <v>357.75</v>
      </c>
    </row>
    <row r="132" spans="2:16">
      <c r="B132" s="153" t="s">
        <v>60</v>
      </c>
      <c r="C132" s="472" t="s">
        <v>732</v>
      </c>
      <c r="D132" s="473">
        <v>1195</v>
      </c>
      <c r="E132" s="484">
        <v>3.75</v>
      </c>
      <c r="F132" s="486" t="s">
        <v>381</v>
      </c>
      <c r="G132" s="486">
        <v>24</v>
      </c>
      <c r="H132" s="475">
        <v>994.21487603305786</v>
      </c>
      <c r="I132" s="466"/>
      <c r="J132" s="476">
        <v>0</v>
      </c>
      <c r="K132" s="143">
        <v>34.78125</v>
      </c>
      <c r="L132" s="2"/>
      <c r="M132" s="40">
        <v>201</v>
      </c>
      <c r="N132" s="2"/>
      <c r="O132" s="35">
        <v>360</v>
      </c>
      <c r="P132" s="36">
        <v>834.75</v>
      </c>
    </row>
    <row r="133" spans="2:16">
      <c r="B133" s="153" t="s">
        <v>60</v>
      </c>
      <c r="C133" s="357" t="s">
        <v>559</v>
      </c>
      <c r="D133" s="470">
        <v>537</v>
      </c>
      <c r="E133" s="483">
        <v>3.75</v>
      </c>
      <c r="F133" s="485" t="s">
        <v>381</v>
      </c>
      <c r="G133" s="487">
        <v>24</v>
      </c>
      <c r="H133" s="475">
        <v>386.77685950413223</v>
      </c>
      <c r="I133" s="466"/>
      <c r="J133" s="476">
        <v>0</v>
      </c>
      <c r="K133" s="143">
        <v>12.989583333333334</v>
      </c>
      <c r="L133" s="2"/>
      <c r="M133" s="40">
        <v>150</v>
      </c>
      <c r="N133" s="2"/>
      <c r="O133" s="35">
        <v>225</v>
      </c>
      <c r="P133" s="36">
        <v>311.75</v>
      </c>
    </row>
    <row r="134" spans="2:16">
      <c r="B134" s="153" t="s">
        <v>673</v>
      </c>
      <c r="C134" s="472" t="s">
        <v>549</v>
      </c>
      <c r="D134" s="470">
        <v>208</v>
      </c>
      <c r="E134" s="479">
        <v>3.75</v>
      </c>
      <c r="F134" s="213" t="s">
        <v>381</v>
      </c>
      <c r="G134" s="480">
        <v>24</v>
      </c>
      <c r="H134" s="475">
        <v>187.60330578512398</v>
      </c>
      <c r="I134" s="466"/>
      <c r="J134" s="476">
        <v>0</v>
      </c>
      <c r="K134" s="143">
        <v>6.197916666666667</v>
      </c>
      <c r="L134" s="2"/>
      <c r="M134" s="40">
        <v>20</v>
      </c>
      <c r="N134" s="2"/>
      <c r="O134" s="35">
        <v>59</v>
      </c>
      <c r="P134" s="36">
        <v>148.75</v>
      </c>
    </row>
    <row r="135" spans="2:16">
      <c r="B135" s="153" t="s">
        <v>673</v>
      </c>
      <c r="C135" s="357" t="s">
        <v>550</v>
      </c>
      <c r="D135" s="473">
        <v>132</v>
      </c>
      <c r="E135" s="423">
        <v>3.75</v>
      </c>
      <c r="F135" s="474" t="s">
        <v>381</v>
      </c>
      <c r="G135" s="474">
        <v>24</v>
      </c>
      <c r="H135" s="475">
        <v>100.82644628099173</v>
      </c>
      <c r="I135" s="466"/>
      <c r="J135" s="476">
        <v>0</v>
      </c>
      <c r="K135" s="143">
        <v>3.4479166666666665</v>
      </c>
      <c r="L135" s="2"/>
      <c r="M135" s="40">
        <v>31</v>
      </c>
      <c r="N135" s="2"/>
      <c r="O135" s="35">
        <v>49</v>
      </c>
      <c r="P135" s="36">
        <v>82.75</v>
      </c>
    </row>
    <row r="136" spans="2:16">
      <c r="B136" s="153" t="s">
        <v>673</v>
      </c>
      <c r="C136" s="472" t="s">
        <v>467</v>
      </c>
      <c r="D136" s="470">
        <v>115</v>
      </c>
      <c r="E136" s="479">
        <v>3.75</v>
      </c>
      <c r="F136" s="213" t="s">
        <v>381</v>
      </c>
      <c r="G136" s="480">
        <v>24</v>
      </c>
      <c r="H136" s="475">
        <v>105.78512396694215</v>
      </c>
      <c r="I136" s="466"/>
      <c r="J136" s="476">
        <v>0</v>
      </c>
      <c r="K136" s="143">
        <v>3.65625</v>
      </c>
      <c r="L136" s="2"/>
      <c r="M136" s="40">
        <v>9</v>
      </c>
      <c r="N136" s="2"/>
      <c r="O136" s="35">
        <v>27</v>
      </c>
      <c r="P136" s="36">
        <v>87.75</v>
      </c>
    </row>
    <row r="137" spans="2:16">
      <c r="B137" s="153" t="s">
        <v>664</v>
      </c>
      <c r="C137" s="472" t="s">
        <v>619</v>
      </c>
      <c r="D137" s="473">
        <v>647</v>
      </c>
      <c r="E137" s="423">
        <v>3.75</v>
      </c>
      <c r="F137" s="474" t="s">
        <v>381</v>
      </c>
      <c r="G137" s="474">
        <v>24</v>
      </c>
      <c r="H137" s="475">
        <v>466.11570247933884</v>
      </c>
      <c r="I137" s="466"/>
      <c r="J137" s="476">
        <v>0</v>
      </c>
      <c r="K137" s="143">
        <v>15.837916666666667</v>
      </c>
      <c r="L137" s="2"/>
      <c r="M137" s="40">
        <v>181</v>
      </c>
      <c r="N137" s="2"/>
      <c r="O137" s="35">
        <v>267</v>
      </c>
      <c r="P137" s="36">
        <v>380.11</v>
      </c>
    </row>
    <row r="138" spans="2:16">
      <c r="B138" s="153" t="s">
        <v>664</v>
      </c>
      <c r="C138" s="357" t="s">
        <v>561</v>
      </c>
      <c r="D138" s="470">
        <v>208</v>
      </c>
      <c r="E138" s="479">
        <v>3.75</v>
      </c>
      <c r="F138" s="213" t="s">
        <v>381</v>
      </c>
      <c r="G138" s="480">
        <v>24</v>
      </c>
      <c r="H138" s="475">
        <v>171.900826446281</v>
      </c>
      <c r="I138" s="466"/>
      <c r="J138" s="476">
        <v>0</v>
      </c>
      <c r="K138" s="143">
        <v>5.550416666666667</v>
      </c>
      <c r="L138" s="2"/>
      <c r="M138" s="40">
        <v>36</v>
      </c>
      <c r="N138" s="2"/>
      <c r="O138" s="35">
        <v>75</v>
      </c>
      <c r="P138" s="36">
        <v>133.21</v>
      </c>
    </row>
    <row r="139" spans="2:16">
      <c r="B139" s="153" t="s">
        <v>664</v>
      </c>
      <c r="C139" s="472" t="s">
        <v>620</v>
      </c>
      <c r="D139" s="470">
        <v>327</v>
      </c>
      <c r="E139" s="483">
        <v>3.75</v>
      </c>
      <c r="F139" s="485" t="s">
        <v>381</v>
      </c>
      <c r="G139" s="487">
        <v>24</v>
      </c>
      <c r="H139" s="475">
        <v>276.03305785123968</v>
      </c>
      <c r="I139" s="466"/>
      <c r="J139" s="476">
        <v>0</v>
      </c>
      <c r="K139" s="143">
        <v>8.3691666666666666</v>
      </c>
      <c r="L139" s="2"/>
      <c r="M139" s="40">
        <v>51</v>
      </c>
      <c r="N139" s="2"/>
      <c r="O139" s="35">
        <v>126</v>
      </c>
      <c r="P139" s="36">
        <v>200.86</v>
      </c>
    </row>
    <row r="140" spans="2:16">
      <c r="B140" s="153" t="s">
        <v>664</v>
      </c>
      <c r="C140" s="357" t="s">
        <v>641</v>
      </c>
      <c r="D140" s="473">
        <v>167</v>
      </c>
      <c r="E140" s="484">
        <v>3.75</v>
      </c>
      <c r="F140" s="486" t="s">
        <v>381</v>
      </c>
      <c r="G140" s="486">
        <v>24</v>
      </c>
      <c r="H140" s="475">
        <v>109.91735537190083</v>
      </c>
      <c r="I140" s="466"/>
      <c r="J140" s="476">
        <v>0</v>
      </c>
      <c r="K140" s="143">
        <v>3.8287499999999999</v>
      </c>
      <c r="L140" s="2"/>
      <c r="M140" s="40">
        <v>57</v>
      </c>
      <c r="N140" s="2"/>
      <c r="O140" s="35">
        <v>75</v>
      </c>
      <c r="P140" s="36">
        <v>91.89</v>
      </c>
    </row>
    <row r="141" spans="2:16">
      <c r="B141" s="153" t="s">
        <v>59</v>
      </c>
      <c r="C141" s="489" t="s">
        <v>511</v>
      </c>
      <c r="D141" s="470">
        <v>215</v>
      </c>
      <c r="E141" s="483">
        <v>0</v>
      </c>
      <c r="F141" s="485" t="s">
        <v>924</v>
      </c>
      <c r="G141" s="487">
        <v>24</v>
      </c>
      <c r="H141" s="475">
        <v>214.04958677685951</v>
      </c>
      <c r="I141" s="466"/>
      <c r="J141" s="476">
        <v>0</v>
      </c>
      <c r="K141" s="348">
        <v>5.958333333333333</v>
      </c>
      <c r="L141" s="477"/>
      <c r="M141" s="470">
        <v>1</v>
      </c>
      <c r="N141" s="477"/>
      <c r="O141" s="476">
        <v>72</v>
      </c>
      <c r="P141" s="478">
        <v>143</v>
      </c>
    </row>
    <row r="142" spans="2:16">
      <c r="B142" s="153" t="s">
        <v>59</v>
      </c>
      <c r="C142" s="357" t="s">
        <v>524</v>
      </c>
      <c r="D142" s="473">
        <v>396</v>
      </c>
      <c r="E142" s="484">
        <v>0</v>
      </c>
      <c r="F142" s="486" t="s">
        <v>924</v>
      </c>
      <c r="G142" s="486">
        <v>24</v>
      </c>
      <c r="H142" s="475">
        <v>395.86776859504135</v>
      </c>
      <c r="I142" s="466"/>
      <c r="J142" s="476">
        <v>0</v>
      </c>
      <c r="K142" s="348">
        <v>10.291666666666666</v>
      </c>
      <c r="L142" s="477"/>
      <c r="M142" s="470">
        <v>0</v>
      </c>
      <c r="N142" s="477"/>
      <c r="O142" s="476">
        <v>149</v>
      </c>
      <c r="P142" s="478">
        <v>247</v>
      </c>
    </row>
    <row r="143" spans="2:16">
      <c r="B143" s="153" t="s">
        <v>59</v>
      </c>
      <c r="C143" s="357" t="s">
        <v>534</v>
      </c>
      <c r="D143" s="470">
        <v>479</v>
      </c>
      <c r="E143" s="483">
        <v>0</v>
      </c>
      <c r="F143" s="485" t="s">
        <v>924</v>
      </c>
      <c r="G143" s="487">
        <v>24</v>
      </c>
      <c r="H143" s="475">
        <v>478.51239669421489</v>
      </c>
      <c r="I143" s="466"/>
      <c r="J143" s="476">
        <v>0</v>
      </c>
      <c r="K143" s="348">
        <v>13.333333333333334</v>
      </c>
      <c r="L143" s="477"/>
      <c r="M143" s="470">
        <v>0</v>
      </c>
      <c r="N143" s="477"/>
      <c r="O143" s="476">
        <v>159</v>
      </c>
      <c r="P143" s="478">
        <v>320</v>
      </c>
    </row>
    <row r="144" spans="2:16">
      <c r="B144" s="153" t="s">
        <v>59</v>
      </c>
      <c r="C144" s="357" t="s">
        <v>591</v>
      </c>
      <c r="D144" s="473">
        <v>1735</v>
      </c>
      <c r="E144" s="484">
        <v>0</v>
      </c>
      <c r="F144" s="486" t="s">
        <v>924</v>
      </c>
      <c r="G144" s="486">
        <v>24</v>
      </c>
      <c r="H144" s="475">
        <v>1734.7107438016531</v>
      </c>
      <c r="I144" s="466"/>
      <c r="J144" s="476">
        <v>39</v>
      </c>
      <c r="K144" s="348">
        <v>36.491666666666667</v>
      </c>
      <c r="L144" s="477"/>
      <c r="M144" s="470">
        <v>0</v>
      </c>
      <c r="N144" s="477"/>
      <c r="O144" s="476">
        <v>820</v>
      </c>
      <c r="P144" s="478">
        <v>875.8</v>
      </c>
    </row>
    <row r="145" spans="2:16">
      <c r="B145" s="153" t="s">
        <v>59</v>
      </c>
      <c r="C145" s="357" t="s">
        <v>535</v>
      </c>
      <c r="D145" s="470">
        <v>537</v>
      </c>
      <c r="E145" s="483">
        <v>0</v>
      </c>
      <c r="F145" s="485" t="s">
        <v>924</v>
      </c>
      <c r="G145" s="487">
        <v>24</v>
      </c>
      <c r="H145" s="475">
        <v>536.36363636363637</v>
      </c>
      <c r="I145" s="466"/>
      <c r="J145" s="476">
        <v>0</v>
      </c>
      <c r="K145" s="348">
        <v>15.200000000000001</v>
      </c>
      <c r="L145" s="477"/>
      <c r="M145" s="470">
        <v>1</v>
      </c>
      <c r="N145" s="477"/>
      <c r="O145" s="476">
        <v>172</v>
      </c>
      <c r="P145" s="478">
        <v>364.8</v>
      </c>
    </row>
    <row r="146" spans="2:16">
      <c r="B146" s="153" t="s">
        <v>59</v>
      </c>
      <c r="C146" s="357" t="s">
        <v>592</v>
      </c>
      <c r="D146" s="473">
        <v>2396</v>
      </c>
      <c r="E146" s="484">
        <v>0</v>
      </c>
      <c r="F146" s="486" t="s">
        <v>924</v>
      </c>
      <c r="G146" s="486">
        <v>24</v>
      </c>
      <c r="H146" s="475">
        <v>2395.8677685950415</v>
      </c>
      <c r="I146" s="466"/>
      <c r="J146" s="476">
        <v>49</v>
      </c>
      <c r="K146" s="348">
        <v>49.616666666666667</v>
      </c>
      <c r="L146" s="477"/>
      <c r="M146" s="470">
        <v>0</v>
      </c>
      <c r="N146" s="477"/>
      <c r="O146" s="476">
        <v>1156</v>
      </c>
      <c r="P146" s="478">
        <v>1190.8</v>
      </c>
    </row>
    <row r="147" spans="2:16">
      <c r="B147" s="153" t="s">
        <v>59</v>
      </c>
      <c r="C147" s="357" t="s">
        <v>536</v>
      </c>
      <c r="D147" s="470">
        <v>686</v>
      </c>
      <c r="E147" s="483">
        <v>0</v>
      </c>
      <c r="F147" s="485" t="s">
        <v>924</v>
      </c>
      <c r="G147" s="487">
        <v>24</v>
      </c>
      <c r="H147" s="475">
        <v>685.12396694214874</v>
      </c>
      <c r="I147" s="466"/>
      <c r="J147" s="476">
        <v>0</v>
      </c>
      <c r="K147" s="348">
        <v>18.324999999999999</v>
      </c>
      <c r="L147" s="477"/>
      <c r="M147" s="470">
        <v>1</v>
      </c>
      <c r="N147" s="477"/>
      <c r="O147" s="476">
        <v>246</v>
      </c>
      <c r="P147" s="478">
        <v>439.79999999999995</v>
      </c>
    </row>
    <row r="148" spans="2:16">
      <c r="B148" s="153" t="s">
        <v>59</v>
      </c>
      <c r="C148" s="357" t="s">
        <v>593</v>
      </c>
      <c r="D148" s="473">
        <v>1157</v>
      </c>
      <c r="E148" s="484">
        <v>0</v>
      </c>
      <c r="F148" s="486" t="s">
        <v>924</v>
      </c>
      <c r="G148" s="486">
        <v>24</v>
      </c>
      <c r="H148" s="475">
        <v>1156.1983471074379</v>
      </c>
      <c r="I148" s="466"/>
      <c r="J148" s="476">
        <v>29</v>
      </c>
      <c r="K148" s="348">
        <v>28.535416666666666</v>
      </c>
      <c r="L148" s="477"/>
      <c r="M148" s="470">
        <v>1</v>
      </c>
      <c r="N148" s="477"/>
      <c r="O148" s="476">
        <v>443</v>
      </c>
      <c r="P148" s="478">
        <v>684.85</v>
      </c>
    </row>
    <row r="149" spans="2:16">
      <c r="B149" s="153" t="s">
        <v>60</v>
      </c>
      <c r="C149" s="472" t="s">
        <v>596</v>
      </c>
      <c r="D149" s="473">
        <v>429</v>
      </c>
      <c r="E149" s="423">
        <v>0</v>
      </c>
      <c r="F149" s="474" t="s">
        <v>924</v>
      </c>
      <c r="G149" s="474">
        <v>24</v>
      </c>
      <c r="H149" s="475">
        <v>354.54545454545456</v>
      </c>
      <c r="I149" s="466"/>
      <c r="J149" s="476">
        <v>0</v>
      </c>
      <c r="K149" s="143">
        <v>10.431666666666667</v>
      </c>
      <c r="L149" s="2"/>
      <c r="M149" s="40">
        <v>74</v>
      </c>
      <c r="N149" s="2"/>
      <c r="O149" s="35">
        <v>179</v>
      </c>
      <c r="P149" s="36">
        <v>250.36</v>
      </c>
    </row>
    <row r="150" spans="2:16">
      <c r="B150" s="153" t="s">
        <v>60</v>
      </c>
      <c r="C150" s="472" t="s">
        <v>597</v>
      </c>
      <c r="D150" s="470">
        <v>537</v>
      </c>
      <c r="E150" s="479">
        <v>0</v>
      </c>
      <c r="F150" s="213" t="s">
        <v>924</v>
      </c>
      <c r="G150" s="480">
        <v>24</v>
      </c>
      <c r="H150" s="475">
        <v>495.04132231404958</v>
      </c>
      <c r="I150" s="466"/>
      <c r="J150" s="476">
        <v>0</v>
      </c>
      <c r="K150" s="143">
        <v>16.658333333333335</v>
      </c>
      <c r="L150" s="2"/>
      <c r="M150" s="40">
        <v>42</v>
      </c>
      <c r="N150" s="2"/>
      <c r="O150" s="35">
        <v>137</v>
      </c>
      <c r="P150" s="36">
        <v>399.80000000000007</v>
      </c>
    </row>
    <row r="151" spans="2:16">
      <c r="B151" s="153" t="s">
        <v>60</v>
      </c>
      <c r="C151" s="472" t="s">
        <v>598</v>
      </c>
      <c r="D151" s="473">
        <v>702</v>
      </c>
      <c r="E151" s="423">
        <v>0</v>
      </c>
      <c r="F151" s="474" t="s">
        <v>924</v>
      </c>
      <c r="G151" s="474">
        <v>24</v>
      </c>
      <c r="H151" s="475">
        <v>660.33057851239676</v>
      </c>
      <c r="I151" s="466"/>
      <c r="J151" s="476">
        <v>19</v>
      </c>
      <c r="K151" s="143">
        <v>18.574999999999999</v>
      </c>
      <c r="L151" s="2"/>
      <c r="M151" s="40">
        <v>42</v>
      </c>
      <c r="N151" s="2"/>
      <c r="O151" s="35">
        <v>237</v>
      </c>
      <c r="P151" s="36">
        <v>445.79999999999995</v>
      </c>
    </row>
    <row r="152" spans="2:16">
      <c r="B152" s="153" t="s">
        <v>60</v>
      </c>
      <c r="C152" s="472" t="s">
        <v>538</v>
      </c>
      <c r="D152" s="470">
        <v>2727</v>
      </c>
      <c r="E152" s="479">
        <v>0</v>
      </c>
      <c r="F152" s="213" t="s">
        <v>924</v>
      </c>
      <c r="G152" s="480">
        <v>24</v>
      </c>
      <c r="H152" s="475">
        <v>2726.4462809917354</v>
      </c>
      <c r="I152" s="466"/>
      <c r="J152" s="476">
        <v>79</v>
      </c>
      <c r="K152" s="143">
        <v>74.158333333333331</v>
      </c>
      <c r="L152" s="2"/>
      <c r="M152" s="40">
        <v>1</v>
      </c>
      <c r="N152" s="2"/>
      <c r="O152" s="35">
        <v>868</v>
      </c>
      <c r="P152" s="36">
        <v>1779.8</v>
      </c>
    </row>
    <row r="153" spans="2:16">
      <c r="B153" s="153" t="s">
        <v>60</v>
      </c>
      <c r="C153" s="472" t="s">
        <v>599</v>
      </c>
      <c r="D153" s="473">
        <v>1012</v>
      </c>
      <c r="E153" s="423">
        <v>0</v>
      </c>
      <c r="F153" s="474" t="s">
        <v>924</v>
      </c>
      <c r="G153" s="474">
        <v>24</v>
      </c>
      <c r="H153" s="475">
        <v>908.2644628099174</v>
      </c>
      <c r="I153" s="466"/>
      <c r="J153" s="476">
        <v>29</v>
      </c>
      <c r="K153" s="143">
        <v>28.285416666666666</v>
      </c>
      <c r="L153" s="2"/>
      <c r="M153" s="40">
        <v>104</v>
      </c>
      <c r="N153" s="2"/>
      <c r="O153" s="35">
        <v>304</v>
      </c>
      <c r="P153" s="36">
        <v>678.85</v>
      </c>
    </row>
    <row r="154" spans="2:16">
      <c r="B154" s="153" t="s">
        <v>673</v>
      </c>
      <c r="C154" s="357" t="s">
        <v>601</v>
      </c>
      <c r="D154" s="473">
        <v>159</v>
      </c>
      <c r="E154" s="484">
        <v>0</v>
      </c>
      <c r="F154" s="486" t="s">
        <v>924</v>
      </c>
      <c r="G154" s="486">
        <v>24</v>
      </c>
      <c r="H154" s="475">
        <v>147.93388429752068</v>
      </c>
      <c r="I154" s="466"/>
      <c r="J154" s="476">
        <v>0</v>
      </c>
      <c r="K154" s="143">
        <v>5</v>
      </c>
      <c r="L154" s="2"/>
      <c r="M154" s="40">
        <v>11</v>
      </c>
      <c r="N154" s="2"/>
      <c r="O154" s="35">
        <v>39</v>
      </c>
      <c r="P154" s="36">
        <v>120</v>
      </c>
    </row>
    <row r="155" spans="2:16">
      <c r="B155" s="153" t="s">
        <v>673</v>
      </c>
      <c r="C155" s="472" t="s">
        <v>634</v>
      </c>
      <c r="D155" s="470">
        <v>315</v>
      </c>
      <c r="E155" s="483">
        <v>0</v>
      </c>
      <c r="F155" s="485" t="s">
        <v>924</v>
      </c>
      <c r="G155" s="487">
        <v>24</v>
      </c>
      <c r="H155" s="475">
        <v>288.42975206611573</v>
      </c>
      <c r="I155" s="466"/>
      <c r="J155" s="476">
        <v>0</v>
      </c>
      <c r="K155" s="143">
        <v>8.7083333333333339</v>
      </c>
      <c r="L155" s="2"/>
      <c r="M155" s="40">
        <v>27</v>
      </c>
      <c r="N155" s="2"/>
      <c r="O155" s="35">
        <v>106</v>
      </c>
      <c r="P155" s="36">
        <v>209</v>
      </c>
    </row>
    <row r="156" spans="2:16">
      <c r="B156" s="153" t="s">
        <v>673</v>
      </c>
      <c r="C156" s="472" t="s">
        <v>625</v>
      </c>
      <c r="D156" s="473">
        <v>421</v>
      </c>
      <c r="E156" s="484">
        <v>0</v>
      </c>
      <c r="F156" s="486" t="s">
        <v>924</v>
      </c>
      <c r="G156" s="486">
        <v>24</v>
      </c>
      <c r="H156" s="475">
        <v>412.39669421487605</v>
      </c>
      <c r="I156" s="466"/>
      <c r="J156" s="476">
        <v>0</v>
      </c>
      <c r="K156" s="143">
        <v>13.958333333333334</v>
      </c>
      <c r="L156" s="2"/>
      <c r="M156" s="40">
        <v>9</v>
      </c>
      <c r="N156" s="2"/>
      <c r="O156" s="35">
        <v>86</v>
      </c>
      <c r="P156" s="36">
        <v>335</v>
      </c>
    </row>
    <row r="157" spans="2:16">
      <c r="B157" s="153" t="s">
        <v>673</v>
      </c>
      <c r="C157" s="472" t="s">
        <v>635</v>
      </c>
      <c r="D157" s="470">
        <v>467</v>
      </c>
      <c r="E157" s="483">
        <v>0</v>
      </c>
      <c r="F157" s="485" t="s">
        <v>924</v>
      </c>
      <c r="G157" s="487">
        <v>24</v>
      </c>
      <c r="H157" s="475">
        <v>453.71900826446284</v>
      </c>
      <c r="I157" s="466"/>
      <c r="J157" s="476">
        <v>0</v>
      </c>
      <c r="K157" s="143">
        <v>14.991666666666667</v>
      </c>
      <c r="L157" s="2"/>
      <c r="M157" s="40">
        <v>13</v>
      </c>
      <c r="N157" s="2"/>
      <c r="O157" s="35">
        <v>107</v>
      </c>
      <c r="P157" s="36">
        <v>359.8</v>
      </c>
    </row>
    <row r="158" spans="2:16">
      <c r="B158" s="153" t="s">
        <v>673</v>
      </c>
      <c r="C158" s="472" t="s">
        <v>626</v>
      </c>
      <c r="D158" s="473">
        <v>567</v>
      </c>
      <c r="E158" s="484">
        <v>0</v>
      </c>
      <c r="F158" s="486" t="s">
        <v>924</v>
      </c>
      <c r="G158" s="486">
        <v>24</v>
      </c>
      <c r="H158" s="475">
        <v>536.36363636363637</v>
      </c>
      <c r="I158" s="466"/>
      <c r="J158" s="476">
        <v>19</v>
      </c>
      <c r="K158" s="143">
        <v>15.866666666666667</v>
      </c>
      <c r="L158" s="2"/>
      <c r="M158" s="40">
        <v>31</v>
      </c>
      <c r="N158" s="2"/>
      <c r="O158" s="35">
        <v>167</v>
      </c>
      <c r="P158" s="36">
        <v>380.8</v>
      </c>
    </row>
    <row r="159" spans="2:16">
      <c r="B159" s="153" t="s">
        <v>664</v>
      </c>
      <c r="C159" s="472" t="s">
        <v>602</v>
      </c>
      <c r="D159" s="470">
        <v>298</v>
      </c>
      <c r="E159" s="483">
        <v>0</v>
      </c>
      <c r="F159" s="485" t="s">
        <v>924</v>
      </c>
      <c r="G159" s="487">
        <v>24</v>
      </c>
      <c r="H159" s="475">
        <v>247.10743801652893</v>
      </c>
      <c r="I159" s="466"/>
      <c r="J159" s="476">
        <v>0</v>
      </c>
      <c r="K159" s="143">
        <v>8.6416666666666675</v>
      </c>
      <c r="L159" s="2"/>
      <c r="M159" s="40">
        <v>51</v>
      </c>
      <c r="N159" s="2"/>
      <c r="O159" s="35">
        <v>91</v>
      </c>
      <c r="P159" s="36">
        <v>207.40000000000003</v>
      </c>
    </row>
    <row r="160" spans="2:16">
      <c r="B160" s="153" t="s">
        <v>664</v>
      </c>
      <c r="C160" s="472" t="s">
        <v>609</v>
      </c>
      <c r="D160" s="473">
        <v>445</v>
      </c>
      <c r="E160" s="484">
        <v>0</v>
      </c>
      <c r="F160" s="486" t="s">
        <v>924</v>
      </c>
      <c r="G160" s="486">
        <v>24</v>
      </c>
      <c r="H160" s="475">
        <v>371.07438016528926</v>
      </c>
      <c r="I160" s="466"/>
      <c r="J160" s="476">
        <v>0</v>
      </c>
      <c r="K160" s="143">
        <v>13.073750000000002</v>
      </c>
      <c r="L160" s="2"/>
      <c r="M160" s="40">
        <v>74</v>
      </c>
      <c r="N160" s="2"/>
      <c r="O160" s="35">
        <v>131</v>
      </c>
      <c r="P160" s="36">
        <v>313.77000000000004</v>
      </c>
    </row>
    <row r="161" spans="2:16">
      <c r="B161" s="153" t="s">
        <v>664</v>
      </c>
      <c r="C161" s="472" t="s">
        <v>603</v>
      </c>
      <c r="D161" s="470">
        <v>577</v>
      </c>
      <c r="E161" s="483">
        <v>0</v>
      </c>
      <c r="F161" s="485" t="s">
        <v>924</v>
      </c>
      <c r="G161" s="487">
        <v>24</v>
      </c>
      <c r="H161" s="475">
        <v>495.04132231404958</v>
      </c>
      <c r="I161" s="466"/>
      <c r="J161" s="476">
        <v>0</v>
      </c>
      <c r="K161" s="143">
        <v>17.514166666666668</v>
      </c>
      <c r="L161" s="2"/>
      <c r="M161" s="40">
        <v>82</v>
      </c>
      <c r="N161" s="2"/>
      <c r="O161" s="35">
        <v>157</v>
      </c>
      <c r="P161" s="36">
        <v>420.34000000000003</v>
      </c>
    </row>
    <row r="162" spans="2:16">
      <c r="B162" s="153" t="s">
        <v>664</v>
      </c>
      <c r="C162" s="472" t="s">
        <v>604</v>
      </c>
      <c r="D162" s="470">
        <v>165</v>
      </c>
      <c r="E162" s="479">
        <v>0</v>
      </c>
      <c r="F162" s="213" t="s">
        <v>924</v>
      </c>
      <c r="G162" s="480">
        <v>24</v>
      </c>
      <c r="H162" s="475">
        <v>139.6694214876033</v>
      </c>
      <c r="I162" s="466"/>
      <c r="J162" s="476">
        <v>0</v>
      </c>
      <c r="K162" s="143">
        <v>4.9874999999999998</v>
      </c>
      <c r="L162" s="2"/>
      <c r="M162" s="40">
        <v>25</v>
      </c>
      <c r="N162" s="2"/>
      <c r="O162" s="35">
        <v>45</v>
      </c>
      <c r="P162" s="36">
        <v>119.69999999999999</v>
      </c>
    </row>
    <row r="163" spans="2:16">
      <c r="B163" s="153" t="s">
        <v>675</v>
      </c>
      <c r="C163" s="472" t="s">
        <v>452</v>
      </c>
      <c r="D163" s="470">
        <v>71</v>
      </c>
      <c r="E163" s="483">
        <v>0</v>
      </c>
      <c r="F163" s="485" t="s">
        <v>1041</v>
      </c>
      <c r="G163" s="487">
        <v>24</v>
      </c>
      <c r="H163" s="475">
        <v>65</v>
      </c>
      <c r="I163" s="466"/>
      <c r="J163" s="476">
        <v>0</v>
      </c>
      <c r="K163" s="347">
        <v>0</v>
      </c>
      <c r="M163" s="40">
        <v>6</v>
      </c>
      <c r="N163" s="2"/>
      <c r="O163" s="35">
        <v>71</v>
      </c>
      <c r="P163" s="36">
        <v>0</v>
      </c>
    </row>
    <row r="164" spans="2:16">
      <c r="B164" s="153" t="s">
        <v>675</v>
      </c>
      <c r="C164" s="357" t="s">
        <v>453</v>
      </c>
      <c r="D164" s="473">
        <v>49</v>
      </c>
      <c r="E164" s="484">
        <v>0</v>
      </c>
      <c r="F164" s="486" t="s">
        <v>1041</v>
      </c>
      <c r="G164" s="486">
        <v>24</v>
      </c>
      <c r="H164" s="475">
        <v>43</v>
      </c>
      <c r="I164" s="466"/>
      <c r="J164" s="476">
        <v>0</v>
      </c>
      <c r="K164" s="347">
        <v>0</v>
      </c>
      <c r="M164" s="40">
        <v>6</v>
      </c>
      <c r="N164" s="2"/>
      <c r="O164" s="35">
        <v>49</v>
      </c>
      <c r="P164" s="36">
        <v>0</v>
      </c>
    </row>
    <row r="165" spans="2:16">
      <c r="B165" s="153" t="s">
        <v>55</v>
      </c>
      <c r="C165" s="357" t="s">
        <v>528</v>
      </c>
      <c r="D165" s="473">
        <v>44</v>
      </c>
      <c r="E165" s="423">
        <v>0</v>
      </c>
      <c r="F165" s="474" t="s">
        <v>1041</v>
      </c>
      <c r="G165" s="474">
        <v>24</v>
      </c>
      <c r="H165" s="475">
        <v>53</v>
      </c>
      <c r="I165" s="466"/>
      <c r="J165" s="476">
        <v>0</v>
      </c>
      <c r="K165" s="347">
        <v>0</v>
      </c>
      <c r="M165" s="40">
        <v>-9</v>
      </c>
      <c r="N165" s="2"/>
      <c r="O165" s="35">
        <v>44</v>
      </c>
      <c r="P165" s="36">
        <v>0</v>
      </c>
    </row>
    <row r="166" spans="2:16">
      <c r="B166" s="153" t="s">
        <v>55</v>
      </c>
      <c r="C166" s="472" t="s">
        <v>529</v>
      </c>
      <c r="D166" s="470">
        <v>77</v>
      </c>
      <c r="E166" s="479">
        <v>0</v>
      </c>
      <c r="F166" s="213" t="s">
        <v>1041</v>
      </c>
      <c r="G166" s="480">
        <v>24</v>
      </c>
      <c r="H166" s="475">
        <v>65</v>
      </c>
      <c r="I166" s="466"/>
      <c r="J166" s="476">
        <v>0</v>
      </c>
      <c r="K166" s="347">
        <v>0</v>
      </c>
      <c r="M166" s="40">
        <v>12</v>
      </c>
      <c r="N166" s="2"/>
      <c r="O166" s="35">
        <v>77</v>
      </c>
      <c r="P166" s="36">
        <v>0</v>
      </c>
    </row>
    <row r="167" spans="2:16">
      <c r="B167" s="153" t="s">
        <v>1200</v>
      </c>
      <c r="C167" s="357" t="s">
        <v>756</v>
      </c>
      <c r="D167" s="473">
        <v>436</v>
      </c>
      <c r="E167" s="423">
        <v>0</v>
      </c>
      <c r="F167" s="474" t="s">
        <v>1215</v>
      </c>
      <c r="G167" s="474">
        <v>24</v>
      </c>
      <c r="H167" s="475">
        <v>527</v>
      </c>
      <c r="I167" s="466"/>
      <c r="J167" s="476">
        <v>0</v>
      </c>
      <c r="K167" s="348">
        <v>14.583333333333334</v>
      </c>
      <c r="L167" s="477"/>
      <c r="M167" s="470">
        <v>-91</v>
      </c>
      <c r="N167" s="477"/>
      <c r="O167" s="476">
        <v>86</v>
      </c>
      <c r="P167" s="478">
        <v>350</v>
      </c>
    </row>
    <row r="168" spans="2:16">
      <c r="B168" s="153" t="s">
        <v>1200</v>
      </c>
      <c r="C168" s="357" t="s">
        <v>757</v>
      </c>
      <c r="D168" s="473">
        <v>43</v>
      </c>
      <c r="E168" s="484">
        <v>0</v>
      </c>
      <c r="F168" s="474" t="s">
        <v>1215</v>
      </c>
      <c r="G168" s="486">
        <v>24</v>
      </c>
      <c r="H168" s="475">
        <v>51</v>
      </c>
      <c r="I168" s="466"/>
      <c r="J168" s="476">
        <v>0</v>
      </c>
      <c r="K168" s="348">
        <v>1.0529166666666667</v>
      </c>
      <c r="L168" s="477"/>
      <c r="M168" s="470">
        <v>-8</v>
      </c>
      <c r="N168" s="477"/>
      <c r="O168" s="476">
        <v>18</v>
      </c>
      <c r="P168" s="478">
        <v>25.270000000000003</v>
      </c>
    </row>
    <row r="169" spans="2:16">
      <c r="B169" s="153" t="s">
        <v>1200</v>
      </c>
      <c r="C169" s="472" t="s">
        <v>767</v>
      </c>
      <c r="D169" s="473">
        <v>115</v>
      </c>
      <c r="E169" s="423">
        <v>5.25</v>
      </c>
      <c r="F169" s="474" t="s">
        <v>1215</v>
      </c>
      <c r="G169" s="474">
        <v>24</v>
      </c>
      <c r="H169" s="475">
        <v>138</v>
      </c>
      <c r="I169" s="466"/>
      <c r="J169" s="476">
        <v>0</v>
      </c>
      <c r="K169" s="348">
        <v>3.9841666666666669</v>
      </c>
      <c r="L169" s="477"/>
      <c r="M169" s="470">
        <v>-23</v>
      </c>
      <c r="N169" s="477"/>
      <c r="O169" s="476">
        <v>19</v>
      </c>
      <c r="P169" s="478">
        <v>95.62</v>
      </c>
    </row>
    <row r="170" spans="2:16">
      <c r="B170" s="153" t="s">
        <v>1200</v>
      </c>
      <c r="C170" s="472" t="s">
        <v>771</v>
      </c>
      <c r="D170" s="470">
        <v>126</v>
      </c>
      <c r="E170" s="479">
        <v>0</v>
      </c>
      <c r="F170" s="474" t="s">
        <v>1215</v>
      </c>
      <c r="G170" s="480">
        <v>24</v>
      </c>
      <c r="H170" s="475">
        <v>133</v>
      </c>
      <c r="I170" s="466"/>
      <c r="J170" s="476">
        <v>0</v>
      </c>
      <c r="K170" s="348">
        <v>3.8125</v>
      </c>
      <c r="L170" s="477"/>
      <c r="M170" s="470">
        <v>-7</v>
      </c>
      <c r="N170" s="477"/>
      <c r="O170" s="476">
        <v>35</v>
      </c>
      <c r="P170" s="478">
        <v>91.5</v>
      </c>
    </row>
    <row r="171" spans="2:16">
      <c r="B171" s="153" t="s">
        <v>1200</v>
      </c>
      <c r="C171" s="357" t="s">
        <v>783</v>
      </c>
      <c r="D171" s="473">
        <v>441</v>
      </c>
      <c r="E171" s="423">
        <v>0</v>
      </c>
      <c r="F171" s="474" t="s">
        <v>1215</v>
      </c>
      <c r="G171" s="474">
        <v>24</v>
      </c>
      <c r="H171" s="475">
        <v>533</v>
      </c>
      <c r="I171" s="466"/>
      <c r="J171" s="476">
        <v>0</v>
      </c>
      <c r="K171" s="348">
        <v>14.790833333333333</v>
      </c>
      <c r="L171" s="477"/>
      <c r="M171" s="470">
        <v>-92</v>
      </c>
      <c r="N171" s="477"/>
      <c r="O171" s="476">
        <v>86</v>
      </c>
      <c r="P171" s="478">
        <v>354.98</v>
      </c>
    </row>
    <row r="172" spans="2:16">
      <c r="B172" s="153" t="s">
        <v>59</v>
      </c>
      <c r="C172" s="472" t="s">
        <v>739</v>
      </c>
      <c r="D172" s="473">
        <v>66</v>
      </c>
      <c r="E172" s="484">
        <v>0</v>
      </c>
      <c r="F172" s="486" t="s">
        <v>1034</v>
      </c>
      <c r="G172" s="486">
        <v>24</v>
      </c>
      <c r="H172" s="475">
        <v>68</v>
      </c>
      <c r="I172" s="466"/>
      <c r="J172" s="476">
        <v>0</v>
      </c>
      <c r="K172" s="143">
        <v>1.5833333333333333</v>
      </c>
      <c r="L172" s="2"/>
      <c r="M172" s="40">
        <v>-2</v>
      </c>
      <c r="N172" s="2"/>
      <c r="O172" s="35">
        <v>28</v>
      </c>
      <c r="P172" s="36">
        <v>38</v>
      </c>
    </row>
    <row r="173" spans="2:16">
      <c r="B173" s="153" t="s">
        <v>59</v>
      </c>
      <c r="C173" s="489" t="s">
        <v>527</v>
      </c>
      <c r="D173" s="470">
        <v>107</v>
      </c>
      <c r="E173" s="483">
        <v>0</v>
      </c>
      <c r="F173" s="485" t="s">
        <v>1034</v>
      </c>
      <c r="G173" s="487">
        <v>24</v>
      </c>
      <c r="H173" s="475">
        <v>113</v>
      </c>
      <c r="I173" s="466"/>
      <c r="J173" s="476">
        <v>0</v>
      </c>
      <c r="K173" s="143">
        <v>3.125</v>
      </c>
      <c r="L173" s="2"/>
      <c r="M173" s="40">
        <v>-6</v>
      </c>
      <c r="N173" s="2"/>
      <c r="O173" s="35">
        <v>32</v>
      </c>
      <c r="P173" s="36">
        <v>75</v>
      </c>
    </row>
    <row r="174" spans="2:16">
      <c r="B174" s="153" t="s">
        <v>672</v>
      </c>
      <c r="C174" s="357" t="s">
        <v>740</v>
      </c>
      <c r="D174" s="473">
        <v>204</v>
      </c>
      <c r="E174" s="484">
        <v>0</v>
      </c>
      <c r="F174" s="486" t="s">
        <v>1034</v>
      </c>
      <c r="G174" s="486">
        <v>24</v>
      </c>
      <c r="H174" s="475">
        <v>222</v>
      </c>
      <c r="I174" s="466"/>
      <c r="J174" s="476">
        <v>0</v>
      </c>
      <c r="K174" s="143">
        <v>6.0274999999999999</v>
      </c>
      <c r="L174" s="2"/>
      <c r="M174" s="40">
        <v>-18</v>
      </c>
      <c r="N174" s="2"/>
      <c r="O174" s="35">
        <v>59</v>
      </c>
      <c r="P174" s="36">
        <v>144.66</v>
      </c>
    </row>
    <row r="175" spans="2:16">
      <c r="B175" s="153" t="s">
        <v>672</v>
      </c>
      <c r="C175" s="472" t="s">
        <v>542</v>
      </c>
      <c r="D175" s="470">
        <v>75</v>
      </c>
      <c r="E175" s="483">
        <v>0</v>
      </c>
      <c r="F175" s="485" t="s">
        <v>1140</v>
      </c>
      <c r="G175" s="487">
        <v>24</v>
      </c>
      <c r="H175" s="475">
        <v>90</v>
      </c>
      <c r="I175" s="466"/>
      <c r="J175" s="476">
        <v>0</v>
      </c>
      <c r="K175" s="143">
        <v>2.3387500000000001</v>
      </c>
      <c r="L175" s="2"/>
      <c r="M175" s="40">
        <v>-15</v>
      </c>
      <c r="N175" s="2"/>
      <c r="O175" s="35">
        <v>19</v>
      </c>
      <c r="P175" s="36">
        <v>56.13</v>
      </c>
    </row>
    <row r="176" spans="2:16">
      <c r="B176" s="153" t="s">
        <v>58</v>
      </c>
      <c r="C176" s="357" t="s">
        <v>372</v>
      </c>
      <c r="D176" s="473">
        <v>223</v>
      </c>
      <c r="E176" s="484">
        <v>0</v>
      </c>
      <c r="F176" s="486" t="s">
        <v>1041</v>
      </c>
      <c r="G176" s="486">
        <v>24</v>
      </c>
      <c r="H176" s="475">
        <v>165</v>
      </c>
      <c r="I176" s="466"/>
      <c r="J176" s="476">
        <v>0</v>
      </c>
      <c r="K176" s="143">
        <v>4.5149999999999997</v>
      </c>
      <c r="L176" s="2"/>
      <c r="M176" s="40">
        <v>58</v>
      </c>
      <c r="N176" s="2"/>
      <c r="O176" s="35">
        <v>115</v>
      </c>
      <c r="P176" s="36">
        <v>108.35999999999999</v>
      </c>
    </row>
    <row r="177" spans="2:16">
      <c r="B177" s="153" t="s">
        <v>58</v>
      </c>
      <c r="C177" s="357" t="s">
        <v>741</v>
      </c>
      <c r="D177" s="470">
        <v>137</v>
      </c>
      <c r="E177" s="483">
        <v>0</v>
      </c>
      <c r="F177" s="485" t="s">
        <v>1041</v>
      </c>
      <c r="G177" s="487">
        <v>24</v>
      </c>
      <c r="H177" s="475">
        <v>165</v>
      </c>
      <c r="I177" s="466"/>
      <c r="J177" s="476">
        <v>0</v>
      </c>
      <c r="K177" s="143">
        <v>4.5149999999999997</v>
      </c>
      <c r="L177" s="2"/>
      <c r="M177" s="40">
        <v>-28</v>
      </c>
      <c r="N177" s="2"/>
      <c r="O177" s="35">
        <v>29</v>
      </c>
      <c r="P177" s="36">
        <v>108.35999999999999</v>
      </c>
    </row>
    <row r="178" spans="2:16">
      <c r="B178" s="153" t="s">
        <v>58</v>
      </c>
      <c r="C178" s="357" t="s">
        <v>742</v>
      </c>
      <c r="D178" s="473">
        <v>184</v>
      </c>
      <c r="E178" s="484">
        <v>0</v>
      </c>
      <c r="F178" s="486" t="s">
        <v>1041</v>
      </c>
      <c r="G178" s="486">
        <v>24</v>
      </c>
      <c r="H178" s="475">
        <v>222</v>
      </c>
      <c r="I178" s="466"/>
      <c r="J178" s="476">
        <v>0</v>
      </c>
      <c r="K178" s="143">
        <v>6.03</v>
      </c>
      <c r="L178" s="2"/>
      <c r="M178" s="40">
        <v>-38</v>
      </c>
      <c r="N178" s="2"/>
      <c r="O178" s="35">
        <v>39</v>
      </c>
      <c r="P178" s="36">
        <v>144.72</v>
      </c>
    </row>
    <row r="179" spans="2:16">
      <c r="B179" s="153" t="s">
        <v>58</v>
      </c>
      <c r="C179" s="357" t="s">
        <v>552</v>
      </c>
      <c r="D179" s="470">
        <v>279</v>
      </c>
      <c r="E179" s="483">
        <v>0</v>
      </c>
      <c r="F179" s="485" t="s">
        <v>1041</v>
      </c>
      <c r="G179" s="487">
        <v>24</v>
      </c>
      <c r="H179" s="475">
        <v>336</v>
      </c>
      <c r="I179" s="466"/>
      <c r="J179" s="476">
        <v>0</v>
      </c>
      <c r="K179" s="143">
        <v>8.4358333333333331</v>
      </c>
      <c r="L179" s="2"/>
      <c r="M179" s="40">
        <v>-57</v>
      </c>
      <c r="N179" s="2"/>
      <c r="O179" s="35">
        <v>77</v>
      </c>
      <c r="P179" s="36">
        <v>202.45999999999998</v>
      </c>
    </row>
    <row r="180" spans="2:16">
      <c r="B180" s="153" t="s">
        <v>58</v>
      </c>
      <c r="C180" s="357" t="s">
        <v>743</v>
      </c>
      <c r="D180" s="473">
        <v>532</v>
      </c>
      <c r="E180" s="484">
        <v>2.5</v>
      </c>
      <c r="F180" s="486" t="s">
        <v>1140</v>
      </c>
      <c r="G180" s="486">
        <v>24</v>
      </c>
      <c r="H180" s="475">
        <v>643</v>
      </c>
      <c r="I180" s="466"/>
      <c r="J180" s="476">
        <v>0</v>
      </c>
      <c r="K180" s="143">
        <v>17.742083333333333</v>
      </c>
      <c r="L180" s="2"/>
      <c r="M180" s="40">
        <v>-111</v>
      </c>
      <c r="N180" s="2"/>
      <c r="O180" s="35">
        <v>106</v>
      </c>
      <c r="P180" s="36">
        <v>425.81</v>
      </c>
    </row>
    <row r="181" spans="2:16">
      <c r="B181" s="153" t="s">
        <v>58</v>
      </c>
      <c r="C181" s="357" t="s">
        <v>744</v>
      </c>
      <c r="D181" s="470">
        <v>555</v>
      </c>
      <c r="E181" s="483">
        <v>2.5</v>
      </c>
      <c r="F181" s="485" t="s">
        <v>1140</v>
      </c>
      <c r="G181" s="487">
        <v>24</v>
      </c>
      <c r="H181" s="475">
        <v>671</v>
      </c>
      <c r="I181" s="466"/>
      <c r="J181" s="476">
        <v>0</v>
      </c>
      <c r="K181" s="143">
        <v>18.677083333333332</v>
      </c>
      <c r="L181" s="2"/>
      <c r="M181" s="40">
        <v>-116</v>
      </c>
      <c r="N181" s="2"/>
      <c r="O181" s="35">
        <v>107</v>
      </c>
      <c r="P181" s="36">
        <v>448.25</v>
      </c>
    </row>
    <row r="182" spans="2:16">
      <c r="B182" s="153" t="s">
        <v>58</v>
      </c>
      <c r="C182" s="357" t="s">
        <v>745</v>
      </c>
      <c r="D182" s="473">
        <v>423</v>
      </c>
      <c r="E182" s="484">
        <v>2.5</v>
      </c>
      <c r="F182" s="486" t="s">
        <v>1140</v>
      </c>
      <c r="G182" s="486">
        <v>24</v>
      </c>
      <c r="H182" s="475">
        <v>511</v>
      </c>
      <c r="I182" s="466"/>
      <c r="J182" s="476">
        <v>0</v>
      </c>
      <c r="K182" s="143">
        <v>14.0025</v>
      </c>
      <c r="L182" s="2"/>
      <c r="M182" s="40">
        <v>-88</v>
      </c>
      <c r="N182" s="2"/>
      <c r="O182" s="35">
        <v>87</v>
      </c>
      <c r="P182" s="36">
        <v>336.06</v>
      </c>
    </row>
    <row r="183" spans="2:16">
      <c r="B183" s="153" t="s">
        <v>58</v>
      </c>
      <c r="C183" s="357" t="s">
        <v>746</v>
      </c>
      <c r="D183" s="470">
        <v>445</v>
      </c>
      <c r="E183" s="483">
        <v>2.5</v>
      </c>
      <c r="F183" s="485" t="s">
        <v>1140</v>
      </c>
      <c r="G183" s="487">
        <v>24</v>
      </c>
      <c r="H183" s="475">
        <v>538</v>
      </c>
      <c r="I183" s="466"/>
      <c r="J183" s="476">
        <v>0</v>
      </c>
      <c r="K183" s="143">
        <v>14.9375</v>
      </c>
      <c r="L183" s="2"/>
      <c r="M183" s="40">
        <v>-93</v>
      </c>
      <c r="N183" s="2"/>
      <c r="O183" s="35">
        <v>87</v>
      </c>
      <c r="P183" s="36">
        <v>358.5</v>
      </c>
    </row>
    <row r="184" spans="2:16">
      <c r="B184" s="153" t="s">
        <v>58</v>
      </c>
      <c r="C184" s="357" t="s">
        <v>553</v>
      </c>
      <c r="D184" s="473">
        <v>555</v>
      </c>
      <c r="E184" s="484">
        <v>2.5</v>
      </c>
      <c r="F184" s="486" t="s">
        <v>1140</v>
      </c>
      <c r="G184" s="486">
        <v>24</v>
      </c>
      <c r="H184" s="475">
        <v>671</v>
      </c>
      <c r="I184" s="466"/>
      <c r="J184" s="476">
        <v>0</v>
      </c>
      <c r="K184" s="143">
        <v>18.677083333333332</v>
      </c>
      <c r="L184" s="2"/>
      <c r="M184" s="40">
        <v>-116</v>
      </c>
      <c r="N184" s="2"/>
      <c r="O184" s="35">
        <v>107</v>
      </c>
      <c r="P184" s="36">
        <v>448.25</v>
      </c>
    </row>
    <row r="185" spans="2:16">
      <c r="B185" s="153" t="s">
        <v>58</v>
      </c>
      <c r="C185" s="357" t="s">
        <v>747</v>
      </c>
      <c r="D185" s="470">
        <v>300</v>
      </c>
      <c r="E185" s="483">
        <v>2.5</v>
      </c>
      <c r="F185" s="485" t="s">
        <v>1140</v>
      </c>
      <c r="G185" s="487">
        <v>24</v>
      </c>
      <c r="H185" s="475">
        <v>362</v>
      </c>
      <c r="I185" s="466"/>
      <c r="J185" s="476">
        <v>0</v>
      </c>
      <c r="K185" s="143">
        <v>9.3279166666666669</v>
      </c>
      <c r="L185" s="2"/>
      <c r="M185" s="40">
        <v>-62</v>
      </c>
      <c r="N185" s="2"/>
      <c r="O185" s="35">
        <v>76</v>
      </c>
      <c r="P185" s="36">
        <v>223.87</v>
      </c>
    </row>
    <row r="186" spans="2:16">
      <c r="B186" s="153" t="s">
        <v>58</v>
      </c>
      <c r="C186" s="357" t="s">
        <v>748</v>
      </c>
      <c r="D186" s="473">
        <v>322</v>
      </c>
      <c r="E186" s="484">
        <v>2.5</v>
      </c>
      <c r="F186" s="486" t="s">
        <v>1140</v>
      </c>
      <c r="G186" s="486">
        <v>24</v>
      </c>
      <c r="H186" s="475">
        <v>389</v>
      </c>
      <c r="I186" s="466"/>
      <c r="J186" s="476">
        <v>0</v>
      </c>
      <c r="K186" s="143">
        <v>10.262916666666667</v>
      </c>
      <c r="L186" s="2"/>
      <c r="M186" s="40">
        <v>-67</v>
      </c>
      <c r="N186" s="2"/>
      <c r="O186" s="35">
        <v>76</v>
      </c>
      <c r="P186" s="36">
        <v>246.31</v>
      </c>
    </row>
    <row r="187" spans="2:16">
      <c r="B187" s="153" t="s">
        <v>58</v>
      </c>
      <c r="C187" s="488" t="s">
        <v>554</v>
      </c>
      <c r="D187" s="470">
        <v>782</v>
      </c>
      <c r="E187" s="483">
        <v>2.5</v>
      </c>
      <c r="F187" s="485" t="s">
        <v>1140</v>
      </c>
      <c r="G187" s="487">
        <v>24</v>
      </c>
      <c r="H187" s="475">
        <v>946</v>
      </c>
      <c r="I187" s="466"/>
      <c r="J187" s="476">
        <v>0</v>
      </c>
      <c r="K187" s="143">
        <v>26.483750000000001</v>
      </c>
      <c r="L187" s="2"/>
      <c r="M187" s="40">
        <v>-164</v>
      </c>
      <c r="N187" s="2"/>
      <c r="O187" s="35">
        <v>146</v>
      </c>
      <c r="P187" s="36">
        <v>635.61</v>
      </c>
    </row>
    <row r="188" spans="2:16">
      <c r="B188" s="153" t="s">
        <v>1104</v>
      </c>
      <c r="C188" s="357" t="s">
        <v>749</v>
      </c>
      <c r="D188" s="473">
        <v>781</v>
      </c>
      <c r="E188" s="484">
        <v>0</v>
      </c>
      <c r="F188" s="486" t="s">
        <v>1105</v>
      </c>
      <c r="G188" s="486">
        <v>24</v>
      </c>
      <c r="H188" s="475">
        <v>751</v>
      </c>
      <c r="I188" s="466"/>
      <c r="J188" s="476">
        <v>0</v>
      </c>
      <c r="K188" s="143">
        <v>21.46083333333333</v>
      </c>
      <c r="L188" s="2"/>
      <c r="M188" s="40">
        <v>30</v>
      </c>
      <c r="N188" s="2"/>
      <c r="O188" s="35">
        <v>266</v>
      </c>
      <c r="P188" s="36">
        <v>515.05999999999995</v>
      </c>
    </row>
    <row r="189" spans="2:16">
      <c r="B189" s="153" t="s">
        <v>672</v>
      </c>
      <c r="C189" s="357" t="s">
        <v>750</v>
      </c>
      <c r="D189" s="470">
        <v>168</v>
      </c>
      <c r="E189" s="483">
        <v>0</v>
      </c>
      <c r="F189" s="485" t="s">
        <v>1041</v>
      </c>
      <c r="G189" s="487">
        <v>24</v>
      </c>
      <c r="H189" s="475">
        <v>191</v>
      </c>
      <c r="I189" s="466"/>
      <c r="J189" s="476">
        <v>0</v>
      </c>
      <c r="K189" s="143">
        <v>4.9491666666666667</v>
      </c>
      <c r="M189" s="40">
        <v>-23</v>
      </c>
      <c r="N189" s="2"/>
      <c r="O189" s="35">
        <v>49</v>
      </c>
      <c r="P189" s="36">
        <v>118.78</v>
      </c>
    </row>
    <row r="190" spans="2:16">
      <c r="B190" s="153" t="s">
        <v>106</v>
      </c>
      <c r="C190" s="472" t="s">
        <v>751</v>
      </c>
      <c r="D190" s="473">
        <v>204</v>
      </c>
      <c r="E190" s="484">
        <v>0</v>
      </c>
      <c r="F190" s="486" t="s">
        <v>1041</v>
      </c>
      <c r="G190" s="486">
        <v>24</v>
      </c>
      <c r="H190" s="475">
        <v>236</v>
      </c>
      <c r="I190" s="466"/>
      <c r="J190" s="476">
        <v>0</v>
      </c>
      <c r="K190" s="143">
        <v>6.5166666666666666</v>
      </c>
      <c r="M190" s="40">
        <v>-32</v>
      </c>
      <c r="N190" s="2"/>
      <c r="O190" s="35">
        <v>48</v>
      </c>
      <c r="P190" s="36">
        <v>156.4</v>
      </c>
    </row>
    <row r="191" spans="2:16">
      <c r="B191" s="153" t="s">
        <v>670</v>
      </c>
      <c r="C191" s="357" t="s">
        <v>588</v>
      </c>
      <c r="D191" s="470">
        <v>47</v>
      </c>
      <c r="E191" s="483">
        <v>0</v>
      </c>
      <c r="F191" s="485" t="s">
        <v>1041</v>
      </c>
      <c r="G191" s="487">
        <v>24</v>
      </c>
      <c r="H191" s="475">
        <v>56</v>
      </c>
      <c r="I191" s="466"/>
      <c r="J191" s="476">
        <v>0</v>
      </c>
      <c r="K191" s="143">
        <v>1.2083333333333333</v>
      </c>
      <c r="M191" s="40">
        <v>-9</v>
      </c>
      <c r="N191" s="2"/>
      <c r="O191" s="35">
        <v>18</v>
      </c>
      <c r="P191" s="36">
        <v>29</v>
      </c>
    </row>
    <row r="192" spans="2:16">
      <c r="B192" s="153" t="s">
        <v>57</v>
      </c>
      <c r="C192" s="472" t="s">
        <v>639</v>
      </c>
      <c r="D192" s="473">
        <v>94</v>
      </c>
      <c r="E192" s="484">
        <v>0</v>
      </c>
      <c r="F192" s="486" t="s">
        <v>1041</v>
      </c>
      <c r="G192" s="486">
        <v>24</v>
      </c>
      <c r="H192" s="475">
        <v>89</v>
      </c>
      <c r="I192" s="466"/>
      <c r="J192" s="476">
        <v>0</v>
      </c>
      <c r="K192" s="348">
        <v>2.2916666666666665</v>
      </c>
      <c r="M192" s="40">
        <v>5</v>
      </c>
      <c r="N192" s="2"/>
      <c r="O192" s="35">
        <v>39</v>
      </c>
      <c r="P192" s="36">
        <v>55</v>
      </c>
    </row>
    <row r="193" spans="2:16">
      <c r="B193" s="153" t="s">
        <v>57</v>
      </c>
      <c r="C193" s="357" t="s">
        <v>565</v>
      </c>
      <c r="D193" s="470">
        <v>41</v>
      </c>
      <c r="E193" s="483">
        <v>0</v>
      </c>
      <c r="F193" s="485" t="s">
        <v>1041</v>
      </c>
      <c r="G193" s="487">
        <v>24</v>
      </c>
      <c r="H193" s="475">
        <v>47</v>
      </c>
      <c r="I193" s="466"/>
      <c r="J193" s="476">
        <v>0</v>
      </c>
      <c r="K193" s="348">
        <v>0.91666666666666663</v>
      </c>
      <c r="M193" s="40">
        <v>-6</v>
      </c>
      <c r="N193" s="2"/>
      <c r="O193" s="35">
        <v>19</v>
      </c>
      <c r="P193" s="36">
        <v>22</v>
      </c>
    </row>
    <row r="194" spans="2:16">
      <c r="B194" s="153" t="s">
        <v>57</v>
      </c>
      <c r="C194" s="472" t="s">
        <v>621</v>
      </c>
      <c r="D194" s="473">
        <v>188</v>
      </c>
      <c r="E194" s="484">
        <v>0</v>
      </c>
      <c r="F194" s="486" t="s">
        <v>1041</v>
      </c>
      <c r="G194" s="486">
        <v>24</v>
      </c>
      <c r="H194" s="475">
        <v>161</v>
      </c>
      <c r="I194" s="466"/>
      <c r="J194" s="476">
        <v>0</v>
      </c>
      <c r="K194" s="348">
        <v>4.375</v>
      </c>
      <c r="M194" s="40">
        <v>27</v>
      </c>
      <c r="N194" s="2"/>
      <c r="O194" s="35">
        <v>83</v>
      </c>
      <c r="P194" s="36">
        <v>105</v>
      </c>
    </row>
    <row r="195" spans="2:16">
      <c r="B195" s="153" t="s">
        <v>110</v>
      </c>
      <c r="C195" s="357" t="s">
        <v>610</v>
      </c>
      <c r="D195" s="470">
        <v>65</v>
      </c>
      <c r="E195" s="483">
        <v>0</v>
      </c>
      <c r="F195" s="485" t="s">
        <v>1041</v>
      </c>
      <c r="G195" s="487">
        <v>24</v>
      </c>
      <c r="H195" s="475">
        <v>52</v>
      </c>
      <c r="I195" s="466"/>
      <c r="J195" s="476">
        <v>0</v>
      </c>
      <c r="K195" s="143">
        <v>0.84583333333333321</v>
      </c>
      <c r="M195" s="40">
        <v>13</v>
      </c>
      <c r="N195" s="2"/>
      <c r="O195" s="35">
        <v>45</v>
      </c>
      <c r="P195" s="36">
        <v>20.299999999999997</v>
      </c>
    </row>
    <row r="196" spans="2:16">
      <c r="B196" s="153" t="s">
        <v>667</v>
      </c>
      <c r="C196" s="472" t="s">
        <v>582</v>
      </c>
      <c r="D196" s="473">
        <v>53</v>
      </c>
      <c r="E196" s="484">
        <v>0</v>
      </c>
      <c r="F196" s="486" t="s">
        <v>1041</v>
      </c>
      <c r="G196" s="486">
        <v>24</v>
      </c>
      <c r="H196" s="475">
        <v>44</v>
      </c>
      <c r="I196" s="466"/>
      <c r="J196" s="476">
        <v>0</v>
      </c>
      <c r="K196" s="143">
        <v>0.82624999999999993</v>
      </c>
      <c r="M196" s="40">
        <v>9</v>
      </c>
      <c r="N196" s="2"/>
      <c r="O196" s="35">
        <v>33</v>
      </c>
      <c r="P196" s="36">
        <v>19.829999999999998</v>
      </c>
    </row>
    <row r="197" spans="2:16">
      <c r="B197" s="153" t="s">
        <v>60</v>
      </c>
      <c r="C197" s="357" t="s">
        <v>658</v>
      </c>
      <c r="D197" s="470">
        <v>172</v>
      </c>
      <c r="E197" s="483">
        <v>0</v>
      </c>
      <c r="F197" s="485" t="s">
        <v>1041</v>
      </c>
      <c r="G197" s="487">
        <v>24</v>
      </c>
      <c r="H197" s="475">
        <v>158</v>
      </c>
      <c r="I197" s="466"/>
      <c r="J197" s="476">
        <v>0</v>
      </c>
      <c r="K197" s="143">
        <v>4.25</v>
      </c>
      <c r="M197" s="40">
        <v>14</v>
      </c>
      <c r="N197" s="2"/>
      <c r="O197" s="35">
        <v>70</v>
      </c>
      <c r="P197" s="36">
        <v>102</v>
      </c>
    </row>
    <row r="198" spans="2:16">
      <c r="B198" s="153" t="s">
        <v>60</v>
      </c>
      <c r="C198" s="472" t="s">
        <v>659</v>
      </c>
      <c r="D198" s="473">
        <v>240</v>
      </c>
      <c r="E198" s="484">
        <v>0</v>
      </c>
      <c r="F198" s="486" t="s">
        <v>1041</v>
      </c>
      <c r="G198" s="486">
        <v>24</v>
      </c>
      <c r="H198" s="475">
        <v>227</v>
      </c>
      <c r="I198" s="466"/>
      <c r="J198" s="476">
        <v>0</v>
      </c>
      <c r="K198" s="143">
        <v>6.208333333333333</v>
      </c>
      <c r="M198" s="40">
        <v>13</v>
      </c>
      <c r="N198" s="2"/>
      <c r="O198" s="35">
        <v>91</v>
      </c>
      <c r="P198" s="36">
        <v>149</v>
      </c>
    </row>
    <row r="199" spans="2:16">
      <c r="B199" s="153" t="s">
        <v>60</v>
      </c>
      <c r="C199" s="357" t="s">
        <v>555</v>
      </c>
      <c r="D199" s="470">
        <v>99</v>
      </c>
      <c r="E199" s="483">
        <v>0</v>
      </c>
      <c r="F199" s="485" t="s">
        <v>1041</v>
      </c>
      <c r="G199" s="487">
        <v>24</v>
      </c>
      <c r="H199" s="475">
        <v>91</v>
      </c>
      <c r="I199" s="466"/>
      <c r="J199" s="476">
        <v>0</v>
      </c>
      <c r="K199" s="143">
        <v>2.375</v>
      </c>
      <c r="M199" s="40">
        <v>8</v>
      </c>
      <c r="N199" s="2"/>
      <c r="O199" s="35">
        <v>42</v>
      </c>
      <c r="P199" s="36">
        <v>57</v>
      </c>
    </row>
    <row r="200" spans="2:16">
      <c r="B200" s="153" t="s">
        <v>673</v>
      </c>
      <c r="C200" s="472" t="s">
        <v>526</v>
      </c>
      <c r="D200" s="473">
        <v>46</v>
      </c>
      <c r="E200" s="484">
        <v>0</v>
      </c>
      <c r="F200" s="486" t="s">
        <v>1041</v>
      </c>
      <c r="G200" s="486">
        <v>24</v>
      </c>
      <c r="H200" s="475">
        <v>52</v>
      </c>
      <c r="I200" s="466"/>
      <c r="J200" s="476">
        <v>0</v>
      </c>
      <c r="K200" s="348">
        <v>1.0833333333333333</v>
      </c>
      <c r="L200" s="477"/>
      <c r="M200" s="470">
        <v>-6</v>
      </c>
      <c r="N200" s="477"/>
      <c r="O200" s="476">
        <v>20</v>
      </c>
      <c r="P200" s="478">
        <v>26</v>
      </c>
    </row>
    <row r="201" spans="2:16">
      <c r="B201" s="153" t="s">
        <v>664</v>
      </c>
      <c r="C201" s="357" t="s">
        <v>640</v>
      </c>
      <c r="D201" s="470">
        <v>93</v>
      </c>
      <c r="E201" s="483">
        <v>0</v>
      </c>
      <c r="F201" s="485" t="s">
        <v>1041</v>
      </c>
      <c r="G201" s="487">
        <v>24</v>
      </c>
      <c r="H201" s="475">
        <v>112</v>
      </c>
      <c r="I201" s="466"/>
      <c r="J201" s="476">
        <v>0</v>
      </c>
      <c r="K201" s="348">
        <v>3.105</v>
      </c>
      <c r="L201" s="477"/>
      <c r="M201" s="470">
        <v>-19</v>
      </c>
      <c r="N201" s="477"/>
      <c r="O201" s="476">
        <v>18</v>
      </c>
      <c r="P201" s="478">
        <v>74.52</v>
      </c>
    </row>
    <row r="202" spans="2:16">
      <c r="B202" s="153" t="s">
        <v>664</v>
      </c>
      <c r="C202" s="472" t="s">
        <v>573</v>
      </c>
      <c r="D202" s="473">
        <v>71</v>
      </c>
      <c r="E202" s="484">
        <v>0</v>
      </c>
      <c r="F202" s="486" t="s">
        <v>1041</v>
      </c>
      <c r="G202" s="486">
        <v>24</v>
      </c>
      <c r="H202" s="475">
        <v>59</v>
      </c>
      <c r="I202" s="466"/>
      <c r="J202" s="476">
        <v>0</v>
      </c>
      <c r="K202" s="348">
        <v>1.3399999999999999</v>
      </c>
      <c r="L202" s="477"/>
      <c r="M202" s="470">
        <v>12</v>
      </c>
      <c r="N202" s="477"/>
      <c r="O202" s="476">
        <v>39</v>
      </c>
      <c r="P202" s="478">
        <v>32.159999999999997</v>
      </c>
    </row>
    <row r="203" spans="2:16">
      <c r="B203" s="153" t="s">
        <v>664</v>
      </c>
      <c r="C203" s="357" t="s">
        <v>752</v>
      </c>
      <c r="D203" s="470">
        <v>32</v>
      </c>
      <c r="E203" s="483">
        <v>0</v>
      </c>
      <c r="F203" s="485" t="s">
        <v>1041</v>
      </c>
      <c r="G203" s="487">
        <v>24</v>
      </c>
      <c r="H203" s="475">
        <v>38</v>
      </c>
      <c r="I203" s="466"/>
      <c r="J203" s="476">
        <v>0</v>
      </c>
      <c r="K203" s="348">
        <v>0.62083333333333335</v>
      </c>
      <c r="L203" s="477"/>
      <c r="M203" s="470">
        <v>-6</v>
      </c>
      <c r="N203" s="477"/>
      <c r="O203" s="476">
        <v>17</v>
      </c>
      <c r="P203" s="478">
        <v>14.9</v>
      </c>
    </row>
    <row r="204" spans="2:16">
      <c r="B204" s="153" t="s">
        <v>664</v>
      </c>
      <c r="C204" s="488" t="s">
        <v>753</v>
      </c>
      <c r="D204" s="473">
        <v>85</v>
      </c>
      <c r="E204" s="484">
        <v>0</v>
      </c>
      <c r="F204" s="486" t="s">
        <v>1041</v>
      </c>
      <c r="G204" s="486">
        <v>24</v>
      </c>
      <c r="H204" s="475">
        <v>102</v>
      </c>
      <c r="I204" s="466"/>
      <c r="J204" s="476">
        <v>0</v>
      </c>
      <c r="K204" s="348">
        <v>2.76</v>
      </c>
      <c r="L204" s="477"/>
      <c r="M204" s="470">
        <v>-17</v>
      </c>
      <c r="N204" s="477"/>
      <c r="O204" s="476">
        <v>19</v>
      </c>
      <c r="P204" s="478">
        <v>66.239999999999995</v>
      </c>
    </row>
    <row r="205" spans="2:16">
      <c r="B205" s="153" t="s">
        <v>540</v>
      </c>
      <c r="C205" s="472" t="s">
        <v>548</v>
      </c>
      <c r="D205" s="470">
        <v>38</v>
      </c>
      <c r="E205" s="483">
        <v>0</v>
      </c>
      <c r="F205" s="485" t="s">
        <v>1041</v>
      </c>
      <c r="G205" s="487">
        <v>24</v>
      </c>
      <c r="H205" s="475">
        <v>45</v>
      </c>
      <c r="I205" s="466"/>
      <c r="J205" s="476">
        <v>0</v>
      </c>
      <c r="K205" s="348">
        <v>0.83333333333333337</v>
      </c>
      <c r="L205" s="477"/>
      <c r="M205" s="470">
        <v>-7</v>
      </c>
      <c r="N205" s="477"/>
      <c r="O205" s="476">
        <v>18</v>
      </c>
      <c r="P205" s="478">
        <v>20</v>
      </c>
    </row>
    <row r="206" spans="2:16">
      <c r="B206" s="153" t="s">
        <v>674</v>
      </c>
      <c r="C206" s="357" t="s">
        <v>543</v>
      </c>
      <c r="D206" s="473">
        <v>48</v>
      </c>
      <c r="E206" s="484">
        <v>0</v>
      </c>
      <c r="F206" s="486" t="s">
        <v>1101</v>
      </c>
      <c r="G206" s="486">
        <v>24</v>
      </c>
      <c r="H206" s="475">
        <v>56</v>
      </c>
      <c r="I206" s="466"/>
      <c r="J206" s="476">
        <v>0</v>
      </c>
      <c r="K206" s="348">
        <v>1.2083333333333333</v>
      </c>
      <c r="L206" s="477"/>
      <c r="M206" s="470">
        <v>-8</v>
      </c>
      <c r="N206" s="477"/>
      <c r="O206" s="476">
        <v>19</v>
      </c>
      <c r="P206" s="478">
        <v>29</v>
      </c>
    </row>
    <row r="207" spans="2:16">
      <c r="B207" s="153" t="s">
        <v>59</v>
      </c>
      <c r="C207" s="472" t="s">
        <v>519</v>
      </c>
      <c r="D207" s="470">
        <v>165</v>
      </c>
      <c r="E207" s="483">
        <v>0</v>
      </c>
      <c r="F207" s="485" t="s">
        <v>1069</v>
      </c>
      <c r="G207" s="487">
        <v>24</v>
      </c>
      <c r="H207" s="475">
        <v>190</v>
      </c>
      <c r="I207" s="466"/>
      <c r="J207" s="476">
        <v>0</v>
      </c>
      <c r="K207" s="348">
        <v>4.4920833333333334</v>
      </c>
      <c r="L207" s="477"/>
      <c r="M207" s="470">
        <v>-25</v>
      </c>
      <c r="N207" s="477"/>
      <c r="O207" s="476">
        <v>57</v>
      </c>
      <c r="P207" s="478">
        <v>107.81</v>
      </c>
    </row>
    <row r="208" spans="2:16">
      <c r="B208" s="153" t="s">
        <v>59</v>
      </c>
      <c r="C208" s="357" t="s">
        <v>754</v>
      </c>
      <c r="D208" s="473">
        <v>248</v>
      </c>
      <c r="E208" s="484">
        <v>0</v>
      </c>
      <c r="F208" s="486" t="s">
        <v>1069</v>
      </c>
      <c r="G208" s="486">
        <v>24</v>
      </c>
      <c r="H208" s="475">
        <v>295</v>
      </c>
      <c r="I208" s="466"/>
      <c r="J208" s="476">
        <v>0</v>
      </c>
      <c r="K208" s="348">
        <v>7.833333333333333</v>
      </c>
      <c r="L208" s="477"/>
      <c r="M208" s="470">
        <v>-47</v>
      </c>
      <c r="N208" s="477"/>
      <c r="O208" s="476">
        <v>60</v>
      </c>
      <c r="P208" s="478">
        <v>188</v>
      </c>
    </row>
    <row r="209" spans="2:16">
      <c r="B209" s="153" t="s">
        <v>60</v>
      </c>
      <c r="C209" s="472" t="s">
        <v>544</v>
      </c>
      <c r="D209" s="470">
        <v>190</v>
      </c>
      <c r="E209" s="483">
        <v>0</v>
      </c>
      <c r="F209" s="485" t="s">
        <v>1069</v>
      </c>
      <c r="G209" s="487">
        <v>24</v>
      </c>
      <c r="H209" s="475">
        <v>139</v>
      </c>
      <c r="I209" s="466"/>
      <c r="J209" s="476">
        <v>0</v>
      </c>
      <c r="K209" s="348">
        <v>4.0158333333333331</v>
      </c>
      <c r="L209" s="477"/>
      <c r="M209" s="470">
        <v>51</v>
      </c>
      <c r="N209" s="477"/>
      <c r="O209" s="476">
        <v>94</v>
      </c>
      <c r="P209" s="478">
        <v>96.38</v>
      </c>
    </row>
    <row r="210" spans="2:16">
      <c r="B210" s="153" t="s">
        <v>293</v>
      </c>
      <c r="C210" s="488" t="s">
        <v>755</v>
      </c>
      <c r="D210" s="473">
        <v>75</v>
      </c>
      <c r="E210" s="484">
        <v>0</v>
      </c>
      <c r="F210" s="486" t="s">
        <v>1069</v>
      </c>
      <c r="G210" s="486">
        <v>24</v>
      </c>
      <c r="H210" s="475">
        <v>109</v>
      </c>
      <c r="I210" s="466"/>
      <c r="J210" s="476">
        <v>0</v>
      </c>
      <c r="K210" s="348">
        <v>2.9975000000000001</v>
      </c>
      <c r="L210" s="477"/>
      <c r="M210" s="470">
        <v>-34</v>
      </c>
      <c r="N210" s="477"/>
      <c r="O210" s="476">
        <v>3</v>
      </c>
      <c r="P210" s="478">
        <v>71.94</v>
      </c>
    </row>
    <row r="211" spans="2:16">
      <c r="B211" s="153" t="s">
        <v>673</v>
      </c>
      <c r="C211" s="357" t="s">
        <v>651</v>
      </c>
      <c r="D211" s="470">
        <v>165</v>
      </c>
      <c r="E211" s="483">
        <v>0</v>
      </c>
      <c r="F211" s="485" t="s">
        <v>1069</v>
      </c>
      <c r="G211" s="487">
        <v>24</v>
      </c>
      <c r="H211" s="475">
        <v>161</v>
      </c>
      <c r="I211" s="466"/>
      <c r="J211" s="476">
        <v>0</v>
      </c>
      <c r="K211" s="348">
        <v>4.375</v>
      </c>
      <c r="L211" s="477"/>
      <c r="M211" s="470">
        <v>4</v>
      </c>
      <c r="N211" s="477"/>
      <c r="O211" s="476">
        <v>60</v>
      </c>
      <c r="P211" s="478">
        <v>105</v>
      </c>
    </row>
    <row r="212" spans="2:16">
      <c r="B212" s="153" t="s">
        <v>664</v>
      </c>
      <c r="C212" s="472" t="s">
        <v>652</v>
      </c>
      <c r="D212" s="470">
        <v>40</v>
      </c>
      <c r="E212" s="479">
        <v>0</v>
      </c>
      <c r="F212" s="213" t="s">
        <v>1134</v>
      </c>
      <c r="G212" s="480">
        <v>24</v>
      </c>
      <c r="H212" s="475">
        <v>48</v>
      </c>
      <c r="I212" s="466"/>
      <c r="J212" s="476">
        <v>0</v>
      </c>
      <c r="K212" s="348">
        <v>0.93125000000000002</v>
      </c>
      <c r="L212" s="477"/>
      <c r="M212" s="470">
        <v>-8</v>
      </c>
      <c r="N212" s="477"/>
      <c r="O212" s="476">
        <v>18</v>
      </c>
      <c r="P212" s="478">
        <v>22.35</v>
      </c>
    </row>
    <row r="213" spans="2:16">
      <c r="B213" s="153" t="s">
        <v>55</v>
      </c>
      <c r="C213" s="357" t="s">
        <v>470</v>
      </c>
      <c r="D213" s="470">
        <v>82</v>
      </c>
      <c r="E213" s="483">
        <v>0</v>
      </c>
      <c r="F213" s="485" t="s">
        <v>1084</v>
      </c>
      <c r="G213" s="487">
        <v>24</v>
      </c>
      <c r="H213" s="475">
        <v>115</v>
      </c>
      <c r="I213" s="466"/>
      <c r="J213" s="476">
        <v>0</v>
      </c>
      <c r="K213" s="348">
        <v>2.6708333333333329</v>
      </c>
      <c r="L213" s="477"/>
      <c r="M213" s="470">
        <v>-33</v>
      </c>
      <c r="N213" s="477"/>
      <c r="O213" s="476">
        <v>18</v>
      </c>
      <c r="P213" s="478">
        <v>64.099999999999994</v>
      </c>
    </row>
    <row r="214" spans="2:16">
      <c r="B214" s="153" t="s">
        <v>55</v>
      </c>
      <c r="C214" s="472" t="s">
        <v>525</v>
      </c>
      <c r="D214" s="473">
        <v>100</v>
      </c>
      <c r="E214" s="484">
        <v>0</v>
      </c>
      <c r="F214" s="486" t="s">
        <v>1084</v>
      </c>
      <c r="G214" s="486">
        <v>24</v>
      </c>
      <c r="H214" s="475">
        <v>127</v>
      </c>
      <c r="I214" s="466"/>
      <c r="J214" s="476">
        <v>0</v>
      </c>
      <c r="K214" s="348">
        <v>3.2004166666666669</v>
      </c>
      <c r="L214" s="477"/>
      <c r="M214" s="470">
        <v>-27</v>
      </c>
      <c r="N214" s="477"/>
      <c r="O214" s="476">
        <v>23</v>
      </c>
      <c r="P214" s="478">
        <v>76.81</v>
      </c>
    </row>
    <row r="215" spans="2:16">
      <c r="B215" s="153" t="s">
        <v>55</v>
      </c>
      <c r="C215" s="357" t="s">
        <v>564</v>
      </c>
      <c r="D215" s="470">
        <v>59</v>
      </c>
      <c r="E215" s="483">
        <v>0</v>
      </c>
      <c r="F215" s="485" t="s">
        <v>1101</v>
      </c>
      <c r="G215" s="487">
        <v>24</v>
      </c>
      <c r="H215" s="475">
        <v>71</v>
      </c>
      <c r="I215" s="466"/>
      <c r="J215" s="476">
        <v>0</v>
      </c>
      <c r="K215" s="348">
        <v>1.6833333333333333</v>
      </c>
      <c r="L215" s="477"/>
      <c r="M215" s="470">
        <v>-12</v>
      </c>
      <c r="N215" s="477"/>
      <c r="O215" s="476">
        <v>19</v>
      </c>
      <c r="P215" s="478">
        <v>40.4</v>
      </c>
    </row>
    <row r="216" spans="2:16">
      <c r="B216" s="153" t="s">
        <v>664</v>
      </c>
      <c r="C216" s="472" t="s">
        <v>518</v>
      </c>
      <c r="D216" s="473">
        <v>109</v>
      </c>
      <c r="E216" s="484">
        <v>0</v>
      </c>
      <c r="F216" s="486" t="s">
        <v>1105</v>
      </c>
      <c r="G216" s="486">
        <v>24</v>
      </c>
      <c r="H216" s="475">
        <v>79</v>
      </c>
      <c r="I216" s="466"/>
      <c r="J216" s="476">
        <v>0</v>
      </c>
      <c r="K216" s="348">
        <v>1.9533333333333331</v>
      </c>
      <c r="L216" s="477"/>
      <c r="M216" s="470">
        <v>30</v>
      </c>
      <c r="N216" s="477"/>
      <c r="O216" s="476">
        <v>62</v>
      </c>
      <c r="P216" s="478">
        <v>46.879999999999995</v>
      </c>
    </row>
    <row r="217" spans="2:16">
      <c r="B217" s="153" t="s">
        <v>664</v>
      </c>
      <c r="C217" s="357" t="s">
        <v>574</v>
      </c>
      <c r="D217" s="470">
        <v>116</v>
      </c>
      <c r="E217" s="483">
        <v>0</v>
      </c>
      <c r="F217" s="485" t="s">
        <v>1105</v>
      </c>
      <c r="G217" s="487">
        <v>24</v>
      </c>
      <c r="H217" s="475">
        <v>115</v>
      </c>
      <c r="I217" s="466"/>
      <c r="J217" s="476">
        <v>0</v>
      </c>
      <c r="K217" s="348">
        <v>3.2033333333333331</v>
      </c>
      <c r="L217" s="477"/>
      <c r="M217" s="470">
        <v>1</v>
      </c>
      <c r="N217" s="477"/>
      <c r="O217" s="476">
        <v>39</v>
      </c>
      <c r="P217" s="478">
        <v>76.88</v>
      </c>
    </row>
    <row r="218" spans="2:16">
      <c r="B218" s="153" t="s">
        <v>671</v>
      </c>
      <c r="C218" s="472" t="s">
        <v>638</v>
      </c>
      <c r="D218" s="473">
        <v>538</v>
      </c>
      <c r="E218" s="484">
        <v>0</v>
      </c>
      <c r="F218" s="486" t="s">
        <v>1075</v>
      </c>
      <c r="G218" s="486">
        <v>24</v>
      </c>
      <c r="H218" s="475">
        <v>645</v>
      </c>
      <c r="I218" s="466"/>
      <c r="J218" s="476">
        <v>0</v>
      </c>
      <c r="K218" s="348">
        <v>17.787083333333332</v>
      </c>
      <c r="L218" s="477"/>
      <c r="M218" s="470">
        <v>-107</v>
      </c>
      <c r="N218" s="477"/>
      <c r="O218" s="476">
        <v>111</v>
      </c>
      <c r="P218" s="478">
        <v>426.89</v>
      </c>
    </row>
    <row r="219" spans="2:16">
      <c r="B219" s="153" t="s">
        <v>671</v>
      </c>
      <c r="C219" s="472" t="s">
        <v>758</v>
      </c>
      <c r="D219" s="470">
        <v>589</v>
      </c>
      <c r="E219" s="483">
        <v>0</v>
      </c>
      <c r="F219" s="485" t="s">
        <v>1075</v>
      </c>
      <c r="G219" s="487">
        <v>24</v>
      </c>
      <c r="H219" s="475">
        <v>713</v>
      </c>
      <c r="I219" s="466"/>
      <c r="J219" s="476">
        <v>0</v>
      </c>
      <c r="K219" s="348">
        <v>20.140833333333333</v>
      </c>
      <c r="L219" s="477"/>
      <c r="M219" s="470">
        <v>-124</v>
      </c>
      <c r="N219" s="477"/>
      <c r="O219" s="476">
        <v>106</v>
      </c>
      <c r="P219" s="478">
        <v>483.38</v>
      </c>
    </row>
    <row r="220" spans="2:16">
      <c r="B220" s="153" t="s">
        <v>671</v>
      </c>
      <c r="C220" s="472" t="s">
        <v>759</v>
      </c>
      <c r="D220" s="473">
        <v>434</v>
      </c>
      <c r="E220" s="484">
        <v>0</v>
      </c>
      <c r="F220" s="486" t="s">
        <v>1075</v>
      </c>
      <c r="G220" s="486">
        <v>24</v>
      </c>
      <c r="H220" s="475">
        <v>525</v>
      </c>
      <c r="I220" s="466"/>
      <c r="J220" s="476">
        <v>0</v>
      </c>
      <c r="K220" s="348">
        <v>14.4825</v>
      </c>
      <c r="L220" s="477"/>
      <c r="M220" s="470">
        <v>-91</v>
      </c>
      <c r="N220" s="477"/>
      <c r="O220" s="476">
        <v>86</v>
      </c>
      <c r="P220" s="478">
        <v>347.58</v>
      </c>
    </row>
    <row r="221" spans="2:16">
      <c r="B221" s="153" t="s">
        <v>79</v>
      </c>
      <c r="C221" s="472" t="s">
        <v>586</v>
      </c>
      <c r="D221" s="470">
        <v>622</v>
      </c>
      <c r="E221" s="483">
        <v>0</v>
      </c>
      <c r="F221" s="485" t="s">
        <v>1075</v>
      </c>
      <c r="G221" s="487">
        <v>24</v>
      </c>
      <c r="H221" s="475">
        <v>752</v>
      </c>
      <c r="I221" s="466"/>
      <c r="J221" s="476">
        <v>0</v>
      </c>
      <c r="K221" s="348">
        <v>21.487083333333334</v>
      </c>
      <c r="L221" s="477"/>
      <c r="M221" s="470">
        <v>-130</v>
      </c>
      <c r="N221" s="477"/>
      <c r="O221" s="476">
        <v>106</v>
      </c>
      <c r="P221" s="478">
        <v>515.69000000000005</v>
      </c>
    </row>
    <row r="222" spans="2:16">
      <c r="B222" s="153" t="s">
        <v>106</v>
      </c>
      <c r="C222" s="472" t="s">
        <v>405</v>
      </c>
      <c r="D222" s="473">
        <v>89</v>
      </c>
      <c r="E222" s="484">
        <v>0</v>
      </c>
      <c r="F222" s="486" t="s">
        <v>1038</v>
      </c>
      <c r="G222" s="486">
        <v>24</v>
      </c>
      <c r="H222" s="475">
        <v>106</v>
      </c>
      <c r="I222" s="466"/>
      <c r="J222" s="476">
        <v>0</v>
      </c>
      <c r="K222" s="348">
        <v>2.8920833333333333</v>
      </c>
      <c r="L222" s="477"/>
      <c r="M222" s="470">
        <v>-17</v>
      </c>
      <c r="N222" s="477"/>
      <c r="O222" s="476">
        <v>20</v>
      </c>
      <c r="P222" s="478">
        <v>69.41</v>
      </c>
    </row>
    <row r="223" spans="2:16">
      <c r="B223" s="153" t="s">
        <v>106</v>
      </c>
      <c r="C223" s="357" t="s">
        <v>380</v>
      </c>
      <c r="D223" s="470">
        <v>49</v>
      </c>
      <c r="E223" s="483">
        <v>0</v>
      </c>
      <c r="F223" s="485" t="s">
        <v>1038</v>
      </c>
      <c r="G223" s="487">
        <v>24</v>
      </c>
      <c r="H223" s="475">
        <v>72</v>
      </c>
      <c r="I223" s="466"/>
      <c r="J223" s="476">
        <v>0</v>
      </c>
      <c r="K223" s="348">
        <v>1.7066666666666668</v>
      </c>
      <c r="L223" s="477"/>
      <c r="M223" s="470">
        <v>-23</v>
      </c>
      <c r="N223" s="477"/>
      <c r="O223" s="476">
        <v>8</v>
      </c>
      <c r="P223" s="478">
        <v>40.96</v>
      </c>
    </row>
    <row r="224" spans="2:16">
      <c r="B224" s="153" t="s">
        <v>106</v>
      </c>
      <c r="C224" s="472" t="s">
        <v>760</v>
      </c>
      <c r="D224" s="473">
        <v>413</v>
      </c>
      <c r="E224" s="484">
        <v>2.5</v>
      </c>
      <c r="F224" s="486" t="s">
        <v>1140</v>
      </c>
      <c r="G224" s="486">
        <v>24</v>
      </c>
      <c r="H224" s="475">
        <v>370</v>
      </c>
      <c r="I224" s="466"/>
      <c r="J224" s="476">
        <v>0</v>
      </c>
      <c r="K224" s="348">
        <v>9.6</v>
      </c>
      <c r="L224" s="477"/>
      <c r="M224" s="470">
        <v>43</v>
      </c>
      <c r="N224" s="477"/>
      <c r="O224" s="476">
        <v>183</v>
      </c>
      <c r="P224" s="478">
        <v>230.39999999999998</v>
      </c>
    </row>
    <row r="225" spans="2:16">
      <c r="B225" s="153" t="s">
        <v>670</v>
      </c>
      <c r="C225" s="472" t="s">
        <v>648</v>
      </c>
      <c r="D225" s="470">
        <v>62</v>
      </c>
      <c r="E225" s="483">
        <v>0</v>
      </c>
      <c r="F225" s="485" t="s">
        <v>1136</v>
      </c>
      <c r="G225" s="487">
        <v>24</v>
      </c>
      <c r="H225" s="475">
        <v>61</v>
      </c>
      <c r="I225" s="466"/>
      <c r="J225" s="476">
        <v>0</v>
      </c>
      <c r="K225" s="348">
        <v>1.3825000000000001</v>
      </c>
      <c r="L225" s="477"/>
      <c r="M225" s="470">
        <v>1</v>
      </c>
      <c r="N225" s="477"/>
      <c r="O225" s="476">
        <v>29</v>
      </c>
      <c r="P225" s="478">
        <v>33.18</v>
      </c>
    </row>
    <row r="226" spans="2:16">
      <c r="B226" s="153" t="s">
        <v>57</v>
      </c>
      <c r="C226" s="357" t="s">
        <v>649</v>
      </c>
      <c r="D226" s="473">
        <v>58</v>
      </c>
      <c r="E226" s="484">
        <v>0</v>
      </c>
      <c r="F226" s="486" t="s">
        <v>1136</v>
      </c>
      <c r="G226" s="486">
        <v>24</v>
      </c>
      <c r="H226" s="475">
        <v>59</v>
      </c>
      <c r="I226" s="466"/>
      <c r="J226" s="476">
        <v>0</v>
      </c>
      <c r="K226" s="348">
        <v>1.3333333333333333</v>
      </c>
      <c r="L226" s="477"/>
      <c r="M226" s="470">
        <v>-1</v>
      </c>
      <c r="N226" s="477"/>
      <c r="O226" s="476">
        <v>26</v>
      </c>
      <c r="P226" s="478">
        <v>32</v>
      </c>
    </row>
    <row r="227" spans="2:16">
      <c r="B227" s="153" t="s">
        <v>57</v>
      </c>
      <c r="C227" s="472" t="s">
        <v>622</v>
      </c>
      <c r="D227" s="470">
        <v>161</v>
      </c>
      <c r="E227" s="483">
        <v>2.5</v>
      </c>
      <c r="F227" s="485" t="s">
        <v>1140</v>
      </c>
      <c r="G227" s="487">
        <v>24</v>
      </c>
      <c r="H227" s="475">
        <v>121</v>
      </c>
      <c r="I227" s="466"/>
      <c r="J227" s="476">
        <v>0</v>
      </c>
      <c r="K227" s="348">
        <v>3.3958333333333335</v>
      </c>
      <c r="L227" s="477"/>
      <c r="M227" s="470">
        <v>40</v>
      </c>
      <c r="N227" s="477"/>
      <c r="O227" s="476">
        <v>80</v>
      </c>
      <c r="P227" s="478">
        <v>81.5</v>
      </c>
    </row>
    <row r="228" spans="2:16">
      <c r="B228" s="153" t="s">
        <v>57</v>
      </c>
      <c r="C228" s="357" t="s">
        <v>761</v>
      </c>
      <c r="D228" s="473">
        <v>288</v>
      </c>
      <c r="E228" s="484">
        <v>2.5</v>
      </c>
      <c r="F228" s="486" t="s">
        <v>1184</v>
      </c>
      <c r="G228" s="486">
        <v>24</v>
      </c>
      <c r="H228" s="475">
        <v>392</v>
      </c>
      <c r="I228" s="466"/>
      <c r="J228" s="476">
        <v>0</v>
      </c>
      <c r="K228" s="348">
        <v>7.5625</v>
      </c>
      <c r="L228" s="477"/>
      <c r="M228" s="470">
        <v>-104</v>
      </c>
      <c r="N228" s="477"/>
      <c r="O228" s="476">
        <v>107</v>
      </c>
      <c r="P228" s="478">
        <v>181.5</v>
      </c>
    </row>
    <row r="229" spans="2:16">
      <c r="B229" s="153" t="s">
        <v>57</v>
      </c>
      <c r="C229" s="472" t="s">
        <v>762</v>
      </c>
      <c r="D229" s="470">
        <v>245</v>
      </c>
      <c r="E229" s="483">
        <v>2.5</v>
      </c>
      <c r="F229" s="485" t="s">
        <v>1184</v>
      </c>
      <c r="G229" s="487">
        <v>24</v>
      </c>
      <c r="H229" s="475">
        <v>377</v>
      </c>
      <c r="I229" s="466"/>
      <c r="J229" s="476">
        <v>0</v>
      </c>
      <c r="K229" s="348">
        <v>7.479166666666667</v>
      </c>
      <c r="L229" s="477"/>
      <c r="M229" s="470">
        <v>-132</v>
      </c>
      <c r="N229" s="477"/>
      <c r="O229" s="476">
        <v>66</v>
      </c>
      <c r="P229" s="478">
        <v>179.5</v>
      </c>
    </row>
    <row r="230" spans="2:16">
      <c r="B230" s="153" t="s">
        <v>57</v>
      </c>
      <c r="C230" s="357" t="s">
        <v>763</v>
      </c>
      <c r="D230" s="473">
        <v>288</v>
      </c>
      <c r="E230" s="484">
        <v>2.5</v>
      </c>
      <c r="F230" s="486" t="s">
        <v>1184</v>
      </c>
      <c r="G230" s="486">
        <v>24</v>
      </c>
      <c r="H230" s="475">
        <v>392</v>
      </c>
      <c r="I230" s="466"/>
      <c r="J230" s="476">
        <v>0</v>
      </c>
      <c r="K230" s="348">
        <v>7.1875</v>
      </c>
      <c r="L230" s="477"/>
      <c r="M230" s="470">
        <v>-104</v>
      </c>
      <c r="N230" s="477"/>
      <c r="O230" s="476">
        <v>116</v>
      </c>
      <c r="P230" s="478">
        <v>172.5</v>
      </c>
    </row>
    <row r="231" spans="2:16">
      <c r="B231" s="153" t="s">
        <v>57</v>
      </c>
      <c r="C231" s="472" t="s">
        <v>764</v>
      </c>
      <c r="D231" s="470">
        <v>468</v>
      </c>
      <c r="E231" s="483">
        <v>2.5</v>
      </c>
      <c r="F231" s="485" t="s">
        <v>1184</v>
      </c>
      <c r="G231" s="487">
        <v>24</v>
      </c>
      <c r="H231" s="475">
        <v>613</v>
      </c>
      <c r="I231" s="466"/>
      <c r="J231" s="476">
        <v>0</v>
      </c>
      <c r="K231" s="348">
        <v>10.0625</v>
      </c>
      <c r="L231" s="477"/>
      <c r="M231" s="470">
        <v>-145</v>
      </c>
      <c r="N231" s="477"/>
      <c r="O231" s="476">
        <v>227</v>
      </c>
      <c r="P231" s="478">
        <v>241.5</v>
      </c>
    </row>
    <row r="232" spans="2:16">
      <c r="B232" s="153" t="s">
        <v>57</v>
      </c>
      <c r="C232" s="489" t="s">
        <v>765</v>
      </c>
      <c r="D232" s="473">
        <v>377</v>
      </c>
      <c r="E232" s="484">
        <v>2.5</v>
      </c>
      <c r="F232" s="486" t="s">
        <v>1140</v>
      </c>
      <c r="G232" s="486">
        <v>24</v>
      </c>
      <c r="H232" s="475">
        <v>287</v>
      </c>
      <c r="I232" s="466"/>
      <c r="J232" s="476">
        <v>0</v>
      </c>
      <c r="K232" s="348">
        <v>7.5625</v>
      </c>
      <c r="L232" s="477"/>
      <c r="M232" s="470">
        <v>90</v>
      </c>
      <c r="N232" s="477"/>
      <c r="O232" s="476">
        <v>196</v>
      </c>
      <c r="P232" s="478">
        <v>181.5</v>
      </c>
    </row>
    <row r="233" spans="2:16">
      <c r="B233" s="153" t="s">
        <v>57</v>
      </c>
      <c r="C233" s="357" t="s">
        <v>537</v>
      </c>
      <c r="D233" s="470">
        <v>748</v>
      </c>
      <c r="E233" s="483">
        <v>2.5</v>
      </c>
      <c r="F233" s="485" t="s">
        <v>1140</v>
      </c>
      <c r="G233" s="487">
        <v>24</v>
      </c>
      <c r="H233" s="475">
        <v>456</v>
      </c>
      <c r="I233" s="466"/>
      <c r="J233" s="476">
        <v>0</v>
      </c>
      <c r="K233" s="348">
        <v>12.5625</v>
      </c>
      <c r="L233" s="477"/>
      <c r="M233" s="470">
        <v>292</v>
      </c>
      <c r="N233" s="477"/>
      <c r="O233" s="476">
        <v>447</v>
      </c>
      <c r="P233" s="478">
        <v>301.5</v>
      </c>
    </row>
    <row r="234" spans="2:16">
      <c r="B234" s="153" t="s">
        <v>669</v>
      </c>
      <c r="C234" s="357" t="s">
        <v>409</v>
      </c>
      <c r="D234" s="473">
        <v>53</v>
      </c>
      <c r="E234" s="484">
        <v>5.25</v>
      </c>
      <c r="F234" s="486" t="s">
        <v>1130</v>
      </c>
      <c r="G234" s="486">
        <v>24</v>
      </c>
      <c r="H234" s="475">
        <v>64</v>
      </c>
      <c r="I234" s="466"/>
      <c r="J234" s="476">
        <v>0</v>
      </c>
      <c r="K234" s="348">
        <v>1.4479166666666667</v>
      </c>
      <c r="L234" s="477"/>
      <c r="M234" s="470">
        <v>-11</v>
      </c>
      <c r="N234" s="477"/>
      <c r="O234" s="476">
        <v>18</v>
      </c>
      <c r="P234" s="478">
        <v>34.75</v>
      </c>
    </row>
    <row r="235" spans="2:16">
      <c r="B235" s="153" t="s">
        <v>669</v>
      </c>
      <c r="C235" s="472" t="s">
        <v>766</v>
      </c>
      <c r="D235" s="470">
        <v>191</v>
      </c>
      <c r="E235" s="483">
        <v>5.25</v>
      </c>
      <c r="F235" s="485" t="s">
        <v>1130</v>
      </c>
      <c r="G235" s="487">
        <v>24</v>
      </c>
      <c r="H235" s="475">
        <v>221</v>
      </c>
      <c r="I235" s="466"/>
      <c r="J235" s="476">
        <v>0</v>
      </c>
      <c r="K235" s="348">
        <v>5.98</v>
      </c>
      <c r="L235" s="477"/>
      <c r="M235" s="470">
        <v>-30</v>
      </c>
      <c r="N235" s="477"/>
      <c r="O235" s="476">
        <v>47</v>
      </c>
      <c r="P235" s="478">
        <v>143.52000000000001</v>
      </c>
    </row>
    <row r="236" spans="2:16">
      <c r="B236" s="153" t="s">
        <v>668</v>
      </c>
      <c r="C236" s="357" t="s">
        <v>575</v>
      </c>
      <c r="D236" s="470">
        <v>72</v>
      </c>
      <c r="E236" s="479">
        <v>0</v>
      </c>
      <c r="F236" s="213" t="s">
        <v>1105</v>
      </c>
      <c r="G236" s="480">
        <v>24</v>
      </c>
      <c r="H236" s="475">
        <v>95</v>
      </c>
      <c r="I236" s="466"/>
      <c r="J236" s="476">
        <v>0</v>
      </c>
      <c r="K236" s="348">
        <v>2.1783333333333332</v>
      </c>
      <c r="L236" s="477"/>
      <c r="M236" s="470">
        <v>-23</v>
      </c>
      <c r="N236" s="477"/>
      <c r="O236" s="476">
        <v>20</v>
      </c>
      <c r="P236" s="478">
        <v>52.28</v>
      </c>
    </row>
    <row r="237" spans="2:16">
      <c r="B237" s="153" t="s">
        <v>668</v>
      </c>
      <c r="C237" s="472" t="s">
        <v>576</v>
      </c>
      <c r="D237" s="473">
        <v>83</v>
      </c>
      <c r="E237" s="423">
        <v>0</v>
      </c>
      <c r="F237" s="474" t="s">
        <v>1105</v>
      </c>
      <c r="G237" s="474">
        <v>24</v>
      </c>
      <c r="H237" s="475">
        <v>110</v>
      </c>
      <c r="I237" s="466"/>
      <c r="J237" s="476">
        <v>0</v>
      </c>
      <c r="K237" s="348">
        <v>2.6887500000000002</v>
      </c>
      <c r="L237" s="477"/>
      <c r="M237" s="470">
        <v>-27</v>
      </c>
      <c r="N237" s="477"/>
      <c r="O237" s="476">
        <v>18</v>
      </c>
      <c r="P237" s="478">
        <v>64.53</v>
      </c>
    </row>
    <row r="238" spans="2:16">
      <c r="B238" s="153" t="s">
        <v>60</v>
      </c>
      <c r="C238" s="357" t="s">
        <v>637</v>
      </c>
      <c r="D238" s="470">
        <v>367</v>
      </c>
      <c r="E238" s="479">
        <v>0</v>
      </c>
      <c r="F238" s="213" t="s">
        <v>1105</v>
      </c>
      <c r="G238" s="480">
        <v>24</v>
      </c>
      <c r="H238" s="475">
        <v>444</v>
      </c>
      <c r="I238" s="466"/>
      <c r="J238" s="476">
        <v>0</v>
      </c>
      <c r="K238" s="348">
        <v>12.137500000000001</v>
      </c>
      <c r="L238" s="477"/>
      <c r="M238" s="470">
        <v>-77</v>
      </c>
      <c r="N238" s="477"/>
      <c r="O238" s="476">
        <v>76</v>
      </c>
      <c r="P238" s="478">
        <v>291.3</v>
      </c>
    </row>
    <row r="239" spans="2:16">
      <c r="B239" s="153" t="s">
        <v>1104</v>
      </c>
      <c r="C239" s="357" t="s">
        <v>768</v>
      </c>
      <c r="D239" s="473">
        <v>375</v>
      </c>
      <c r="E239" s="423">
        <v>0</v>
      </c>
      <c r="F239" s="474" t="s">
        <v>1105</v>
      </c>
      <c r="G239" s="474">
        <v>24</v>
      </c>
      <c r="H239" s="475">
        <v>384</v>
      </c>
      <c r="I239" s="466"/>
      <c r="J239" s="476">
        <v>0</v>
      </c>
      <c r="K239" s="348">
        <v>10.077500000000001</v>
      </c>
      <c r="L239" s="477"/>
      <c r="M239" s="470">
        <v>-9</v>
      </c>
      <c r="N239" s="477"/>
      <c r="O239" s="476">
        <v>133</v>
      </c>
      <c r="P239" s="478">
        <v>241.86</v>
      </c>
    </row>
    <row r="240" spans="2:16">
      <c r="B240" s="153" t="s">
        <v>225</v>
      </c>
      <c r="C240" s="357" t="s">
        <v>769</v>
      </c>
      <c r="D240" s="470">
        <v>140</v>
      </c>
      <c r="E240" s="479">
        <v>0</v>
      </c>
      <c r="F240" s="213" t="s">
        <v>1130</v>
      </c>
      <c r="G240" s="480">
        <v>24</v>
      </c>
      <c r="H240" s="475">
        <v>157</v>
      </c>
      <c r="I240" s="466"/>
      <c r="J240" s="476">
        <v>0</v>
      </c>
      <c r="K240" s="348">
        <v>4.2316666666666665</v>
      </c>
      <c r="L240" s="477"/>
      <c r="M240" s="470">
        <v>-17</v>
      </c>
      <c r="N240" s="477"/>
      <c r="O240" s="476">
        <v>38</v>
      </c>
      <c r="P240" s="478">
        <v>101.56</v>
      </c>
    </row>
    <row r="241" spans="2:16">
      <c r="B241" s="153" t="s">
        <v>113</v>
      </c>
      <c r="C241" s="488" t="s">
        <v>770</v>
      </c>
      <c r="D241" s="473">
        <v>412</v>
      </c>
      <c r="E241" s="423">
        <v>0</v>
      </c>
      <c r="F241" s="474" t="s">
        <v>986</v>
      </c>
      <c r="G241" s="474">
        <v>24</v>
      </c>
      <c r="H241" s="475">
        <v>438</v>
      </c>
      <c r="I241" s="466"/>
      <c r="J241" s="476">
        <v>0</v>
      </c>
      <c r="K241" s="348">
        <v>11.9375</v>
      </c>
      <c r="L241" s="477"/>
      <c r="M241" s="470">
        <v>-26</v>
      </c>
      <c r="N241" s="477"/>
      <c r="O241" s="476">
        <v>126</v>
      </c>
      <c r="P241" s="478">
        <v>286.5</v>
      </c>
    </row>
    <row r="242" spans="2:16">
      <c r="B242" s="153" t="s">
        <v>113</v>
      </c>
      <c r="C242" s="488" t="s">
        <v>379</v>
      </c>
      <c r="D242" s="470">
        <v>198</v>
      </c>
      <c r="E242" s="479">
        <v>0</v>
      </c>
      <c r="F242" s="213" t="s">
        <v>986</v>
      </c>
      <c r="G242" s="480">
        <v>24</v>
      </c>
      <c r="H242" s="475">
        <v>257</v>
      </c>
      <c r="I242" s="466"/>
      <c r="J242" s="476">
        <v>0</v>
      </c>
      <c r="K242" s="348">
        <v>7.2233333333333336</v>
      </c>
      <c r="L242" s="477"/>
      <c r="M242" s="470">
        <v>-59</v>
      </c>
      <c r="N242" s="477"/>
      <c r="O242" s="476">
        <v>25</v>
      </c>
      <c r="P242" s="478">
        <v>173.36</v>
      </c>
    </row>
    <row r="243" spans="2:16">
      <c r="B243" s="153" t="s">
        <v>113</v>
      </c>
      <c r="C243" s="472" t="s">
        <v>558</v>
      </c>
      <c r="D243" s="473">
        <v>358</v>
      </c>
      <c r="E243" s="423">
        <v>0</v>
      </c>
      <c r="F243" s="474" t="s">
        <v>986</v>
      </c>
      <c r="G243" s="474">
        <v>24</v>
      </c>
      <c r="H243" s="475">
        <v>498</v>
      </c>
      <c r="I243" s="466"/>
      <c r="J243" s="476">
        <v>0</v>
      </c>
      <c r="K243" s="348">
        <v>13.578749999999999</v>
      </c>
      <c r="L243" s="477"/>
      <c r="M243" s="470">
        <v>-140</v>
      </c>
      <c r="N243" s="477"/>
      <c r="O243" s="476">
        <v>32</v>
      </c>
      <c r="P243" s="478">
        <v>325.89</v>
      </c>
    </row>
    <row r="244" spans="2:16">
      <c r="B244" s="153" t="s">
        <v>667</v>
      </c>
      <c r="C244" s="472" t="s">
        <v>636</v>
      </c>
      <c r="D244" s="470">
        <v>288</v>
      </c>
      <c r="E244" s="479">
        <v>2.5</v>
      </c>
      <c r="F244" s="213" t="s">
        <v>1140</v>
      </c>
      <c r="G244" s="480">
        <v>24</v>
      </c>
      <c r="H244" s="475">
        <v>226</v>
      </c>
      <c r="I244" s="466"/>
      <c r="J244" s="476">
        <v>0</v>
      </c>
      <c r="K244" s="348">
        <v>6.1462499999999993</v>
      </c>
      <c r="L244" s="477"/>
      <c r="M244" s="470">
        <v>62</v>
      </c>
      <c r="N244" s="477"/>
      <c r="O244" s="476">
        <v>140</v>
      </c>
      <c r="P244" s="478">
        <v>147.51</v>
      </c>
    </row>
    <row r="245" spans="2:16">
      <c r="B245" s="153" t="s">
        <v>187</v>
      </c>
      <c r="C245" s="357" t="s">
        <v>505</v>
      </c>
      <c r="D245" s="473">
        <v>41</v>
      </c>
      <c r="E245" s="423">
        <v>0</v>
      </c>
      <c r="F245" s="474" t="s">
        <v>1084</v>
      </c>
      <c r="G245" s="474">
        <v>24</v>
      </c>
      <c r="H245" s="475">
        <v>49</v>
      </c>
      <c r="I245" s="466"/>
      <c r="J245" s="476">
        <v>0</v>
      </c>
      <c r="K245" s="348">
        <v>0.97791666666666666</v>
      </c>
      <c r="L245" s="477"/>
      <c r="M245" s="470">
        <v>-8</v>
      </c>
      <c r="N245" s="477"/>
      <c r="O245" s="476">
        <v>18</v>
      </c>
      <c r="P245" s="478">
        <v>23.47</v>
      </c>
    </row>
    <row r="246" spans="2:16">
      <c r="B246" s="153" t="s">
        <v>187</v>
      </c>
      <c r="C246" s="472" t="s">
        <v>462</v>
      </c>
      <c r="D246" s="470">
        <v>47</v>
      </c>
      <c r="E246" s="479">
        <v>0</v>
      </c>
      <c r="F246" s="213" t="s">
        <v>1084</v>
      </c>
      <c r="G246" s="480">
        <v>24</v>
      </c>
      <c r="H246" s="475">
        <v>43</v>
      </c>
      <c r="I246" s="466"/>
      <c r="J246" s="476">
        <v>0</v>
      </c>
      <c r="K246" s="348">
        <v>0.77</v>
      </c>
      <c r="L246" s="477"/>
      <c r="M246" s="470">
        <v>4</v>
      </c>
      <c r="N246" s="477"/>
      <c r="O246" s="476">
        <v>29</v>
      </c>
      <c r="P246" s="478">
        <v>18.48</v>
      </c>
    </row>
    <row r="247" spans="2:16">
      <c r="B247" s="153" t="s">
        <v>187</v>
      </c>
      <c r="C247" s="357" t="s">
        <v>545</v>
      </c>
      <c r="D247" s="473">
        <v>38</v>
      </c>
      <c r="E247" s="423">
        <v>0</v>
      </c>
      <c r="F247" s="474" t="s">
        <v>1084</v>
      </c>
      <c r="G247" s="474">
        <v>24</v>
      </c>
      <c r="H247" s="475">
        <v>45</v>
      </c>
      <c r="I247" s="466"/>
      <c r="J247" s="476">
        <v>0</v>
      </c>
      <c r="K247" s="348">
        <v>0.84208333333333341</v>
      </c>
      <c r="L247" s="477"/>
      <c r="M247" s="470">
        <v>-7</v>
      </c>
      <c r="N247" s="477"/>
      <c r="O247" s="476">
        <v>18</v>
      </c>
      <c r="P247" s="478">
        <v>20.21</v>
      </c>
    </row>
    <row r="248" spans="2:16">
      <c r="B248" s="153" t="s">
        <v>187</v>
      </c>
      <c r="C248" s="472" t="s">
        <v>546</v>
      </c>
      <c r="D248" s="470">
        <v>36</v>
      </c>
      <c r="E248" s="479">
        <v>0</v>
      </c>
      <c r="F248" s="213" t="s">
        <v>1084</v>
      </c>
      <c r="G248" s="480">
        <v>24</v>
      </c>
      <c r="H248" s="475">
        <v>43</v>
      </c>
      <c r="I248" s="466"/>
      <c r="J248" s="476">
        <v>0</v>
      </c>
      <c r="K248" s="348">
        <v>0.77</v>
      </c>
      <c r="L248" s="477"/>
      <c r="M248" s="470">
        <v>-7</v>
      </c>
      <c r="N248" s="477"/>
      <c r="O248" s="476">
        <v>18</v>
      </c>
      <c r="P248" s="478">
        <v>18.48</v>
      </c>
    </row>
    <row r="249" spans="2:16">
      <c r="B249" s="153" t="s">
        <v>187</v>
      </c>
      <c r="C249" s="357" t="s">
        <v>471</v>
      </c>
      <c r="D249" s="473">
        <v>33</v>
      </c>
      <c r="E249" s="423">
        <v>0</v>
      </c>
      <c r="F249" s="474" t="s">
        <v>1084</v>
      </c>
      <c r="G249" s="474">
        <v>24</v>
      </c>
      <c r="H249" s="475">
        <v>39</v>
      </c>
      <c r="I249" s="466"/>
      <c r="J249" s="476">
        <v>0</v>
      </c>
      <c r="K249" s="348">
        <v>0.63541666666666663</v>
      </c>
      <c r="L249" s="477"/>
      <c r="M249" s="470">
        <v>-6</v>
      </c>
      <c r="N249" s="477"/>
      <c r="O249" s="476">
        <v>18</v>
      </c>
      <c r="P249" s="478">
        <v>15.25</v>
      </c>
    </row>
    <row r="250" spans="2:16">
      <c r="B250" s="153" t="s">
        <v>1092</v>
      </c>
      <c r="C250" s="472" t="s">
        <v>772</v>
      </c>
      <c r="D250" s="473">
        <v>176</v>
      </c>
      <c r="E250" s="484">
        <v>0</v>
      </c>
      <c r="F250" s="486" t="s">
        <v>1084</v>
      </c>
      <c r="G250" s="486">
        <v>24</v>
      </c>
      <c r="H250" s="475">
        <v>212</v>
      </c>
      <c r="I250" s="466"/>
      <c r="J250" s="476">
        <v>0</v>
      </c>
      <c r="K250" s="348">
        <v>5.665</v>
      </c>
      <c r="L250" s="477"/>
      <c r="M250" s="470">
        <v>-36</v>
      </c>
      <c r="N250" s="477"/>
      <c r="O250" s="476">
        <v>40</v>
      </c>
      <c r="P250" s="478">
        <v>135.96</v>
      </c>
    </row>
    <row r="251" spans="2:16">
      <c r="B251" s="153" t="s">
        <v>1104</v>
      </c>
      <c r="C251" s="357" t="s">
        <v>773</v>
      </c>
      <c r="D251" s="470">
        <v>482</v>
      </c>
      <c r="E251" s="483">
        <v>0</v>
      </c>
      <c r="F251" s="485" t="s">
        <v>1105</v>
      </c>
      <c r="G251" s="487">
        <v>24</v>
      </c>
      <c r="H251" s="475">
        <v>508</v>
      </c>
      <c r="I251" s="466"/>
      <c r="J251" s="476">
        <v>0</v>
      </c>
      <c r="K251" s="348">
        <v>13.918333333333331</v>
      </c>
      <c r="L251" s="477"/>
      <c r="M251" s="470">
        <v>-26</v>
      </c>
      <c r="N251" s="477"/>
      <c r="O251" s="476">
        <v>148</v>
      </c>
      <c r="P251" s="478">
        <v>334.03999999999996</v>
      </c>
    </row>
    <row r="252" spans="2:16">
      <c r="B252" s="153" t="s">
        <v>664</v>
      </c>
      <c r="C252" s="357" t="s">
        <v>618</v>
      </c>
      <c r="D252" s="473">
        <v>553</v>
      </c>
      <c r="E252" s="484">
        <v>0</v>
      </c>
      <c r="F252" s="486" t="s">
        <v>1177</v>
      </c>
      <c r="G252" s="486">
        <v>24</v>
      </c>
      <c r="H252" s="475">
        <v>499</v>
      </c>
      <c r="I252" s="466"/>
      <c r="J252" s="476">
        <v>0</v>
      </c>
      <c r="K252" s="348">
        <v>13.594583333333333</v>
      </c>
      <c r="L252" s="477"/>
      <c r="M252" s="470">
        <v>54</v>
      </c>
      <c r="N252" s="477"/>
      <c r="O252" s="476">
        <v>227</v>
      </c>
      <c r="P252" s="478">
        <v>326.27</v>
      </c>
    </row>
    <row r="253" spans="2:16">
      <c r="B253" s="153" t="s">
        <v>1089</v>
      </c>
      <c r="C253" s="489" t="s">
        <v>774</v>
      </c>
      <c r="D253" s="470">
        <v>33</v>
      </c>
      <c r="E253" s="483">
        <v>0</v>
      </c>
      <c r="F253" s="485" t="s">
        <v>1084</v>
      </c>
      <c r="G253" s="487">
        <v>24</v>
      </c>
      <c r="H253" s="475">
        <v>49</v>
      </c>
      <c r="I253" s="466"/>
      <c r="J253" s="476">
        <v>0</v>
      </c>
      <c r="K253" s="348">
        <v>0.98</v>
      </c>
      <c r="L253" s="477"/>
      <c r="M253" s="470">
        <v>-16</v>
      </c>
      <c r="N253" s="477"/>
      <c r="O253" s="476">
        <v>9</v>
      </c>
      <c r="P253" s="478">
        <v>23.52</v>
      </c>
    </row>
    <row r="254" spans="2:16">
      <c r="B254" s="153" t="s">
        <v>60</v>
      </c>
      <c r="C254" s="357" t="s">
        <v>624</v>
      </c>
      <c r="D254" s="473">
        <v>643</v>
      </c>
      <c r="E254" s="484">
        <v>0</v>
      </c>
      <c r="F254" s="486" t="s">
        <v>1105</v>
      </c>
      <c r="G254" s="486">
        <v>24</v>
      </c>
      <c r="H254" s="475">
        <v>540</v>
      </c>
      <c r="I254" s="466"/>
      <c r="J254" s="476">
        <v>0</v>
      </c>
      <c r="K254" s="348">
        <v>16.666666666666668</v>
      </c>
      <c r="L254" s="477"/>
      <c r="M254" s="470">
        <v>103</v>
      </c>
      <c r="N254" s="477"/>
      <c r="O254" s="476">
        <v>243</v>
      </c>
      <c r="P254" s="478">
        <v>400</v>
      </c>
    </row>
    <row r="255" spans="2:16">
      <c r="B255" s="153" t="s">
        <v>664</v>
      </c>
      <c r="C255" s="357" t="s">
        <v>520</v>
      </c>
      <c r="D255" s="470">
        <v>174</v>
      </c>
      <c r="E255" s="483">
        <v>0</v>
      </c>
      <c r="F255" s="485" t="s">
        <v>1105</v>
      </c>
      <c r="G255" s="487">
        <v>24</v>
      </c>
      <c r="H255" s="475">
        <v>191</v>
      </c>
      <c r="I255" s="466"/>
      <c r="J255" s="476">
        <v>0</v>
      </c>
      <c r="K255" s="348">
        <v>4.9604166666666671</v>
      </c>
      <c r="L255" s="477"/>
      <c r="M255" s="470">
        <v>-17</v>
      </c>
      <c r="N255" s="477"/>
      <c r="O255" s="476">
        <v>55</v>
      </c>
      <c r="P255" s="478">
        <v>119.05000000000001</v>
      </c>
    </row>
    <row r="256" spans="2:16">
      <c r="B256" s="153" t="s">
        <v>664</v>
      </c>
      <c r="C256" s="489" t="s">
        <v>775</v>
      </c>
      <c r="D256" s="473">
        <v>188</v>
      </c>
      <c r="E256" s="484">
        <v>0</v>
      </c>
      <c r="F256" s="486" t="s">
        <v>1105</v>
      </c>
      <c r="G256" s="486">
        <v>24</v>
      </c>
      <c r="H256" s="475">
        <v>227</v>
      </c>
      <c r="I256" s="466"/>
      <c r="J256" s="476">
        <v>0</v>
      </c>
      <c r="K256" s="348">
        <v>6.2104166666666671</v>
      </c>
      <c r="L256" s="477"/>
      <c r="M256" s="470">
        <v>-39</v>
      </c>
      <c r="N256" s="477"/>
      <c r="O256" s="476">
        <v>39</v>
      </c>
      <c r="P256" s="478">
        <v>149.05000000000001</v>
      </c>
    </row>
    <row r="257" spans="2:16">
      <c r="B257" s="153" t="s">
        <v>664</v>
      </c>
      <c r="C257" s="357" t="s">
        <v>623</v>
      </c>
      <c r="D257" s="470">
        <v>374</v>
      </c>
      <c r="E257" s="483">
        <v>0</v>
      </c>
      <c r="F257" s="485" t="s">
        <v>1105</v>
      </c>
      <c r="G257" s="487">
        <v>24</v>
      </c>
      <c r="H257" s="475">
        <v>404</v>
      </c>
      <c r="I257" s="466"/>
      <c r="J257" s="476">
        <v>0</v>
      </c>
      <c r="K257" s="348">
        <v>10.754583333333334</v>
      </c>
      <c r="L257" s="477"/>
      <c r="M257" s="470">
        <v>-30</v>
      </c>
      <c r="N257" s="477"/>
      <c r="O257" s="476">
        <v>116</v>
      </c>
      <c r="P257" s="478">
        <v>258.11</v>
      </c>
    </row>
    <row r="258" spans="2:16">
      <c r="B258" s="153" t="s">
        <v>60</v>
      </c>
      <c r="C258" s="357" t="s">
        <v>776</v>
      </c>
      <c r="D258" s="473">
        <v>61</v>
      </c>
      <c r="E258" s="484">
        <v>0</v>
      </c>
      <c r="F258" s="486" t="s">
        <v>1136</v>
      </c>
      <c r="G258" s="486">
        <v>24</v>
      </c>
      <c r="H258" s="475">
        <v>59</v>
      </c>
      <c r="I258" s="466"/>
      <c r="J258" s="476">
        <v>0</v>
      </c>
      <c r="K258" s="348">
        <v>1.3333333333333333</v>
      </c>
      <c r="L258" s="477"/>
      <c r="M258" s="470">
        <v>2</v>
      </c>
      <c r="N258" s="477"/>
      <c r="O258" s="476">
        <v>29</v>
      </c>
      <c r="P258" s="478">
        <v>32</v>
      </c>
    </row>
    <row r="259" spans="2:16">
      <c r="B259" s="153" t="s">
        <v>60</v>
      </c>
      <c r="C259" s="472" t="s">
        <v>547</v>
      </c>
      <c r="D259" s="470">
        <v>421</v>
      </c>
      <c r="E259" s="483">
        <v>2.5</v>
      </c>
      <c r="F259" s="485" t="s">
        <v>1140</v>
      </c>
      <c r="G259" s="487">
        <v>24</v>
      </c>
      <c r="H259" s="475">
        <v>509</v>
      </c>
      <c r="I259" s="466"/>
      <c r="J259" s="476">
        <v>0</v>
      </c>
      <c r="K259" s="348">
        <v>13.9375</v>
      </c>
      <c r="L259" s="477"/>
      <c r="M259" s="470">
        <v>-88</v>
      </c>
      <c r="N259" s="477"/>
      <c r="O259" s="476">
        <v>87</v>
      </c>
      <c r="P259" s="478">
        <v>334.5</v>
      </c>
    </row>
    <row r="260" spans="2:16">
      <c r="B260" s="153" t="s">
        <v>60</v>
      </c>
      <c r="C260" s="472" t="s">
        <v>660</v>
      </c>
      <c r="D260" s="473">
        <v>315</v>
      </c>
      <c r="E260" s="484">
        <v>2.5</v>
      </c>
      <c r="F260" s="486" t="s">
        <v>1140</v>
      </c>
      <c r="G260" s="486">
        <v>24</v>
      </c>
      <c r="H260" s="475">
        <v>307</v>
      </c>
      <c r="I260" s="466"/>
      <c r="J260" s="476">
        <v>0</v>
      </c>
      <c r="K260" s="348">
        <v>8.2708333333333339</v>
      </c>
      <c r="L260" s="477"/>
      <c r="M260" s="470">
        <v>8</v>
      </c>
      <c r="N260" s="477"/>
      <c r="O260" s="476">
        <v>117</v>
      </c>
      <c r="P260" s="478">
        <v>198.5</v>
      </c>
    </row>
    <row r="261" spans="2:16">
      <c r="B261" s="153" t="s">
        <v>60</v>
      </c>
      <c r="C261" s="357" t="s">
        <v>661</v>
      </c>
      <c r="D261" s="470">
        <v>373</v>
      </c>
      <c r="E261" s="483">
        <v>2.5</v>
      </c>
      <c r="F261" s="485" t="s">
        <v>1140</v>
      </c>
      <c r="G261" s="487">
        <v>24</v>
      </c>
      <c r="H261" s="475">
        <v>403</v>
      </c>
      <c r="I261" s="466"/>
      <c r="J261" s="476">
        <v>0</v>
      </c>
      <c r="K261" s="348">
        <v>10.729166666666666</v>
      </c>
      <c r="L261" s="477"/>
      <c r="M261" s="470">
        <v>-30</v>
      </c>
      <c r="N261" s="477"/>
      <c r="O261" s="476">
        <v>116</v>
      </c>
      <c r="P261" s="478">
        <v>257.5</v>
      </c>
    </row>
    <row r="262" spans="2:16">
      <c r="B262" s="153" t="s">
        <v>60</v>
      </c>
      <c r="C262" s="472" t="s">
        <v>662</v>
      </c>
      <c r="D262" s="473">
        <v>338</v>
      </c>
      <c r="E262" s="484">
        <v>2.5</v>
      </c>
      <c r="F262" s="486" t="s">
        <v>1140</v>
      </c>
      <c r="G262" s="486">
        <v>24</v>
      </c>
      <c r="H262" s="475">
        <v>359</v>
      </c>
      <c r="I262" s="466"/>
      <c r="J262" s="476">
        <v>0</v>
      </c>
      <c r="K262" s="348">
        <v>9.2291666666666661</v>
      </c>
      <c r="L262" s="477"/>
      <c r="M262" s="470">
        <v>-21</v>
      </c>
      <c r="N262" s="477"/>
      <c r="O262" s="476">
        <v>117</v>
      </c>
      <c r="P262" s="478">
        <v>221.5</v>
      </c>
    </row>
    <row r="263" spans="2:16">
      <c r="B263" s="153" t="s">
        <v>60</v>
      </c>
      <c r="C263" s="357" t="s">
        <v>647</v>
      </c>
      <c r="D263" s="470">
        <v>207</v>
      </c>
      <c r="E263" s="483">
        <v>2.5</v>
      </c>
      <c r="F263" s="485" t="s">
        <v>1140</v>
      </c>
      <c r="G263" s="487">
        <v>24</v>
      </c>
      <c r="H263" s="475">
        <v>220</v>
      </c>
      <c r="I263" s="466"/>
      <c r="J263" s="476">
        <v>0</v>
      </c>
      <c r="K263" s="348">
        <v>5.9375</v>
      </c>
      <c r="L263" s="477"/>
      <c r="M263" s="470">
        <v>-13</v>
      </c>
      <c r="N263" s="477"/>
      <c r="O263" s="476">
        <v>65</v>
      </c>
      <c r="P263" s="478">
        <v>142.5</v>
      </c>
    </row>
    <row r="264" spans="2:16">
      <c r="B264" s="153" t="s">
        <v>60</v>
      </c>
      <c r="C264" s="472" t="s">
        <v>663</v>
      </c>
      <c r="D264" s="473">
        <v>626</v>
      </c>
      <c r="E264" s="484">
        <v>2.5</v>
      </c>
      <c r="F264" s="486" t="s">
        <v>1140</v>
      </c>
      <c r="G264" s="486">
        <v>24</v>
      </c>
      <c r="H264" s="475">
        <v>636</v>
      </c>
      <c r="I264" s="466"/>
      <c r="J264" s="476">
        <v>0</v>
      </c>
      <c r="K264" s="348">
        <v>17.479166666666668</v>
      </c>
      <c r="L264" s="477"/>
      <c r="M264" s="470">
        <v>-10</v>
      </c>
      <c r="N264" s="477"/>
      <c r="O264" s="476">
        <v>207</v>
      </c>
      <c r="P264" s="478">
        <v>419.5</v>
      </c>
    </row>
    <row r="265" spans="2:16">
      <c r="B265" s="153" t="s">
        <v>1104</v>
      </c>
      <c r="C265" s="357" t="s">
        <v>777</v>
      </c>
      <c r="D265" s="470">
        <v>482</v>
      </c>
      <c r="E265" s="483">
        <v>0</v>
      </c>
      <c r="F265" s="485" t="s">
        <v>1105</v>
      </c>
      <c r="G265" s="487">
        <v>24</v>
      </c>
      <c r="H265" s="475">
        <v>508</v>
      </c>
      <c r="I265" s="466"/>
      <c r="J265" s="476">
        <v>0</v>
      </c>
      <c r="K265" s="348">
        <v>13.918333333333331</v>
      </c>
      <c r="L265" s="477"/>
      <c r="M265" s="470">
        <v>-26</v>
      </c>
      <c r="N265" s="477"/>
      <c r="O265" s="476">
        <v>148</v>
      </c>
      <c r="P265" s="478">
        <v>334.03999999999996</v>
      </c>
    </row>
    <row r="266" spans="2:16">
      <c r="B266" s="153" t="s">
        <v>55</v>
      </c>
      <c r="C266" s="357" t="s">
        <v>506</v>
      </c>
      <c r="D266" s="473">
        <v>41</v>
      </c>
      <c r="E266" s="484">
        <v>0</v>
      </c>
      <c r="F266" s="486" t="s">
        <v>1084</v>
      </c>
      <c r="G266" s="486">
        <v>24</v>
      </c>
      <c r="H266" s="475">
        <v>76</v>
      </c>
      <c r="I266" s="466"/>
      <c r="J266" s="476">
        <v>0</v>
      </c>
      <c r="K266" s="348">
        <v>0.99791666666666667</v>
      </c>
      <c r="L266" s="477"/>
      <c r="M266" s="470">
        <v>-35</v>
      </c>
      <c r="N266" s="477"/>
      <c r="O266" s="476">
        <v>17</v>
      </c>
      <c r="P266" s="478">
        <v>23.95</v>
      </c>
    </row>
    <row r="267" spans="2:16">
      <c r="B267" s="153" t="s">
        <v>79</v>
      </c>
      <c r="C267" s="472" t="s">
        <v>530</v>
      </c>
      <c r="D267" s="470">
        <v>447</v>
      </c>
      <c r="E267" s="483">
        <v>0</v>
      </c>
      <c r="F267" s="485" t="s">
        <v>986</v>
      </c>
      <c r="G267" s="487">
        <v>24</v>
      </c>
      <c r="H267" s="475">
        <v>655</v>
      </c>
      <c r="I267" s="466"/>
      <c r="J267" s="476">
        <v>0</v>
      </c>
      <c r="K267" s="348">
        <v>18.132916666666667</v>
      </c>
      <c r="L267" s="477"/>
      <c r="M267" s="470">
        <v>-208</v>
      </c>
      <c r="N267" s="477"/>
      <c r="O267" s="476">
        <v>12</v>
      </c>
      <c r="P267" s="478">
        <v>435.19</v>
      </c>
    </row>
    <row r="268" spans="2:16">
      <c r="B268" s="153" t="s">
        <v>79</v>
      </c>
      <c r="C268" s="472" t="s">
        <v>778</v>
      </c>
      <c r="D268" s="473">
        <v>542</v>
      </c>
      <c r="E268" s="484">
        <v>0</v>
      </c>
      <c r="F268" s="486" t="s">
        <v>986</v>
      </c>
      <c r="G268" s="486">
        <v>24</v>
      </c>
      <c r="H268" s="475">
        <v>655</v>
      </c>
      <c r="I268" s="466"/>
      <c r="J268" s="476">
        <v>0</v>
      </c>
      <c r="K268" s="348">
        <v>18.132916666666667</v>
      </c>
      <c r="L268" s="477"/>
      <c r="M268" s="470">
        <v>-113</v>
      </c>
      <c r="N268" s="477"/>
      <c r="O268" s="476">
        <v>107</v>
      </c>
      <c r="P268" s="478">
        <v>435.19</v>
      </c>
    </row>
    <row r="269" spans="2:16">
      <c r="B269" s="153" t="s">
        <v>79</v>
      </c>
      <c r="C269" s="472" t="s">
        <v>531</v>
      </c>
      <c r="D269" s="470">
        <v>366</v>
      </c>
      <c r="E269" s="483">
        <v>0</v>
      </c>
      <c r="F269" s="485" t="s">
        <v>986</v>
      </c>
      <c r="G269" s="487">
        <v>24</v>
      </c>
      <c r="H269" s="475">
        <v>535</v>
      </c>
      <c r="I269" s="466"/>
      <c r="J269" s="476">
        <v>0</v>
      </c>
      <c r="K269" s="348">
        <v>14.837083333333332</v>
      </c>
      <c r="L269" s="477"/>
      <c r="M269" s="470">
        <v>-169</v>
      </c>
      <c r="N269" s="477"/>
      <c r="O269" s="476">
        <v>10</v>
      </c>
      <c r="P269" s="478">
        <v>356.09</v>
      </c>
    </row>
    <row r="270" spans="2:16">
      <c r="B270" s="153" t="s">
        <v>79</v>
      </c>
      <c r="C270" s="472" t="s">
        <v>779</v>
      </c>
      <c r="D270" s="473">
        <v>443</v>
      </c>
      <c r="E270" s="484">
        <v>0</v>
      </c>
      <c r="F270" s="486" t="s">
        <v>986</v>
      </c>
      <c r="G270" s="486">
        <v>24</v>
      </c>
      <c r="H270" s="475">
        <v>535</v>
      </c>
      <c r="I270" s="466"/>
      <c r="J270" s="476">
        <v>0</v>
      </c>
      <c r="K270" s="348">
        <v>14.837083333333332</v>
      </c>
      <c r="L270" s="477"/>
      <c r="M270" s="470">
        <v>-92</v>
      </c>
      <c r="N270" s="477"/>
      <c r="O270" s="476">
        <v>87</v>
      </c>
      <c r="P270" s="478">
        <v>356.09</v>
      </c>
    </row>
    <row r="271" spans="2:16">
      <c r="B271" s="153" t="s">
        <v>79</v>
      </c>
      <c r="C271" s="472" t="s">
        <v>541</v>
      </c>
      <c r="D271" s="470">
        <v>770</v>
      </c>
      <c r="E271" s="483">
        <v>0</v>
      </c>
      <c r="F271" s="485" t="s">
        <v>986</v>
      </c>
      <c r="G271" s="487">
        <v>24</v>
      </c>
      <c r="H271" s="475">
        <v>931</v>
      </c>
      <c r="I271" s="466"/>
      <c r="J271" s="476">
        <v>0</v>
      </c>
      <c r="K271" s="348">
        <v>25.979166666666668</v>
      </c>
      <c r="L271" s="477"/>
      <c r="M271" s="470">
        <v>-161</v>
      </c>
      <c r="N271" s="477"/>
      <c r="O271" s="476">
        <v>147</v>
      </c>
      <c r="P271" s="478">
        <v>623.5</v>
      </c>
    </row>
    <row r="272" spans="2:16">
      <c r="B272" s="153" t="s">
        <v>79</v>
      </c>
      <c r="C272" s="472" t="s">
        <v>780</v>
      </c>
      <c r="D272" s="473">
        <v>653</v>
      </c>
      <c r="E272" s="484">
        <v>0</v>
      </c>
      <c r="F272" s="486" t="s">
        <v>986</v>
      </c>
      <c r="G272" s="486">
        <v>24</v>
      </c>
      <c r="H272" s="475">
        <v>720</v>
      </c>
      <c r="I272" s="466"/>
      <c r="J272" s="476">
        <v>0</v>
      </c>
      <c r="K272" s="348">
        <v>20.388749999999998</v>
      </c>
      <c r="L272" s="477"/>
      <c r="M272" s="470">
        <v>-67</v>
      </c>
      <c r="N272" s="477"/>
      <c r="O272" s="476">
        <v>164</v>
      </c>
      <c r="P272" s="478">
        <v>489.32999999999993</v>
      </c>
    </row>
    <row r="273" spans="2:16">
      <c r="B273" s="153" t="s">
        <v>79</v>
      </c>
      <c r="C273" s="472" t="s">
        <v>781</v>
      </c>
      <c r="D273" s="470">
        <v>778</v>
      </c>
      <c r="E273" s="483">
        <v>0</v>
      </c>
      <c r="F273" s="485" t="s">
        <v>986</v>
      </c>
      <c r="G273" s="487">
        <v>24</v>
      </c>
      <c r="H273" s="475">
        <v>941</v>
      </c>
      <c r="I273" s="466"/>
      <c r="J273" s="476">
        <v>0</v>
      </c>
      <c r="K273" s="348">
        <v>26.308333333333334</v>
      </c>
      <c r="L273" s="477"/>
      <c r="M273" s="470">
        <v>-163</v>
      </c>
      <c r="N273" s="477"/>
      <c r="O273" s="476">
        <v>147</v>
      </c>
      <c r="P273" s="478">
        <v>631.4</v>
      </c>
    </row>
    <row r="274" spans="2:16">
      <c r="B274" s="153" t="s">
        <v>189</v>
      </c>
      <c r="C274" s="488" t="s">
        <v>782</v>
      </c>
      <c r="D274" s="473">
        <v>25</v>
      </c>
      <c r="E274" s="484">
        <v>0</v>
      </c>
      <c r="F274" s="486" t="s">
        <v>1128</v>
      </c>
      <c r="G274" s="486">
        <v>24</v>
      </c>
      <c r="H274" s="475">
        <v>39</v>
      </c>
      <c r="I274" s="466"/>
      <c r="J274" s="476">
        <v>0</v>
      </c>
      <c r="K274" s="348">
        <v>0.63541666666666663</v>
      </c>
      <c r="L274" s="477"/>
      <c r="M274" s="470">
        <v>-14</v>
      </c>
      <c r="N274" s="477"/>
      <c r="O274" s="476">
        <v>10</v>
      </c>
      <c r="P274" s="478">
        <v>15.25</v>
      </c>
    </row>
    <row r="275" spans="2:16">
      <c r="B275" s="153" t="s">
        <v>55</v>
      </c>
      <c r="C275" s="472" t="s">
        <v>556</v>
      </c>
      <c r="D275" s="470">
        <v>91</v>
      </c>
      <c r="E275" s="483">
        <v>0</v>
      </c>
      <c r="F275" s="485" t="s">
        <v>1084</v>
      </c>
      <c r="G275" s="487">
        <v>24</v>
      </c>
      <c r="H275" s="475">
        <v>102</v>
      </c>
      <c r="I275" s="466"/>
      <c r="J275" s="476">
        <v>0</v>
      </c>
      <c r="K275" s="348">
        <v>2.7304166666666667</v>
      </c>
      <c r="L275" s="477"/>
      <c r="M275" s="470">
        <v>-11</v>
      </c>
      <c r="N275" s="477"/>
      <c r="O275" s="476">
        <v>25</v>
      </c>
      <c r="P275" s="478">
        <v>65.53</v>
      </c>
    </row>
    <row r="276" spans="2:16">
      <c r="B276" s="153" t="s">
        <v>55</v>
      </c>
      <c r="C276" s="357" t="s">
        <v>480</v>
      </c>
      <c r="D276" s="470">
        <v>48</v>
      </c>
      <c r="E276" s="479">
        <v>0</v>
      </c>
      <c r="F276" s="213" t="s">
        <v>1084</v>
      </c>
      <c r="G276" s="480">
        <v>24</v>
      </c>
      <c r="H276" s="475">
        <v>109</v>
      </c>
      <c r="I276" s="466"/>
      <c r="J276" s="476">
        <v>0</v>
      </c>
      <c r="K276" s="348">
        <v>1.33125</v>
      </c>
      <c r="L276" s="477"/>
      <c r="M276" s="470">
        <v>-61</v>
      </c>
      <c r="N276" s="477"/>
      <c r="O276" s="476">
        <v>16</v>
      </c>
      <c r="P276" s="478">
        <v>31.950000000000003</v>
      </c>
    </row>
    <row r="277" spans="2:16">
      <c r="B277" s="153" t="s">
        <v>665</v>
      </c>
      <c r="C277" s="357" t="s">
        <v>468</v>
      </c>
      <c r="D277" s="473">
        <v>304</v>
      </c>
      <c r="E277" s="423">
        <v>0</v>
      </c>
      <c r="F277" s="474" t="s">
        <v>986</v>
      </c>
      <c r="G277" s="474">
        <v>24</v>
      </c>
      <c r="H277" s="475">
        <v>367</v>
      </c>
      <c r="I277" s="466"/>
      <c r="J277" s="476">
        <v>0</v>
      </c>
      <c r="K277" s="348">
        <v>9.4979166666666668</v>
      </c>
      <c r="L277" s="477"/>
      <c r="M277" s="470">
        <v>-63</v>
      </c>
      <c r="N277" s="477"/>
      <c r="O277" s="476">
        <v>76</v>
      </c>
      <c r="P277" s="478">
        <v>227.95</v>
      </c>
    </row>
    <row r="278" spans="2:16">
      <c r="B278" s="153" t="s">
        <v>664</v>
      </c>
      <c r="C278" s="357" t="s">
        <v>539</v>
      </c>
      <c r="D278" s="470">
        <v>459</v>
      </c>
      <c r="E278" s="479">
        <v>0</v>
      </c>
      <c r="F278" s="213" t="s">
        <v>1177</v>
      </c>
      <c r="G278" s="480">
        <v>24</v>
      </c>
      <c r="H278" s="475">
        <v>367</v>
      </c>
      <c r="I278" s="466"/>
      <c r="J278" s="476">
        <v>0</v>
      </c>
      <c r="K278" s="348">
        <v>9.5045833333333345</v>
      </c>
      <c r="L278" s="477"/>
      <c r="M278" s="470">
        <v>92</v>
      </c>
      <c r="N278" s="477"/>
      <c r="O278" s="476">
        <v>231</v>
      </c>
      <c r="P278" s="478">
        <v>228.11</v>
      </c>
    </row>
    <row r="279" spans="2:16">
      <c r="B279" s="153" t="s">
        <v>664</v>
      </c>
      <c r="C279" s="357" t="s">
        <v>646</v>
      </c>
      <c r="D279" s="473">
        <v>516</v>
      </c>
      <c r="E279" s="423">
        <v>0</v>
      </c>
      <c r="F279" s="474" t="s">
        <v>1177</v>
      </c>
      <c r="G279" s="474">
        <v>24</v>
      </c>
      <c r="H279" s="475">
        <v>466</v>
      </c>
      <c r="I279" s="466"/>
      <c r="J279" s="476">
        <v>0</v>
      </c>
      <c r="K279" s="348">
        <v>12.9125</v>
      </c>
      <c r="L279" s="477"/>
      <c r="M279" s="470">
        <v>50</v>
      </c>
      <c r="N279" s="477"/>
      <c r="O279" s="476">
        <v>206</v>
      </c>
      <c r="P279" s="478">
        <v>309.89999999999998</v>
      </c>
    </row>
    <row r="280" spans="2:16">
      <c r="B280" s="153" t="s">
        <v>664</v>
      </c>
      <c r="C280" s="357" t="s">
        <v>577</v>
      </c>
      <c r="D280" s="470">
        <v>93</v>
      </c>
      <c r="E280" s="479">
        <v>2.5</v>
      </c>
      <c r="F280" s="213" t="s">
        <v>1140</v>
      </c>
      <c r="G280" s="480">
        <v>24</v>
      </c>
      <c r="H280" s="475">
        <v>80</v>
      </c>
      <c r="I280" s="466"/>
      <c r="J280" s="476">
        <v>0</v>
      </c>
      <c r="K280" s="348">
        <v>1.9900000000000002</v>
      </c>
      <c r="L280" s="477"/>
      <c r="M280" s="470">
        <v>13</v>
      </c>
      <c r="N280" s="477"/>
      <c r="O280" s="476">
        <v>45</v>
      </c>
      <c r="P280" s="478">
        <v>47.760000000000005</v>
      </c>
    </row>
    <row r="281" spans="2:16">
      <c r="B281" s="153" t="s">
        <v>664</v>
      </c>
      <c r="C281" s="488" t="s">
        <v>784</v>
      </c>
      <c r="D281" s="473">
        <v>110</v>
      </c>
      <c r="E281" s="423">
        <v>2.5</v>
      </c>
      <c r="F281" s="474" t="s">
        <v>1140</v>
      </c>
      <c r="G281" s="474">
        <v>24</v>
      </c>
      <c r="H281" s="475">
        <v>108</v>
      </c>
      <c r="I281" s="466"/>
      <c r="J281" s="476">
        <v>0</v>
      </c>
      <c r="K281" s="348">
        <v>2.9616666666666664</v>
      </c>
      <c r="L281" s="477"/>
      <c r="M281" s="470">
        <v>2</v>
      </c>
      <c r="N281" s="477"/>
      <c r="O281" s="476">
        <v>39</v>
      </c>
      <c r="P281" s="478">
        <v>71.08</v>
      </c>
    </row>
    <row r="282" spans="2:16">
      <c r="B282" s="153" t="s">
        <v>664</v>
      </c>
      <c r="C282" s="357" t="s">
        <v>785</v>
      </c>
      <c r="D282" s="470">
        <v>64</v>
      </c>
      <c r="E282" s="479">
        <v>2.5</v>
      </c>
      <c r="F282" s="213" t="s">
        <v>1140</v>
      </c>
      <c r="G282" s="480">
        <v>24</v>
      </c>
      <c r="H282" s="475">
        <v>71</v>
      </c>
      <c r="I282" s="466"/>
      <c r="J282" s="476">
        <v>0</v>
      </c>
      <c r="K282" s="348">
        <v>1.6612499999999999</v>
      </c>
      <c r="L282" s="477"/>
      <c r="M282" s="470">
        <v>-7</v>
      </c>
      <c r="N282" s="477"/>
      <c r="O282" s="476">
        <v>24</v>
      </c>
      <c r="P282" s="478">
        <v>39.869999999999997</v>
      </c>
    </row>
    <row r="283" spans="2:16">
      <c r="B283" s="153" t="s">
        <v>664</v>
      </c>
      <c r="C283" s="357" t="s">
        <v>650</v>
      </c>
      <c r="D283" s="473">
        <v>60</v>
      </c>
      <c r="E283" s="423">
        <v>0</v>
      </c>
      <c r="F283" s="474" t="s">
        <v>1099</v>
      </c>
      <c r="G283" s="474">
        <v>24</v>
      </c>
      <c r="H283" s="475">
        <v>67</v>
      </c>
      <c r="I283" s="466"/>
      <c r="J283" s="476">
        <v>0</v>
      </c>
      <c r="K283" s="348">
        <v>1.5520833333333333</v>
      </c>
      <c r="L283" s="477"/>
      <c r="M283" s="470">
        <v>-7</v>
      </c>
      <c r="N283" s="477"/>
      <c r="O283" s="476">
        <v>23</v>
      </c>
      <c r="P283" s="478">
        <v>37.25</v>
      </c>
    </row>
    <row r="284" spans="2:16">
      <c r="B284" s="153" t="s">
        <v>664</v>
      </c>
      <c r="C284" s="357" t="s">
        <v>562</v>
      </c>
      <c r="D284" s="470">
        <v>348</v>
      </c>
      <c r="E284" s="479">
        <v>2.5</v>
      </c>
      <c r="F284" s="213" t="s">
        <v>1140</v>
      </c>
      <c r="G284" s="480">
        <v>24</v>
      </c>
      <c r="H284" s="475">
        <v>196</v>
      </c>
      <c r="I284" s="466"/>
      <c r="J284" s="476">
        <v>0</v>
      </c>
      <c r="K284" s="348">
        <v>5.1358333333333333</v>
      </c>
      <c r="L284" s="477"/>
      <c r="M284" s="470">
        <v>152</v>
      </c>
      <c r="N284" s="477"/>
      <c r="O284" s="476">
        <v>225</v>
      </c>
      <c r="P284" s="478">
        <v>123.25999999999999</v>
      </c>
    </row>
    <row r="285" spans="2:16" ht="13.5" thickBot="1">
      <c r="B285" s="299" t="s">
        <v>664</v>
      </c>
      <c r="C285" s="490" t="s">
        <v>605</v>
      </c>
      <c r="D285" s="491">
        <v>141</v>
      </c>
      <c r="E285" s="492">
        <v>2.5</v>
      </c>
      <c r="F285" s="288" t="s">
        <v>1140</v>
      </c>
      <c r="G285" s="288">
        <v>24</v>
      </c>
      <c r="H285" s="493">
        <v>128</v>
      </c>
      <c r="I285" s="466"/>
      <c r="J285" s="494">
        <v>0</v>
      </c>
      <c r="K285" s="495">
        <v>3.6262500000000002</v>
      </c>
      <c r="L285" s="477"/>
      <c r="M285" s="496">
        <v>13</v>
      </c>
      <c r="N285" s="477"/>
      <c r="O285" s="494">
        <v>54</v>
      </c>
      <c r="P285" s="497">
        <v>87.03</v>
      </c>
    </row>
  </sheetData>
  <autoFilter ref="B24:P24" xr:uid="{00000000-0001-0000-0600-000000000000}"/>
  <sortState xmlns:xlrd2="http://schemas.microsoft.com/office/spreadsheetml/2017/richdata2" ref="A25:AJ285">
    <sortCondition ref="I25:I285"/>
    <sortCondition ref="C25:C285"/>
  </sortState>
  <mergeCells count="21">
    <mergeCell ref="J14:K14"/>
    <mergeCell ref="B2:G2"/>
    <mergeCell ref="H2:H4"/>
    <mergeCell ref="J2:K2"/>
    <mergeCell ref="J4:K4"/>
    <mergeCell ref="D15:G15"/>
    <mergeCell ref="B5:C15"/>
    <mergeCell ref="M18:M22"/>
    <mergeCell ref="O18:P20"/>
    <mergeCell ref="J22:K22"/>
    <mergeCell ref="O22:P22"/>
    <mergeCell ref="J5:K12"/>
    <mergeCell ref="D13:G13"/>
    <mergeCell ref="D5:G12"/>
    <mergeCell ref="H5:H12"/>
    <mergeCell ref="J13:K13"/>
    <mergeCell ref="D14:G14"/>
    <mergeCell ref="H18:H22"/>
    <mergeCell ref="J18:K20"/>
    <mergeCell ref="J15:K15"/>
    <mergeCell ref="B18:G22"/>
  </mergeCells>
  <conditionalFormatting sqref="F4">
    <cfRule type="expression" dxfId="3" priority="1" stopIfTrue="1">
      <formula>ISERROR(F4)</formula>
    </cfRule>
    <cfRule type="cellIs" dxfId="2" priority="2" stopIfTrue="1" operator="lessThan">
      <formula>0</formula>
    </cfRule>
  </conditionalFormatting>
  <pageMargins left="0.7" right="0.7" top="0.75" bottom="0.75" header="0.3" footer="0.3"/>
  <pageSetup paperSize="9" orientation="portrait" r:id="rId1"/>
  <headerFooter>
    <oddFooter>&amp;C&amp;1#&amp;"Calibri"&amp;8&amp;KED7D31Orange Restricted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tabColor rgb="FFFF6600"/>
  </sheetPr>
  <dimension ref="A1:AZ199"/>
  <sheetViews>
    <sheetView showGridLines="0" zoomScale="70" zoomScaleNormal="70" workbookViewId="0">
      <selection activeCell="B4" sqref="B4:C16"/>
    </sheetView>
  </sheetViews>
  <sheetFormatPr baseColWidth="10" defaultColWidth="11.42578125" defaultRowHeight="12.75"/>
  <cols>
    <col min="1" max="1" width="3.28515625" style="47" customWidth="1"/>
    <col min="2" max="2" width="13.28515625" style="2" customWidth="1"/>
    <col min="3" max="3" width="61.5703125" style="2" customWidth="1"/>
    <col min="4" max="4" width="9.28515625" style="2" customWidth="1"/>
    <col min="5" max="5" width="9" style="2" customWidth="1"/>
    <col min="6" max="6" width="21.7109375" style="2" customWidth="1"/>
    <col min="7" max="7" width="8.5703125" style="2" customWidth="1"/>
    <col min="8" max="8" width="9.28515625" style="2" customWidth="1"/>
    <col min="9" max="9" width="5.5703125" style="2" hidden="1" customWidth="1"/>
    <col min="10" max="10" width="8.7109375" style="2" hidden="1" customWidth="1"/>
    <col min="11" max="11" width="8.42578125" style="2" hidden="1" customWidth="1"/>
    <col min="12" max="12" width="1.7109375" style="159" customWidth="1"/>
    <col min="13" max="18" width="12.5703125" style="2" customWidth="1"/>
    <col min="19" max="19" width="1.42578125" style="2" customWidth="1"/>
    <col min="20" max="29" width="14" style="2" customWidth="1"/>
    <col min="30" max="30" width="2.28515625" style="2" customWidth="1"/>
    <col min="31" max="31" width="20.42578125" style="2" bestFit="1" customWidth="1"/>
    <col min="32" max="32" width="2.42578125" style="2" customWidth="1"/>
    <col min="33" max="33" width="9.5703125" style="2" customWidth="1"/>
    <col min="34" max="34" width="9.42578125" style="2" customWidth="1"/>
    <col min="35" max="35" width="1.5703125" style="2" customWidth="1"/>
    <col min="36" max="36" width="10.28515625" style="2" customWidth="1"/>
    <col min="37" max="37" width="9" style="2" customWidth="1"/>
    <col min="38" max="39" width="11.28515625" style="2" customWidth="1"/>
    <col min="40" max="41" width="9.7109375" style="2" customWidth="1"/>
    <col min="42" max="42" width="1.7109375" style="2" customWidth="1"/>
    <col min="43" max="43" width="10.42578125" style="2" customWidth="1"/>
    <col min="44" max="44" width="9" style="2" customWidth="1"/>
    <col min="45" max="45" width="10.7109375" style="2" customWidth="1"/>
    <col min="46" max="46" width="9" style="2" customWidth="1"/>
    <col min="47" max="47" width="10.28515625" style="2" customWidth="1"/>
    <col min="48" max="50" width="9" style="2" customWidth="1"/>
    <col min="51" max="51" width="8.85546875" style="2" customWidth="1"/>
    <col min="52" max="52" width="8.7109375" style="47" customWidth="1"/>
    <col min="53" max="16384" width="11.42578125" style="47"/>
  </cols>
  <sheetData>
    <row r="1" spans="2:29" s="2" customFormat="1" ht="23.25" customHeight="1">
      <c r="B1" s="582" t="s">
        <v>22</v>
      </c>
      <c r="C1" s="582"/>
      <c r="D1" s="582"/>
      <c r="E1" s="582"/>
      <c r="F1" s="582"/>
      <c r="G1" s="582"/>
      <c r="H1" s="731" t="s">
        <v>23</v>
      </c>
      <c r="I1" s="4"/>
      <c r="J1" s="595" t="s">
        <v>30</v>
      </c>
      <c r="K1" s="596"/>
      <c r="L1" s="12"/>
      <c r="M1" s="609" t="s">
        <v>0</v>
      </c>
      <c r="N1" s="610"/>
      <c r="O1" s="610"/>
      <c r="P1" s="610"/>
      <c r="Q1" s="610"/>
      <c r="R1" s="610"/>
      <c r="S1" s="610"/>
      <c r="T1" s="610"/>
      <c r="U1" s="610"/>
      <c r="V1" s="610"/>
      <c r="W1" s="610"/>
      <c r="X1" s="610"/>
      <c r="Y1" s="610"/>
      <c r="Z1" s="610"/>
      <c r="AA1" s="610"/>
      <c r="AB1" s="610"/>
      <c r="AC1" s="596"/>
    </row>
    <row r="2" spans="2:29" ht="3.75" customHeight="1">
      <c r="B2" s="57"/>
      <c r="C2"/>
      <c r="D2"/>
      <c r="E2"/>
      <c r="F2"/>
      <c r="G2"/>
      <c r="H2" s="732"/>
      <c r="I2"/>
      <c r="J2"/>
      <c r="K2"/>
      <c r="L2"/>
      <c r="M2" s="30"/>
      <c r="N2"/>
      <c r="O2"/>
      <c r="P2"/>
      <c r="Q2"/>
      <c r="R2"/>
      <c r="S2" s="28"/>
      <c r="T2"/>
      <c r="U2"/>
      <c r="V2"/>
      <c r="W2"/>
      <c r="X2"/>
      <c r="Y2" s="13"/>
      <c r="Z2"/>
      <c r="AA2" s="13"/>
      <c r="AB2" s="13"/>
      <c r="AC2" s="13"/>
    </row>
    <row r="3" spans="2:29" s="50" customFormat="1" ht="30" customHeight="1" thickBot="1">
      <c r="B3" s="406">
        <v>45658</v>
      </c>
      <c r="C3" s="407" t="s">
        <v>792</v>
      </c>
      <c r="D3" s="327"/>
      <c r="E3" s="327"/>
      <c r="F3" s="326"/>
      <c r="G3" s="328"/>
      <c r="H3" s="732"/>
      <c r="I3" s="11"/>
      <c r="J3" s="617" t="s">
        <v>7</v>
      </c>
      <c r="K3" s="618"/>
      <c r="L3" s="11"/>
      <c r="M3" s="553" t="s">
        <v>7</v>
      </c>
      <c r="N3" s="554"/>
      <c r="O3" s="555" t="s">
        <v>9</v>
      </c>
      <c r="P3" s="554"/>
      <c r="Q3" s="556" t="s">
        <v>10</v>
      </c>
      <c r="R3" s="565"/>
      <c r="S3" s="29"/>
      <c r="T3" s="553" t="s">
        <v>7</v>
      </c>
      <c r="U3" s="554"/>
      <c r="V3" s="555" t="s">
        <v>8</v>
      </c>
      <c r="W3" s="554"/>
      <c r="X3" s="555" t="s">
        <v>9</v>
      </c>
      <c r="Y3" s="554"/>
      <c r="Z3" s="555" t="s">
        <v>9</v>
      </c>
      <c r="AA3" s="554"/>
      <c r="AB3" s="556" t="s">
        <v>10</v>
      </c>
      <c r="AC3" s="557"/>
    </row>
    <row r="4" spans="2:29" s="2" customFormat="1" ht="16.149999999999999" customHeight="1">
      <c r="B4" s="587" t="s">
        <v>40</v>
      </c>
      <c r="C4" s="588"/>
      <c r="D4" s="597" t="s">
        <v>4</v>
      </c>
      <c r="E4" s="597"/>
      <c r="F4" s="597"/>
      <c r="G4" s="598"/>
      <c r="H4" s="734" t="s">
        <v>12</v>
      </c>
      <c r="I4" s="6"/>
      <c r="J4" s="603" t="s">
        <v>3</v>
      </c>
      <c r="K4" s="604"/>
      <c r="L4" s="7"/>
      <c r="M4" s="736" t="s">
        <v>695</v>
      </c>
      <c r="N4" s="737"/>
      <c r="O4" s="744" t="s">
        <v>693</v>
      </c>
      <c r="P4" s="745"/>
      <c r="Q4" s="744" t="s">
        <v>476</v>
      </c>
      <c r="R4" s="745"/>
      <c r="S4" s="27"/>
      <c r="T4" s="750"/>
      <c r="U4" s="751"/>
      <c r="V4" s="752" t="s">
        <v>483</v>
      </c>
      <c r="W4" s="753"/>
      <c r="X4" s="793" t="s">
        <v>679</v>
      </c>
      <c r="Y4" s="794"/>
      <c r="Z4" s="714" t="s">
        <v>685</v>
      </c>
      <c r="AA4" s="715"/>
      <c r="AB4" s="716" t="s">
        <v>481</v>
      </c>
      <c r="AC4" s="720"/>
    </row>
    <row r="5" spans="2:29" s="2" customFormat="1" ht="16.149999999999999" customHeight="1">
      <c r="B5" s="589"/>
      <c r="C5" s="590"/>
      <c r="D5" s="599"/>
      <c r="E5" s="599"/>
      <c r="F5" s="599"/>
      <c r="G5" s="600"/>
      <c r="H5" s="735"/>
      <c r="I5" s="7"/>
      <c r="J5" s="605"/>
      <c r="K5" s="606"/>
      <c r="L5" s="7"/>
      <c r="M5" s="236"/>
      <c r="N5" s="233"/>
      <c r="O5" s="744"/>
      <c r="P5" s="745"/>
      <c r="Q5" s="744"/>
      <c r="R5" s="745"/>
      <c r="S5" s="27"/>
      <c r="T5" s="58"/>
      <c r="U5" s="92"/>
      <c r="V5" s="744"/>
      <c r="W5" s="754"/>
      <c r="X5" s="795"/>
      <c r="Y5" s="796"/>
      <c r="Z5" s="716"/>
      <c r="AA5" s="717"/>
      <c r="AB5" s="716"/>
      <c r="AC5" s="720"/>
    </row>
    <row r="6" spans="2:29" s="2" customFormat="1" ht="16.149999999999999" customHeight="1">
      <c r="B6" s="589"/>
      <c r="C6" s="590"/>
      <c r="D6" s="599"/>
      <c r="E6" s="599"/>
      <c r="F6" s="599"/>
      <c r="G6" s="600"/>
      <c r="H6" s="735"/>
      <c r="I6" s="7"/>
      <c r="J6" s="605"/>
      <c r="K6" s="606"/>
      <c r="L6" s="7"/>
      <c r="M6" s="237"/>
      <c r="N6" s="233"/>
      <c r="O6" s="744"/>
      <c r="P6" s="745"/>
      <c r="Q6" s="744"/>
      <c r="R6" s="745"/>
      <c r="S6" s="31"/>
      <c r="T6" s="733" t="s">
        <v>489</v>
      </c>
      <c r="U6" s="625"/>
      <c r="V6" s="744"/>
      <c r="W6" s="754"/>
      <c r="X6" s="795"/>
      <c r="Y6" s="796"/>
      <c r="Z6" s="716"/>
      <c r="AA6" s="717"/>
      <c r="AB6" s="716"/>
      <c r="AC6" s="720"/>
    </row>
    <row r="7" spans="2:29" s="2" customFormat="1" ht="16.149999999999999" customHeight="1">
      <c r="B7" s="589"/>
      <c r="C7" s="590"/>
      <c r="D7" s="599"/>
      <c r="E7" s="599"/>
      <c r="F7" s="599"/>
      <c r="G7" s="600"/>
      <c r="H7" s="735"/>
      <c r="I7" s="7"/>
      <c r="J7" s="605"/>
      <c r="K7" s="606"/>
      <c r="L7" s="7"/>
      <c r="M7" s="238"/>
      <c r="N7" s="233"/>
      <c r="O7" s="744"/>
      <c r="P7" s="745"/>
      <c r="Q7" s="744"/>
      <c r="R7" s="745"/>
      <c r="S7" s="31"/>
      <c r="T7" s="624"/>
      <c r="U7" s="625"/>
      <c r="V7" s="744"/>
      <c r="W7" s="754"/>
      <c r="X7" s="795"/>
      <c r="Y7" s="796"/>
      <c r="Z7" s="716"/>
      <c r="AA7" s="717"/>
      <c r="AB7" s="716"/>
      <c r="AC7" s="720"/>
    </row>
    <row r="8" spans="2:29" s="2" customFormat="1" ht="16.149999999999999" customHeight="1">
      <c r="B8" s="589"/>
      <c r="C8" s="590"/>
      <c r="D8" s="599"/>
      <c r="E8" s="599"/>
      <c r="F8" s="599"/>
      <c r="G8" s="600"/>
      <c r="H8" s="735"/>
      <c r="I8" s="7"/>
      <c r="J8" s="605"/>
      <c r="K8" s="606"/>
      <c r="L8" s="7"/>
      <c r="M8" s="237" t="s">
        <v>691</v>
      </c>
      <c r="N8" s="233"/>
      <c r="O8" s="744"/>
      <c r="P8" s="745"/>
      <c r="Q8" s="744"/>
      <c r="R8" s="745"/>
      <c r="S8" s="31"/>
      <c r="T8" s="624"/>
      <c r="U8" s="625"/>
      <c r="V8" s="744"/>
      <c r="W8" s="754"/>
      <c r="X8" s="795"/>
      <c r="Y8" s="796"/>
      <c r="Z8" s="716"/>
      <c r="AA8" s="717"/>
      <c r="AB8" s="716"/>
      <c r="AC8" s="720"/>
    </row>
    <row r="9" spans="2:29" s="2" customFormat="1" ht="16.149999999999999" customHeight="1">
      <c r="B9" s="589"/>
      <c r="C9" s="590"/>
      <c r="D9" s="599"/>
      <c r="E9" s="599"/>
      <c r="F9" s="599"/>
      <c r="G9" s="600"/>
      <c r="H9" s="735"/>
      <c r="I9" s="7"/>
      <c r="J9" s="605"/>
      <c r="K9" s="606"/>
      <c r="L9" s="7"/>
      <c r="M9" s="238"/>
      <c r="N9" s="233"/>
      <c r="O9" s="744"/>
      <c r="P9" s="745"/>
      <c r="Q9" s="744"/>
      <c r="R9" s="745"/>
      <c r="S9" s="31"/>
      <c r="T9" s="624"/>
      <c r="U9" s="625"/>
      <c r="V9" s="744"/>
      <c r="W9" s="754"/>
      <c r="X9" s="795"/>
      <c r="Y9" s="796"/>
      <c r="Z9" s="716"/>
      <c r="AA9" s="717"/>
      <c r="AB9" s="716"/>
      <c r="AC9" s="720"/>
    </row>
    <row r="10" spans="2:29" s="2" customFormat="1" ht="16.149999999999999" customHeight="1">
      <c r="B10" s="589"/>
      <c r="C10" s="590"/>
      <c r="D10" s="599"/>
      <c r="E10" s="599"/>
      <c r="F10" s="599"/>
      <c r="G10" s="600"/>
      <c r="H10" s="735"/>
      <c r="I10" s="7"/>
      <c r="J10" s="605"/>
      <c r="K10" s="606"/>
      <c r="L10" s="7"/>
      <c r="M10" s="237" t="s">
        <v>478</v>
      </c>
      <c r="N10" s="233"/>
      <c r="O10" s="744"/>
      <c r="P10" s="745"/>
      <c r="Q10" s="744"/>
      <c r="R10" s="745"/>
      <c r="S10" s="31"/>
      <c r="T10" s="624"/>
      <c r="U10" s="625"/>
      <c r="V10" s="744"/>
      <c r="W10" s="754"/>
      <c r="X10" s="795"/>
      <c r="Y10" s="796"/>
      <c r="Z10" s="716"/>
      <c r="AA10" s="717"/>
      <c r="AB10" s="716"/>
      <c r="AC10" s="720"/>
    </row>
    <row r="11" spans="2:29" s="2" customFormat="1" ht="16.149999999999999" customHeight="1" thickBot="1">
      <c r="B11" s="589"/>
      <c r="C11" s="590"/>
      <c r="D11" s="601"/>
      <c r="E11" s="601"/>
      <c r="F11" s="601"/>
      <c r="G11" s="602"/>
      <c r="H11" s="735"/>
      <c r="I11" s="7"/>
      <c r="J11" s="607"/>
      <c r="K11" s="608"/>
      <c r="L11" s="7"/>
      <c r="M11" s="234"/>
      <c r="N11" s="235"/>
      <c r="O11" s="746"/>
      <c r="P11" s="747"/>
      <c r="Q11" s="746"/>
      <c r="R11" s="747"/>
      <c r="S11" s="31"/>
      <c r="T11" s="626"/>
      <c r="U11" s="627"/>
      <c r="V11" s="746"/>
      <c r="W11" s="755"/>
      <c r="X11" s="797"/>
      <c r="Y11" s="798"/>
      <c r="Z11" s="718"/>
      <c r="AA11" s="719"/>
      <c r="AB11" s="718"/>
      <c r="AC11" s="721"/>
    </row>
    <row r="12" spans="2:29" s="2" customFormat="1" ht="37.9" customHeight="1">
      <c r="B12" s="589"/>
      <c r="C12" s="590"/>
      <c r="D12" s="661" t="s">
        <v>334</v>
      </c>
      <c r="E12" s="662"/>
      <c r="F12" s="662"/>
      <c r="G12" s="662"/>
      <c r="H12" s="201"/>
      <c r="I12" s="7"/>
      <c r="J12" s="657" t="s">
        <v>3</v>
      </c>
      <c r="K12" s="658"/>
      <c r="L12" s="7"/>
      <c r="M12" s="738" t="s">
        <v>3</v>
      </c>
      <c r="N12" s="739"/>
      <c r="O12" s="742" t="s">
        <v>693</v>
      </c>
      <c r="P12" s="743"/>
      <c r="Q12" s="742" t="s">
        <v>476</v>
      </c>
      <c r="R12" s="743"/>
      <c r="S12" s="31"/>
      <c r="T12" s="748" t="s">
        <v>484</v>
      </c>
      <c r="U12" s="749"/>
      <c r="V12" s="761" t="s">
        <v>485</v>
      </c>
      <c r="W12" s="670"/>
      <c r="X12" s="761" t="s">
        <v>680</v>
      </c>
      <c r="Y12" s="670"/>
      <c r="Z12" s="761" t="s">
        <v>682</v>
      </c>
      <c r="AA12" s="670"/>
      <c r="AB12" s="763" t="s">
        <v>486</v>
      </c>
      <c r="AC12" s="764"/>
    </row>
    <row r="13" spans="2:29" s="2" customFormat="1" ht="37.9" customHeight="1" thickBot="1">
      <c r="B13" s="589"/>
      <c r="C13" s="590"/>
      <c r="D13" s="663"/>
      <c r="E13" s="664"/>
      <c r="F13" s="664"/>
      <c r="G13" s="664"/>
      <c r="H13" s="202"/>
      <c r="I13" s="7"/>
      <c r="J13" s="659" t="s">
        <v>3</v>
      </c>
      <c r="K13" s="660"/>
      <c r="L13" s="7"/>
      <c r="M13" s="628" t="s">
        <v>3</v>
      </c>
      <c r="N13" s="629"/>
      <c r="O13" s="765" t="s">
        <v>3</v>
      </c>
      <c r="P13" s="766"/>
      <c r="Q13" s="765" t="s">
        <v>3</v>
      </c>
      <c r="R13" s="767"/>
      <c r="S13" s="31"/>
      <c r="T13" s="740" t="s">
        <v>487</v>
      </c>
      <c r="U13" s="741"/>
      <c r="V13" s="740" t="s">
        <v>488</v>
      </c>
      <c r="W13" s="741"/>
      <c r="X13" s="230"/>
      <c r="Y13" s="231"/>
      <c r="Z13" s="230"/>
      <c r="AA13" s="231"/>
      <c r="AB13" s="230"/>
      <c r="AC13" s="232"/>
    </row>
    <row r="14" spans="2:29" s="2" customFormat="1" ht="30.75" customHeight="1" thickBot="1">
      <c r="B14" s="589"/>
      <c r="C14" s="590"/>
      <c r="D14" s="611" t="s">
        <v>27</v>
      </c>
      <c r="E14" s="611"/>
      <c r="F14" s="612"/>
      <c r="G14" s="613"/>
      <c r="H14" s="203" t="s">
        <v>3</v>
      </c>
      <c r="I14" s="10"/>
      <c r="J14" s="585" t="s">
        <v>3</v>
      </c>
      <c r="K14" s="586"/>
      <c r="L14" s="7"/>
      <c r="M14" s="583" t="s">
        <v>49</v>
      </c>
      <c r="N14" s="561"/>
      <c r="O14" s="560" t="s">
        <v>15</v>
      </c>
      <c r="P14" s="561"/>
      <c r="Q14" s="560" t="s">
        <v>15</v>
      </c>
      <c r="R14" s="561"/>
      <c r="S14" s="27"/>
      <c r="T14" s="583" t="s">
        <v>49</v>
      </c>
      <c r="U14" s="561"/>
      <c r="V14" s="578" t="s">
        <v>15</v>
      </c>
      <c r="W14" s="579"/>
      <c r="X14" s="560" t="s">
        <v>15</v>
      </c>
      <c r="Y14" s="561"/>
      <c r="Z14" s="560" t="s">
        <v>15</v>
      </c>
      <c r="AA14" s="561"/>
      <c r="AB14" s="560" t="s">
        <v>15</v>
      </c>
      <c r="AC14" s="642"/>
    </row>
    <row r="15" spans="2:29" s="2" customFormat="1" ht="65.25" customHeight="1" thickBot="1">
      <c r="B15" s="589"/>
      <c r="C15" s="590"/>
      <c r="D15" s="611" t="s">
        <v>53</v>
      </c>
      <c r="E15" s="611"/>
      <c r="F15" s="612"/>
      <c r="G15" s="613"/>
      <c r="H15" s="203" t="s">
        <v>48</v>
      </c>
      <c r="I15" s="10"/>
      <c r="J15" s="762" t="s">
        <v>491</v>
      </c>
      <c r="K15" s="604"/>
      <c r="L15" s="7"/>
      <c r="M15" s="637" t="s">
        <v>62</v>
      </c>
      <c r="N15" s="638"/>
      <c r="O15" s="558" t="s">
        <v>50</v>
      </c>
      <c r="P15" s="559"/>
      <c r="Q15" s="558" t="s">
        <v>50</v>
      </c>
      <c r="R15" s="559"/>
      <c r="S15" s="27"/>
      <c r="T15" s="637" t="s">
        <v>62</v>
      </c>
      <c r="U15" s="638"/>
      <c r="V15" s="558" t="s">
        <v>50</v>
      </c>
      <c r="W15" s="559"/>
      <c r="X15" s="558" t="s">
        <v>50</v>
      </c>
      <c r="Y15" s="559"/>
      <c r="Z15" s="558" t="s">
        <v>50</v>
      </c>
      <c r="AA15" s="559"/>
      <c r="AB15" s="558" t="s">
        <v>50</v>
      </c>
      <c r="AC15" s="634"/>
    </row>
    <row r="16" spans="2:29" s="2" customFormat="1" ht="21" customHeight="1" thickBot="1">
      <c r="B16" s="591"/>
      <c r="C16" s="592"/>
      <c r="D16" s="620" t="s">
        <v>5</v>
      </c>
      <c r="E16" s="621"/>
      <c r="F16" s="621"/>
      <c r="G16" s="621"/>
      <c r="H16" s="204" t="s">
        <v>3</v>
      </c>
      <c r="I16" s="9"/>
      <c r="J16" s="622" t="s">
        <v>3</v>
      </c>
      <c r="K16" s="586"/>
      <c r="L16" s="7"/>
      <c r="M16" s="622" t="s">
        <v>64</v>
      </c>
      <c r="N16" s="635"/>
      <c r="O16" s="636" t="s">
        <v>64</v>
      </c>
      <c r="P16" s="635"/>
      <c r="Q16" s="636" t="s">
        <v>64</v>
      </c>
      <c r="R16" s="635"/>
      <c r="S16" s="27"/>
      <c r="T16" s="622" t="s">
        <v>64</v>
      </c>
      <c r="U16" s="635"/>
      <c r="V16" s="636" t="s">
        <v>64</v>
      </c>
      <c r="W16" s="635"/>
      <c r="X16" s="636" t="s">
        <v>64</v>
      </c>
      <c r="Y16" s="635"/>
      <c r="Z16" s="636" t="s">
        <v>64</v>
      </c>
      <c r="AA16" s="635"/>
      <c r="AB16" s="636" t="s">
        <v>64</v>
      </c>
      <c r="AC16" s="586"/>
    </row>
    <row r="18" spans="1:52" s="2" customFormat="1" ht="21" customHeight="1">
      <c r="A18" s="1"/>
      <c r="B18" s="3"/>
      <c r="C18" s="66" t="s">
        <v>490</v>
      </c>
      <c r="D18" s="1"/>
      <c r="E18" s="1"/>
      <c r="F18" s="1"/>
      <c r="G18" s="1"/>
      <c r="H18" s="200"/>
      <c r="I18" s="4"/>
      <c r="J18" s="1"/>
      <c r="K18" s="1"/>
      <c r="L18" s="4"/>
      <c r="M18" s="1"/>
      <c r="N18" s="1"/>
      <c r="O18" s="1"/>
      <c r="P18" s="1"/>
      <c r="Q18" s="1"/>
      <c r="R18" s="1"/>
      <c r="S18" s="1"/>
      <c r="T18" s="1"/>
      <c r="U18" s="1"/>
      <c r="V18" s="1"/>
      <c r="W18" s="1"/>
      <c r="X18" s="1"/>
      <c r="Y18" s="1"/>
      <c r="Z18" s="1"/>
      <c r="AA18" s="1"/>
      <c r="AB18" s="1"/>
      <c r="AC18" s="1"/>
      <c r="AD18" s="1"/>
      <c r="AE18" s="1"/>
      <c r="AG18" s="1"/>
      <c r="AH18" s="1"/>
      <c r="AJ18" s="1"/>
      <c r="AK18" s="1"/>
      <c r="AL18" s="1"/>
      <c r="AM18" s="1"/>
      <c r="AN18" s="1"/>
      <c r="AO18" s="1"/>
      <c r="AP18" s="1"/>
      <c r="AQ18" s="1"/>
      <c r="AR18" s="1"/>
      <c r="AS18" s="1"/>
      <c r="AT18" s="1"/>
      <c r="AU18" s="1"/>
      <c r="AV18" s="1"/>
      <c r="AW18" s="1"/>
      <c r="AX18" s="1"/>
      <c r="AY18" s="1"/>
    </row>
    <row r="19" spans="1:52" s="2" customFormat="1" ht="21" customHeight="1">
      <c r="A19" s="1"/>
      <c r="B19" s="1"/>
      <c r="C19" s="66" t="s">
        <v>95</v>
      </c>
      <c r="D19" s="63"/>
      <c r="E19" s="63"/>
      <c r="H19" s="205"/>
      <c r="O19" s="1"/>
      <c r="P19" s="1"/>
      <c r="Q19" s="1"/>
      <c r="R19" s="1"/>
      <c r="S19" s="1"/>
      <c r="T19" s="1"/>
      <c r="U19" s="1"/>
      <c r="V19" s="1"/>
      <c r="W19" s="1"/>
      <c r="X19" s="1"/>
      <c r="Y19" s="1"/>
      <c r="Z19" s="1"/>
      <c r="AA19" s="1"/>
      <c r="AB19" s="1"/>
      <c r="AC19" s="1"/>
      <c r="AD19" s="1"/>
      <c r="AE19" s="1"/>
      <c r="AG19" s="1"/>
      <c r="AH19" s="1"/>
      <c r="AJ19" s="1"/>
      <c r="AK19" s="1"/>
      <c r="AL19" s="1"/>
      <c r="AM19" s="1"/>
      <c r="AN19" s="1"/>
      <c r="AO19" s="1"/>
      <c r="AP19" s="1"/>
      <c r="AQ19" s="1"/>
      <c r="AR19" s="1"/>
      <c r="AS19" s="1"/>
      <c r="AT19" s="1"/>
      <c r="AU19" s="1"/>
      <c r="AV19" s="1"/>
      <c r="AW19" s="1"/>
      <c r="AX19" s="1"/>
      <c r="AY19" s="1"/>
    </row>
    <row r="20" spans="1:52" s="2" customFormat="1" ht="23.25" customHeight="1">
      <c r="A20" s="1"/>
      <c r="B20" s="1"/>
      <c r="C20" s="66"/>
      <c r="D20" s="63"/>
      <c r="E20" s="63"/>
      <c r="L20" s="159"/>
      <c r="O20" s="1"/>
      <c r="P20" s="1"/>
      <c r="Q20" s="1"/>
      <c r="R20" s="1"/>
      <c r="S20" s="1"/>
      <c r="T20" s="1"/>
      <c r="U20" s="1"/>
      <c r="V20" s="1"/>
      <c r="W20" s="1"/>
      <c r="X20" s="1"/>
      <c r="Y20" s="1"/>
      <c r="Z20" s="1"/>
      <c r="AA20" s="1"/>
      <c r="AB20" s="1"/>
      <c r="AC20" s="1"/>
      <c r="AD20" s="1"/>
      <c r="AE20" s="1"/>
      <c r="AG20" s="1"/>
      <c r="AH20" s="1"/>
      <c r="AJ20" s="1"/>
      <c r="AK20" s="1"/>
      <c r="AL20" s="1"/>
      <c r="AM20" s="1"/>
      <c r="AN20" s="1"/>
      <c r="AO20" s="1"/>
      <c r="AP20" s="1"/>
      <c r="AQ20" s="1"/>
      <c r="AR20" s="1"/>
      <c r="AS20" s="1"/>
      <c r="AT20" s="1"/>
      <c r="AU20" s="1"/>
      <c r="AV20" s="1"/>
      <c r="AW20" s="1"/>
      <c r="AX20" s="1"/>
      <c r="AY20" s="1"/>
    </row>
    <row r="21" spans="1:52" s="2" customFormat="1" ht="23.25" customHeight="1" thickBot="1">
      <c r="A21" s="1"/>
      <c r="B21" s="1"/>
      <c r="C21" s="90" t="s">
        <v>236</v>
      </c>
      <c r="D21" s="332"/>
      <c r="E21" s="332"/>
      <c r="F21" s="89"/>
      <c r="G21" s="89"/>
      <c r="H21" s="89"/>
      <c r="I21" s="89"/>
      <c r="J21" s="89"/>
      <c r="K21" s="89"/>
      <c r="L21" s="333"/>
      <c r="M21" s="89"/>
      <c r="O21" s="1"/>
      <c r="P21" s="1"/>
      <c r="Q21" s="1"/>
      <c r="R21" s="1"/>
      <c r="S21" s="1"/>
      <c r="T21" s="1"/>
      <c r="U21" s="1"/>
      <c r="V21" s="1"/>
      <c r="W21" s="1"/>
      <c r="X21" s="1"/>
      <c r="Y21" s="1"/>
      <c r="Z21" s="1"/>
      <c r="AA21" s="1"/>
      <c r="AB21" s="1"/>
      <c r="AC21" s="1"/>
      <c r="AD21" s="1"/>
      <c r="AE21" s="1"/>
      <c r="AG21" s="1"/>
      <c r="AH21" s="1"/>
      <c r="AJ21" s="1"/>
      <c r="AK21" s="1"/>
      <c r="AL21" s="1"/>
      <c r="AM21" s="1"/>
      <c r="AN21" s="1"/>
      <c r="AO21" s="1"/>
      <c r="AP21" s="1"/>
      <c r="AQ21" s="1"/>
      <c r="AR21" s="1"/>
      <c r="AS21" s="1"/>
      <c r="AT21" s="1"/>
      <c r="AU21" s="1"/>
      <c r="AV21" s="1"/>
      <c r="AW21" s="1"/>
      <c r="AX21" s="1"/>
      <c r="AY21" s="1"/>
    </row>
    <row r="22" spans="1:52" s="2" customFormat="1" ht="23.25" customHeight="1">
      <c r="A22" s="1"/>
      <c r="B22" s="651" t="s">
        <v>25</v>
      </c>
      <c r="C22" s="652"/>
      <c r="D22" s="652"/>
      <c r="E22" s="652"/>
      <c r="F22" s="652"/>
      <c r="G22" s="653"/>
      <c r="H22" s="526" t="s">
        <v>23</v>
      </c>
      <c r="J22" s="533" t="s">
        <v>24</v>
      </c>
      <c r="K22" s="534"/>
      <c r="L22" s="157"/>
      <c r="M22" s="533" t="s">
        <v>6</v>
      </c>
      <c r="N22" s="551"/>
      <c r="O22" s="551"/>
      <c r="P22" s="551"/>
      <c r="Q22" s="551"/>
      <c r="R22" s="551"/>
      <c r="S22" s="551"/>
      <c r="T22" s="551"/>
      <c r="U22" s="551"/>
      <c r="V22" s="551"/>
      <c r="W22" s="551"/>
      <c r="X22" s="551"/>
      <c r="Y22" s="551"/>
      <c r="Z22" s="551"/>
      <c r="AA22" s="551"/>
      <c r="AB22" s="551"/>
      <c r="AC22" s="552"/>
      <c r="AD22" s="1"/>
      <c r="AE22" s="526" t="s">
        <v>41</v>
      </c>
      <c r="AG22" s="533" t="s">
        <v>42</v>
      </c>
      <c r="AH22" s="534"/>
      <c r="AI22" s="44"/>
      <c r="AJ22" s="530" t="s">
        <v>46</v>
      </c>
      <c r="AK22" s="531"/>
      <c r="AL22" s="531"/>
      <c r="AM22" s="531"/>
      <c r="AN22" s="531"/>
      <c r="AO22" s="531"/>
      <c r="AP22" s="531"/>
      <c r="AQ22" s="531"/>
      <c r="AR22" s="531"/>
      <c r="AS22" s="531"/>
      <c r="AT22" s="531"/>
      <c r="AU22" s="531"/>
      <c r="AV22" s="531"/>
      <c r="AW22" s="531"/>
      <c r="AX22" s="531"/>
      <c r="AY22" s="531"/>
      <c r="AZ22" s="531"/>
    </row>
    <row r="23" spans="1:52" s="2" customFormat="1" ht="3.75" customHeight="1">
      <c r="A23" s="1"/>
      <c r="B23" s="654"/>
      <c r="C23" s="655"/>
      <c r="D23" s="655"/>
      <c r="E23" s="655"/>
      <c r="F23" s="655"/>
      <c r="G23" s="656"/>
      <c r="H23" s="527"/>
      <c r="J23" s="535"/>
      <c r="K23" s="536"/>
      <c r="L23" s="157"/>
      <c r="M23" s="26"/>
      <c r="N23" s="12"/>
      <c r="O23" s="12"/>
      <c r="P23" s="12"/>
      <c r="Q23" s="12"/>
      <c r="R23" s="12"/>
      <c r="S23" s="12"/>
      <c r="T23" s="12"/>
      <c r="U23" s="12"/>
      <c r="V23" s="12"/>
      <c r="W23" s="12"/>
      <c r="X23" s="12"/>
      <c r="Y23" s="12"/>
      <c r="Z23" s="12"/>
      <c r="AA23" s="12"/>
      <c r="AB23" s="12"/>
      <c r="AC23" s="12"/>
      <c r="AD23" s="1"/>
      <c r="AE23" s="527"/>
      <c r="AG23" s="535"/>
      <c r="AH23" s="536"/>
      <c r="AI23" s="44"/>
      <c r="AJ23" s="26"/>
      <c r="AK23" s="12"/>
      <c r="AL23" s="12"/>
      <c r="AM23" s="12"/>
      <c r="AN23" s="12"/>
      <c r="AO23" s="12"/>
      <c r="AP23" s="12"/>
      <c r="AQ23" s="12"/>
      <c r="AR23" s="12"/>
      <c r="AS23" s="12"/>
      <c r="AT23" s="12"/>
      <c r="AU23" s="12"/>
      <c r="AV23" s="12"/>
      <c r="AW23" s="12"/>
      <c r="AX23" s="12"/>
      <c r="AY23" s="1"/>
    </row>
    <row r="24" spans="1:52" s="2" customFormat="1" ht="33.75" customHeight="1">
      <c r="A24" s="1"/>
      <c r="B24" s="654"/>
      <c r="C24" s="655"/>
      <c r="D24" s="655"/>
      <c r="E24" s="655"/>
      <c r="F24" s="655"/>
      <c r="G24" s="656"/>
      <c r="H24" s="527"/>
      <c r="J24" s="535"/>
      <c r="K24" s="536"/>
      <c r="L24" s="158"/>
      <c r="M24" s="537" t="s">
        <v>18</v>
      </c>
      <c r="N24" s="538"/>
      <c r="O24" s="538"/>
      <c r="P24" s="538"/>
      <c r="Q24" s="538"/>
      <c r="R24" s="539"/>
      <c r="S24" s="48"/>
      <c r="T24" s="537" t="s">
        <v>31</v>
      </c>
      <c r="U24" s="538"/>
      <c r="V24" s="538"/>
      <c r="W24" s="538"/>
      <c r="X24" s="538"/>
      <c r="Y24" s="538"/>
      <c r="Z24" s="538"/>
      <c r="AA24" s="538"/>
      <c r="AB24" s="538"/>
      <c r="AC24" s="539"/>
      <c r="AD24" s="1"/>
      <c r="AE24" s="527"/>
      <c r="AG24" s="535"/>
      <c r="AH24" s="536"/>
      <c r="AI24" s="45"/>
      <c r="AJ24" s="537" t="s">
        <v>18</v>
      </c>
      <c r="AK24" s="538"/>
      <c r="AL24" s="538"/>
      <c r="AM24" s="538"/>
      <c r="AN24" s="538"/>
      <c r="AO24" s="539"/>
      <c r="AP24" s="48"/>
      <c r="AQ24" s="537" t="s">
        <v>31</v>
      </c>
      <c r="AR24" s="538"/>
      <c r="AS24" s="538"/>
      <c r="AT24" s="538"/>
      <c r="AU24" s="538"/>
      <c r="AV24" s="538"/>
      <c r="AW24" s="538"/>
      <c r="AX24" s="538"/>
      <c r="AY24" s="538"/>
      <c r="AZ24" s="538"/>
    </row>
    <row r="25" spans="1:52" s="2" customFormat="1" ht="3.75" customHeight="1">
      <c r="A25" s="4"/>
      <c r="B25" s="654"/>
      <c r="C25" s="655"/>
      <c r="D25" s="655"/>
      <c r="E25" s="655"/>
      <c r="F25" s="655"/>
      <c r="G25" s="656"/>
      <c r="H25" s="527"/>
      <c r="J25" s="12"/>
      <c r="K25" s="12"/>
      <c r="L25" s="158"/>
      <c r="M25" s="24"/>
      <c r="N25" s="13"/>
      <c r="O25" s="13"/>
      <c r="P25" s="13"/>
      <c r="Q25" s="13"/>
      <c r="R25" s="25"/>
      <c r="S25" s="48"/>
      <c r="T25" s="24"/>
      <c r="U25" s="13"/>
      <c r="V25" s="13"/>
      <c r="W25" s="13"/>
      <c r="X25" s="13"/>
      <c r="Y25" s="13"/>
      <c r="Z25" s="13"/>
      <c r="AA25" s="13"/>
      <c r="AB25" s="13"/>
      <c r="AC25" s="25"/>
      <c r="AD25" s="4"/>
      <c r="AE25" s="527"/>
      <c r="AG25" s="12"/>
      <c r="AH25" s="12"/>
      <c r="AI25" s="45"/>
      <c r="AJ25" s="24"/>
      <c r="AK25" s="13"/>
      <c r="AL25" s="13"/>
      <c r="AM25" s="13"/>
      <c r="AN25" s="13"/>
      <c r="AO25" s="25"/>
      <c r="AP25" s="48"/>
      <c r="AQ25" s="24"/>
      <c r="AR25" s="13"/>
      <c r="AS25" s="13"/>
      <c r="AT25" s="13"/>
      <c r="AU25" s="13"/>
      <c r="AV25" s="25"/>
      <c r="AW25" s="4"/>
      <c r="AX25" s="62"/>
      <c r="AY25" s="4"/>
    </row>
    <row r="26" spans="1:52" s="2" customFormat="1" ht="30" customHeight="1">
      <c r="A26" s="1"/>
      <c r="B26" s="654"/>
      <c r="C26" s="655"/>
      <c r="D26" s="655"/>
      <c r="E26" s="655"/>
      <c r="F26" s="655"/>
      <c r="G26" s="656"/>
      <c r="H26" s="527"/>
      <c r="I26" s="64"/>
      <c r="J26" s="540" t="s">
        <v>7</v>
      </c>
      <c r="K26" s="541"/>
      <c r="L26" s="158"/>
      <c r="M26" s="540" t="s">
        <v>7</v>
      </c>
      <c r="N26" s="632"/>
      <c r="O26" s="540" t="s">
        <v>9</v>
      </c>
      <c r="P26" s="632"/>
      <c r="Q26" s="547" t="s">
        <v>10</v>
      </c>
      <c r="R26" s="548"/>
      <c r="S26" s="45"/>
      <c r="T26" s="540" t="s">
        <v>17</v>
      </c>
      <c r="U26" s="632"/>
      <c r="V26" s="540" t="s">
        <v>14</v>
      </c>
      <c r="W26" s="632"/>
      <c r="X26" s="540" t="s">
        <v>16</v>
      </c>
      <c r="Y26" s="632"/>
      <c r="Z26" s="540" t="s">
        <v>16</v>
      </c>
      <c r="AA26" s="632"/>
      <c r="AB26" s="547" t="s">
        <v>54</v>
      </c>
      <c r="AC26" s="548"/>
      <c r="AD26" s="1"/>
      <c r="AE26" s="527"/>
      <c r="AF26" s="64"/>
      <c r="AG26" s="540" t="s">
        <v>7</v>
      </c>
      <c r="AH26" s="541"/>
      <c r="AI26" s="45"/>
      <c r="AJ26" s="540" t="s">
        <v>7</v>
      </c>
      <c r="AK26" s="541"/>
      <c r="AL26" s="540" t="s">
        <v>9</v>
      </c>
      <c r="AM26" s="541"/>
      <c r="AN26" s="540" t="s">
        <v>10</v>
      </c>
      <c r="AO26" s="541"/>
      <c r="AP26" s="45"/>
      <c r="AQ26" s="547" t="s">
        <v>17</v>
      </c>
      <c r="AR26" s="548"/>
      <c r="AS26" s="547" t="s">
        <v>14</v>
      </c>
      <c r="AT26" s="548"/>
      <c r="AU26" s="632" t="s">
        <v>16</v>
      </c>
      <c r="AV26" s="633"/>
      <c r="AW26" s="540" t="s">
        <v>16</v>
      </c>
      <c r="AX26" s="632"/>
      <c r="AY26" s="547" t="s">
        <v>54</v>
      </c>
      <c r="AZ26" s="548"/>
    </row>
    <row r="27" spans="1:52" ht="3.75" customHeight="1">
      <c r="A27"/>
      <c r="B27" s="87"/>
      <c r="C27"/>
      <c r="D27"/>
      <c r="E27"/>
      <c r="F27"/>
      <c r="G27"/>
      <c r="H27" s="18"/>
      <c r="I27" s="47"/>
      <c r="J27" s="16"/>
      <c r="K27" s="17"/>
      <c r="L27" s="160"/>
      <c r="M27" s="16"/>
      <c r="N27"/>
      <c r="O27"/>
      <c r="P27"/>
      <c r="Q27"/>
      <c r="R27"/>
      <c r="S27" s="47"/>
      <c r="T27" s="16"/>
      <c r="U27"/>
      <c r="V27"/>
      <c r="W27"/>
      <c r="X27"/>
      <c r="Y27"/>
      <c r="Z27"/>
      <c r="AA27"/>
      <c r="AB27"/>
      <c r="AC27"/>
      <c r="AD27"/>
      <c r="AE27" s="18"/>
      <c r="AF27" s="47"/>
      <c r="AG27" s="16"/>
      <c r="AH27" s="17"/>
      <c r="AI27" s="47"/>
      <c r="AJ27" s="16"/>
      <c r="AK27"/>
      <c r="AL27"/>
      <c r="AM27"/>
      <c r="AN27"/>
      <c r="AO27" s="17"/>
      <c r="AP27" s="47"/>
      <c r="AQ27" s="16"/>
      <c r="AR27" s="17"/>
      <c r="AS27" s="16"/>
      <c r="AT27" s="17"/>
      <c r="AU27"/>
      <c r="AV27" s="17"/>
      <c r="AW27"/>
      <c r="AX27"/>
      <c r="AY27"/>
      <c r="AZ27"/>
    </row>
    <row r="28" spans="1:52" s="2" customFormat="1" ht="48.75" customHeight="1">
      <c r="B28" s="337" t="s">
        <v>19</v>
      </c>
      <c r="C28" s="337" t="s">
        <v>698</v>
      </c>
      <c r="D28" s="336" t="s">
        <v>1</v>
      </c>
      <c r="E28" s="336" t="s">
        <v>127</v>
      </c>
      <c r="F28" s="335" t="s">
        <v>2</v>
      </c>
      <c r="G28" s="335" t="s">
        <v>11</v>
      </c>
      <c r="H28" s="335" t="s">
        <v>122</v>
      </c>
      <c r="I28" s="45"/>
      <c r="J28" s="15" t="s">
        <v>118</v>
      </c>
      <c r="K28" s="23" t="s">
        <v>28</v>
      </c>
      <c r="L28" s="158" t="s">
        <v>412</v>
      </c>
      <c r="M28" s="339" t="s">
        <v>118</v>
      </c>
      <c r="N28" s="340" t="s">
        <v>29</v>
      </c>
      <c r="O28" s="339" t="s">
        <v>118</v>
      </c>
      <c r="P28" s="342" t="s">
        <v>29</v>
      </c>
      <c r="Q28" s="339" t="s">
        <v>118</v>
      </c>
      <c r="R28" s="343" t="s">
        <v>29</v>
      </c>
      <c r="S28" s="45"/>
      <c r="T28" s="339" t="s">
        <v>118</v>
      </c>
      <c r="U28" s="342" t="s">
        <v>29</v>
      </c>
      <c r="V28" s="339" t="s">
        <v>118</v>
      </c>
      <c r="W28" s="342" t="s">
        <v>29</v>
      </c>
      <c r="X28" s="339" t="s">
        <v>118</v>
      </c>
      <c r="Y28" s="342" t="s">
        <v>29</v>
      </c>
      <c r="Z28" s="15" t="s">
        <v>118</v>
      </c>
      <c r="AA28" s="68" t="s">
        <v>29</v>
      </c>
      <c r="AB28" s="15" t="s">
        <v>118</v>
      </c>
      <c r="AC28" s="72" t="s">
        <v>29</v>
      </c>
      <c r="AD28" s="1"/>
      <c r="AE28" s="335" t="s">
        <v>43</v>
      </c>
      <c r="AF28" s="45"/>
      <c r="AG28" s="15" t="s">
        <v>44</v>
      </c>
      <c r="AH28" s="23" t="s">
        <v>45</v>
      </c>
      <c r="AI28" s="45"/>
      <c r="AJ28" s="339" t="s">
        <v>44</v>
      </c>
      <c r="AK28" s="344" t="s">
        <v>45</v>
      </c>
      <c r="AL28" s="339" t="s">
        <v>44</v>
      </c>
      <c r="AM28" s="344" t="s">
        <v>45</v>
      </c>
      <c r="AN28" s="339" t="s">
        <v>44</v>
      </c>
      <c r="AO28" s="344" t="s">
        <v>45</v>
      </c>
      <c r="AP28" s="45"/>
      <c r="AQ28" s="339" t="s">
        <v>44</v>
      </c>
      <c r="AR28" s="344" t="s">
        <v>45</v>
      </c>
      <c r="AS28" s="339" t="s">
        <v>44</v>
      </c>
      <c r="AT28" s="344" t="s">
        <v>45</v>
      </c>
      <c r="AU28" s="339" t="s">
        <v>44</v>
      </c>
      <c r="AV28" s="344" t="s">
        <v>45</v>
      </c>
      <c r="AW28" s="15" t="s">
        <v>44</v>
      </c>
      <c r="AX28" s="23" t="s">
        <v>45</v>
      </c>
      <c r="AY28" s="15" t="s">
        <v>44</v>
      </c>
      <c r="AZ28" s="23" t="s">
        <v>45</v>
      </c>
    </row>
    <row r="29" spans="1:52">
      <c r="A29" s="196" t="s">
        <v>1194</v>
      </c>
      <c r="B29" s="41" t="s">
        <v>675</v>
      </c>
      <c r="C29" s="211" t="s">
        <v>521</v>
      </c>
      <c r="D29" s="41">
        <v>239</v>
      </c>
      <c r="E29" s="41">
        <v>3.75</v>
      </c>
      <c r="F29" s="22" t="s">
        <v>507</v>
      </c>
      <c r="G29" s="413">
        <v>24</v>
      </c>
      <c r="H29" s="80">
        <v>238.84297520661158</v>
      </c>
      <c r="I29" s="228"/>
      <c r="J29" s="35" t="s">
        <v>3</v>
      </c>
      <c r="K29" s="36" t="s">
        <v>3</v>
      </c>
      <c r="L29" s="498" t="s">
        <v>1210</v>
      </c>
      <c r="M29" s="135" t="s">
        <v>3</v>
      </c>
      <c r="N29" s="134" t="s">
        <v>3</v>
      </c>
      <c r="O29" s="135" t="s">
        <v>3</v>
      </c>
      <c r="P29" s="136" t="s">
        <v>3</v>
      </c>
      <c r="Q29" s="134" t="s">
        <v>3</v>
      </c>
      <c r="R29" s="136" t="s">
        <v>3</v>
      </c>
      <c r="S29" s="37"/>
      <c r="T29" s="135">
        <v>0</v>
      </c>
      <c r="U29" s="134">
        <v>8.1</v>
      </c>
      <c r="V29" s="135">
        <v>0</v>
      </c>
      <c r="W29" s="134">
        <v>7.1000000000000005</v>
      </c>
      <c r="X29" s="135">
        <v>0</v>
      </c>
      <c r="Y29" s="136">
        <v>4</v>
      </c>
      <c r="Z29" s="135">
        <v>0</v>
      </c>
      <c r="AA29" s="136">
        <v>4</v>
      </c>
      <c r="AB29" s="134">
        <v>0</v>
      </c>
      <c r="AC29" s="136">
        <v>4</v>
      </c>
      <c r="AE29" s="22">
        <v>0</v>
      </c>
      <c r="AF29" s="65"/>
      <c r="AG29" s="35">
        <v>0</v>
      </c>
      <c r="AH29" s="36">
        <v>0</v>
      </c>
      <c r="AI29" s="37"/>
      <c r="AJ29" s="35" t="s">
        <v>3</v>
      </c>
      <c r="AK29" s="36" t="s">
        <v>3</v>
      </c>
      <c r="AL29" s="35" t="s">
        <v>3</v>
      </c>
      <c r="AM29" s="36" t="s">
        <v>3</v>
      </c>
      <c r="AN29" s="35" t="s">
        <v>3</v>
      </c>
      <c r="AO29" s="36" t="s">
        <v>3</v>
      </c>
      <c r="AP29" s="37"/>
      <c r="AQ29" s="35">
        <v>45</v>
      </c>
      <c r="AR29" s="36">
        <v>194.39999999999998</v>
      </c>
      <c r="AS29" s="35">
        <v>69</v>
      </c>
      <c r="AT29" s="36">
        <v>170.4</v>
      </c>
      <c r="AU29" s="35">
        <v>143</v>
      </c>
      <c r="AV29" s="36">
        <v>96</v>
      </c>
      <c r="AW29" s="35">
        <v>143</v>
      </c>
      <c r="AX29" s="36">
        <v>96</v>
      </c>
      <c r="AY29" s="35">
        <v>143</v>
      </c>
      <c r="AZ29" s="36">
        <v>96</v>
      </c>
    </row>
    <row r="30" spans="1:52">
      <c r="A30" s="196" t="s">
        <v>1188</v>
      </c>
      <c r="B30" s="41" t="s">
        <v>21</v>
      </c>
      <c r="C30" s="211" t="s">
        <v>516</v>
      </c>
      <c r="D30" s="41">
        <v>74</v>
      </c>
      <c r="E30" s="41">
        <v>1.1000000000000001</v>
      </c>
      <c r="F30" s="22" t="s">
        <v>507</v>
      </c>
      <c r="G30" s="413">
        <v>24</v>
      </c>
      <c r="H30" s="80">
        <v>73.553719008264466</v>
      </c>
      <c r="I30" s="228"/>
      <c r="J30" s="35" t="s">
        <v>3</v>
      </c>
      <c r="K30" s="36" t="s">
        <v>3</v>
      </c>
      <c r="L30" s="498" t="s">
        <v>1210</v>
      </c>
      <c r="M30" s="135">
        <v>0</v>
      </c>
      <c r="N30" s="134">
        <v>2.5</v>
      </c>
      <c r="O30" s="135">
        <v>0</v>
      </c>
      <c r="P30" s="136">
        <v>0.30000000000000004</v>
      </c>
      <c r="Q30" s="134">
        <v>0</v>
      </c>
      <c r="R30" s="136">
        <v>0.30000000000000004</v>
      </c>
      <c r="S30" s="37"/>
      <c r="T30" s="135">
        <v>0</v>
      </c>
      <c r="U30" s="134">
        <v>1.7000000000000002</v>
      </c>
      <c r="V30" s="135">
        <v>0</v>
      </c>
      <c r="W30" s="134">
        <v>1.7000000000000002</v>
      </c>
      <c r="X30" s="135">
        <v>0</v>
      </c>
      <c r="Y30" s="136">
        <v>1.7000000000000002</v>
      </c>
      <c r="Z30" s="135">
        <v>0</v>
      </c>
      <c r="AA30" s="136">
        <v>1.7000000000000002</v>
      </c>
      <c r="AB30" s="134">
        <v>0</v>
      </c>
      <c r="AC30" s="136">
        <v>1.7000000000000002</v>
      </c>
      <c r="AE30" s="22">
        <v>0</v>
      </c>
      <c r="AF30" s="65"/>
      <c r="AG30" s="35">
        <v>0</v>
      </c>
      <c r="AH30" s="36">
        <v>0</v>
      </c>
      <c r="AI30" s="37"/>
      <c r="AJ30" s="35">
        <v>14</v>
      </c>
      <c r="AK30" s="36">
        <v>60</v>
      </c>
      <c r="AL30" s="35">
        <v>67</v>
      </c>
      <c r="AM30" s="36">
        <v>7.2000000000000011</v>
      </c>
      <c r="AN30" s="37">
        <v>67</v>
      </c>
      <c r="AO30" s="36">
        <v>7.2000000000000011</v>
      </c>
      <c r="AP30" s="37"/>
      <c r="AQ30" s="35">
        <v>33</v>
      </c>
      <c r="AR30" s="36">
        <v>40.800000000000004</v>
      </c>
      <c r="AS30" s="35">
        <v>33</v>
      </c>
      <c r="AT30" s="36">
        <v>40.800000000000004</v>
      </c>
      <c r="AU30" s="37">
        <v>33</v>
      </c>
      <c r="AV30" s="36">
        <v>40.800000000000004</v>
      </c>
      <c r="AW30" s="37">
        <v>33</v>
      </c>
      <c r="AX30" s="36">
        <v>40.800000000000004</v>
      </c>
      <c r="AY30" s="37">
        <v>33</v>
      </c>
      <c r="AZ30" s="36">
        <v>40.800000000000004</v>
      </c>
    </row>
    <row r="31" spans="1:52">
      <c r="A31" s="196" t="s">
        <v>1189</v>
      </c>
      <c r="B31" s="41" t="s">
        <v>21</v>
      </c>
      <c r="C31" s="211" t="s">
        <v>523</v>
      </c>
      <c r="D31" s="41">
        <v>74</v>
      </c>
      <c r="E31" s="41">
        <v>1.1000000000000001</v>
      </c>
      <c r="F31" s="22" t="s">
        <v>507</v>
      </c>
      <c r="G31" s="40">
        <v>24</v>
      </c>
      <c r="H31" s="80">
        <v>74.380165289256198</v>
      </c>
      <c r="I31" s="228"/>
      <c r="J31" s="35" t="s">
        <v>3</v>
      </c>
      <c r="K31" s="36" t="s">
        <v>3</v>
      </c>
      <c r="L31" s="498" t="s">
        <v>1210</v>
      </c>
      <c r="M31" s="135">
        <v>0</v>
      </c>
      <c r="N31" s="134">
        <v>2.5</v>
      </c>
      <c r="O31" s="135">
        <v>0</v>
      </c>
      <c r="P31" s="136">
        <v>0.30000000000000004</v>
      </c>
      <c r="Q31" s="134">
        <v>0</v>
      </c>
      <c r="R31" s="136">
        <v>0.30000000000000004</v>
      </c>
      <c r="S31" s="37"/>
      <c r="T31" s="135">
        <v>0</v>
      </c>
      <c r="U31" s="134">
        <v>1.7000000000000002</v>
      </c>
      <c r="V31" s="135">
        <v>0</v>
      </c>
      <c r="W31" s="134">
        <v>1.7000000000000002</v>
      </c>
      <c r="X31" s="135">
        <v>0</v>
      </c>
      <c r="Y31" s="136">
        <v>1.7000000000000002</v>
      </c>
      <c r="Z31" s="135">
        <v>0</v>
      </c>
      <c r="AA31" s="136">
        <v>1.7000000000000002</v>
      </c>
      <c r="AB31" s="134">
        <v>0</v>
      </c>
      <c r="AC31" s="136">
        <v>1.7000000000000002</v>
      </c>
      <c r="AE31" s="22">
        <v>0</v>
      </c>
      <c r="AF31" s="65"/>
      <c r="AG31" s="35">
        <v>0</v>
      </c>
      <c r="AH31" s="36">
        <v>0</v>
      </c>
      <c r="AI31" s="37"/>
      <c r="AJ31" s="35">
        <v>14</v>
      </c>
      <c r="AK31" s="36">
        <v>60</v>
      </c>
      <c r="AL31" s="35">
        <v>67</v>
      </c>
      <c r="AM31" s="36">
        <v>7.2000000000000011</v>
      </c>
      <c r="AN31" s="35">
        <v>67</v>
      </c>
      <c r="AO31" s="36">
        <v>7.2000000000000011</v>
      </c>
      <c r="AP31" s="37"/>
      <c r="AQ31" s="35">
        <v>33</v>
      </c>
      <c r="AR31" s="36">
        <v>40.800000000000004</v>
      </c>
      <c r="AS31" s="35">
        <v>33</v>
      </c>
      <c r="AT31" s="36">
        <v>40.800000000000004</v>
      </c>
      <c r="AU31" s="35">
        <v>33</v>
      </c>
      <c r="AV31" s="36">
        <v>40.800000000000004</v>
      </c>
      <c r="AW31" s="35">
        <v>33</v>
      </c>
      <c r="AX31" s="36">
        <v>40.800000000000004</v>
      </c>
      <c r="AY31" s="35">
        <v>33</v>
      </c>
      <c r="AZ31" s="36">
        <v>40.800000000000004</v>
      </c>
    </row>
    <row r="32" spans="1:52">
      <c r="A32" s="196" t="s">
        <v>1192</v>
      </c>
      <c r="B32" s="41" t="s">
        <v>21</v>
      </c>
      <c r="C32" s="211" t="s">
        <v>512</v>
      </c>
      <c r="D32" s="41">
        <v>64</v>
      </c>
      <c r="E32" s="41">
        <v>1.1000000000000001</v>
      </c>
      <c r="F32" s="22" t="s">
        <v>507</v>
      </c>
      <c r="G32" s="413">
        <v>24</v>
      </c>
      <c r="H32" s="80">
        <v>63.63636363636364</v>
      </c>
      <c r="I32" s="228"/>
      <c r="J32" s="35" t="s">
        <v>3</v>
      </c>
      <c r="K32" s="36" t="s">
        <v>3</v>
      </c>
      <c r="L32" s="498" t="s">
        <v>1210</v>
      </c>
      <c r="M32" s="135" t="s">
        <v>3</v>
      </c>
      <c r="N32" s="134" t="s">
        <v>3</v>
      </c>
      <c r="O32" s="135" t="s">
        <v>3</v>
      </c>
      <c r="P32" s="136" t="s">
        <v>3</v>
      </c>
      <c r="Q32" s="134" t="s">
        <v>3</v>
      </c>
      <c r="R32" s="136" t="s">
        <v>3</v>
      </c>
      <c r="S32" s="37"/>
      <c r="T32" s="135">
        <v>0</v>
      </c>
      <c r="U32" s="134">
        <v>1.3</v>
      </c>
      <c r="V32" s="135">
        <v>0</v>
      </c>
      <c r="W32" s="134">
        <v>1.3</v>
      </c>
      <c r="X32" s="135">
        <v>0</v>
      </c>
      <c r="Y32" s="136">
        <v>0</v>
      </c>
      <c r="Z32" s="135">
        <v>0</v>
      </c>
      <c r="AA32" s="136">
        <v>0</v>
      </c>
      <c r="AB32" s="134">
        <v>0</v>
      </c>
      <c r="AC32" s="136">
        <v>0</v>
      </c>
      <c r="AE32" s="22">
        <v>0</v>
      </c>
      <c r="AF32" s="65"/>
      <c r="AG32" s="35">
        <v>0</v>
      </c>
      <c r="AH32" s="36">
        <v>0</v>
      </c>
      <c r="AI32" s="37"/>
      <c r="AJ32" s="35" t="s">
        <v>3</v>
      </c>
      <c r="AK32" s="36" t="s">
        <v>3</v>
      </c>
      <c r="AL32" s="35" t="s">
        <v>3</v>
      </c>
      <c r="AM32" s="36" t="s">
        <v>3</v>
      </c>
      <c r="AN32" s="37" t="s">
        <v>3</v>
      </c>
      <c r="AO32" s="36" t="s">
        <v>3</v>
      </c>
      <c r="AP32" s="37"/>
      <c r="AQ32" s="35">
        <v>33</v>
      </c>
      <c r="AR32" s="36">
        <v>31.200000000000003</v>
      </c>
      <c r="AS32" s="35">
        <v>33</v>
      </c>
      <c r="AT32" s="36">
        <v>31.200000000000003</v>
      </c>
      <c r="AU32" s="37">
        <v>64</v>
      </c>
      <c r="AV32" s="36">
        <v>0</v>
      </c>
      <c r="AW32" s="37">
        <v>64</v>
      </c>
      <c r="AX32" s="36">
        <v>0</v>
      </c>
      <c r="AY32" s="37">
        <v>64</v>
      </c>
      <c r="AZ32" s="36">
        <v>0</v>
      </c>
    </row>
    <row r="33" spans="1:52">
      <c r="A33" s="196" t="s">
        <v>1190</v>
      </c>
      <c r="B33" s="41" t="s">
        <v>21</v>
      </c>
      <c r="C33" s="211" t="s">
        <v>676</v>
      </c>
      <c r="D33" s="41">
        <v>70</v>
      </c>
      <c r="E33" s="41">
        <v>1.1000000000000001</v>
      </c>
      <c r="F33" s="22" t="s">
        <v>507</v>
      </c>
      <c r="G33" s="41">
        <v>24</v>
      </c>
      <c r="H33" s="80">
        <v>69.421487603305792</v>
      </c>
      <c r="I33" s="228"/>
      <c r="J33" s="35" t="s">
        <v>3</v>
      </c>
      <c r="K33" s="36" t="s">
        <v>3</v>
      </c>
      <c r="L33" s="498" t="s">
        <v>1210</v>
      </c>
      <c r="M33" s="135" t="s">
        <v>3</v>
      </c>
      <c r="N33" s="134" t="s">
        <v>3</v>
      </c>
      <c r="O33" s="135" t="s">
        <v>3</v>
      </c>
      <c r="P33" s="136" t="s">
        <v>3</v>
      </c>
      <c r="Q33" s="134" t="s">
        <v>3</v>
      </c>
      <c r="R33" s="136" t="s">
        <v>3</v>
      </c>
      <c r="S33" s="37"/>
      <c r="T33" s="135">
        <v>0</v>
      </c>
      <c r="U33" s="134">
        <v>0.9</v>
      </c>
      <c r="V33" s="135">
        <v>0</v>
      </c>
      <c r="W33" s="134">
        <v>0.9</v>
      </c>
      <c r="X33" s="135">
        <v>0</v>
      </c>
      <c r="Y33" s="136">
        <v>0</v>
      </c>
      <c r="Z33" s="135">
        <v>0</v>
      </c>
      <c r="AA33" s="136">
        <v>0</v>
      </c>
      <c r="AB33" s="134">
        <v>0</v>
      </c>
      <c r="AC33" s="136">
        <v>0</v>
      </c>
      <c r="AE33" s="22">
        <v>1</v>
      </c>
      <c r="AF33" s="65"/>
      <c r="AG33" s="35">
        <v>0</v>
      </c>
      <c r="AH33" s="36">
        <v>0</v>
      </c>
      <c r="AI33" s="37"/>
      <c r="AJ33" s="35" t="s">
        <v>3</v>
      </c>
      <c r="AK33" s="36" t="s">
        <v>3</v>
      </c>
      <c r="AL33" s="35" t="s">
        <v>3</v>
      </c>
      <c r="AM33" s="36" t="s">
        <v>3</v>
      </c>
      <c r="AN33" s="35" t="s">
        <v>3</v>
      </c>
      <c r="AO33" s="36" t="s">
        <v>3</v>
      </c>
      <c r="AP33" s="37"/>
      <c r="AQ33" s="35">
        <v>48</v>
      </c>
      <c r="AR33" s="36">
        <v>21.6</v>
      </c>
      <c r="AS33" s="35">
        <v>48</v>
      </c>
      <c r="AT33" s="36">
        <v>21.6</v>
      </c>
      <c r="AU33" s="35">
        <v>70</v>
      </c>
      <c r="AV33" s="36">
        <v>0</v>
      </c>
      <c r="AW33" s="35">
        <v>70</v>
      </c>
      <c r="AX33" s="36">
        <v>0</v>
      </c>
      <c r="AY33" s="35">
        <v>70</v>
      </c>
      <c r="AZ33" s="36">
        <v>0</v>
      </c>
    </row>
    <row r="34" spans="1:52">
      <c r="A34" s="196" t="s">
        <v>1191</v>
      </c>
      <c r="B34" s="41" t="s">
        <v>21</v>
      </c>
      <c r="C34" s="211" t="s">
        <v>402</v>
      </c>
      <c r="D34" s="41">
        <v>137</v>
      </c>
      <c r="E34" s="41">
        <v>1.1000000000000001</v>
      </c>
      <c r="F34" s="22" t="s">
        <v>507</v>
      </c>
      <c r="G34" s="40">
        <v>24</v>
      </c>
      <c r="H34" s="80">
        <v>152.06611570247935</v>
      </c>
      <c r="I34" s="228"/>
      <c r="J34" s="35" t="s">
        <v>3</v>
      </c>
      <c r="K34" s="36" t="s">
        <v>3</v>
      </c>
      <c r="L34" s="498" t="s">
        <v>1210</v>
      </c>
      <c r="M34" s="135" t="s">
        <v>3</v>
      </c>
      <c r="N34" s="134" t="s">
        <v>3</v>
      </c>
      <c r="O34" s="135" t="s">
        <v>3</v>
      </c>
      <c r="P34" s="136" t="s">
        <v>3</v>
      </c>
      <c r="Q34" s="134" t="s">
        <v>3</v>
      </c>
      <c r="R34" s="136" t="s">
        <v>3</v>
      </c>
      <c r="S34" s="37"/>
      <c r="T34" s="135">
        <v>0</v>
      </c>
      <c r="U34" s="134">
        <v>5.2</v>
      </c>
      <c r="V34" s="135">
        <v>0</v>
      </c>
      <c r="W34" s="134">
        <v>4.2</v>
      </c>
      <c r="X34" s="135">
        <v>0</v>
      </c>
      <c r="Y34" s="136">
        <v>2</v>
      </c>
      <c r="Z34" s="135">
        <v>0</v>
      </c>
      <c r="AA34" s="136">
        <v>2</v>
      </c>
      <c r="AB34" s="134">
        <v>0</v>
      </c>
      <c r="AC34" s="136">
        <v>2</v>
      </c>
      <c r="AE34" s="22">
        <v>-15</v>
      </c>
      <c r="AF34" s="65"/>
      <c r="AG34" s="35">
        <v>0</v>
      </c>
      <c r="AH34" s="36">
        <v>0</v>
      </c>
      <c r="AI34" s="37"/>
      <c r="AJ34" s="35" t="s">
        <v>3</v>
      </c>
      <c r="AK34" s="36" t="s">
        <v>3</v>
      </c>
      <c r="AL34" s="35" t="s">
        <v>3</v>
      </c>
      <c r="AM34" s="36" t="s">
        <v>3</v>
      </c>
      <c r="AN34" s="37" t="s">
        <v>3</v>
      </c>
      <c r="AO34" s="36" t="s">
        <v>3</v>
      </c>
      <c r="AP34" s="37"/>
      <c r="AQ34" s="35">
        <v>12</v>
      </c>
      <c r="AR34" s="36">
        <v>124.80000000000001</v>
      </c>
      <c r="AS34" s="35">
        <v>36</v>
      </c>
      <c r="AT34" s="36">
        <v>100.80000000000001</v>
      </c>
      <c r="AU34" s="37">
        <v>89</v>
      </c>
      <c r="AV34" s="36">
        <v>48</v>
      </c>
      <c r="AW34" s="37">
        <v>89</v>
      </c>
      <c r="AX34" s="36">
        <v>48</v>
      </c>
      <c r="AY34" s="37">
        <v>89</v>
      </c>
      <c r="AZ34" s="36">
        <v>48</v>
      </c>
    </row>
    <row r="35" spans="1:52">
      <c r="A35" s="196" t="s">
        <v>1207</v>
      </c>
      <c r="B35" s="41" t="s">
        <v>21</v>
      </c>
      <c r="C35" s="211" t="s">
        <v>726</v>
      </c>
      <c r="D35" s="41">
        <v>115</v>
      </c>
      <c r="E35" s="41">
        <v>1.1000000000000001</v>
      </c>
      <c r="F35" s="22" t="s">
        <v>507</v>
      </c>
      <c r="G35" s="41">
        <v>24</v>
      </c>
      <c r="H35" s="80">
        <v>0</v>
      </c>
      <c r="I35" s="228"/>
      <c r="J35" s="35" t="s">
        <v>3</v>
      </c>
      <c r="K35" s="36" t="s">
        <v>3</v>
      </c>
      <c r="L35" s="498" t="s">
        <v>1210</v>
      </c>
      <c r="M35" s="135" t="s">
        <v>3</v>
      </c>
      <c r="N35" s="134" t="s">
        <v>3</v>
      </c>
      <c r="O35" s="135" t="s">
        <v>3</v>
      </c>
      <c r="P35" s="136" t="s">
        <v>3</v>
      </c>
      <c r="Q35" s="134" t="s">
        <v>3</v>
      </c>
      <c r="R35" s="136" t="s">
        <v>3</v>
      </c>
      <c r="S35" s="37"/>
      <c r="T35" s="135">
        <v>0</v>
      </c>
      <c r="U35" s="134">
        <v>2</v>
      </c>
      <c r="V35" s="135">
        <v>0</v>
      </c>
      <c r="W35" s="134">
        <v>2</v>
      </c>
      <c r="X35" s="135">
        <v>0</v>
      </c>
      <c r="Y35" s="136">
        <v>2</v>
      </c>
      <c r="Z35" s="135">
        <v>0</v>
      </c>
      <c r="AA35" s="136">
        <v>2</v>
      </c>
      <c r="AB35" s="134">
        <v>0</v>
      </c>
      <c r="AC35" s="136">
        <v>2</v>
      </c>
      <c r="AE35" s="22">
        <v>115</v>
      </c>
      <c r="AF35" s="65"/>
      <c r="AG35" s="35">
        <v>0</v>
      </c>
      <c r="AH35" s="36">
        <v>0</v>
      </c>
      <c r="AI35" s="37"/>
      <c r="AJ35" s="35" t="s">
        <v>3</v>
      </c>
      <c r="AK35" s="36" t="s">
        <v>3</v>
      </c>
      <c r="AL35" s="35" t="s">
        <v>3</v>
      </c>
      <c r="AM35" s="36" t="s">
        <v>3</v>
      </c>
      <c r="AN35" s="35" t="s">
        <v>3</v>
      </c>
      <c r="AO35" s="36" t="s">
        <v>3</v>
      </c>
      <c r="AP35" s="37"/>
      <c r="AQ35" s="35">
        <v>67</v>
      </c>
      <c r="AR35" s="36">
        <v>48</v>
      </c>
      <c r="AS35" s="35">
        <v>67</v>
      </c>
      <c r="AT35" s="36">
        <v>48</v>
      </c>
      <c r="AU35" s="35">
        <v>67</v>
      </c>
      <c r="AV35" s="36">
        <v>48</v>
      </c>
      <c r="AW35" s="35">
        <v>67</v>
      </c>
      <c r="AX35" s="36">
        <v>48</v>
      </c>
      <c r="AY35" s="35">
        <v>67</v>
      </c>
      <c r="AZ35" s="36">
        <v>48</v>
      </c>
    </row>
    <row r="36" spans="1:52">
      <c r="A36" s="196" t="s">
        <v>796</v>
      </c>
      <c r="B36" s="41" t="s">
        <v>675</v>
      </c>
      <c r="C36" s="211" t="s">
        <v>508</v>
      </c>
      <c r="D36" s="41">
        <v>64</v>
      </c>
      <c r="E36" s="41">
        <v>1.1000000000000001</v>
      </c>
      <c r="F36" s="22" t="s">
        <v>227</v>
      </c>
      <c r="G36" s="413">
        <v>24</v>
      </c>
      <c r="H36" s="80">
        <v>63.63636363636364</v>
      </c>
      <c r="I36" s="228"/>
      <c r="J36" s="35" t="s">
        <v>3</v>
      </c>
      <c r="K36" s="36" t="s">
        <v>3</v>
      </c>
      <c r="L36" s="498" t="s">
        <v>1210</v>
      </c>
      <c r="M36" s="135">
        <v>0</v>
      </c>
      <c r="N36" s="134">
        <v>2.1</v>
      </c>
      <c r="O36" s="135">
        <v>0</v>
      </c>
      <c r="P36" s="136">
        <v>0.30000000000000004</v>
      </c>
      <c r="Q36" s="134">
        <v>0</v>
      </c>
      <c r="R36" s="136">
        <v>0.30000000000000004</v>
      </c>
      <c r="S36" s="37"/>
      <c r="T36" s="135">
        <v>0</v>
      </c>
      <c r="U36" s="134">
        <v>0.5</v>
      </c>
      <c r="V36" s="135">
        <v>0</v>
      </c>
      <c r="W36" s="134">
        <v>0.5</v>
      </c>
      <c r="X36" s="135">
        <v>0</v>
      </c>
      <c r="Y36" s="136">
        <v>0.5</v>
      </c>
      <c r="Z36" s="409">
        <v>0</v>
      </c>
      <c r="AA36" s="410">
        <v>0.4</v>
      </c>
      <c r="AB36" s="356">
        <v>0</v>
      </c>
      <c r="AC36" s="410">
        <v>0.4</v>
      </c>
      <c r="AE36" s="80">
        <v>0</v>
      </c>
      <c r="AF36" s="65"/>
      <c r="AG36" s="35">
        <v>0</v>
      </c>
      <c r="AH36" s="36">
        <v>0</v>
      </c>
      <c r="AI36" s="37"/>
      <c r="AJ36" s="35">
        <v>14</v>
      </c>
      <c r="AK36" s="36">
        <v>50.400000000000006</v>
      </c>
      <c r="AL36" s="35">
        <v>57</v>
      </c>
      <c r="AM36" s="36">
        <v>7.2000000000000011</v>
      </c>
      <c r="AN36" s="37">
        <v>57</v>
      </c>
      <c r="AO36" s="36">
        <v>7.2000000000000011</v>
      </c>
      <c r="AP36" s="37"/>
      <c r="AQ36" s="35">
        <v>52</v>
      </c>
      <c r="AR36" s="36">
        <v>12</v>
      </c>
      <c r="AS36" s="35">
        <v>52</v>
      </c>
      <c r="AT36" s="36">
        <v>12</v>
      </c>
      <c r="AU36" s="37">
        <v>52</v>
      </c>
      <c r="AV36" s="36">
        <v>12</v>
      </c>
      <c r="AW36" s="395">
        <v>54</v>
      </c>
      <c r="AX36" s="394">
        <v>9.6000000000000014</v>
      </c>
      <c r="AY36" s="395">
        <v>54</v>
      </c>
      <c r="AZ36" s="394">
        <v>9.6000000000000014</v>
      </c>
    </row>
    <row r="37" spans="1:52">
      <c r="A37" s="196" t="s">
        <v>797</v>
      </c>
      <c r="B37" s="41" t="s">
        <v>675</v>
      </c>
      <c r="C37" s="211" t="s">
        <v>612</v>
      </c>
      <c r="D37" s="41">
        <v>77</v>
      </c>
      <c r="E37" s="41">
        <v>1.1000000000000001</v>
      </c>
      <c r="F37" s="22" t="s">
        <v>227</v>
      </c>
      <c r="G37" s="40">
        <v>24</v>
      </c>
      <c r="H37" s="80">
        <v>76.859504132231407</v>
      </c>
      <c r="I37" s="228"/>
      <c r="J37" s="35" t="s">
        <v>3</v>
      </c>
      <c r="K37" s="36" t="s">
        <v>3</v>
      </c>
      <c r="L37" s="498" t="s">
        <v>1210</v>
      </c>
      <c r="M37" s="135">
        <v>0</v>
      </c>
      <c r="N37" s="134">
        <v>2.5</v>
      </c>
      <c r="O37" s="135">
        <v>0</v>
      </c>
      <c r="P37" s="136">
        <v>0.30000000000000004</v>
      </c>
      <c r="Q37" s="134">
        <v>0</v>
      </c>
      <c r="R37" s="136">
        <v>0.30000000000000004</v>
      </c>
      <c r="S37" s="37"/>
      <c r="T37" s="135">
        <v>0</v>
      </c>
      <c r="U37" s="134">
        <v>2.9000000000000004</v>
      </c>
      <c r="V37" s="135">
        <v>0</v>
      </c>
      <c r="W37" s="134">
        <v>0.9</v>
      </c>
      <c r="X37" s="135">
        <v>0</v>
      </c>
      <c r="Y37" s="136">
        <v>0.9</v>
      </c>
      <c r="Z37" s="135">
        <v>0</v>
      </c>
      <c r="AA37" s="136">
        <v>0.8</v>
      </c>
      <c r="AB37" s="134">
        <v>0</v>
      </c>
      <c r="AC37" s="136">
        <v>0.8</v>
      </c>
      <c r="AE37" s="22">
        <v>0</v>
      </c>
      <c r="AF37" s="65"/>
      <c r="AG37" s="35">
        <v>0</v>
      </c>
      <c r="AH37" s="36">
        <v>0</v>
      </c>
      <c r="AI37" s="37"/>
      <c r="AJ37" s="35">
        <v>17</v>
      </c>
      <c r="AK37" s="36">
        <v>60</v>
      </c>
      <c r="AL37" s="35">
        <v>70</v>
      </c>
      <c r="AM37" s="36">
        <v>7.2000000000000011</v>
      </c>
      <c r="AN37" s="35">
        <v>70</v>
      </c>
      <c r="AO37" s="36">
        <v>7.2000000000000011</v>
      </c>
      <c r="AP37" s="37"/>
      <c r="AQ37" s="35">
        <v>7</v>
      </c>
      <c r="AR37" s="36">
        <v>69.600000000000009</v>
      </c>
      <c r="AS37" s="35">
        <v>55</v>
      </c>
      <c r="AT37" s="36">
        <v>21.6</v>
      </c>
      <c r="AU37" s="35">
        <v>55</v>
      </c>
      <c r="AV37" s="36">
        <v>21.6</v>
      </c>
      <c r="AW37" s="35">
        <v>58</v>
      </c>
      <c r="AX37" s="36">
        <v>19.200000000000003</v>
      </c>
      <c r="AY37" s="35">
        <v>58</v>
      </c>
      <c r="AZ37" s="36">
        <v>19.200000000000003</v>
      </c>
    </row>
    <row r="38" spans="1:52">
      <c r="A38" s="196" t="s">
        <v>798</v>
      </c>
      <c r="B38" s="41" t="s">
        <v>673</v>
      </c>
      <c r="C38" s="211" t="s">
        <v>560</v>
      </c>
      <c r="D38" s="41">
        <v>49</v>
      </c>
      <c r="E38" s="41">
        <v>1.1000000000000001</v>
      </c>
      <c r="F38" s="22" t="s">
        <v>227</v>
      </c>
      <c r="G38" s="413">
        <v>24</v>
      </c>
      <c r="H38" s="80">
        <v>47.107438016528924</v>
      </c>
      <c r="I38" s="228"/>
      <c r="J38" s="35" t="s">
        <v>3</v>
      </c>
      <c r="K38" s="36" t="s">
        <v>3</v>
      </c>
      <c r="L38" s="498" t="s">
        <v>1210</v>
      </c>
      <c r="M38" s="135">
        <v>0</v>
      </c>
      <c r="N38" s="134">
        <v>1.5</v>
      </c>
      <c r="O38" s="135">
        <v>0</v>
      </c>
      <c r="P38" s="136">
        <v>0.30000000000000004</v>
      </c>
      <c r="Q38" s="134">
        <v>0</v>
      </c>
      <c r="R38" s="136">
        <v>0.30000000000000004</v>
      </c>
      <c r="S38" s="37"/>
      <c r="T38" s="135">
        <v>0</v>
      </c>
      <c r="U38" s="134">
        <v>0.9</v>
      </c>
      <c r="V38" s="135">
        <v>0</v>
      </c>
      <c r="W38" s="134">
        <v>0.9</v>
      </c>
      <c r="X38" s="135">
        <v>0</v>
      </c>
      <c r="Y38" s="136">
        <v>0.9</v>
      </c>
      <c r="Z38" s="135">
        <v>0</v>
      </c>
      <c r="AA38" s="136">
        <v>0.8</v>
      </c>
      <c r="AB38" s="134">
        <v>0</v>
      </c>
      <c r="AC38" s="136">
        <v>0.8</v>
      </c>
      <c r="AE38" s="22">
        <v>2</v>
      </c>
      <c r="AF38" s="65"/>
      <c r="AG38" s="35">
        <v>0</v>
      </c>
      <c r="AH38" s="36">
        <v>0</v>
      </c>
      <c r="AI38" s="37"/>
      <c r="AJ38" s="35">
        <v>13</v>
      </c>
      <c r="AK38" s="36">
        <v>36</v>
      </c>
      <c r="AL38" s="35">
        <v>42</v>
      </c>
      <c r="AM38" s="36">
        <v>7.2000000000000011</v>
      </c>
      <c r="AN38" s="37">
        <v>42</v>
      </c>
      <c r="AO38" s="36">
        <v>7.2000000000000011</v>
      </c>
      <c r="AP38" s="37"/>
      <c r="AQ38" s="35">
        <v>27</v>
      </c>
      <c r="AR38" s="36">
        <v>21.6</v>
      </c>
      <c r="AS38" s="35">
        <v>27</v>
      </c>
      <c r="AT38" s="36">
        <v>21.6</v>
      </c>
      <c r="AU38" s="37">
        <v>27</v>
      </c>
      <c r="AV38" s="36">
        <v>21.6</v>
      </c>
      <c r="AW38" s="37">
        <v>30</v>
      </c>
      <c r="AX38" s="36">
        <v>19.200000000000003</v>
      </c>
      <c r="AY38" s="37">
        <v>30</v>
      </c>
      <c r="AZ38" s="36">
        <v>19.200000000000003</v>
      </c>
    </row>
    <row r="39" spans="1:52">
      <c r="A39" s="196" t="s">
        <v>799</v>
      </c>
      <c r="B39" s="41" t="s">
        <v>673</v>
      </c>
      <c r="C39" s="211" t="s">
        <v>571</v>
      </c>
      <c r="D39" s="41">
        <v>60</v>
      </c>
      <c r="E39" s="41">
        <v>1.1000000000000001</v>
      </c>
      <c r="F39" s="22" t="s">
        <v>227</v>
      </c>
      <c r="G39" s="40">
        <v>24</v>
      </c>
      <c r="H39" s="80">
        <v>59.504132231404959</v>
      </c>
      <c r="I39" s="228"/>
      <c r="J39" s="35" t="s">
        <v>3</v>
      </c>
      <c r="K39" s="36" t="s">
        <v>3</v>
      </c>
      <c r="L39" s="498" t="s">
        <v>1210</v>
      </c>
      <c r="M39" s="135">
        <v>0</v>
      </c>
      <c r="N39" s="134">
        <v>1.9000000000000001</v>
      </c>
      <c r="O39" s="135">
        <v>0</v>
      </c>
      <c r="P39" s="136">
        <v>0.30000000000000004</v>
      </c>
      <c r="Q39" s="134">
        <v>0</v>
      </c>
      <c r="R39" s="136">
        <v>0.30000000000000004</v>
      </c>
      <c r="S39" s="37"/>
      <c r="T39" s="135">
        <v>0</v>
      </c>
      <c r="U39" s="134">
        <v>0.9</v>
      </c>
      <c r="V39" s="135">
        <v>0</v>
      </c>
      <c r="W39" s="134">
        <v>0.9</v>
      </c>
      <c r="X39" s="135">
        <v>0</v>
      </c>
      <c r="Y39" s="136">
        <v>0.9</v>
      </c>
      <c r="Z39" s="135">
        <v>0</v>
      </c>
      <c r="AA39" s="136">
        <v>0.8</v>
      </c>
      <c r="AB39" s="134">
        <v>0</v>
      </c>
      <c r="AC39" s="136">
        <v>0.8</v>
      </c>
      <c r="AE39" s="22">
        <v>0</v>
      </c>
      <c r="AF39" s="65"/>
      <c r="AG39" s="35">
        <v>0</v>
      </c>
      <c r="AH39" s="36">
        <v>0</v>
      </c>
      <c r="AI39" s="37"/>
      <c r="AJ39" s="35">
        <v>14</v>
      </c>
      <c r="AK39" s="36">
        <v>45.6</v>
      </c>
      <c r="AL39" s="35">
        <v>53</v>
      </c>
      <c r="AM39" s="36">
        <v>7.2000000000000011</v>
      </c>
      <c r="AN39" s="35">
        <v>53</v>
      </c>
      <c r="AO39" s="36">
        <v>7.2000000000000011</v>
      </c>
      <c r="AP39" s="37"/>
      <c r="AQ39" s="35">
        <v>38</v>
      </c>
      <c r="AR39" s="36">
        <v>21.6</v>
      </c>
      <c r="AS39" s="35">
        <v>38</v>
      </c>
      <c r="AT39" s="36">
        <v>21.6</v>
      </c>
      <c r="AU39" s="35">
        <v>38</v>
      </c>
      <c r="AV39" s="36">
        <v>21.6</v>
      </c>
      <c r="AW39" s="35">
        <v>41</v>
      </c>
      <c r="AX39" s="36">
        <v>19.200000000000003</v>
      </c>
      <c r="AY39" s="35">
        <v>41</v>
      </c>
      <c r="AZ39" s="36">
        <v>19.200000000000003</v>
      </c>
    </row>
    <row r="40" spans="1:52">
      <c r="A40" s="196" t="s">
        <v>832</v>
      </c>
      <c r="B40" s="41" t="s">
        <v>670</v>
      </c>
      <c r="C40" s="211" t="s">
        <v>628</v>
      </c>
      <c r="D40" s="41">
        <v>309</v>
      </c>
      <c r="E40" s="41">
        <v>3.25</v>
      </c>
      <c r="F40" s="22" t="s">
        <v>387</v>
      </c>
      <c r="G40" s="413">
        <v>24</v>
      </c>
      <c r="H40" s="80">
        <v>240.49586776859505</v>
      </c>
      <c r="I40" s="228"/>
      <c r="J40" s="35" t="s">
        <v>3</v>
      </c>
      <c r="K40" s="36" t="s">
        <v>3</v>
      </c>
      <c r="L40" s="498" t="s">
        <v>1210</v>
      </c>
      <c r="M40" s="135" t="s">
        <v>3</v>
      </c>
      <c r="N40" s="134" t="s">
        <v>3</v>
      </c>
      <c r="O40" s="135" t="s">
        <v>3</v>
      </c>
      <c r="P40" s="136" t="s">
        <v>3</v>
      </c>
      <c r="Q40" s="134" t="s">
        <v>3</v>
      </c>
      <c r="R40" s="136" t="s">
        <v>3</v>
      </c>
      <c r="S40" s="37"/>
      <c r="T40" s="135">
        <v>0</v>
      </c>
      <c r="U40" s="134">
        <v>8.1</v>
      </c>
      <c r="V40" s="135">
        <v>0</v>
      </c>
      <c r="W40" s="134">
        <v>4.2</v>
      </c>
      <c r="X40" s="135">
        <v>0</v>
      </c>
      <c r="Y40" s="136">
        <v>2</v>
      </c>
      <c r="Z40" s="135">
        <v>0</v>
      </c>
      <c r="AA40" s="136">
        <v>2</v>
      </c>
      <c r="AB40" s="134">
        <v>0</v>
      </c>
      <c r="AC40" s="136">
        <v>2</v>
      </c>
      <c r="AE40" s="22">
        <v>69</v>
      </c>
      <c r="AF40" s="65"/>
      <c r="AG40" s="35">
        <v>0</v>
      </c>
      <c r="AH40" s="36">
        <v>0</v>
      </c>
      <c r="AI40" s="37"/>
      <c r="AJ40" s="35" t="s">
        <v>3</v>
      </c>
      <c r="AK40" s="36" t="s">
        <v>3</v>
      </c>
      <c r="AL40" s="35" t="s">
        <v>3</v>
      </c>
      <c r="AM40" s="36" t="s">
        <v>3</v>
      </c>
      <c r="AN40" s="37" t="s">
        <v>3</v>
      </c>
      <c r="AO40" s="36" t="s">
        <v>3</v>
      </c>
      <c r="AP40" s="37"/>
      <c r="AQ40" s="35">
        <v>115</v>
      </c>
      <c r="AR40" s="36">
        <v>194.39999999999998</v>
      </c>
      <c r="AS40" s="35">
        <v>208</v>
      </c>
      <c r="AT40" s="36">
        <v>100.80000000000001</v>
      </c>
      <c r="AU40" s="37">
        <v>261</v>
      </c>
      <c r="AV40" s="36">
        <v>48</v>
      </c>
      <c r="AW40" s="37">
        <v>261</v>
      </c>
      <c r="AX40" s="36">
        <v>48</v>
      </c>
      <c r="AY40" s="37">
        <v>261</v>
      </c>
      <c r="AZ40" s="36">
        <v>48</v>
      </c>
    </row>
    <row r="41" spans="1:52">
      <c r="A41" s="196" t="s">
        <v>833</v>
      </c>
      <c r="B41" s="41" t="s">
        <v>670</v>
      </c>
      <c r="C41" s="211" t="s">
        <v>628</v>
      </c>
      <c r="D41" s="41">
        <v>309</v>
      </c>
      <c r="E41" s="41">
        <v>3.25</v>
      </c>
      <c r="F41" s="22" t="s">
        <v>387</v>
      </c>
      <c r="G41" s="40">
        <v>30</v>
      </c>
      <c r="H41" s="80">
        <v>240.49586776859505</v>
      </c>
      <c r="I41" s="228"/>
      <c r="J41" s="35" t="s">
        <v>3</v>
      </c>
      <c r="K41" s="36" t="s">
        <v>3</v>
      </c>
      <c r="L41" s="498" t="s">
        <v>1210</v>
      </c>
      <c r="M41" s="135" t="s">
        <v>3</v>
      </c>
      <c r="N41" s="134" t="s">
        <v>3</v>
      </c>
      <c r="O41" s="135" t="s">
        <v>3</v>
      </c>
      <c r="P41" s="136" t="s">
        <v>3</v>
      </c>
      <c r="Q41" s="134" t="s">
        <v>3</v>
      </c>
      <c r="R41" s="136" t="s">
        <v>3</v>
      </c>
      <c r="S41" s="37"/>
      <c r="T41" s="135">
        <v>0</v>
      </c>
      <c r="U41" s="134">
        <v>6.5</v>
      </c>
      <c r="V41" s="135">
        <v>0</v>
      </c>
      <c r="W41" s="134">
        <v>3.4000000000000004</v>
      </c>
      <c r="X41" s="135">
        <v>0</v>
      </c>
      <c r="Y41" s="136">
        <v>1.6</v>
      </c>
      <c r="Z41" s="135">
        <v>0</v>
      </c>
      <c r="AA41" s="136">
        <v>1.6</v>
      </c>
      <c r="AB41" s="134">
        <v>0</v>
      </c>
      <c r="AC41" s="136">
        <v>1.6</v>
      </c>
      <c r="AE41" s="22">
        <v>69</v>
      </c>
      <c r="AF41" s="65"/>
      <c r="AG41" s="35">
        <v>0</v>
      </c>
      <c r="AH41" s="36">
        <v>0</v>
      </c>
      <c r="AI41" s="37"/>
      <c r="AJ41" s="35" t="s">
        <v>3</v>
      </c>
      <c r="AK41" s="36" t="s">
        <v>3</v>
      </c>
      <c r="AL41" s="35" t="s">
        <v>3</v>
      </c>
      <c r="AM41" s="36" t="s">
        <v>3</v>
      </c>
      <c r="AN41" s="35" t="s">
        <v>3</v>
      </c>
      <c r="AO41" s="36" t="s">
        <v>3</v>
      </c>
      <c r="AP41" s="37"/>
      <c r="AQ41" s="35">
        <v>114</v>
      </c>
      <c r="AR41" s="36">
        <v>195</v>
      </c>
      <c r="AS41" s="35">
        <v>207</v>
      </c>
      <c r="AT41" s="36">
        <v>102.00000000000001</v>
      </c>
      <c r="AU41" s="35">
        <v>261</v>
      </c>
      <c r="AV41" s="36">
        <v>48</v>
      </c>
      <c r="AW41" s="35">
        <v>261</v>
      </c>
      <c r="AX41" s="36">
        <v>48</v>
      </c>
      <c r="AY41" s="35">
        <v>261</v>
      </c>
      <c r="AZ41" s="36">
        <v>48</v>
      </c>
    </row>
    <row r="42" spans="1:52">
      <c r="A42" s="196" t="s">
        <v>836</v>
      </c>
      <c r="B42" s="41" t="s">
        <v>670</v>
      </c>
      <c r="C42" s="211" t="s">
        <v>703</v>
      </c>
      <c r="D42" s="41">
        <v>181</v>
      </c>
      <c r="E42" s="41">
        <v>3.25</v>
      </c>
      <c r="F42" s="22" t="s">
        <v>387</v>
      </c>
      <c r="G42" s="413">
        <v>24</v>
      </c>
      <c r="H42" s="80">
        <v>110.74380165289257</v>
      </c>
      <c r="I42" s="228"/>
      <c r="J42" s="35" t="s">
        <v>3</v>
      </c>
      <c r="K42" s="36" t="s">
        <v>3</v>
      </c>
      <c r="L42" s="498" t="s">
        <v>1210</v>
      </c>
      <c r="M42" s="135">
        <v>0</v>
      </c>
      <c r="N42" s="134">
        <v>4</v>
      </c>
      <c r="O42" s="135">
        <v>0</v>
      </c>
      <c r="P42" s="136">
        <v>1.1000000000000001</v>
      </c>
      <c r="Q42" s="134">
        <v>0</v>
      </c>
      <c r="R42" s="136">
        <v>0.5</v>
      </c>
      <c r="S42" s="37"/>
      <c r="T42" s="135">
        <v>0</v>
      </c>
      <c r="U42" s="134">
        <v>4.2</v>
      </c>
      <c r="V42" s="135">
        <v>0</v>
      </c>
      <c r="W42" s="134">
        <v>1.1000000000000001</v>
      </c>
      <c r="X42" s="135">
        <v>0</v>
      </c>
      <c r="Y42" s="136">
        <v>0.5</v>
      </c>
      <c r="Z42" s="135">
        <v>0</v>
      </c>
      <c r="AA42" s="136">
        <v>0.5</v>
      </c>
      <c r="AB42" s="134">
        <v>0</v>
      </c>
      <c r="AC42" s="136">
        <v>0.5</v>
      </c>
      <c r="AE42" s="22">
        <v>70</v>
      </c>
      <c r="AF42" s="65"/>
      <c r="AG42" s="35">
        <v>0</v>
      </c>
      <c r="AH42" s="36">
        <v>0</v>
      </c>
      <c r="AI42" s="37"/>
      <c r="AJ42" s="35">
        <v>85</v>
      </c>
      <c r="AK42" s="36">
        <v>96</v>
      </c>
      <c r="AL42" s="35">
        <v>155</v>
      </c>
      <c r="AM42" s="36">
        <v>26.400000000000002</v>
      </c>
      <c r="AN42" s="37">
        <v>169</v>
      </c>
      <c r="AO42" s="36">
        <v>12</v>
      </c>
      <c r="AP42" s="37"/>
      <c r="AQ42" s="35">
        <v>80</v>
      </c>
      <c r="AR42" s="36">
        <v>100.80000000000001</v>
      </c>
      <c r="AS42" s="35">
        <v>155</v>
      </c>
      <c r="AT42" s="36">
        <v>26.400000000000002</v>
      </c>
      <c r="AU42" s="37">
        <v>169</v>
      </c>
      <c r="AV42" s="36">
        <v>12</v>
      </c>
      <c r="AW42" s="37">
        <v>169</v>
      </c>
      <c r="AX42" s="36">
        <v>12</v>
      </c>
      <c r="AY42" s="37">
        <v>169</v>
      </c>
      <c r="AZ42" s="36">
        <v>12</v>
      </c>
    </row>
    <row r="43" spans="1:52">
      <c r="A43" s="196" t="s">
        <v>837</v>
      </c>
      <c r="B43" s="41" t="s">
        <v>670</v>
      </c>
      <c r="C43" s="211" t="s">
        <v>703</v>
      </c>
      <c r="D43" s="41">
        <v>181</v>
      </c>
      <c r="E43" s="41">
        <v>3.25</v>
      </c>
      <c r="F43" s="22" t="s">
        <v>387</v>
      </c>
      <c r="G43" s="40">
        <v>30</v>
      </c>
      <c r="H43" s="80">
        <v>110.74380165289257</v>
      </c>
      <c r="I43" s="228"/>
      <c r="J43" s="35" t="s">
        <v>3</v>
      </c>
      <c r="K43" s="36" t="s">
        <v>3</v>
      </c>
      <c r="L43" s="498" t="s">
        <v>1210</v>
      </c>
      <c r="M43" s="135">
        <v>0</v>
      </c>
      <c r="N43" s="134">
        <v>3.2</v>
      </c>
      <c r="O43" s="135">
        <v>0</v>
      </c>
      <c r="P43" s="136">
        <v>0.9</v>
      </c>
      <c r="Q43" s="134">
        <v>0</v>
      </c>
      <c r="R43" s="136">
        <v>0.4</v>
      </c>
      <c r="S43" s="37"/>
      <c r="T43" s="135">
        <v>0</v>
      </c>
      <c r="U43" s="134">
        <v>3.4000000000000004</v>
      </c>
      <c r="V43" s="135">
        <v>0</v>
      </c>
      <c r="W43" s="134">
        <v>0.9</v>
      </c>
      <c r="X43" s="135">
        <v>0</v>
      </c>
      <c r="Y43" s="136">
        <v>0.4</v>
      </c>
      <c r="Z43" s="135">
        <v>0</v>
      </c>
      <c r="AA43" s="136">
        <v>0.4</v>
      </c>
      <c r="AB43" s="134">
        <v>0</v>
      </c>
      <c r="AC43" s="136">
        <v>0.4</v>
      </c>
      <c r="AE43" s="22">
        <v>70</v>
      </c>
      <c r="AF43" s="65"/>
      <c r="AG43" s="35">
        <v>0</v>
      </c>
      <c r="AH43" s="36">
        <v>0</v>
      </c>
      <c r="AI43" s="37"/>
      <c r="AJ43" s="35">
        <v>85</v>
      </c>
      <c r="AK43" s="36">
        <v>96</v>
      </c>
      <c r="AL43" s="35">
        <v>154</v>
      </c>
      <c r="AM43" s="36">
        <v>27</v>
      </c>
      <c r="AN43" s="35">
        <v>169</v>
      </c>
      <c r="AO43" s="36">
        <v>12</v>
      </c>
      <c r="AP43" s="37"/>
      <c r="AQ43" s="35">
        <v>79</v>
      </c>
      <c r="AR43" s="36">
        <v>102.00000000000001</v>
      </c>
      <c r="AS43" s="35">
        <v>154</v>
      </c>
      <c r="AT43" s="36">
        <v>27</v>
      </c>
      <c r="AU43" s="35">
        <v>169</v>
      </c>
      <c r="AV43" s="36">
        <v>12</v>
      </c>
      <c r="AW43" s="35">
        <v>169</v>
      </c>
      <c r="AX43" s="36">
        <v>12</v>
      </c>
      <c r="AY43" s="35">
        <v>169</v>
      </c>
      <c r="AZ43" s="36">
        <v>12</v>
      </c>
    </row>
    <row r="44" spans="1:52">
      <c r="A44" s="196" t="s">
        <v>840</v>
      </c>
      <c r="B44" s="41" t="s">
        <v>670</v>
      </c>
      <c r="C44" s="211" t="s">
        <v>566</v>
      </c>
      <c r="D44" s="41">
        <v>358</v>
      </c>
      <c r="E44" s="41">
        <v>3.25</v>
      </c>
      <c r="F44" s="22" t="s">
        <v>387</v>
      </c>
      <c r="G44" s="413">
        <v>24</v>
      </c>
      <c r="H44" s="80">
        <v>297.52066115702479</v>
      </c>
      <c r="I44" s="228"/>
      <c r="J44" s="35" t="s">
        <v>3</v>
      </c>
      <c r="K44" s="36" t="s">
        <v>3</v>
      </c>
      <c r="L44" s="498" t="s">
        <v>1210</v>
      </c>
      <c r="M44" s="135" t="s">
        <v>3</v>
      </c>
      <c r="N44" s="134" t="s">
        <v>3</v>
      </c>
      <c r="O44" s="135" t="s">
        <v>3</v>
      </c>
      <c r="P44" s="136" t="s">
        <v>3</v>
      </c>
      <c r="Q44" s="134" t="s">
        <v>3</v>
      </c>
      <c r="R44" s="136" t="s">
        <v>3</v>
      </c>
      <c r="S44" s="37"/>
      <c r="T44" s="135">
        <v>0</v>
      </c>
      <c r="U44" s="134">
        <v>9.8000000000000007</v>
      </c>
      <c r="V44" s="135">
        <v>0</v>
      </c>
      <c r="W44" s="134">
        <v>4.2</v>
      </c>
      <c r="X44" s="135">
        <v>0</v>
      </c>
      <c r="Y44" s="136">
        <v>4.2</v>
      </c>
      <c r="Z44" s="135">
        <v>0</v>
      </c>
      <c r="AA44" s="136">
        <v>4</v>
      </c>
      <c r="AB44" s="134">
        <v>0</v>
      </c>
      <c r="AC44" s="136">
        <v>4</v>
      </c>
      <c r="AE44" s="22">
        <v>60</v>
      </c>
      <c r="AF44" s="65"/>
      <c r="AG44" s="35">
        <v>0</v>
      </c>
      <c r="AH44" s="36">
        <v>0</v>
      </c>
      <c r="AI44" s="37"/>
      <c r="AJ44" s="35" t="s">
        <v>3</v>
      </c>
      <c r="AK44" s="36" t="s">
        <v>3</v>
      </c>
      <c r="AL44" s="35" t="s">
        <v>3</v>
      </c>
      <c r="AM44" s="36" t="s">
        <v>3</v>
      </c>
      <c r="AN44" s="37" t="s">
        <v>3</v>
      </c>
      <c r="AO44" s="36" t="s">
        <v>3</v>
      </c>
      <c r="AP44" s="37"/>
      <c r="AQ44" s="35">
        <v>123</v>
      </c>
      <c r="AR44" s="36">
        <v>235.20000000000002</v>
      </c>
      <c r="AS44" s="35">
        <v>257</v>
      </c>
      <c r="AT44" s="36">
        <v>100.80000000000001</v>
      </c>
      <c r="AU44" s="37">
        <v>257</v>
      </c>
      <c r="AV44" s="36">
        <v>100.80000000000001</v>
      </c>
      <c r="AW44" s="37">
        <v>262</v>
      </c>
      <c r="AX44" s="36">
        <v>96</v>
      </c>
      <c r="AY44" s="37">
        <v>262</v>
      </c>
      <c r="AZ44" s="36">
        <v>96</v>
      </c>
    </row>
    <row r="45" spans="1:52">
      <c r="A45" s="196" t="s">
        <v>841</v>
      </c>
      <c r="B45" s="41" t="s">
        <v>670</v>
      </c>
      <c r="C45" s="211" t="s">
        <v>566</v>
      </c>
      <c r="D45" s="41">
        <v>358</v>
      </c>
      <c r="E45" s="41">
        <v>3.25</v>
      </c>
      <c r="F45" s="22" t="s">
        <v>387</v>
      </c>
      <c r="G45" s="40">
        <v>30</v>
      </c>
      <c r="H45" s="80">
        <v>297.52066115702479</v>
      </c>
      <c r="I45" s="228"/>
      <c r="J45" s="35" t="s">
        <v>3</v>
      </c>
      <c r="K45" s="36" t="s">
        <v>3</v>
      </c>
      <c r="L45" s="498" t="s">
        <v>1210</v>
      </c>
      <c r="M45" s="135" t="s">
        <v>3</v>
      </c>
      <c r="N45" s="134" t="s">
        <v>3</v>
      </c>
      <c r="O45" s="135" t="s">
        <v>3</v>
      </c>
      <c r="P45" s="136" t="s">
        <v>3</v>
      </c>
      <c r="Q45" s="134" t="s">
        <v>3</v>
      </c>
      <c r="R45" s="136" t="s">
        <v>3</v>
      </c>
      <c r="S45" s="37"/>
      <c r="T45" s="135">
        <v>0</v>
      </c>
      <c r="U45" s="134">
        <v>7.9</v>
      </c>
      <c r="V45" s="135">
        <v>0</v>
      </c>
      <c r="W45" s="134">
        <v>3.4000000000000004</v>
      </c>
      <c r="X45" s="135">
        <v>0</v>
      </c>
      <c r="Y45" s="136">
        <v>3.4000000000000004</v>
      </c>
      <c r="Z45" s="135">
        <v>0</v>
      </c>
      <c r="AA45" s="136">
        <v>3.2</v>
      </c>
      <c r="AB45" s="134">
        <v>0</v>
      </c>
      <c r="AC45" s="136">
        <v>3.2</v>
      </c>
      <c r="AE45" s="22">
        <v>60</v>
      </c>
      <c r="AF45" s="65"/>
      <c r="AG45" s="35">
        <v>0</v>
      </c>
      <c r="AH45" s="36">
        <v>0</v>
      </c>
      <c r="AI45" s="37"/>
      <c r="AJ45" s="35" t="s">
        <v>3</v>
      </c>
      <c r="AK45" s="36" t="s">
        <v>3</v>
      </c>
      <c r="AL45" s="35" t="s">
        <v>3</v>
      </c>
      <c r="AM45" s="36" t="s">
        <v>3</v>
      </c>
      <c r="AN45" s="35" t="s">
        <v>3</v>
      </c>
      <c r="AO45" s="36" t="s">
        <v>3</v>
      </c>
      <c r="AP45" s="37"/>
      <c r="AQ45" s="35">
        <v>121</v>
      </c>
      <c r="AR45" s="36">
        <v>237</v>
      </c>
      <c r="AS45" s="35">
        <v>256</v>
      </c>
      <c r="AT45" s="36">
        <v>102.00000000000001</v>
      </c>
      <c r="AU45" s="35">
        <v>256</v>
      </c>
      <c r="AV45" s="36">
        <v>102.00000000000001</v>
      </c>
      <c r="AW45" s="35">
        <v>262</v>
      </c>
      <c r="AX45" s="36">
        <v>96</v>
      </c>
      <c r="AY45" s="35">
        <v>262</v>
      </c>
      <c r="AZ45" s="36">
        <v>96</v>
      </c>
    </row>
    <row r="46" spans="1:52">
      <c r="A46" s="196" t="s">
        <v>848</v>
      </c>
      <c r="B46" s="41" t="s">
        <v>110</v>
      </c>
      <c r="C46" s="211" t="s">
        <v>721</v>
      </c>
      <c r="D46" s="41">
        <v>183</v>
      </c>
      <c r="E46" s="41">
        <v>3.25</v>
      </c>
      <c r="F46" s="22" t="s">
        <v>387</v>
      </c>
      <c r="G46" s="413">
        <v>24</v>
      </c>
      <c r="H46" s="80">
        <v>114.04958677685951</v>
      </c>
      <c r="I46" s="228"/>
      <c r="J46" s="35" t="s">
        <v>3</v>
      </c>
      <c r="K46" s="36" t="s">
        <v>3</v>
      </c>
      <c r="L46" s="498" t="s">
        <v>1210</v>
      </c>
      <c r="M46" s="135">
        <v>0</v>
      </c>
      <c r="N46" s="134">
        <v>4.2</v>
      </c>
      <c r="O46" s="135">
        <v>0</v>
      </c>
      <c r="P46" s="136">
        <v>1.5</v>
      </c>
      <c r="Q46" s="134">
        <v>0</v>
      </c>
      <c r="R46" s="136">
        <v>0.5</v>
      </c>
      <c r="S46" s="37"/>
      <c r="T46" s="135">
        <v>0</v>
      </c>
      <c r="U46" s="134">
        <v>4.6000000000000005</v>
      </c>
      <c r="V46" s="135">
        <v>0</v>
      </c>
      <c r="W46" s="134">
        <v>1.1000000000000001</v>
      </c>
      <c r="X46" s="135">
        <v>0</v>
      </c>
      <c r="Y46" s="136">
        <v>0.5</v>
      </c>
      <c r="Z46" s="135">
        <v>0</v>
      </c>
      <c r="AA46" s="136">
        <v>0.5</v>
      </c>
      <c r="AB46" s="134">
        <v>0</v>
      </c>
      <c r="AC46" s="136">
        <v>0.5</v>
      </c>
      <c r="AE46" s="22">
        <v>69</v>
      </c>
      <c r="AF46" s="65"/>
      <c r="AG46" s="35">
        <v>0</v>
      </c>
      <c r="AH46" s="36">
        <v>0</v>
      </c>
      <c r="AI46" s="37"/>
      <c r="AJ46" s="35">
        <v>82</v>
      </c>
      <c r="AK46" s="36">
        <v>100.80000000000001</v>
      </c>
      <c r="AL46" s="35">
        <v>147</v>
      </c>
      <c r="AM46" s="36">
        <v>36</v>
      </c>
      <c r="AN46" s="37">
        <v>171</v>
      </c>
      <c r="AO46" s="36">
        <v>12</v>
      </c>
      <c r="AP46" s="37"/>
      <c r="AQ46" s="35">
        <v>73</v>
      </c>
      <c r="AR46" s="36">
        <v>110.4</v>
      </c>
      <c r="AS46" s="35">
        <v>157</v>
      </c>
      <c r="AT46" s="36">
        <v>26.400000000000002</v>
      </c>
      <c r="AU46" s="37">
        <v>171</v>
      </c>
      <c r="AV46" s="36">
        <v>12</v>
      </c>
      <c r="AW46" s="37">
        <v>171</v>
      </c>
      <c r="AX46" s="36">
        <v>12</v>
      </c>
      <c r="AY46" s="37">
        <v>171</v>
      </c>
      <c r="AZ46" s="36">
        <v>12</v>
      </c>
    </row>
    <row r="47" spans="1:52">
      <c r="A47" s="196" t="s">
        <v>849</v>
      </c>
      <c r="B47" s="41" t="s">
        <v>110</v>
      </c>
      <c r="C47" s="211" t="s">
        <v>721</v>
      </c>
      <c r="D47" s="41">
        <v>183</v>
      </c>
      <c r="E47" s="41">
        <v>3.25</v>
      </c>
      <c r="F47" s="22" t="s">
        <v>387</v>
      </c>
      <c r="G47" s="40">
        <v>30</v>
      </c>
      <c r="H47" s="80">
        <v>114.04958677685951</v>
      </c>
      <c r="I47" s="228"/>
      <c r="J47" s="35" t="s">
        <v>3</v>
      </c>
      <c r="K47" s="36" t="s">
        <v>3</v>
      </c>
      <c r="L47" s="498" t="s">
        <v>1210</v>
      </c>
      <c r="M47" s="135">
        <v>0</v>
      </c>
      <c r="N47" s="134">
        <v>3.4000000000000004</v>
      </c>
      <c r="O47" s="135">
        <v>0</v>
      </c>
      <c r="P47" s="136">
        <v>1.2000000000000002</v>
      </c>
      <c r="Q47" s="134">
        <v>0</v>
      </c>
      <c r="R47" s="136">
        <v>0.4</v>
      </c>
      <c r="S47" s="37"/>
      <c r="T47" s="135">
        <v>0</v>
      </c>
      <c r="U47" s="134">
        <v>3.7</v>
      </c>
      <c r="V47" s="135">
        <v>0</v>
      </c>
      <c r="W47" s="134">
        <v>0.9</v>
      </c>
      <c r="X47" s="135">
        <v>0</v>
      </c>
      <c r="Y47" s="136">
        <v>0.4</v>
      </c>
      <c r="Z47" s="135">
        <v>0</v>
      </c>
      <c r="AA47" s="136">
        <v>0.4</v>
      </c>
      <c r="AB47" s="134">
        <v>0</v>
      </c>
      <c r="AC47" s="136">
        <v>0.4</v>
      </c>
      <c r="AE47" s="22">
        <v>69</v>
      </c>
      <c r="AF47" s="65"/>
      <c r="AG47" s="35">
        <v>0</v>
      </c>
      <c r="AH47" s="36">
        <v>0</v>
      </c>
      <c r="AI47" s="37"/>
      <c r="AJ47" s="35">
        <v>81</v>
      </c>
      <c r="AK47" s="36">
        <v>102.00000000000001</v>
      </c>
      <c r="AL47" s="35">
        <v>147</v>
      </c>
      <c r="AM47" s="36">
        <v>36.000000000000007</v>
      </c>
      <c r="AN47" s="35">
        <v>171</v>
      </c>
      <c r="AO47" s="36">
        <v>12</v>
      </c>
      <c r="AP47" s="37"/>
      <c r="AQ47" s="35">
        <v>72</v>
      </c>
      <c r="AR47" s="36">
        <v>111</v>
      </c>
      <c r="AS47" s="35">
        <v>156</v>
      </c>
      <c r="AT47" s="36">
        <v>27</v>
      </c>
      <c r="AU47" s="35">
        <v>171</v>
      </c>
      <c r="AV47" s="36">
        <v>12</v>
      </c>
      <c r="AW47" s="35">
        <v>171</v>
      </c>
      <c r="AX47" s="36">
        <v>12</v>
      </c>
      <c r="AY47" s="35">
        <v>171</v>
      </c>
      <c r="AZ47" s="36">
        <v>12</v>
      </c>
    </row>
    <row r="48" spans="1:52">
      <c r="A48" s="196" t="s">
        <v>850</v>
      </c>
      <c r="B48" s="41" t="s">
        <v>110</v>
      </c>
      <c r="C48" s="211" t="s">
        <v>722</v>
      </c>
      <c r="D48" s="41">
        <v>255</v>
      </c>
      <c r="E48" s="41">
        <v>3.25</v>
      </c>
      <c r="F48" s="22" t="s">
        <v>387</v>
      </c>
      <c r="G48" s="413">
        <v>24</v>
      </c>
      <c r="H48" s="80">
        <v>177.68595041322314</v>
      </c>
      <c r="I48" s="228"/>
      <c r="J48" s="35" t="s">
        <v>3</v>
      </c>
      <c r="K48" s="36" t="s">
        <v>3</v>
      </c>
      <c r="L48" s="498" t="s">
        <v>1210</v>
      </c>
      <c r="M48" s="135" t="s">
        <v>3</v>
      </c>
      <c r="N48" s="134" t="s">
        <v>3</v>
      </c>
      <c r="O48" s="135" t="s">
        <v>3</v>
      </c>
      <c r="P48" s="136" t="s">
        <v>3</v>
      </c>
      <c r="Q48" s="134" t="s">
        <v>3</v>
      </c>
      <c r="R48" s="136" t="s">
        <v>3</v>
      </c>
      <c r="S48" s="37"/>
      <c r="T48" s="135">
        <v>0</v>
      </c>
      <c r="U48" s="134">
        <v>6.2</v>
      </c>
      <c r="V48" s="135">
        <v>0</v>
      </c>
      <c r="W48" s="134">
        <v>2.1</v>
      </c>
      <c r="X48" s="135">
        <v>0</v>
      </c>
      <c r="Y48" s="136">
        <v>2.1</v>
      </c>
      <c r="Z48" s="135">
        <v>0</v>
      </c>
      <c r="AA48" s="136">
        <v>1.5</v>
      </c>
      <c r="AB48" s="134">
        <v>0</v>
      </c>
      <c r="AC48" s="136">
        <v>1.5</v>
      </c>
      <c r="AE48" s="22">
        <v>77</v>
      </c>
      <c r="AF48" s="65"/>
      <c r="AG48" s="35">
        <v>0</v>
      </c>
      <c r="AH48" s="36">
        <v>0</v>
      </c>
      <c r="AI48" s="37"/>
      <c r="AJ48" s="35" t="s">
        <v>3</v>
      </c>
      <c r="AK48" s="36" t="s">
        <v>3</v>
      </c>
      <c r="AL48" s="35" t="s">
        <v>3</v>
      </c>
      <c r="AM48" s="36" t="s">
        <v>3</v>
      </c>
      <c r="AN48" s="37" t="s">
        <v>3</v>
      </c>
      <c r="AO48" s="36" t="s">
        <v>3</v>
      </c>
      <c r="AP48" s="37"/>
      <c r="AQ48" s="35">
        <v>106</v>
      </c>
      <c r="AR48" s="36">
        <v>148.80000000000001</v>
      </c>
      <c r="AS48" s="35">
        <v>205</v>
      </c>
      <c r="AT48" s="36">
        <v>50.400000000000006</v>
      </c>
      <c r="AU48" s="37">
        <v>205</v>
      </c>
      <c r="AV48" s="36">
        <v>50.400000000000006</v>
      </c>
      <c r="AW48" s="37">
        <v>219</v>
      </c>
      <c r="AX48" s="36">
        <v>36</v>
      </c>
      <c r="AY48" s="37">
        <v>219</v>
      </c>
      <c r="AZ48" s="36">
        <v>36</v>
      </c>
    </row>
    <row r="49" spans="1:52">
      <c r="A49" s="196" t="s">
        <v>851</v>
      </c>
      <c r="B49" s="41" t="s">
        <v>110</v>
      </c>
      <c r="C49" s="211" t="s">
        <v>722</v>
      </c>
      <c r="D49" s="41">
        <v>255</v>
      </c>
      <c r="E49" s="41">
        <v>3.25</v>
      </c>
      <c r="F49" s="22" t="s">
        <v>387</v>
      </c>
      <c r="G49" s="40">
        <v>30</v>
      </c>
      <c r="H49" s="80">
        <v>177.68595041322314</v>
      </c>
      <c r="I49" s="228"/>
      <c r="J49" s="35" t="s">
        <v>3</v>
      </c>
      <c r="K49" s="36" t="s">
        <v>3</v>
      </c>
      <c r="L49" s="498" t="s">
        <v>1210</v>
      </c>
      <c r="M49" s="135" t="s">
        <v>3</v>
      </c>
      <c r="N49" s="134" t="s">
        <v>3</v>
      </c>
      <c r="O49" s="135" t="s">
        <v>3</v>
      </c>
      <c r="P49" s="136" t="s">
        <v>3</v>
      </c>
      <c r="Q49" s="134" t="s">
        <v>3</v>
      </c>
      <c r="R49" s="136" t="s">
        <v>3</v>
      </c>
      <c r="S49" s="37"/>
      <c r="T49" s="135">
        <v>0</v>
      </c>
      <c r="U49" s="134">
        <v>5</v>
      </c>
      <c r="V49" s="135">
        <v>0</v>
      </c>
      <c r="W49" s="134">
        <v>1.7000000000000002</v>
      </c>
      <c r="X49" s="135">
        <v>0</v>
      </c>
      <c r="Y49" s="136">
        <v>1.7000000000000002</v>
      </c>
      <c r="Z49" s="135">
        <v>0</v>
      </c>
      <c r="AA49" s="136">
        <v>1.2000000000000002</v>
      </c>
      <c r="AB49" s="134">
        <v>0</v>
      </c>
      <c r="AC49" s="136">
        <v>1.2000000000000002</v>
      </c>
      <c r="AE49" s="22">
        <v>77</v>
      </c>
      <c r="AF49" s="65"/>
      <c r="AG49" s="35">
        <v>0</v>
      </c>
      <c r="AH49" s="36">
        <v>0</v>
      </c>
      <c r="AI49" s="37"/>
      <c r="AJ49" s="35" t="s">
        <v>3</v>
      </c>
      <c r="AK49" s="36" t="s">
        <v>3</v>
      </c>
      <c r="AL49" s="35" t="s">
        <v>3</v>
      </c>
      <c r="AM49" s="36" t="s">
        <v>3</v>
      </c>
      <c r="AN49" s="35" t="s">
        <v>3</v>
      </c>
      <c r="AO49" s="36" t="s">
        <v>3</v>
      </c>
      <c r="AP49" s="37"/>
      <c r="AQ49" s="35">
        <v>105</v>
      </c>
      <c r="AR49" s="36">
        <v>150</v>
      </c>
      <c r="AS49" s="35">
        <v>204</v>
      </c>
      <c r="AT49" s="36">
        <v>51.000000000000007</v>
      </c>
      <c r="AU49" s="35">
        <v>204</v>
      </c>
      <c r="AV49" s="36">
        <v>51.000000000000007</v>
      </c>
      <c r="AW49" s="35">
        <v>219</v>
      </c>
      <c r="AX49" s="36">
        <v>36.000000000000007</v>
      </c>
      <c r="AY49" s="35">
        <v>219</v>
      </c>
      <c r="AZ49" s="36">
        <v>36.000000000000007</v>
      </c>
    </row>
    <row r="50" spans="1:52">
      <c r="A50" s="196" t="s">
        <v>852</v>
      </c>
      <c r="B50" s="41" t="s">
        <v>110</v>
      </c>
      <c r="C50" s="211" t="s">
        <v>643</v>
      </c>
      <c r="D50" s="41">
        <v>353</v>
      </c>
      <c r="E50" s="41">
        <v>3.25</v>
      </c>
      <c r="F50" s="22" t="s">
        <v>387</v>
      </c>
      <c r="G50" s="413">
        <v>24</v>
      </c>
      <c r="H50" s="80">
        <v>312.39669421487605</v>
      </c>
      <c r="I50" s="228"/>
      <c r="J50" s="35" t="s">
        <v>3</v>
      </c>
      <c r="K50" s="36" t="s">
        <v>3</v>
      </c>
      <c r="L50" s="498" t="s">
        <v>1210</v>
      </c>
      <c r="M50" s="135" t="s">
        <v>3</v>
      </c>
      <c r="N50" s="134" t="s">
        <v>3</v>
      </c>
      <c r="O50" s="135" t="s">
        <v>3</v>
      </c>
      <c r="P50" s="136" t="s">
        <v>3</v>
      </c>
      <c r="Q50" s="134" t="s">
        <v>3</v>
      </c>
      <c r="R50" s="136" t="s">
        <v>3</v>
      </c>
      <c r="S50" s="37"/>
      <c r="T50" s="135">
        <v>0</v>
      </c>
      <c r="U50" s="134">
        <v>10.4</v>
      </c>
      <c r="V50" s="135">
        <v>0</v>
      </c>
      <c r="W50" s="134">
        <v>5.2</v>
      </c>
      <c r="X50" s="135">
        <v>0</v>
      </c>
      <c r="Y50" s="136">
        <v>2</v>
      </c>
      <c r="Z50" s="135">
        <v>0</v>
      </c>
      <c r="AA50" s="136">
        <v>2</v>
      </c>
      <c r="AB50" s="134">
        <v>0</v>
      </c>
      <c r="AC50" s="136">
        <v>2</v>
      </c>
      <c r="AE50" s="22">
        <v>41</v>
      </c>
      <c r="AF50" s="65"/>
      <c r="AG50" s="35">
        <v>0</v>
      </c>
      <c r="AH50" s="36">
        <v>0</v>
      </c>
      <c r="AI50" s="37"/>
      <c r="AJ50" s="35" t="s">
        <v>3</v>
      </c>
      <c r="AK50" s="36" t="s">
        <v>3</v>
      </c>
      <c r="AL50" s="35" t="s">
        <v>3</v>
      </c>
      <c r="AM50" s="36" t="s">
        <v>3</v>
      </c>
      <c r="AN50" s="37" t="s">
        <v>3</v>
      </c>
      <c r="AO50" s="36" t="s">
        <v>3</v>
      </c>
      <c r="AP50" s="37"/>
      <c r="AQ50" s="35">
        <v>103</v>
      </c>
      <c r="AR50" s="36">
        <v>249.60000000000002</v>
      </c>
      <c r="AS50" s="35">
        <v>228</v>
      </c>
      <c r="AT50" s="36">
        <v>124.80000000000001</v>
      </c>
      <c r="AU50" s="37">
        <v>305</v>
      </c>
      <c r="AV50" s="36">
        <v>48</v>
      </c>
      <c r="AW50" s="37">
        <v>305</v>
      </c>
      <c r="AX50" s="36">
        <v>48</v>
      </c>
      <c r="AY50" s="37">
        <v>305</v>
      </c>
      <c r="AZ50" s="36">
        <v>48</v>
      </c>
    </row>
    <row r="51" spans="1:52">
      <c r="A51" s="196" t="s">
        <v>853</v>
      </c>
      <c r="B51" s="41" t="s">
        <v>110</v>
      </c>
      <c r="C51" s="211" t="s">
        <v>643</v>
      </c>
      <c r="D51" s="41">
        <v>353</v>
      </c>
      <c r="E51" s="41">
        <v>3.25</v>
      </c>
      <c r="F51" s="22" t="s">
        <v>387</v>
      </c>
      <c r="G51" s="40">
        <v>30</v>
      </c>
      <c r="H51" s="80">
        <v>312.39669421487605</v>
      </c>
      <c r="I51" s="228"/>
      <c r="J51" s="35" t="s">
        <v>3</v>
      </c>
      <c r="K51" s="36" t="s">
        <v>3</v>
      </c>
      <c r="L51" s="498" t="s">
        <v>1210</v>
      </c>
      <c r="M51" s="135" t="s">
        <v>3</v>
      </c>
      <c r="N51" s="134" t="s">
        <v>3</v>
      </c>
      <c r="O51" s="135" t="s">
        <v>3</v>
      </c>
      <c r="P51" s="136" t="s">
        <v>3</v>
      </c>
      <c r="Q51" s="134" t="s">
        <v>3</v>
      </c>
      <c r="R51" s="136" t="s">
        <v>3</v>
      </c>
      <c r="S51" s="37"/>
      <c r="T51" s="135">
        <v>0</v>
      </c>
      <c r="U51" s="134">
        <v>8.4</v>
      </c>
      <c r="V51" s="135">
        <v>0</v>
      </c>
      <c r="W51" s="134">
        <v>4.2</v>
      </c>
      <c r="X51" s="135">
        <v>0</v>
      </c>
      <c r="Y51" s="136">
        <v>1.6</v>
      </c>
      <c r="Z51" s="135">
        <v>0</v>
      </c>
      <c r="AA51" s="136">
        <v>1.6</v>
      </c>
      <c r="AB51" s="134">
        <v>0</v>
      </c>
      <c r="AC51" s="136">
        <v>1.6</v>
      </c>
      <c r="AE51" s="22">
        <v>41</v>
      </c>
      <c r="AF51" s="65"/>
      <c r="AG51" s="35">
        <v>0</v>
      </c>
      <c r="AH51" s="36">
        <v>0</v>
      </c>
      <c r="AI51" s="37"/>
      <c r="AJ51" s="35" t="s">
        <v>3</v>
      </c>
      <c r="AK51" s="36" t="s">
        <v>3</v>
      </c>
      <c r="AL51" s="35" t="s">
        <v>3</v>
      </c>
      <c r="AM51" s="36" t="s">
        <v>3</v>
      </c>
      <c r="AN51" s="35" t="s">
        <v>3</v>
      </c>
      <c r="AO51" s="36" t="s">
        <v>3</v>
      </c>
      <c r="AP51" s="37"/>
      <c r="AQ51" s="35">
        <v>101</v>
      </c>
      <c r="AR51" s="36">
        <v>252</v>
      </c>
      <c r="AS51" s="35">
        <v>227</v>
      </c>
      <c r="AT51" s="36">
        <v>126</v>
      </c>
      <c r="AU51" s="35">
        <v>305</v>
      </c>
      <c r="AV51" s="36">
        <v>48</v>
      </c>
      <c r="AW51" s="35">
        <v>305</v>
      </c>
      <c r="AX51" s="36">
        <v>48</v>
      </c>
      <c r="AY51" s="35">
        <v>305</v>
      </c>
      <c r="AZ51" s="36">
        <v>48</v>
      </c>
    </row>
    <row r="52" spans="1:52">
      <c r="A52" s="196" t="s">
        <v>856</v>
      </c>
      <c r="B52" s="41" t="s">
        <v>667</v>
      </c>
      <c r="C52" s="211" t="s">
        <v>688</v>
      </c>
      <c r="D52" s="41">
        <v>160</v>
      </c>
      <c r="E52" s="41">
        <v>3.25</v>
      </c>
      <c r="F52" s="22" t="s">
        <v>387</v>
      </c>
      <c r="G52" s="413">
        <v>24</v>
      </c>
      <c r="H52" s="80">
        <v>88.429752066115711</v>
      </c>
      <c r="I52" s="228"/>
      <c r="J52" s="35" t="s">
        <v>3</v>
      </c>
      <c r="K52" s="36" t="s">
        <v>3</v>
      </c>
      <c r="L52" s="498" t="s">
        <v>1210</v>
      </c>
      <c r="M52" s="135">
        <v>0</v>
      </c>
      <c r="N52" s="134">
        <v>3.1</v>
      </c>
      <c r="O52" s="135">
        <v>0</v>
      </c>
      <c r="P52" s="136">
        <v>0.30000000000000004</v>
      </c>
      <c r="Q52" s="134">
        <v>0</v>
      </c>
      <c r="R52" s="136">
        <v>0.30000000000000004</v>
      </c>
      <c r="S52" s="37"/>
      <c r="T52" s="135">
        <v>0</v>
      </c>
      <c r="U52" s="134">
        <v>3.4000000000000004</v>
      </c>
      <c r="V52" s="135">
        <v>0</v>
      </c>
      <c r="W52" s="134">
        <v>0</v>
      </c>
      <c r="X52" s="135">
        <v>0</v>
      </c>
      <c r="Y52" s="136">
        <v>0</v>
      </c>
      <c r="Z52" s="135">
        <v>0</v>
      </c>
      <c r="AA52" s="136">
        <v>0</v>
      </c>
      <c r="AB52" s="134">
        <v>0</v>
      </c>
      <c r="AC52" s="136">
        <v>0</v>
      </c>
      <c r="AE52" s="22">
        <v>72</v>
      </c>
      <c r="AF52" s="65"/>
      <c r="AG52" s="35">
        <v>0</v>
      </c>
      <c r="AH52" s="36">
        <v>0</v>
      </c>
      <c r="AI52" s="37"/>
      <c r="AJ52" s="35">
        <v>86</v>
      </c>
      <c r="AK52" s="36">
        <v>74.400000000000006</v>
      </c>
      <c r="AL52" s="35">
        <v>153</v>
      </c>
      <c r="AM52" s="36">
        <v>7.2000000000000011</v>
      </c>
      <c r="AN52" s="37">
        <v>153</v>
      </c>
      <c r="AO52" s="36">
        <v>7.2000000000000011</v>
      </c>
      <c r="AP52" s="37"/>
      <c r="AQ52" s="35">
        <v>78</v>
      </c>
      <c r="AR52" s="36">
        <v>81.600000000000009</v>
      </c>
      <c r="AS52" s="35">
        <v>160</v>
      </c>
      <c r="AT52" s="36">
        <v>0</v>
      </c>
      <c r="AU52" s="37">
        <v>160</v>
      </c>
      <c r="AV52" s="36">
        <v>0</v>
      </c>
      <c r="AW52" s="37">
        <v>160</v>
      </c>
      <c r="AX52" s="36">
        <v>0</v>
      </c>
      <c r="AY52" s="37">
        <v>160</v>
      </c>
      <c r="AZ52" s="36">
        <v>0</v>
      </c>
    </row>
    <row r="53" spans="1:52">
      <c r="A53" s="196" t="s">
        <v>857</v>
      </c>
      <c r="B53" s="41" t="s">
        <v>667</v>
      </c>
      <c r="C53" s="211" t="s">
        <v>689</v>
      </c>
      <c r="D53" s="41">
        <v>176</v>
      </c>
      <c r="E53" s="41">
        <v>3.25</v>
      </c>
      <c r="F53" s="22" t="s">
        <v>387</v>
      </c>
      <c r="G53" s="40">
        <v>24</v>
      </c>
      <c r="H53" s="80">
        <v>157.85123966942149</v>
      </c>
      <c r="I53" s="228"/>
      <c r="J53" s="35" t="s">
        <v>3</v>
      </c>
      <c r="K53" s="36" t="s">
        <v>3</v>
      </c>
      <c r="L53" s="498" t="s">
        <v>1210</v>
      </c>
      <c r="M53" s="135">
        <v>0</v>
      </c>
      <c r="N53" s="134">
        <v>4.2</v>
      </c>
      <c r="O53" s="135">
        <v>0</v>
      </c>
      <c r="P53" s="136">
        <v>1.5</v>
      </c>
      <c r="Q53" s="134">
        <v>0</v>
      </c>
      <c r="R53" s="136">
        <v>0.5</v>
      </c>
      <c r="S53" s="37"/>
      <c r="T53" s="135">
        <v>0</v>
      </c>
      <c r="U53" s="134">
        <v>4.6000000000000005</v>
      </c>
      <c r="V53" s="135">
        <v>0</v>
      </c>
      <c r="W53" s="134">
        <v>2.1</v>
      </c>
      <c r="X53" s="135">
        <v>0</v>
      </c>
      <c r="Y53" s="136">
        <v>0.5</v>
      </c>
      <c r="Z53" s="135">
        <v>0</v>
      </c>
      <c r="AA53" s="136">
        <v>0.5</v>
      </c>
      <c r="AB53" s="134">
        <v>0</v>
      </c>
      <c r="AC53" s="136">
        <v>0.5</v>
      </c>
      <c r="AE53" s="22">
        <v>18</v>
      </c>
      <c r="AF53" s="65"/>
      <c r="AG53" s="35">
        <v>0</v>
      </c>
      <c r="AH53" s="36">
        <v>0</v>
      </c>
      <c r="AI53" s="37"/>
      <c r="AJ53" s="35">
        <v>75</v>
      </c>
      <c r="AK53" s="36">
        <v>100.80000000000001</v>
      </c>
      <c r="AL53" s="35">
        <v>140</v>
      </c>
      <c r="AM53" s="36">
        <v>36</v>
      </c>
      <c r="AN53" s="35">
        <v>164</v>
      </c>
      <c r="AO53" s="36">
        <v>12</v>
      </c>
      <c r="AP53" s="37"/>
      <c r="AQ53" s="35">
        <v>66</v>
      </c>
      <c r="AR53" s="36">
        <v>110.4</v>
      </c>
      <c r="AS53" s="35">
        <v>126</v>
      </c>
      <c r="AT53" s="36">
        <v>50.400000000000006</v>
      </c>
      <c r="AU53" s="35">
        <v>164</v>
      </c>
      <c r="AV53" s="36">
        <v>12</v>
      </c>
      <c r="AW53" s="35">
        <v>164</v>
      </c>
      <c r="AX53" s="36">
        <v>12</v>
      </c>
      <c r="AY53" s="35">
        <v>164</v>
      </c>
      <c r="AZ53" s="36">
        <v>12</v>
      </c>
    </row>
    <row r="54" spans="1:52">
      <c r="A54" s="196" t="s">
        <v>858</v>
      </c>
      <c r="B54" s="41" t="s">
        <v>667</v>
      </c>
      <c r="C54" s="211" t="s">
        <v>689</v>
      </c>
      <c r="D54" s="41">
        <v>176</v>
      </c>
      <c r="E54" s="41">
        <v>3.25</v>
      </c>
      <c r="F54" s="22" t="s">
        <v>387</v>
      </c>
      <c r="G54" s="413">
        <v>30</v>
      </c>
      <c r="H54" s="80">
        <v>157.85123966942149</v>
      </c>
      <c r="I54" s="228"/>
      <c r="J54" s="35" t="s">
        <v>3</v>
      </c>
      <c r="K54" s="36" t="s">
        <v>3</v>
      </c>
      <c r="L54" s="498" t="s">
        <v>1210</v>
      </c>
      <c r="M54" s="135">
        <v>0</v>
      </c>
      <c r="N54" s="134">
        <v>3.4000000000000004</v>
      </c>
      <c r="O54" s="135">
        <v>0</v>
      </c>
      <c r="P54" s="136">
        <v>1.2000000000000002</v>
      </c>
      <c r="Q54" s="134">
        <v>0</v>
      </c>
      <c r="R54" s="136">
        <v>0.4</v>
      </c>
      <c r="S54" s="37"/>
      <c r="T54" s="135">
        <v>0</v>
      </c>
      <c r="U54" s="134">
        <v>3.7</v>
      </c>
      <c r="V54" s="135">
        <v>0</v>
      </c>
      <c r="W54" s="134">
        <v>1.7000000000000002</v>
      </c>
      <c r="X54" s="135">
        <v>0</v>
      </c>
      <c r="Y54" s="136">
        <v>0.4</v>
      </c>
      <c r="Z54" s="135">
        <v>0</v>
      </c>
      <c r="AA54" s="136">
        <v>0.4</v>
      </c>
      <c r="AB54" s="134">
        <v>0</v>
      </c>
      <c r="AC54" s="136">
        <v>0.4</v>
      </c>
      <c r="AE54" s="22">
        <v>18</v>
      </c>
      <c r="AF54" s="65"/>
      <c r="AG54" s="35">
        <v>0</v>
      </c>
      <c r="AH54" s="36">
        <v>0</v>
      </c>
      <c r="AI54" s="37"/>
      <c r="AJ54" s="35">
        <v>74</v>
      </c>
      <c r="AK54" s="36">
        <v>102.00000000000001</v>
      </c>
      <c r="AL54" s="35">
        <v>140</v>
      </c>
      <c r="AM54" s="36">
        <v>36.000000000000007</v>
      </c>
      <c r="AN54" s="37">
        <v>164</v>
      </c>
      <c r="AO54" s="36">
        <v>12</v>
      </c>
      <c r="AP54" s="37"/>
      <c r="AQ54" s="35">
        <v>65</v>
      </c>
      <c r="AR54" s="36">
        <v>111</v>
      </c>
      <c r="AS54" s="35">
        <v>125</v>
      </c>
      <c r="AT54" s="36">
        <v>51.000000000000007</v>
      </c>
      <c r="AU54" s="37">
        <v>164</v>
      </c>
      <c r="AV54" s="36">
        <v>12</v>
      </c>
      <c r="AW54" s="37">
        <v>164</v>
      </c>
      <c r="AX54" s="36">
        <v>12</v>
      </c>
      <c r="AY54" s="37">
        <v>164</v>
      </c>
      <c r="AZ54" s="36">
        <v>12</v>
      </c>
    </row>
    <row r="55" spans="1:52">
      <c r="A55" s="196" t="s">
        <v>859</v>
      </c>
      <c r="B55" s="41" t="s">
        <v>667</v>
      </c>
      <c r="C55" s="211" t="s">
        <v>644</v>
      </c>
      <c r="D55" s="41">
        <v>245</v>
      </c>
      <c r="E55" s="41">
        <v>3.25</v>
      </c>
      <c r="F55" s="22" t="s">
        <v>387</v>
      </c>
      <c r="G55" s="40">
        <v>24</v>
      </c>
      <c r="H55" s="80">
        <v>203.30578512396696</v>
      </c>
      <c r="I55" s="228"/>
      <c r="J55" s="35" t="s">
        <v>3</v>
      </c>
      <c r="K55" s="36" t="s">
        <v>3</v>
      </c>
      <c r="L55" s="498" t="s">
        <v>1210</v>
      </c>
      <c r="M55" s="135" t="s">
        <v>3</v>
      </c>
      <c r="N55" s="134" t="s">
        <v>3</v>
      </c>
      <c r="O55" s="135" t="s">
        <v>3</v>
      </c>
      <c r="P55" s="136" t="s">
        <v>3</v>
      </c>
      <c r="Q55" s="134" t="s">
        <v>3</v>
      </c>
      <c r="R55" s="136" t="s">
        <v>3</v>
      </c>
      <c r="S55" s="37"/>
      <c r="T55" s="135">
        <v>0</v>
      </c>
      <c r="U55" s="134">
        <v>7.3000000000000007</v>
      </c>
      <c r="V55" s="135">
        <v>0</v>
      </c>
      <c r="W55" s="134">
        <v>3.1</v>
      </c>
      <c r="X55" s="135">
        <v>0</v>
      </c>
      <c r="Y55" s="136">
        <v>2</v>
      </c>
      <c r="Z55" s="135">
        <v>0</v>
      </c>
      <c r="AA55" s="136">
        <v>2</v>
      </c>
      <c r="AB55" s="134">
        <v>0</v>
      </c>
      <c r="AC55" s="136">
        <v>2</v>
      </c>
      <c r="AE55" s="22">
        <v>42</v>
      </c>
      <c r="AF55" s="65"/>
      <c r="AG55" s="35">
        <v>0</v>
      </c>
      <c r="AH55" s="36">
        <v>0</v>
      </c>
      <c r="AI55" s="37"/>
      <c r="AJ55" s="35" t="s">
        <v>3</v>
      </c>
      <c r="AK55" s="36" t="s">
        <v>3</v>
      </c>
      <c r="AL55" s="35" t="s">
        <v>3</v>
      </c>
      <c r="AM55" s="36" t="s">
        <v>3</v>
      </c>
      <c r="AN55" s="35" t="s">
        <v>3</v>
      </c>
      <c r="AO55" s="36" t="s">
        <v>3</v>
      </c>
      <c r="AP55" s="37"/>
      <c r="AQ55" s="35">
        <v>70</v>
      </c>
      <c r="AR55" s="36">
        <v>175.20000000000002</v>
      </c>
      <c r="AS55" s="35">
        <v>171</v>
      </c>
      <c r="AT55" s="36">
        <v>74.400000000000006</v>
      </c>
      <c r="AU55" s="35">
        <v>197</v>
      </c>
      <c r="AV55" s="36">
        <v>48</v>
      </c>
      <c r="AW55" s="35">
        <v>197</v>
      </c>
      <c r="AX55" s="36">
        <v>48</v>
      </c>
      <c r="AY55" s="35">
        <v>197</v>
      </c>
      <c r="AZ55" s="36">
        <v>48</v>
      </c>
    </row>
    <row r="56" spans="1:52">
      <c r="A56" s="196" t="s">
        <v>860</v>
      </c>
      <c r="B56" s="41" t="s">
        <v>667</v>
      </c>
      <c r="C56" s="211" t="s">
        <v>644</v>
      </c>
      <c r="D56" s="41">
        <v>245</v>
      </c>
      <c r="E56" s="41">
        <v>3.25</v>
      </c>
      <c r="F56" s="22" t="s">
        <v>387</v>
      </c>
      <c r="G56" s="413">
        <v>30</v>
      </c>
      <c r="H56" s="80">
        <v>203.30578512396696</v>
      </c>
      <c r="I56" s="228"/>
      <c r="J56" s="35" t="s">
        <v>3</v>
      </c>
      <c r="K56" s="36" t="s">
        <v>3</v>
      </c>
      <c r="L56" s="498" t="s">
        <v>1210</v>
      </c>
      <c r="M56" s="135" t="s">
        <v>3</v>
      </c>
      <c r="N56" s="134" t="s">
        <v>3</v>
      </c>
      <c r="O56" s="135" t="s">
        <v>3</v>
      </c>
      <c r="P56" s="136" t="s">
        <v>3</v>
      </c>
      <c r="Q56" s="134" t="s">
        <v>3</v>
      </c>
      <c r="R56" s="136" t="s">
        <v>3</v>
      </c>
      <c r="S56" s="37"/>
      <c r="T56" s="135">
        <v>0</v>
      </c>
      <c r="U56" s="134">
        <v>5.9</v>
      </c>
      <c r="V56" s="135">
        <v>0</v>
      </c>
      <c r="W56" s="134">
        <v>2.5</v>
      </c>
      <c r="X56" s="135">
        <v>0</v>
      </c>
      <c r="Y56" s="136">
        <v>1.6</v>
      </c>
      <c r="Z56" s="135">
        <v>0</v>
      </c>
      <c r="AA56" s="136">
        <v>1.6</v>
      </c>
      <c r="AB56" s="134">
        <v>0</v>
      </c>
      <c r="AC56" s="136">
        <v>1.6</v>
      </c>
      <c r="AE56" s="22">
        <v>42</v>
      </c>
      <c r="AF56" s="65"/>
      <c r="AG56" s="35">
        <v>0</v>
      </c>
      <c r="AH56" s="36">
        <v>0</v>
      </c>
      <c r="AI56" s="37"/>
      <c r="AJ56" s="35" t="s">
        <v>3</v>
      </c>
      <c r="AK56" s="36" t="s">
        <v>3</v>
      </c>
      <c r="AL56" s="35" t="s">
        <v>3</v>
      </c>
      <c r="AM56" s="36" t="s">
        <v>3</v>
      </c>
      <c r="AN56" s="37" t="s">
        <v>3</v>
      </c>
      <c r="AO56" s="36" t="s">
        <v>3</v>
      </c>
      <c r="AP56" s="37"/>
      <c r="AQ56" s="35">
        <v>68</v>
      </c>
      <c r="AR56" s="36">
        <v>177</v>
      </c>
      <c r="AS56" s="35">
        <v>170</v>
      </c>
      <c r="AT56" s="36">
        <v>75</v>
      </c>
      <c r="AU56" s="37">
        <v>197</v>
      </c>
      <c r="AV56" s="36">
        <v>48</v>
      </c>
      <c r="AW56" s="37">
        <v>197</v>
      </c>
      <c r="AX56" s="36">
        <v>48</v>
      </c>
      <c r="AY56" s="37">
        <v>197</v>
      </c>
      <c r="AZ56" s="36">
        <v>48</v>
      </c>
    </row>
    <row r="57" spans="1:52">
      <c r="A57" s="196" t="s">
        <v>863</v>
      </c>
      <c r="B57" s="41" t="s">
        <v>667</v>
      </c>
      <c r="C57" s="211" t="s">
        <v>632</v>
      </c>
      <c r="D57" s="41">
        <v>428</v>
      </c>
      <c r="E57" s="41">
        <v>3.25</v>
      </c>
      <c r="F57" s="22" t="s">
        <v>387</v>
      </c>
      <c r="G57" s="40">
        <v>24</v>
      </c>
      <c r="H57" s="80">
        <v>357.02479338842977</v>
      </c>
      <c r="I57" s="228"/>
      <c r="J57" s="35" t="s">
        <v>3</v>
      </c>
      <c r="K57" s="36" t="s">
        <v>3</v>
      </c>
      <c r="L57" s="498" t="s">
        <v>1210</v>
      </c>
      <c r="M57" s="135" t="s">
        <v>3</v>
      </c>
      <c r="N57" s="134" t="s">
        <v>3</v>
      </c>
      <c r="O57" s="135" t="s">
        <v>3</v>
      </c>
      <c r="P57" s="136" t="s">
        <v>3</v>
      </c>
      <c r="Q57" s="134" t="s">
        <v>3</v>
      </c>
      <c r="R57" s="136" t="s">
        <v>3</v>
      </c>
      <c r="S57" s="37"/>
      <c r="T57" s="135">
        <v>0</v>
      </c>
      <c r="U57" s="134">
        <v>12.200000000000001</v>
      </c>
      <c r="V57" s="135">
        <v>0</v>
      </c>
      <c r="W57" s="134">
        <v>5.2</v>
      </c>
      <c r="X57" s="135">
        <v>0</v>
      </c>
      <c r="Y57" s="136">
        <v>5.2</v>
      </c>
      <c r="Z57" s="135">
        <v>0</v>
      </c>
      <c r="AA57" s="136">
        <v>4</v>
      </c>
      <c r="AB57" s="134">
        <v>0</v>
      </c>
      <c r="AC57" s="136">
        <v>4</v>
      </c>
      <c r="AE57" s="22">
        <v>71</v>
      </c>
      <c r="AF57" s="65"/>
      <c r="AG57" s="35">
        <v>0</v>
      </c>
      <c r="AH57" s="36">
        <v>0</v>
      </c>
      <c r="AI57" s="37"/>
      <c r="AJ57" s="35" t="s">
        <v>3</v>
      </c>
      <c r="AK57" s="36" t="s">
        <v>3</v>
      </c>
      <c r="AL57" s="35" t="s">
        <v>3</v>
      </c>
      <c r="AM57" s="36" t="s">
        <v>3</v>
      </c>
      <c r="AN57" s="35" t="s">
        <v>3</v>
      </c>
      <c r="AO57" s="36" t="s">
        <v>3</v>
      </c>
      <c r="AP57" s="37"/>
      <c r="AQ57" s="35">
        <v>135</v>
      </c>
      <c r="AR57" s="36">
        <v>292.8</v>
      </c>
      <c r="AS57" s="35">
        <v>303</v>
      </c>
      <c r="AT57" s="36">
        <v>124.80000000000001</v>
      </c>
      <c r="AU57" s="35">
        <v>303</v>
      </c>
      <c r="AV57" s="36">
        <v>124.80000000000001</v>
      </c>
      <c r="AW57" s="35">
        <v>332</v>
      </c>
      <c r="AX57" s="36">
        <v>96</v>
      </c>
      <c r="AY57" s="35">
        <v>332</v>
      </c>
      <c r="AZ57" s="36">
        <v>96</v>
      </c>
    </row>
    <row r="58" spans="1:52">
      <c r="A58" s="196" t="s">
        <v>864</v>
      </c>
      <c r="B58" s="41" t="s">
        <v>667</v>
      </c>
      <c r="C58" s="211" t="s">
        <v>632</v>
      </c>
      <c r="D58" s="41">
        <v>428</v>
      </c>
      <c r="E58" s="41">
        <v>3.25</v>
      </c>
      <c r="F58" s="22" t="s">
        <v>387</v>
      </c>
      <c r="G58" s="413">
        <v>30</v>
      </c>
      <c r="H58" s="80">
        <v>357.02479338842977</v>
      </c>
      <c r="I58" s="228"/>
      <c r="J58" s="35" t="s">
        <v>3</v>
      </c>
      <c r="K58" s="36" t="s">
        <v>3</v>
      </c>
      <c r="L58" s="498" t="s">
        <v>1210</v>
      </c>
      <c r="M58" s="135" t="s">
        <v>3</v>
      </c>
      <c r="N58" s="134" t="s">
        <v>3</v>
      </c>
      <c r="O58" s="135" t="s">
        <v>3</v>
      </c>
      <c r="P58" s="136" t="s">
        <v>3</v>
      </c>
      <c r="Q58" s="134" t="s">
        <v>3</v>
      </c>
      <c r="R58" s="136" t="s">
        <v>3</v>
      </c>
      <c r="S58" s="37"/>
      <c r="T58" s="135">
        <v>0</v>
      </c>
      <c r="U58" s="134">
        <v>9.8000000000000007</v>
      </c>
      <c r="V58" s="135">
        <v>0</v>
      </c>
      <c r="W58" s="134">
        <v>4.2</v>
      </c>
      <c r="X58" s="135">
        <v>0</v>
      </c>
      <c r="Y58" s="136">
        <v>4.2</v>
      </c>
      <c r="Z58" s="135">
        <v>0</v>
      </c>
      <c r="AA58" s="136">
        <v>3.2</v>
      </c>
      <c r="AB58" s="134">
        <v>0</v>
      </c>
      <c r="AC58" s="136">
        <v>3.2</v>
      </c>
      <c r="AE58" s="22">
        <v>71</v>
      </c>
      <c r="AF58" s="65"/>
      <c r="AG58" s="35">
        <v>0</v>
      </c>
      <c r="AH58" s="36">
        <v>0</v>
      </c>
      <c r="AI58" s="37"/>
      <c r="AJ58" s="35" t="s">
        <v>3</v>
      </c>
      <c r="AK58" s="36" t="s">
        <v>3</v>
      </c>
      <c r="AL58" s="35" t="s">
        <v>3</v>
      </c>
      <c r="AM58" s="36" t="s">
        <v>3</v>
      </c>
      <c r="AN58" s="37" t="s">
        <v>3</v>
      </c>
      <c r="AO58" s="36" t="s">
        <v>3</v>
      </c>
      <c r="AP58" s="37"/>
      <c r="AQ58" s="35">
        <v>134</v>
      </c>
      <c r="AR58" s="36">
        <v>294</v>
      </c>
      <c r="AS58" s="35">
        <v>302</v>
      </c>
      <c r="AT58" s="36">
        <v>126</v>
      </c>
      <c r="AU58" s="37">
        <v>302</v>
      </c>
      <c r="AV58" s="36">
        <v>126</v>
      </c>
      <c r="AW58" s="37">
        <v>332</v>
      </c>
      <c r="AX58" s="36">
        <v>96</v>
      </c>
      <c r="AY58" s="37">
        <v>332</v>
      </c>
      <c r="AZ58" s="36">
        <v>96</v>
      </c>
    </row>
    <row r="59" spans="1:52">
      <c r="A59" s="196" t="s">
        <v>865</v>
      </c>
      <c r="B59" s="41" t="s">
        <v>667</v>
      </c>
      <c r="C59" s="211" t="s">
        <v>725</v>
      </c>
      <c r="D59" s="41">
        <v>364</v>
      </c>
      <c r="E59" s="41">
        <v>3.25</v>
      </c>
      <c r="F59" s="22" t="s">
        <v>387</v>
      </c>
      <c r="G59" s="40">
        <v>24</v>
      </c>
      <c r="H59" s="80">
        <v>308.26446280991735</v>
      </c>
      <c r="I59" s="228"/>
      <c r="J59" s="35" t="s">
        <v>3</v>
      </c>
      <c r="K59" s="36" t="s">
        <v>3</v>
      </c>
      <c r="L59" s="498" t="s">
        <v>1210</v>
      </c>
      <c r="M59" s="135" t="s">
        <v>3</v>
      </c>
      <c r="N59" s="134" t="s">
        <v>3</v>
      </c>
      <c r="O59" s="135" t="s">
        <v>3</v>
      </c>
      <c r="P59" s="136" t="s">
        <v>3</v>
      </c>
      <c r="Q59" s="134" t="s">
        <v>3</v>
      </c>
      <c r="R59" s="136" t="s">
        <v>3</v>
      </c>
      <c r="S59" s="37"/>
      <c r="T59" s="135">
        <v>0</v>
      </c>
      <c r="U59" s="134">
        <v>10.200000000000001</v>
      </c>
      <c r="V59" s="135">
        <v>0</v>
      </c>
      <c r="W59" s="134">
        <v>5.2</v>
      </c>
      <c r="X59" s="135">
        <v>0</v>
      </c>
      <c r="Y59" s="136">
        <v>5.2</v>
      </c>
      <c r="Z59" s="135">
        <v>0</v>
      </c>
      <c r="AA59" s="136">
        <v>3</v>
      </c>
      <c r="AB59" s="134">
        <v>0</v>
      </c>
      <c r="AC59" s="136">
        <v>3</v>
      </c>
      <c r="AE59" s="22">
        <v>56</v>
      </c>
      <c r="AF59" s="65"/>
      <c r="AG59" s="35">
        <v>0</v>
      </c>
      <c r="AH59" s="36">
        <v>0</v>
      </c>
      <c r="AI59" s="37"/>
      <c r="AJ59" s="35" t="s">
        <v>3</v>
      </c>
      <c r="AK59" s="36" t="s">
        <v>3</v>
      </c>
      <c r="AL59" s="35" t="s">
        <v>3</v>
      </c>
      <c r="AM59" s="36" t="s">
        <v>3</v>
      </c>
      <c r="AN59" s="35" t="s">
        <v>3</v>
      </c>
      <c r="AO59" s="36" t="s">
        <v>3</v>
      </c>
      <c r="AP59" s="37"/>
      <c r="AQ59" s="35">
        <v>119</v>
      </c>
      <c r="AR59" s="36">
        <v>244.8</v>
      </c>
      <c r="AS59" s="35">
        <v>239</v>
      </c>
      <c r="AT59" s="36">
        <v>124.80000000000001</v>
      </c>
      <c r="AU59" s="35">
        <v>239</v>
      </c>
      <c r="AV59" s="36">
        <v>124.80000000000001</v>
      </c>
      <c r="AW59" s="35">
        <v>292</v>
      </c>
      <c r="AX59" s="36">
        <v>72</v>
      </c>
      <c r="AY59" s="35">
        <v>292</v>
      </c>
      <c r="AZ59" s="36">
        <v>72</v>
      </c>
    </row>
    <row r="60" spans="1:52">
      <c r="A60" s="196" t="s">
        <v>866</v>
      </c>
      <c r="B60" s="41" t="s">
        <v>667</v>
      </c>
      <c r="C60" s="211" t="s">
        <v>725</v>
      </c>
      <c r="D60" s="41">
        <v>364</v>
      </c>
      <c r="E60" s="41">
        <v>3.25</v>
      </c>
      <c r="F60" s="22" t="s">
        <v>387</v>
      </c>
      <c r="G60" s="413">
        <v>30</v>
      </c>
      <c r="H60" s="80">
        <v>308.26446280991735</v>
      </c>
      <c r="I60" s="228"/>
      <c r="J60" s="35" t="s">
        <v>3</v>
      </c>
      <c r="K60" s="36" t="s">
        <v>3</v>
      </c>
      <c r="L60" s="498" t="s">
        <v>1210</v>
      </c>
      <c r="M60" s="135" t="s">
        <v>3</v>
      </c>
      <c r="N60" s="134" t="s">
        <v>3</v>
      </c>
      <c r="O60" s="135" t="s">
        <v>3</v>
      </c>
      <c r="P60" s="136" t="s">
        <v>3</v>
      </c>
      <c r="Q60" s="134" t="s">
        <v>3</v>
      </c>
      <c r="R60" s="136" t="s">
        <v>3</v>
      </c>
      <c r="S60" s="37"/>
      <c r="T60" s="135">
        <v>0</v>
      </c>
      <c r="U60" s="134">
        <v>8.2000000000000011</v>
      </c>
      <c r="V60" s="135">
        <v>0</v>
      </c>
      <c r="W60" s="134">
        <v>4.2</v>
      </c>
      <c r="X60" s="135">
        <v>0</v>
      </c>
      <c r="Y60" s="136">
        <v>4.2</v>
      </c>
      <c r="Z60" s="135">
        <v>0</v>
      </c>
      <c r="AA60" s="136">
        <v>2.4000000000000004</v>
      </c>
      <c r="AB60" s="134">
        <v>0</v>
      </c>
      <c r="AC60" s="136">
        <v>2.4000000000000004</v>
      </c>
      <c r="AE60" s="22">
        <v>56</v>
      </c>
      <c r="AF60" s="65"/>
      <c r="AG60" s="35">
        <v>0</v>
      </c>
      <c r="AH60" s="36">
        <v>0</v>
      </c>
      <c r="AI60" s="37"/>
      <c r="AJ60" s="35" t="s">
        <v>3</v>
      </c>
      <c r="AK60" s="36" t="s">
        <v>3</v>
      </c>
      <c r="AL60" s="35" t="s">
        <v>3</v>
      </c>
      <c r="AM60" s="36" t="s">
        <v>3</v>
      </c>
      <c r="AN60" s="37" t="s">
        <v>3</v>
      </c>
      <c r="AO60" s="36" t="s">
        <v>3</v>
      </c>
      <c r="AP60" s="37"/>
      <c r="AQ60" s="35">
        <v>118</v>
      </c>
      <c r="AR60" s="36">
        <v>246.00000000000003</v>
      </c>
      <c r="AS60" s="35">
        <v>238</v>
      </c>
      <c r="AT60" s="36">
        <v>126</v>
      </c>
      <c r="AU60" s="37">
        <v>238</v>
      </c>
      <c r="AV60" s="36">
        <v>126</v>
      </c>
      <c r="AW60" s="37">
        <v>292</v>
      </c>
      <c r="AX60" s="36">
        <v>72.000000000000014</v>
      </c>
      <c r="AY60" s="37">
        <v>292</v>
      </c>
      <c r="AZ60" s="36">
        <v>72.000000000000014</v>
      </c>
    </row>
    <row r="61" spans="1:52">
      <c r="A61" s="196" t="s">
        <v>869</v>
      </c>
      <c r="B61" s="41" t="s">
        <v>60</v>
      </c>
      <c r="C61" s="211" t="s">
        <v>696</v>
      </c>
      <c r="D61" s="41">
        <v>186</v>
      </c>
      <c r="E61" s="41">
        <v>3.25</v>
      </c>
      <c r="F61" s="22" t="s">
        <v>387</v>
      </c>
      <c r="G61" s="40">
        <v>24</v>
      </c>
      <c r="H61" s="80">
        <v>166.11570247933884</v>
      </c>
      <c r="I61" s="228"/>
      <c r="J61" s="35" t="s">
        <v>3</v>
      </c>
      <c r="K61" s="36" t="s">
        <v>3</v>
      </c>
      <c r="L61" s="498" t="s">
        <v>1210</v>
      </c>
      <c r="M61" s="135">
        <v>29</v>
      </c>
      <c r="N61" s="134">
        <v>4.4000000000000004</v>
      </c>
      <c r="O61" s="135">
        <v>0</v>
      </c>
      <c r="P61" s="136">
        <v>2.5</v>
      </c>
      <c r="Q61" s="134">
        <v>0</v>
      </c>
      <c r="R61" s="136">
        <v>1.7000000000000002</v>
      </c>
      <c r="S61" s="37"/>
      <c r="T61" s="135">
        <v>0</v>
      </c>
      <c r="U61" s="134">
        <v>5.6000000000000005</v>
      </c>
      <c r="V61" s="135">
        <v>0</v>
      </c>
      <c r="W61" s="134">
        <v>1.7000000000000002</v>
      </c>
      <c r="X61" s="135">
        <v>0</v>
      </c>
      <c r="Y61" s="136">
        <v>1.7000000000000002</v>
      </c>
      <c r="Z61" s="135">
        <v>0</v>
      </c>
      <c r="AA61" s="136">
        <v>0.5</v>
      </c>
      <c r="AB61" s="134">
        <v>0</v>
      </c>
      <c r="AC61" s="136">
        <v>0.5</v>
      </c>
      <c r="AE61" s="22">
        <v>20</v>
      </c>
      <c r="AF61" s="65"/>
      <c r="AG61" s="35">
        <v>0</v>
      </c>
      <c r="AH61" s="36">
        <v>0</v>
      </c>
      <c r="AI61" s="37"/>
      <c r="AJ61" s="35">
        <v>51</v>
      </c>
      <c r="AK61" s="36">
        <v>105.60000000000001</v>
      </c>
      <c r="AL61" s="35">
        <v>126</v>
      </c>
      <c r="AM61" s="36">
        <v>60</v>
      </c>
      <c r="AN61" s="35">
        <v>145</v>
      </c>
      <c r="AO61" s="36">
        <v>40.800000000000004</v>
      </c>
      <c r="AP61" s="37"/>
      <c r="AQ61" s="35">
        <v>52</v>
      </c>
      <c r="AR61" s="36">
        <v>134.4</v>
      </c>
      <c r="AS61" s="35">
        <v>145</v>
      </c>
      <c r="AT61" s="36">
        <v>40.800000000000004</v>
      </c>
      <c r="AU61" s="35">
        <v>145</v>
      </c>
      <c r="AV61" s="36">
        <v>40.800000000000004</v>
      </c>
      <c r="AW61" s="35">
        <v>174</v>
      </c>
      <c r="AX61" s="36">
        <v>12</v>
      </c>
      <c r="AY61" s="35">
        <v>174</v>
      </c>
      <c r="AZ61" s="36">
        <v>12</v>
      </c>
    </row>
    <row r="62" spans="1:52">
      <c r="A62" s="196" t="s">
        <v>870</v>
      </c>
      <c r="B62" s="41" t="s">
        <v>60</v>
      </c>
      <c r="C62" s="211" t="s">
        <v>697</v>
      </c>
      <c r="D62" s="41">
        <v>248</v>
      </c>
      <c r="E62" s="41">
        <v>3.25</v>
      </c>
      <c r="F62" s="22" t="s">
        <v>387</v>
      </c>
      <c r="G62" s="413">
        <v>24</v>
      </c>
      <c r="H62" s="80">
        <v>190.90909090909091</v>
      </c>
      <c r="I62" s="228"/>
      <c r="J62" s="35" t="s">
        <v>3</v>
      </c>
      <c r="K62" s="36" t="s">
        <v>3</v>
      </c>
      <c r="L62" s="498" t="s">
        <v>1210</v>
      </c>
      <c r="M62" s="135">
        <v>19</v>
      </c>
      <c r="N62" s="134">
        <v>4.2</v>
      </c>
      <c r="O62" s="135">
        <v>0</v>
      </c>
      <c r="P62" s="136">
        <v>1.9000000000000001</v>
      </c>
      <c r="Q62" s="134">
        <v>0</v>
      </c>
      <c r="R62" s="136">
        <v>1.1000000000000001</v>
      </c>
      <c r="S62" s="37"/>
      <c r="T62" s="135">
        <v>0</v>
      </c>
      <c r="U62" s="134">
        <v>6.9</v>
      </c>
      <c r="V62" s="135">
        <v>0</v>
      </c>
      <c r="W62" s="134">
        <v>2.1</v>
      </c>
      <c r="X62" s="135">
        <v>0</v>
      </c>
      <c r="Y62" s="136">
        <v>0.7</v>
      </c>
      <c r="Z62" s="135">
        <v>0</v>
      </c>
      <c r="AA62" s="136">
        <v>0.7</v>
      </c>
      <c r="AB62" s="134">
        <v>0</v>
      </c>
      <c r="AC62" s="136">
        <v>0.7</v>
      </c>
      <c r="AE62" s="22">
        <v>57</v>
      </c>
      <c r="AF62" s="65"/>
      <c r="AG62" s="35">
        <v>0</v>
      </c>
      <c r="AH62" s="36">
        <v>0</v>
      </c>
      <c r="AI62" s="37"/>
      <c r="AJ62" s="35">
        <v>128</v>
      </c>
      <c r="AK62" s="36">
        <v>100.80000000000001</v>
      </c>
      <c r="AL62" s="35">
        <v>202</v>
      </c>
      <c r="AM62" s="36">
        <v>45.6</v>
      </c>
      <c r="AN62" s="37">
        <v>222</v>
      </c>
      <c r="AO62" s="36">
        <v>26.400000000000002</v>
      </c>
      <c r="AP62" s="37"/>
      <c r="AQ62" s="35">
        <v>82</v>
      </c>
      <c r="AR62" s="36">
        <v>165.60000000000002</v>
      </c>
      <c r="AS62" s="35">
        <v>198</v>
      </c>
      <c r="AT62" s="36">
        <v>50.400000000000006</v>
      </c>
      <c r="AU62" s="37">
        <v>231</v>
      </c>
      <c r="AV62" s="36">
        <v>16.799999999999997</v>
      </c>
      <c r="AW62" s="37">
        <v>231</v>
      </c>
      <c r="AX62" s="36">
        <v>16.799999999999997</v>
      </c>
      <c r="AY62" s="37">
        <v>231</v>
      </c>
      <c r="AZ62" s="36">
        <v>16.799999999999997</v>
      </c>
    </row>
    <row r="63" spans="1:52">
      <c r="A63" s="196" t="s">
        <v>871</v>
      </c>
      <c r="B63" s="41" t="s">
        <v>60</v>
      </c>
      <c r="C63" s="211" t="s">
        <v>697</v>
      </c>
      <c r="D63" s="41">
        <v>248</v>
      </c>
      <c r="E63" s="41">
        <v>3.25</v>
      </c>
      <c r="F63" s="22" t="s">
        <v>387</v>
      </c>
      <c r="G63" s="40">
        <v>30</v>
      </c>
      <c r="H63" s="80">
        <v>190.90909090909091</v>
      </c>
      <c r="I63" s="228"/>
      <c r="J63" s="35" t="s">
        <v>3</v>
      </c>
      <c r="K63" s="36" t="s">
        <v>3</v>
      </c>
      <c r="L63" s="498" t="s">
        <v>1210</v>
      </c>
      <c r="M63" s="135">
        <v>19</v>
      </c>
      <c r="N63" s="134">
        <v>3.4000000000000004</v>
      </c>
      <c r="O63" s="135">
        <v>0</v>
      </c>
      <c r="P63" s="136">
        <v>1.6</v>
      </c>
      <c r="Q63" s="134">
        <v>0</v>
      </c>
      <c r="R63" s="136">
        <v>0.9</v>
      </c>
      <c r="S63" s="37"/>
      <c r="T63" s="135">
        <v>0</v>
      </c>
      <c r="U63" s="134">
        <v>5.6000000000000005</v>
      </c>
      <c r="V63" s="135">
        <v>0</v>
      </c>
      <c r="W63" s="134">
        <v>1.7000000000000002</v>
      </c>
      <c r="X63" s="135">
        <v>0</v>
      </c>
      <c r="Y63" s="136">
        <v>0.60000000000000009</v>
      </c>
      <c r="Z63" s="135">
        <v>0</v>
      </c>
      <c r="AA63" s="136">
        <v>0.60000000000000009</v>
      </c>
      <c r="AB63" s="134">
        <v>0</v>
      </c>
      <c r="AC63" s="136">
        <v>0.60000000000000009</v>
      </c>
      <c r="AE63" s="22">
        <v>57</v>
      </c>
      <c r="AF63" s="65"/>
      <c r="AG63" s="35">
        <v>0</v>
      </c>
      <c r="AH63" s="36">
        <v>0</v>
      </c>
      <c r="AI63" s="37"/>
      <c r="AJ63" s="35">
        <v>127</v>
      </c>
      <c r="AK63" s="36">
        <v>102.00000000000001</v>
      </c>
      <c r="AL63" s="35">
        <v>200</v>
      </c>
      <c r="AM63" s="36">
        <v>48</v>
      </c>
      <c r="AN63" s="35">
        <v>221</v>
      </c>
      <c r="AO63" s="36">
        <v>27</v>
      </c>
      <c r="AP63" s="37"/>
      <c r="AQ63" s="35">
        <v>80</v>
      </c>
      <c r="AR63" s="36">
        <v>168.00000000000003</v>
      </c>
      <c r="AS63" s="35">
        <v>197</v>
      </c>
      <c r="AT63" s="36">
        <v>51.000000000000007</v>
      </c>
      <c r="AU63" s="35">
        <v>230</v>
      </c>
      <c r="AV63" s="36">
        <v>18.000000000000004</v>
      </c>
      <c r="AW63" s="35">
        <v>230</v>
      </c>
      <c r="AX63" s="36">
        <v>18.000000000000004</v>
      </c>
      <c r="AY63" s="35">
        <v>230</v>
      </c>
      <c r="AZ63" s="36">
        <v>18.000000000000004</v>
      </c>
    </row>
    <row r="64" spans="1:52">
      <c r="A64" s="196" t="s">
        <v>872</v>
      </c>
      <c r="B64" s="41" t="s">
        <v>60</v>
      </c>
      <c r="C64" s="211" t="s">
        <v>567</v>
      </c>
      <c r="D64" s="41">
        <v>299</v>
      </c>
      <c r="E64" s="41">
        <v>3.25</v>
      </c>
      <c r="F64" s="22" t="s">
        <v>387</v>
      </c>
      <c r="G64" s="413">
        <v>24</v>
      </c>
      <c r="H64" s="80">
        <v>278.51239669421489</v>
      </c>
      <c r="I64" s="228"/>
      <c r="J64" s="35" t="s">
        <v>3</v>
      </c>
      <c r="K64" s="36" t="s">
        <v>3</v>
      </c>
      <c r="L64" s="498" t="s">
        <v>1210</v>
      </c>
      <c r="M64" s="135" t="s">
        <v>3</v>
      </c>
      <c r="N64" s="134" t="s">
        <v>3</v>
      </c>
      <c r="O64" s="135" t="s">
        <v>3</v>
      </c>
      <c r="P64" s="136" t="s">
        <v>3</v>
      </c>
      <c r="Q64" s="134" t="s">
        <v>3</v>
      </c>
      <c r="R64" s="136" t="s">
        <v>3</v>
      </c>
      <c r="S64" s="37"/>
      <c r="T64" s="135">
        <v>0</v>
      </c>
      <c r="U64" s="134">
        <v>8.9</v>
      </c>
      <c r="V64" s="135">
        <v>0</v>
      </c>
      <c r="W64" s="134">
        <v>4.2</v>
      </c>
      <c r="X64" s="135">
        <v>0</v>
      </c>
      <c r="Y64" s="136">
        <v>4.2</v>
      </c>
      <c r="Z64" s="135">
        <v>0</v>
      </c>
      <c r="AA64" s="136">
        <v>3</v>
      </c>
      <c r="AB64" s="134">
        <v>0</v>
      </c>
      <c r="AC64" s="136">
        <v>3</v>
      </c>
      <c r="AE64" s="22">
        <v>20</v>
      </c>
      <c r="AF64" s="65"/>
      <c r="AG64" s="35">
        <v>0</v>
      </c>
      <c r="AH64" s="36">
        <v>0</v>
      </c>
      <c r="AI64" s="37"/>
      <c r="AJ64" s="35" t="s">
        <v>3</v>
      </c>
      <c r="AK64" s="36" t="s">
        <v>3</v>
      </c>
      <c r="AL64" s="35" t="s">
        <v>3</v>
      </c>
      <c r="AM64" s="36" t="s">
        <v>3</v>
      </c>
      <c r="AN64" s="37" t="s">
        <v>3</v>
      </c>
      <c r="AO64" s="36" t="s">
        <v>3</v>
      </c>
      <c r="AP64" s="37"/>
      <c r="AQ64" s="35">
        <v>85</v>
      </c>
      <c r="AR64" s="36">
        <v>213.60000000000002</v>
      </c>
      <c r="AS64" s="35">
        <v>198</v>
      </c>
      <c r="AT64" s="36">
        <v>100.80000000000001</v>
      </c>
      <c r="AU64" s="37">
        <v>198</v>
      </c>
      <c r="AV64" s="36">
        <v>100.80000000000001</v>
      </c>
      <c r="AW64" s="37">
        <v>227</v>
      </c>
      <c r="AX64" s="36">
        <v>72</v>
      </c>
      <c r="AY64" s="37">
        <v>227</v>
      </c>
      <c r="AZ64" s="36">
        <v>72</v>
      </c>
    </row>
    <row r="65" spans="1:52">
      <c r="A65" s="196" t="s">
        <v>873</v>
      </c>
      <c r="B65" s="41" t="s">
        <v>60</v>
      </c>
      <c r="C65" s="211" t="s">
        <v>567</v>
      </c>
      <c r="D65" s="41">
        <v>299</v>
      </c>
      <c r="E65" s="41">
        <v>3.25</v>
      </c>
      <c r="F65" s="22" t="s">
        <v>387</v>
      </c>
      <c r="G65" s="40">
        <v>30</v>
      </c>
      <c r="H65" s="80">
        <v>278.51239669421489</v>
      </c>
      <c r="I65" s="228"/>
      <c r="J65" s="35" t="s">
        <v>3</v>
      </c>
      <c r="K65" s="36" t="s">
        <v>3</v>
      </c>
      <c r="L65" s="498" t="s">
        <v>1210</v>
      </c>
      <c r="M65" s="135" t="s">
        <v>3</v>
      </c>
      <c r="N65" s="134" t="s">
        <v>3</v>
      </c>
      <c r="O65" s="135" t="s">
        <v>3</v>
      </c>
      <c r="P65" s="136" t="s">
        <v>3</v>
      </c>
      <c r="Q65" s="134" t="s">
        <v>3</v>
      </c>
      <c r="R65" s="136" t="s">
        <v>3</v>
      </c>
      <c r="S65" s="37"/>
      <c r="T65" s="135">
        <v>0</v>
      </c>
      <c r="U65" s="134">
        <v>7.2</v>
      </c>
      <c r="V65" s="135">
        <v>0</v>
      </c>
      <c r="W65" s="134">
        <v>3.4000000000000004</v>
      </c>
      <c r="X65" s="135">
        <v>0</v>
      </c>
      <c r="Y65" s="136">
        <v>3.4000000000000004</v>
      </c>
      <c r="Z65" s="135">
        <v>0</v>
      </c>
      <c r="AA65" s="136">
        <v>2.4000000000000004</v>
      </c>
      <c r="AB65" s="134">
        <v>0</v>
      </c>
      <c r="AC65" s="136">
        <v>2.4000000000000004</v>
      </c>
      <c r="AE65" s="22">
        <v>20</v>
      </c>
      <c r="AF65" s="65"/>
      <c r="AG65" s="35">
        <v>0</v>
      </c>
      <c r="AH65" s="36">
        <v>0</v>
      </c>
      <c r="AI65" s="37"/>
      <c r="AJ65" s="35" t="s">
        <v>3</v>
      </c>
      <c r="AK65" s="36" t="s">
        <v>3</v>
      </c>
      <c r="AL65" s="35" t="s">
        <v>3</v>
      </c>
      <c r="AM65" s="36" t="s">
        <v>3</v>
      </c>
      <c r="AN65" s="35" t="s">
        <v>3</v>
      </c>
      <c r="AO65" s="36" t="s">
        <v>3</v>
      </c>
      <c r="AP65" s="37"/>
      <c r="AQ65" s="35">
        <v>83</v>
      </c>
      <c r="AR65" s="36">
        <v>216</v>
      </c>
      <c r="AS65" s="35">
        <v>197</v>
      </c>
      <c r="AT65" s="36">
        <v>102.00000000000001</v>
      </c>
      <c r="AU65" s="35">
        <v>197</v>
      </c>
      <c r="AV65" s="36">
        <v>102.00000000000001</v>
      </c>
      <c r="AW65" s="35">
        <v>227</v>
      </c>
      <c r="AX65" s="36">
        <v>72.000000000000014</v>
      </c>
      <c r="AY65" s="35">
        <v>227</v>
      </c>
      <c r="AZ65" s="36">
        <v>72.000000000000014</v>
      </c>
    </row>
    <row r="66" spans="1:52">
      <c r="A66" s="196" t="s">
        <v>874</v>
      </c>
      <c r="B66" s="41" t="s">
        <v>60</v>
      </c>
      <c r="C66" s="211" t="s">
        <v>594</v>
      </c>
      <c r="D66" s="41">
        <v>358</v>
      </c>
      <c r="E66" s="41">
        <v>3.25</v>
      </c>
      <c r="F66" s="22" t="s">
        <v>387</v>
      </c>
      <c r="G66" s="413">
        <v>24</v>
      </c>
      <c r="H66" s="80">
        <v>321.48760330578511</v>
      </c>
      <c r="I66" s="228"/>
      <c r="J66" s="35" t="s">
        <v>3</v>
      </c>
      <c r="K66" s="36" t="s">
        <v>3</v>
      </c>
      <c r="L66" s="498" t="s">
        <v>1210</v>
      </c>
      <c r="M66" s="135" t="s">
        <v>3</v>
      </c>
      <c r="N66" s="134" t="s">
        <v>3</v>
      </c>
      <c r="O66" s="135" t="s">
        <v>3</v>
      </c>
      <c r="P66" s="136" t="s">
        <v>3</v>
      </c>
      <c r="Q66" s="134" t="s">
        <v>3</v>
      </c>
      <c r="R66" s="136" t="s">
        <v>3</v>
      </c>
      <c r="S66" s="37"/>
      <c r="T66" s="135">
        <v>0</v>
      </c>
      <c r="U66" s="134">
        <v>10.8</v>
      </c>
      <c r="V66" s="135">
        <v>0</v>
      </c>
      <c r="W66" s="134">
        <v>5.2</v>
      </c>
      <c r="X66" s="135">
        <v>0</v>
      </c>
      <c r="Y66" s="136">
        <v>5.2</v>
      </c>
      <c r="Z66" s="135">
        <v>0</v>
      </c>
      <c r="AA66" s="136">
        <v>4</v>
      </c>
      <c r="AB66" s="134">
        <v>0</v>
      </c>
      <c r="AC66" s="136">
        <v>4</v>
      </c>
      <c r="AE66" s="22">
        <v>37</v>
      </c>
      <c r="AF66" s="65"/>
      <c r="AG66" s="35">
        <v>0</v>
      </c>
      <c r="AH66" s="36">
        <v>0</v>
      </c>
      <c r="AI66" s="37"/>
      <c r="AJ66" s="35" t="s">
        <v>3</v>
      </c>
      <c r="AK66" s="36" t="s">
        <v>3</v>
      </c>
      <c r="AL66" s="35" t="s">
        <v>3</v>
      </c>
      <c r="AM66" s="36" t="s">
        <v>3</v>
      </c>
      <c r="AN66" s="37" t="s">
        <v>3</v>
      </c>
      <c r="AO66" s="36" t="s">
        <v>3</v>
      </c>
      <c r="AP66" s="37"/>
      <c r="AQ66" s="35">
        <v>99</v>
      </c>
      <c r="AR66" s="36">
        <v>259.20000000000005</v>
      </c>
      <c r="AS66" s="35">
        <v>233</v>
      </c>
      <c r="AT66" s="36">
        <v>124.80000000000001</v>
      </c>
      <c r="AU66" s="37">
        <v>233</v>
      </c>
      <c r="AV66" s="36">
        <v>124.80000000000001</v>
      </c>
      <c r="AW66" s="37">
        <v>262</v>
      </c>
      <c r="AX66" s="36">
        <v>96</v>
      </c>
      <c r="AY66" s="37">
        <v>262</v>
      </c>
      <c r="AZ66" s="36">
        <v>96</v>
      </c>
    </row>
    <row r="67" spans="1:52">
      <c r="A67" s="196" t="s">
        <v>875</v>
      </c>
      <c r="B67" s="41" t="s">
        <v>60</v>
      </c>
      <c r="C67" s="211" t="s">
        <v>594</v>
      </c>
      <c r="D67" s="41">
        <v>358</v>
      </c>
      <c r="E67" s="41">
        <v>3.25</v>
      </c>
      <c r="F67" s="22" t="s">
        <v>387</v>
      </c>
      <c r="G67" s="40">
        <v>30</v>
      </c>
      <c r="H67" s="80">
        <v>321.48760330578511</v>
      </c>
      <c r="I67" s="228"/>
      <c r="J67" s="35" t="s">
        <v>3</v>
      </c>
      <c r="K67" s="36" t="s">
        <v>3</v>
      </c>
      <c r="L67" s="498" t="s">
        <v>1210</v>
      </c>
      <c r="M67" s="135" t="s">
        <v>3</v>
      </c>
      <c r="N67" s="134" t="s">
        <v>3</v>
      </c>
      <c r="O67" s="135" t="s">
        <v>3</v>
      </c>
      <c r="P67" s="136" t="s">
        <v>3</v>
      </c>
      <c r="Q67" s="134" t="s">
        <v>3</v>
      </c>
      <c r="R67" s="136" t="s">
        <v>3</v>
      </c>
      <c r="S67" s="37"/>
      <c r="T67" s="135">
        <v>0</v>
      </c>
      <c r="U67" s="134">
        <v>8.7000000000000011</v>
      </c>
      <c r="V67" s="135">
        <v>0</v>
      </c>
      <c r="W67" s="134">
        <v>4.2</v>
      </c>
      <c r="X67" s="135">
        <v>0</v>
      </c>
      <c r="Y67" s="136">
        <v>4.2</v>
      </c>
      <c r="Z67" s="135">
        <v>0</v>
      </c>
      <c r="AA67" s="136">
        <v>3.2</v>
      </c>
      <c r="AB67" s="134">
        <v>0</v>
      </c>
      <c r="AC67" s="136">
        <v>3.2</v>
      </c>
      <c r="AE67" s="22">
        <v>37</v>
      </c>
      <c r="AF67" s="65"/>
      <c r="AG67" s="35">
        <v>0</v>
      </c>
      <c r="AH67" s="36">
        <v>0</v>
      </c>
      <c r="AI67" s="37"/>
      <c r="AJ67" s="35" t="s">
        <v>3</v>
      </c>
      <c r="AK67" s="36" t="s">
        <v>3</v>
      </c>
      <c r="AL67" s="35" t="s">
        <v>3</v>
      </c>
      <c r="AM67" s="36" t="s">
        <v>3</v>
      </c>
      <c r="AN67" s="35" t="s">
        <v>3</v>
      </c>
      <c r="AO67" s="36" t="s">
        <v>3</v>
      </c>
      <c r="AP67" s="37"/>
      <c r="AQ67" s="35">
        <v>97</v>
      </c>
      <c r="AR67" s="36">
        <v>261.00000000000006</v>
      </c>
      <c r="AS67" s="35">
        <v>232</v>
      </c>
      <c r="AT67" s="36">
        <v>126</v>
      </c>
      <c r="AU67" s="35">
        <v>232</v>
      </c>
      <c r="AV67" s="36">
        <v>126</v>
      </c>
      <c r="AW67" s="35">
        <v>262</v>
      </c>
      <c r="AX67" s="36">
        <v>96</v>
      </c>
      <c r="AY67" s="35">
        <v>262</v>
      </c>
      <c r="AZ67" s="36">
        <v>96</v>
      </c>
    </row>
    <row r="68" spans="1:52">
      <c r="A68" s="196" t="s">
        <v>1197</v>
      </c>
      <c r="B68" s="41" t="s">
        <v>60</v>
      </c>
      <c r="C68" s="211" t="s">
        <v>587</v>
      </c>
      <c r="D68" s="41">
        <v>343</v>
      </c>
      <c r="E68" s="41">
        <v>3.25</v>
      </c>
      <c r="F68" s="22" t="s">
        <v>387</v>
      </c>
      <c r="G68" s="40">
        <v>24</v>
      </c>
      <c r="H68" s="80">
        <v>282.64462809917359</v>
      </c>
      <c r="I68" s="228"/>
      <c r="J68" s="35" t="s">
        <v>3</v>
      </c>
      <c r="K68" s="36" t="s">
        <v>3</v>
      </c>
      <c r="L68" s="498" t="s">
        <v>1210</v>
      </c>
      <c r="M68" s="135" t="s">
        <v>3</v>
      </c>
      <c r="N68" s="134" t="s">
        <v>3</v>
      </c>
      <c r="O68" s="135" t="s">
        <v>3</v>
      </c>
      <c r="P68" s="136" t="s">
        <v>3</v>
      </c>
      <c r="Q68" s="134" t="s">
        <v>3</v>
      </c>
      <c r="R68" s="136" t="s">
        <v>3</v>
      </c>
      <c r="S68" s="37"/>
      <c r="T68" s="135">
        <v>0</v>
      </c>
      <c r="U68" s="134">
        <v>11.600000000000001</v>
      </c>
      <c r="V68" s="135">
        <v>0</v>
      </c>
      <c r="W68" s="134">
        <v>10.600000000000001</v>
      </c>
      <c r="X68" s="135">
        <v>0</v>
      </c>
      <c r="Y68" s="136">
        <v>2.5</v>
      </c>
      <c r="Z68" s="135">
        <v>0</v>
      </c>
      <c r="AA68" s="136">
        <v>2.5</v>
      </c>
      <c r="AB68" s="134">
        <v>0</v>
      </c>
      <c r="AC68" s="136">
        <v>2.5</v>
      </c>
      <c r="AE68" s="22">
        <v>60</v>
      </c>
      <c r="AF68" s="65"/>
      <c r="AG68" s="35">
        <v>0</v>
      </c>
      <c r="AH68" s="36">
        <v>0</v>
      </c>
      <c r="AI68" s="37"/>
      <c r="AJ68" s="35" t="s">
        <v>3</v>
      </c>
      <c r="AK68" s="36" t="s">
        <v>3</v>
      </c>
      <c r="AL68" s="35" t="s">
        <v>3</v>
      </c>
      <c r="AM68" s="36" t="s">
        <v>3</v>
      </c>
      <c r="AN68" s="37" t="s">
        <v>3</v>
      </c>
      <c r="AO68" s="36" t="s">
        <v>3</v>
      </c>
      <c r="AP68" s="37"/>
      <c r="AQ68" s="35">
        <v>65</v>
      </c>
      <c r="AR68" s="36">
        <v>278.40000000000003</v>
      </c>
      <c r="AS68" s="35">
        <v>89</v>
      </c>
      <c r="AT68" s="36">
        <v>254.40000000000003</v>
      </c>
      <c r="AU68" s="37">
        <v>283</v>
      </c>
      <c r="AV68" s="36">
        <v>60</v>
      </c>
      <c r="AW68" s="37">
        <v>283</v>
      </c>
      <c r="AX68" s="36">
        <v>60</v>
      </c>
      <c r="AY68" s="37">
        <v>283</v>
      </c>
      <c r="AZ68" s="36">
        <v>60</v>
      </c>
    </row>
    <row r="69" spans="1:52">
      <c r="A69" s="196" t="s">
        <v>897</v>
      </c>
      <c r="B69" s="41" t="s">
        <v>673</v>
      </c>
      <c r="C69" s="211" t="s">
        <v>517</v>
      </c>
      <c r="D69" s="41">
        <v>162</v>
      </c>
      <c r="E69" s="41">
        <v>3.25</v>
      </c>
      <c r="F69" s="22" t="s">
        <v>387</v>
      </c>
      <c r="G69" s="413">
        <v>24</v>
      </c>
      <c r="H69" s="80">
        <v>93.388429752066116</v>
      </c>
      <c r="I69" s="228"/>
      <c r="J69" s="35" t="s">
        <v>3</v>
      </c>
      <c r="K69" s="36" t="s">
        <v>3</v>
      </c>
      <c r="L69" s="498" t="s">
        <v>1210</v>
      </c>
      <c r="M69" s="135">
        <v>0</v>
      </c>
      <c r="N69" s="134">
        <v>3.4000000000000004</v>
      </c>
      <c r="O69" s="135">
        <v>0</v>
      </c>
      <c r="P69" s="136">
        <v>0.5</v>
      </c>
      <c r="Q69" s="134">
        <v>0</v>
      </c>
      <c r="R69" s="136">
        <v>0.30000000000000004</v>
      </c>
      <c r="S69" s="37"/>
      <c r="T69" s="135">
        <v>0</v>
      </c>
      <c r="U69" s="134">
        <v>1.7000000000000002</v>
      </c>
      <c r="V69" s="135">
        <v>0</v>
      </c>
      <c r="W69" s="134">
        <v>0.9</v>
      </c>
      <c r="X69" s="135">
        <v>0</v>
      </c>
      <c r="Y69" s="136">
        <v>0.9</v>
      </c>
      <c r="Z69" s="135">
        <v>0</v>
      </c>
      <c r="AA69" s="136">
        <v>0</v>
      </c>
      <c r="AB69" s="134">
        <v>0</v>
      </c>
      <c r="AC69" s="136">
        <v>0</v>
      </c>
      <c r="AE69" s="22">
        <v>69</v>
      </c>
      <c r="AF69" s="65"/>
      <c r="AG69" s="35">
        <v>0</v>
      </c>
      <c r="AH69" s="36">
        <v>0</v>
      </c>
      <c r="AI69" s="37"/>
      <c r="AJ69" s="35">
        <v>80</v>
      </c>
      <c r="AK69" s="36">
        <v>81.600000000000009</v>
      </c>
      <c r="AL69" s="35">
        <v>150</v>
      </c>
      <c r="AM69" s="36">
        <v>12</v>
      </c>
      <c r="AN69" s="35">
        <v>155</v>
      </c>
      <c r="AO69" s="36">
        <v>7.2000000000000011</v>
      </c>
      <c r="AP69" s="37"/>
      <c r="AQ69" s="35">
        <v>121</v>
      </c>
      <c r="AR69" s="36">
        <v>40.800000000000004</v>
      </c>
      <c r="AS69" s="35">
        <v>140</v>
      </c>
      <c r="AT69" s="36">
        <v>21.6</v>
      </c>
      <c r="AU69" s="35">
        <v>140</v>
      </c>
      <c r="AV69" s="36">
        <v>21.6</v>
      </c>
      <c r="AW69" s="35">
        <v>162</v>
      </c>
      <c r="AX69" s="36">
        <v>0</v>
      </c>
      <c r="AY69" s="35">
        <v>162</v>
      </c>
      <c r="AZ69" s="36">
        <v>0</v>
      </c>
    </row>
    <row r="70" spans="1:52">
      <c r="A70" s="196" t="s">
        <v>898</v>
      </c>
      <c r="B70" s="41" t="s">
        <v>673</v>
      </c>
      <c r="C70" s="211" t="s">
        <v>600</v>
      </c>
      <c r="D70" s="41">
        <v>161</v>
      </c>
      <c r="E70" s="41">
        <v>3.25</v>
      </c>
      <c r="F70" s="22" t="s">
        <v>387</v>
      </c>
      <c r="G70" s="40">
        <v>24</v>
      </c>
      <c r="H70" s="80">
        <v>134.71074380165291</v>
      </c>
      <c r="I70" s="228"/>
      <c r="J70" s="35" t="s">
        <v>3</v>
      </c>
      <c r="K70" s="36" t="s">
        <v>3</v>
      </c>
      <c r="L70" s="498" t="s">
        <v>1210</v>
      </c>
      <c r="M70" s="135">
        <v>19</v>
      </c>
      <c r="N70" s="134">
        <v>4</v>
      </c>
      <c r="O70" s="135">
        <v>0</v>
      </c>
      <c r="P70" s="136">
        <v>1.7000000000000002</v>
      </c>
      <c r="Q70" s="134">
        <v>0</v>
      </c>
      <c r="R70" s="136">
        <v>0.9</v>
      </c>
      <c r="S70" s="37"/>
      <c r="T70" s="135">
        <v>0</v>
      </c>
      <c r="U70" s="134">
        <v>5</v>
      </c>
      <c r="V70" s="135">
        <v>0</v>
      </c>
      <c r="W70" s="134">
        <v>1.1000000000000001</v>
      </c>
      <c r="X70" s="135">
        <v>0</v>
      </c>
      <c r="Y70" s="136">
        <v>1.1000000000000001</v>
      </c>
      <c r="Z70" s="135">
        <v>0</v>
      </c>
      <c r="AA70" s="136">
        <v>1</v>
      </c>
      <c r="AB70" s="134">
        <v>0</v>
      </c>
      <c r="AC70" s="136">
        <v>1</v>
      </c>
      <c r="AE70" s="22">
        <v>26</v>
      </c>
      <c r="AF70" s="65"/>
      <c r="AG70" s="35">
        <v>0</v>
      </c>
      <c r="AH70" s="36">
        <v>0</v>
      </c>
      <c r="AI70" s="37"/>
      <c r="AJ70" s="35">
        <v>46</v>
      </c>
      <c r="AK70" s="36">
        <v>96</v>
      </c>
      <c r="AL70" s="35">
        <v>120</v>
      </c>
      <c r="AM70" s="36">
        <v>40.800000000000004</v>
      </c>
      <c r="AN70" s="37">
        <v>139</v>
      </c>
      <c r="AO70" s="36">
        <v>21.6</v>
      </c>
      <c r="AP70" s="37"/>
      <c r="AQ70" s="35">
        <v>41</v>
      </c>
      <c r="AR70" s="36">
        <v>120</v>
      </c>
      <c r="AS70" s="35">
        <v>135</v>
      </c>
      <c r="AT70" s="36">
        <v>26.400000000000002</v>
      </c>
      <c r="AU70" s="37">
        <v>135</v>
      </c>
      <c r="AV70" s="36">
        <v>26.400000000000002</v>
      </c>
      <c r="AW70" s="37">
        <v>137</v>
      </c>
      <c r="AX70" s="36">
        <v>24</v>
      </c>
      <c r="AY70" s="37">
        <v>137</v>
      </c>
      <c r="AZ70" s="36">
        <v>24</v>
      </c>
    </row>
    <row r="71" spans="1:52">
      <c r="A71" s="196" t="s">
        <v>899</v>
      </c>
      <c r="B71" s="41" t="s">
        <v>673</v>
      </c>
      <c r="C71" s="211" t="s">
        <v>600</v>
      </c>
      <c r="D71" s="41">
        <v>161</v>
      </c>
      <c r="E71" s="41">
        <v>3.25</v>
      </c>
      <c r="F71" s="22" t="s">
        <v>387</v>
      </c>
      <c r="G71" s="413">
        <v>30</v>
      </c>
      <c r="H71" s="80">
        <v>134.71074380165291</v>
      </c>
      <c r="I71" s="228"/>
      <c r="J71" s="35" t="s">
        <v>3</v>
      </c>
      <c r="K71" s="36" t="s">
        <v>3</v>
      </c>
      <c r="L71" s="498" t="s">
        <v>1210</v>
      </c>
      <c r="M71" s="135">
        <v>19</v>
      </c>
      <c r="N71" s="134">
        <v>3.2</v>
      </c>
      <c r="O71" s="135">
        <v>0</v>
      </c>
      <c r="P71" s="136">
        <v>1.4000000000000001</v>
      </c>
      <c r="Q71" s="134">
        <v>0</v>
      </c>
      <c r="R71" s="136">
        <v>0.8</v>
      </c>
      <c r="S71" s="37"/>
      <c r="T71" s="135">
        <v>0</v>
      </c>
      <c r="U71" s="134">
        <v>4</v>
      </c>
      <c r="V71" s="135">
        <v>0</v>
      </c>
      <c r="W71" s="134">
        <v>0.9</v>
      </c>
      <c r="X71" s="135">
        <v>0</v>
      </c>
      <c r="Y71" s="136">
        <v>0.9</v>
      </c>
      <c r="Z71" s="135">
        <v>0</v>
      </c>
      <c r="AA71" s="136">
        <v>0.8</v>
      </c>
      <c r="AB71" s="134">
        <v>0</v>
      </c>
      <c r="AC71" s="136">
        <v>0.8</v>
      </c>
      <c r="AE71" s="22">
        <v>26</v>
      </c>
      <c r="AF71" s="65"/>
      <c r="AG71" s="35">
        <v>0</v>
      </c>
      <c r="AH71" s="36">
        <v>0</v>
      </c>
      <c r="AI71" s="37"/>
      <c r="AJ71" s="35">
        <v>46</v>
      </c>
      <c r="AK71" s="36">
        <v>96</v>
      </c>
      <c r="AL71" s="35">
        <v>119</v>
      </c>
      <c r="AM71" s="36">
        <v>42.000000000000007</v>
      </c>
      <c r="AN71" s="35">
        <v>137</v>
      </c>
      <c r="AO71" s="36">
        <v>24</v>
      </c>
      <c r="AP71" s="37"/>
      <c r="AQ71" s="35">
        <v>41</v>
      </c>
      <c r="AR71" s="36">
        <v>120</v>
      </c>
      <c r="AS71" s="35">
        <v>134</v>
      </c>
      <c r="AT71" s="36">
        <v>27</v>
      </c>
      <c r="AU71" s="35">
        <v>134</v>
      </c>
      <c r="AV71" s="36">
        <v>27</v>
      </c>
      <c r="AW71" s="35">
        <v>137</v>
      </c>
      <c r="AX71" s="36">
        <v>24</v>
      </c>
      <c r="AY71" s="35">
        <v>137</v>
      </c>
      <c r="AZ71" s="36">
        <v>24</v>
      </c>
    </row>
    <row r="72" spans="1:52">
      <c r="A72" s="196" t="s">
        <v>900</v>
      </c>
      <c r="B72" s="41" t="s">
        <v>673</v>
      </c>
      <c r="C72" s="211" t="s">
        <v>642</v>
      </c>
      <c r="D72" s="41">
        <v>201</v>
      </c>
      <c r="E72" s="41">
        <v>3.25</v>
      </c>
      <c r="F72" s="22" t="s">
        <v>387</v>
      </c>
      <c r="G72" s="40">
        <v>24</v>
      </c>
      <c r="H72" s="80">
        <v>185.95041322314052</v>
      </c>
      <c r="I72" s="228"/>
      <c r="J72" s="35" t="s">
        <v>3</v>
      </c>
      <c r="K72" s="36" t="s">
        <v>3</v>
      </c>
      <c r="L72" s="498" t="s">
        <v>1210</v>
      </c>
      <c r="M72" s="135" t="s">
        <v>3</v>
      </c>
      <c r="N72" s="134" t="s">
        <v>3</v>
      </c>
      <c r="O72" s="135" t="s">
        <v>3</v>
      </c>
      <c r="P72" s="136" t="s">
        <v>3</v>
      </c>
      <c r="Q72" s="134" t="s">
        <v>3</v>
      </c>
      <c r="R72" s="136" t="s">
        <v>3</v>
      </c>
      <c r="S72" s="37"/>
      <c r="T72" s="135">
        <v>0</v>
      </c>
      <c r="U72" s="134">
        <v>6.7</v>
      </c>
      <c r="V72" s="135">
        <v>0</v>
      </c>
      <c r="W72" s="134">
        <v>2.1</v>
      </c>
      <c r="X72" s="135">
        <v>0</v>
      </c>
      <c r="Y72" s="136">
        <v>2.1</v>
      </c>
      <c r="Z72" s="135">
        <v>0</v>
      </c>
      <c r="AA72" s="136">
        <v>2.1</v>
      </c>
      <c r="AB72" s="134">
        <v>0</v>
      </c>
      <c r="AC72" s="136">
        <v>2.1</v>
      </c>
      <c r="AE72" s="22">
        <v>15</v>
      </c>
      <c r="AF72" s="65"/>
      <c r="AG72" s="35">
        <v>0</v>
      </c>
      <c r="AH72" s="36">
        <v>0</v>
      </c>
      <c r="AI72" s="37"/>
      <c r="AJ72" s="35" t="s">
        <v>3</v>
      </c>
      <c r="AK72" s="36" t="s">
        <v>3</v>
      </c>
      <c r="AL72" s="35" t="s">
        <v>3</v>
      </c>
      <c r="AM72" s="36" t="s">
        <v>3</v>
      </c>
      <c r="AN72" s="37" t="s">
        <v>3</v>
      </c>
      <c r="AO72" s="36" t="s">
        <v>3</v>
      </c>
      <c r="AP72" s="37"/>
      <c r="AQ72" s="35">
        <v>40</v>
      </c>
      <c r="AR72" s="36">
        <v>160.80000000000001</v>
      </c>
      <c r="AS72" s="35">
        <v>151</v>
      </c>
      <c r="AT72" s="36">
        <v>50.400000000000006</v>
      </c>
      <c r="AU72" s="37">
        <v>151</v>
      </c>
      <c r="AV72" s="36">
        <v>50.400000000000006</v>
      </c>
      <c r="AW72" s="37">
        <v>151</v>
      </c>
      <c r="AX72" s="36">
        <v>50.400000000000006</v>
      </c>
      <c r="AY72" s="37">
        <v>151</v>
      </c>
      <c r="AZ72" s="36">
        <v>50.400000000000006</v>
      </c>
    </row>
    <row r="73" spans="1:52">
      <c r="A73" s="196" t="s">
        <v>901</v>
      </c>
      <c r="B73" s="41" t="s">
        <v>673</v>
      </c>
      <c r="C73" s="211" t="s">
        <v>642</v>
      </c>
      <c r="D73" s="41">
        <v>201</v>
      </c>
      <c r="E73" s="41">
        <v>3.25</v>
      </c>
      <c r="F73" s="22" t="s">
        <v>387</v>
      </c>
      <c r="G73" s="413">
        <v>30</v>
      </c>
      <c r="H73" s="80">
        <v>185.95041322314052</v>
      </c>
      <c r="I73" s="228"/>
      <c r="J73" s="35" t="s">
        <v>3</v>
      </c>
      <c r="K73" s="36" t="s">
        <v>3</v>
      </c>
      <c r="L73" s="498" t="s">
        <v>1210</v>
      </c>
      <c r="M73" s="135" t="s">
        <v>3</v>
      </c>
      <c r="N73" s="134" t="s">
        <v>3</v>
      </c>
      <c r="O73" s="135" t="s">
        <v>3</v>
      </c>
      <c r="P73" s="136" t="s">
        <v>3</v>
      </c>
      <c r="Q73" s="134" t="s">
        <v>3</v>
      </c>
      <c r="R73" s="136" t="s">
        <v>3</v>
      </c>
      <c r="S73" s="37"/>
      <c r="T73" s="135">
        <v>0</v>
      </c>
      <c r="U73" s="134">
        <v>5.4</v>
      </c>
      <c r="V73" s="135">
        <v>0</v>
      </c>
      <c r="W73" s="134">
        <v>1.7000000000000002</v>
      </c>
      <c r="X73" s="135">
        <v>0</v>
      </c>
      <c r="Y73" s="136">
        <v>1.7000000000000002</v>
      </c>
      <c r="Z73" s="135">
        <v>0</v>
      </c>
      <c r="AA73" s="136">
        <v>1.7000000000000002</v>
      </c>
      <c r="AB73" s="134">
        <v>0</v>
      </c>
      <c r="AC73" s="136">
        <v>1.7000000000000002</v>
      </c>
      <c r="AE73" s="22">
        <v>15</v>
      </c>
      <c r="AF73" s="65"/>
      <c r="AG73" s="35">
        <v>0</v>
      </c>
      <c r="AH73" s="36">
        <v>0</v>
      </c>
      <c r="AI73" s="37"/>
      <c r="AJ73" s="35" t="s">
        <v>3</v>
      </c>
      <c r="AK73" s="36" t="s">
        <v>3</v>
      </c>
      <c r="AL73" s="35" t="s">
        <v>3</v>
      </c>
      <c r="AM73" s="36" t="s">
        <v>3</v>
      </c>
      <c r="AN73" s="35" t="s">
        <v>3</v>
      </c>
      <c r="AO73" s="36" t="s">
        <v>3</v>
      </c>
      <c r="AP73" s="37"/>
      <c r="AQ73" s="35">
        <v>39</v>
      </c>
      <c r="AR73" s="36">
        <v>162</v>
      </c>
      <c r="AS73" s="35">
        <v>150</v>
      </c>
      <c r="AT73" s="36">
        <v>51.000000000000007</v>
      </c>
      <c r="AU73" s="35">
        <v>150</v>
      </c>
      <c r="AV73" s="36">
        <v>51.000000000000007</v>
      </c>
      <c r="AW73" s="35">
        <v>150</v>
      </c>
      <c r="AX73" s="36">
        <v>51.000000000000007</v>
      </c>
      <c r="AY73" s="35">
        <v>150</v>
      </c>
      <c r="AZ73" s="36">
        <v>51.000000000000007</v>
      </c>
    </row>
    <row r="74" spans="1:52">
      <c r="A74" s="196" t="s">
        <v>904</v>
      </c>
      <c r="B74" s="41" t="s">
        <v>664</v>
      </c>
      <c r="C74" s="211" t="s">
        <v>686</v>
      </c>
      <c r="D74" s="41">
        <v>174</v>
      </c>
      <c r="E74" s="41">
        <v>3.25</v>
      </c>
      <c r="F74" s="22" t="s">
        <v>387</v>
      </c>
      <c r="G74" s="40">
        <v>24</v>
      </c>
      <c r="H74" s="80">
        <v>88.429752066115711</v>
      </c>
      <c r="I74" s="228"/>
      <c r="J74" s="35" t="s">
        <v>3</v>
      </c>
      <c r="K74" s="36" t="s">
        <v>3</v>
      </c>
      <c r="L74" s="498" t="s">
        <v>1210</v>
      </c>
      <c r="M74" s="135">
        <v>0</v>
      </c>
      <c r="N74" s="134">
        <v>3.1</v>
      </c>
      <c r="O74" s="135">
        <v>0</v>
      </c>
      <c r="P74" s="136">
        <v>0.30000000000000004</v>
      </c>
      <c r="Q74" s="134">
        <v>0</v>
      </c>
      <c r="R74" s="136">
        <v>0.30000000000000004</v>
      </c>
      <c r="S74" s="37"/>
      <c r="T74" s="135">
        <v>0</v>
      </c>
      <c r="U74" s="134">
        <v>0.9</v>
      </c>
      <c r="V74" s="135">
        <v>0</v>
      </c>
      <c r="W74" s="134">
        <v>0</v>
      </c>
      <c r="X74" s="135">
        <v>0</v>
      </c>
      <c r="Y74" s="136">
        <v>0</v>
      </c>
      <c r="Z74" s="135">
        <v>0</v>
      </c>
      <c r="AA74" s="136">
        <v>0</v>
      </c>
      <c r="AB74" s="134">
        <v>0</v>
      </c>
      <c r="AC74" s="136">
        <v>0</v>
      </c>
      <c r="AE74" s="22">
        <v>86</v>
      </c>
      <c r="AF74" s="65"/>
      <c r="AG74" s="35">
        <v>0</v>
      </c>
      <c r="AH74" s="36">
        <v>0</v>
      </c>
      <c r="AI74" s="37"/>
      <c r="AJ74" s="35">
        <v>100</v>
      </c>
      <c r="AK74" s="36">
        <v>74.400000000000006</v>
      </c>
      <c r="AL74" s="35">
        <v>167</v>
      </c>
      <c r="AM74" s="36">
        <v>7.2000000000000011</v>
      </c>
      <c r="AN74" s="37">
        <v>167</v>
      </c>
      <c r="AO74" s="36">
        <v>7.2000000000000011</v>
      </c>
      <c r="AP74" s="37"/>
      <c r="AQ74" s="35">
        <v>152</v>
      </c>
      <c r="AR74" s="36">
        <v>21.6</v>
      </c>
      <c r="AS74" s="35">
        <v>174</v>
      </c>
      <c r="AT74" s="36">
        <v>0</v>
      </c>
      <c r="AU74" s="37">
        <v>174</v>
      </c>
      <c r="AV74" s="36">
        <v>0</v>
      </c>
      <c r="AW74" s="37">
        <v>174</v>
      </c>
      <c r="AX74" s="36">
        <v>0</v>
      </c>
      <c r="AY74" s="37">
        <v>174</v>
      </c>
      <c r="AZ74" s="36">
        <v>0</v>
      </c>
    </row>
    <row r="75" spans="1:52">
      <c r="A75" s="196" t="s">
        <v>911</v>
      </c>
      <c r="B75" s="41" t="s">
        <v>664</v>
      </c>
      <c r="C75" s="211" t="s">
        <v>613</v>
      </c>
      <c r="D75" s="41">
        <v>205</v>
      </c>
      <c r="E75" s="41">
        <v>3.25</v>
      </c>
      <c r="F75" s="22" t="s">
        <v>387</v>
      </c>
      <c r="G75" s="413">
        <v>24</v>
      </c>
      <c r="H75" s="80">
        <v>98.347107438016536</v>
      </c>
      <c r="I75" s="228"/>
      <c r="J75" s="35" t="s">
        <v>3</v>
      </c>
      <c r="K75" s="36" t="s">
        <v>3</v>
      </c>
      <c r="L75" s="498" t="s">
        <v>1210</v>
      </c>
      <c r="M75" s="135">
        <v>0</v>
      </c>
      <c r="N75" s="134">
        <v>3.6</v>
      </c>
      <c r="O75" s="135">
        <v>0</v>
      </c>
      <c r="P75" s="136">
        <v>0.70000000000000007</v>
      </c>
      <c r="Q75" s="134">
        <v>0</v>
      </c>
      <c r="R75" s="136">
        <v>0.5</v>
      </c>
      <c r="S75" s="37"/>
      <c r="T75" s="135">
        <v>0</v>
      </c>
      <c r="U75" s="134">
        <v>3.8000000000000003</v>
      </c>
      <c r="V75" s="135">
        <v>0</v>
      </c>
      <c r="W75" s="134">
        <v>1.1000000000000001</v>
      </c>
      <c r="X75" s="135">
        <v>0</v>
      </c>
      <c r="Y75" s="136">
        <v>0.5</v>
      </c>
      <c r="Z75" s="135">
        <v>0</v>
      </c>
      <c r="AA75" s="136">
        <v>0.5</v>
      </c>
      <c r="AB75" s="134">
        <v>0</v>
      </c>
      <c r="AC75" s="136">
        <v>0.5</v>
      </c>
      <c r="AE75" s="22">
        <v>107</v>
      </c>
      <c r="AF75" s="65"/>
      <c r="AG75" s="35">
        <v>0</v>
      </c>
      <c r="AH75" s="36">
        <v>0</v>
      </c>
      <c r="AI75" s="37"/>
      <c r="AJ75" s="35">
        <v>119</v>
      </c>
      <c r="AK75" s="36">
        <v>86.4</v>
      </c>
      <c r="AL75" s="35">
        <v>188</v>
      </c>
      <c r="AM75" s="36">
        <v>16.8</v>
      </c>
      <c r="AN75" s="35">
        <v>193</v>
      </c>
      <c r="AO75" s="36">
        <v>12</v>
      </c>
      <c r="AP75" s="37"/>
      <c r="AQ75" s="35">
        <v>114</v>
      </c>
      <c r="AR75" s="36">
        <v>91.2</v>
      </c>
      <c r="AS75" s="35">
        <v>179</v>
      </c>
      <c r="AT75" s="36">
        <v>26.400000000000002</v>
      </c>
      <c r="AU75" s="35">
        <v>193</v>
      </c>
      <c r="AV75" s="36">
        <v>12</v>
      </c>
      <c r="AW75" s="35">
        <v>193</v>
      </c>
      <c r="AX75" s="36">
        <v>12</v>
      </c>
      <c r="AY75" s="35">
        <v>193</v>
      </c>
      <c r="AZ75" s="36">
        <v>12</v>
      </c>
    </row>
    <row r="76" spans="1:52">
      <c r="A76" s="196" t="s">
        <v>912</v>
      </c>
      <c r="B76" s="41" t="s">
        <v>664</v>
      </c>
      <c r="C76" s="211" t="s">
        <v>613</v>
      </c>
      <c r="D76" s="41">
        <v>205</v>
      </c>
      <c r="E76" s="41">
        <v>3.25</v>
      </c>
      <c r="F76" s="22" t="s">
        <v>387</v>
      </c>
      <c r="G76" s="40">
        <v>30</v>
      </c>
      <c r="H76" s="80">
        <v>98.347107438016536</v>
      </c>
      <c r="I76" s="228"/>
      <c r="J76" s="35" t="s">
        <v>3</v>
      </c>
      <c r="K76" s="36" t="s">
        <v>3</v>
      </c>
      <c r="L76" s="498" t="s">
        <v>1210</v>
      </c>
      <c r="M76" s="135">
        <v>0</v>
      </c>
      <c r="N76" s="134">
        <v>2.9000000000000004</v>
      </c>
      <c r="O76" s="135">
        <v>0</v>
      </c>
      <c r="P76" s="136">
        <v>0.60000000000000009</v>
      </c>
      <c r="Q76" s="134">
        <v>0</v>
      </c>
      <c r="R76" s="136">
        <v>0.4</v>
      </c>
      <c r="S76" s="37"/>
      <c r="T76" s="135">
        <v>0</v>
      </c>
      <c r="U76" s="134">
        <v>3.1</v>
      </c>
      <c r="V76" s="135">
        <v>0</v>
      </c>
      <c r="W76" s="134">
        <v>0.9</v>
      </c>
      <c r="X76" s="135">
        <v>0</v>
      </c>
      <c r="Y76" s="136">
        <v>0.4</v>
      </c>
      <c r="Z76" s="135">
        <v>0</v>
      </c>
      <c r="AA76" s="136">
        <v>0.4</v>
      </c>
      <c r="AB76" s="134">
        <v>0</v>
      </c>
      <c r="AC76" s="136">
        <v>0.4</v>
      </c>
      <c r="AE76" s="22">
        <v>107</v>
      </c>
      <c r="AF76" s="65"/>
      <c r="AG76" s="35">
        <v>0</v>
      </c>
      <c r="AH76" s="36">
        <v>0</v>
      </c>
      <c r="AI76" s="37"/>
      <c r="AJ76" s="35">
        <v>118</v>
      </c>
      <c r="AK76" s="36">
        <v>87.000000000000014</v>
      </c>
      <c r="AL76" s="35">
        <v>187</v>
      </c>
      <c r="AM76" s="36">
        <v>18.000000000000004</v>
      </c>
      <c r="AN76" s="37">
        <v>193</v>
      </c>
      <c r="AO76" s="36">
        <v>12</v>
      </c>
      <c r="AP76" s="37"/>
      <c r="AQ76" s="35">
        <v>112</v>
      </c>
      <c r="AR76" s="36">
        <v>93</v>
      </c>
      <c r="AS76" s="35">
        <v>178</v>
      </c>
      <c r="AT76" s="36">
        <v>27</v>
      </c>
      <c r="AU76" s="37">
        <v>193</v>
      </c>
      <c r="AV76" s="36">
        <v>12</v>
      </c>
      <c r="AW76" s="37">
        <v>193</v>
      </c>
      <c r="AX76" s="36">
        <v>12</v>
      </c>
      <c r="AY76" s="37">
        <v>193</v>
      </c>
      <c r="AZ76" s="36">
        <v>12</v>
      </c>
    </row>
    <row r="77" spans="1:52">
      <c r="A77" s="196" t="s">
        <v>913</v>
      </c>
      <c r="B77" s="41" t="s">
        <v>664</v>
      </c>
      <c r="C77" s="211" t="s">
        <v>572</v>
      </c>
      <c r="D77" s="41">
        <v>326</v>
      </c>
      <c r="E77" s="41">
        <v>3.25</v>
      </c>
      <c r="F77" s="22" t="s">
        <v>387</v>
      </c>
      <c r="G77" s="413">
        <v>24</v>
      </c>
      <c r="H77" s="80">
        <v>179.3388429752066</v>
      </c>
      <c r="I77" s="228"/>
      <c r="J77" s="35" t="s">
        <v>3</v>
      </c>
      <c r="K77" s="36" t="s">
        <v>3</v>
      </c>
      <c r="L77" s="498" t="s">
        <v>1210</v>
      </c>
      <c r="M77" s="135" t="s">
        <v>3</v>
      </c>
      <c r="N77" s="134" t="s">
        <v>3</v>
      </c>
      <c r="O77" s="135" t="s">
        <v>3</v>
      </c>
      <c r="P77" s="136" t="s">
        <v>3</v>
      </c>
      <c r="Q77" s="134" t="s">
        <v>3</v>
      </c>
      <c r="R77" s="136" t="s">
        <v>3</v>
      </c>
      <c r="S77" s="37"/>
      <c r="T77" s="135">
        <v>0</v>
      </c>
      <c r="U77" s="134">
        <v>6.2</v>
      </c>
      <c r="V77" s="135">
        <v>0</v>
      </c>
      <c r="W77" s="134">
        <v>2.1</v>
      </c>
      <c r="X77" s="135">
        <v>0</v>
      </c>
      <c r="Y77" s="136">
        <v>2.1</v>
      </c>
      <c r="Z77" s="135">
        <v>0</v>
      </c>
      <c r="AA77" s="136">
        <v>1</v>
      </c>
      <c r="AB77" s="134">
        <v>0</v>
      </c>
      <c r="AC77" s="136">
        <v>1</v>
      </c>
      <c r="AE77" s="22">
        <v>147</v>
      </c>
      <c r="AF77" s="65"/>
      <c r="AG77" s="35">
        <v>0</v>
      </c>
      <c r="AH77" s="36">
        <v>0</v>
      </c>
      <c r="AI77" s="37"/>
      <c r="AJ77" s="35" t="s">
        <v>3</v>
      </c>
      <c r="AK77" s="36" t="s">
        <v>3</v>
      </c>
      <c r="AL77" s="35" t="s">
        <v>3</v>
      </c>
      <c r="AM77" s="36" t="s">
        <v>3</v>
      </c>
      <c r="AN77" s="35" t="s">
        <v>3</v>
      </c>
      <c r="AO77" s="36" t="s">
        <v>3</v>
      </c>
      <c r="AP77" s="37"/>
      <c r="AQ77" s="35">
        <v>177</v>
      </c>
      <c r="AR77" s="36">
        <v>148.80000000000001</v>
      </c>
      <c r="AS77" s="35">
        <v>276</v>
      </c>
      <c r="AT77" s="36">
        <v>50.400000000000006</v>
      </c>
      <c r="AU77" s="35">
        <v>276</v>
      </c>
      <c r="AV77" s="36">
        <v>50.400000000000006</v>
      </c>
      <c r="AW77" s="35">
        <v>302</v>
      </c>
      <c r="AX77" s="36">
        <v>24</v>
      </c>
      <c r="AY77" s="35">
        <v>302</v>
      </c>
      <c r="AZ77" s="36">
        <v>24</v>
      </c>
    </row>
    <row r="78" spans="1:52">
      <c r="A78" s="196" t="s">
        <v>914</v>
      </c>
      <c r="B78" s="41" t="s">
        <v>664</v>
      </c>
      <c r="C78" s="211" t="s">
        <v>572</v>
      </c>
      <c r="D78" s="41">
        <v>326</v>
      </c>
      <c r="E78" s="41">
        <v>3.25</v>
      </c>
      <c r="F78" s="22" t="s">
        <v>387</v>
      </c>
      <c r="G78" s="40">
        <v>30</v>
      </c>
      <c r="H78" s="80">
        <v>179.3388429752066</v>
      </c>
      <c r="I78" s="228"/>
      <c r="J78" s="35" t="s">
        <v>3</v>
      </c>
      <c r="K78" s="36" t="s">
        <v>3</v>
      </c>
      <c r="L78" s="498" t="s">
        <v>1210</v>
      </c>
      <c r="M78" s="135" t="s">
        <v>3</v>
      </c>
      <c r="N78" s="134" t="s">
        <v>3</v>
      </c>
      <c r="O78" s="135" t="s">
        <v>3</v>
      </c>
      <c r="P78" s="136" t="s">
        <v>3</v>
      </c>
      <c r="Q78" s="134" t="s">
        <v>3</v>
      </c>
      <c r="R78" s="136" t="s">
        <v>3</v>
      </c>
      <c r="S78" s="37"/>
      <c r="T78" s="135">
        <v>0</v>
      </c>
      <c r="U78" s="134">
        <v>5</v>
      </c>
      <c r="V78" s="135">
        <v>0</v>
      </c>
      <c r="W78" s="134">
        <v>1.7000000000000002</v>
      </c>
      <c r="X78" s="135">
        <v>0</v>
      </c>
      <c r="Y78" s="136">
        <v>1.7000000000000002</v>
      </c>
      <c r="Z78" s="135">
        <v>0</v>
      </c>
      <c r="AA78" s="136">
        <v>0.8</v>
      </c>
      <c r="AB78" s="134">
        <v>0</v>
      </c>
      <c r="AC78" s="136">
        <v>0.8</v>
      </c>
      <c r="AE78" s="22">
        <v>147</v>
      </c>
      <c r="AF78" s="65"/>
      <c r="AG78" s="35">
        <v>0</v>
      </c>
      <c r="AH78" s="36">
        <v>0</v>
      </c>
      <c r="AI78" s="37"/>
      <c r="AJ78" s="35" t="s">
        <v>3</v>
      </c>
      <c r="AK78" s="36" t="s">
        <v>3</v>
      </c>
      <c r="AL78" s="35" t="s">
        <v>3</v>
      </c>
      <c r="AM78" s="36" t="s">
        <v>3</v>
      </c>
      <c r="AN78" s="37" t="s">
        <v>3</v>
      </c>
      <c r="AO78" s="36" t="s">
        <v>3</v>
      </c>
      <c r="AP78" s="37"/>
      <c r="AQ78" s="35">
        <v>176</v>
      </c>
      <c r="AR78" s="36">
        <v>150</v>
      </c>
      <c r="AS78" s="35">
        <v>275</v>
      </c>
      <c r="AT78" s="36">
        <v>51.000000000000007</v>
      </c>
      <c r="AU78" s="37">
        <v>275</v>
      </c>
      <c r="AV78" s="36">
        <v>51.000000000000007</v>
      </c>
      <c r="AW78" s="37">
        <v>302</v>
      </c>
      <c r="AX78" s="36">
        <v>24</v>
      </c>
      <c r="AY78" s="37">
        <v>302</v>
      </c>
      <c r="AZ78" s="36">
        <v>24</v>
      </c>
    </row>
    <row r="79" spans="1:52">
      <c r="A79" s="196" t="s">
        <v>915</v>
      </c>
      <c r="B79" s="41" t="s">
        <v>664</v>
      </c>
      <c r="C79" s="211" t="s">
        <v>736</v>
      </c>
      <c r="D79" s="41">
        <v>323</v>
      </c>
      <c r="E79" s="41">
        <v>3.25</v>
      </c>
      <c r="F79" s="22" t="s">
        <v>387</v>
      </c>
      <c r="G79" s="413">
        <v>24</v>
      </c>
      <c r="H79" s="80">
        <v>286.77685950413223</v>
      </c>
      <c r="I79" s="228"/>
      <c r="J79" s="35" t="s">
        <v>3</v>
      </c>
      <c r="K79" s="36" t="s">
        <v>3</v>
      </c>
      <c r="L79" s="498" t="s">
        <v>1210</v>
      </c>
      <c r="M79" s="135" t="s">
        <v>3</v>
      </c>
      <c r="N79" s="134" t="s">
        <v>3</v>
      </c>
      <c r="O79" s="135" t="s">
        <v>3</v>
      </c>
      <c r="P79" s="136" t="s">
        <v>3</v>
      </c>
      <c r="Q79" s="134" t="s">
        <v>3</v>
      </c>
      <c r="R79" s="136" t="s">
        <v>3</v>
      </c>
      <c r="S79" s="37"/>
      <c r="T79" s="135">
        <v>0</v>
      </c>
      <c r="U79" s="134">
        <v>9.3000000000000007</v>
      </c>
      <c r="V79" s="135">
        <v>0</v>
      </c>
      <c r="W79" s="134">
        <v>3.8000000000000003</v>
      </c>
      <c r="X79" s="135">
        <v>0</v>
      </c>
      <c r="Y79" s="136">
        <v>3</v>
      </c>
      <c r="Z79" s="135">
        <v>0</v>
      </c>
      <c r="AA79" s="136">
        <v>3</v>
      </c>
      <c r="AB79" s="134">
        <v>0</v>
      </c>
      <c r="AC79" s="136">
        <v>3</v>
      </c>
      <c r="AE79" s="22">
        <v>36</v>
      </c>
      <c r="AF79" s="65"/>
      <c r="AG79" s="35">
        <v>0</v>
      </c>
      <c r="AH79" s="36">
        <v>0</v>
      </c>
      <c r="AI79" s="37"/>
      <c r="AJ79" s="35" t="s">
        <v>3</v>
      </c>
      <c r="AK79" s="36" t="s">
        <v>3</v>
      </c>
      <c r="AL79" s="35" t="s">
        <v>3</v>
      </c>
      <c r="AM79" s="36" t="s">
        <v>3</v>
      </c>
      <c r="AN79" s="35" t="s">
        <v>3</v>
      </c>
      <c r="AO79" s="36" t="s">
        <v>3</v>
      </c>
      <c r="AP79" s="37"/>
      <c r="AQ79" s="35">
        <v>100</v>
      </c>
      <c r="AR79" s="36">
        <v>223.20000000000002</v>
      </c>
      <c r="AS79" s="35">
        <v>232</v>
      </c>
      <c r="AT79" s="36">
        <v>91.2</v>
      </c>
      <c r="AU79" s="35">
        <v>251</v>
      </c>
      <c r="AV79" s="36">
        <v>72</v>
      </c>
      <c r="AW79" s="35">
        <v>251</v>
      </c>
      <c r="AX79" s="36">
        <v>72</v>
      </c>
      <c r="AY79" s="35">
        <v>251</v>
      </c>
      <c r="AZ79" s="36">
        <v>72</v>
      </c>
    </row>
    <row r="80" spans="1:52">
      <c r="A80" s="196" t="s">
        <v>916</v>
      </c>
      <c r="B80" s="41" t="s">
        <v>664</v>
      </c>
      <c r="C80" s="211" t="s">
        <v>736</v>
      </c>
      <c r="D80" s="41">
        <v>323</v>
      </c>
      <c r="E80" s="41">
        <v>3.25</v>
      </c>
      <c r="F80" s="22" t="s">
        <v>387</v>
      </c>
      <c r="G80" s="40">
        <v>30</v>
      </c>
      <c r="H80" s="80">
        <v>286.77685950413223</v>
      </c>
      <c r="I80" s="228"/>
      <c r="J80" s="35" t="s">
        <v>3</v>
      </c>
      <c r="K80" s="36" t="s">
        <v>3</v>
      </c>
      <c r="L80" s="498" t="s">
        <v>1210</v>
      </c>
      <c r="M80" s="135" t="s">
        <v>3</v>
      </c>
      <c r="N80" s="134" t="s">
        <v>3</v>
      </c>
      <c r="O80" s="135" t="s">
        <v>3</v>
      </c>
      <c r="P80" s="136" t="s">
        <v>3</v>
      </c>
      <c r="Q80" s="134" t="s">
        <v>3</v>
      </c>
      <c r="R80" s="136" t="s">
        <v>3</v>
      </c>
      <c r="S80" s="37"/>
      <c r="T80" s="135">
        <v>0</v>
      </c>
      <c r="U80" s="134">
        <v>7.5</v>
      </c>
      <c r="V80" s="135">
        <v>0</v>
      </c>
      <c r="W80" s="134">
        <v>3.1</v>
      </c>
      <c r="X80" s="135">
        <v>0</v>
      </c>
      <c r="Y80" s="136">
        <v>2.4000000000000004</v>
      </c>
      <c r="Z80" s="135">
        <v>0</v>
      </c>
      <c r="AA80" s="136">
        <v>2.4000000000000004</v>
      </c>
      <c r="AB80" s="134">
        <v>0</v>
      </c>
      <c r="AC80" s="136">
        <v>2.4000000000000004</v>
      </c>
      <c r="AE80" s="22">
        <v>36</v>
      </c>
      <c r="AF80" s="65"/>
      <c r="AG80" s="35">
        <v>0</v>
      </c>
      <c r="AH80" s="36">
        <v>0</v>
      </c>
      <c r="AI80" s="37"/>
      <c r="AJ80" s="35" t="s">
        <v>3</v>
      </c>
      <c r="AK80" s="36" t="s">
        <v>3</v>
      </c>
      <c r="AL80" s="35" t="s">
        <v>3</v>
      </c>
      <c r="AM80" s="36" t="s">
        <v>3</v>
      </c>
      <c r="AN80" s="37" t="s">
        <v>3</v>
      </c>
      <c r="AO80" s="36" t="s">
        <v>3</v>
      </c>
      <c r="AP80" s="37"/>
      <c r="AQ80" s="35">
        <v>98</v>
      </c>
      <c r="AR80" s="36">
        <v>225</v>
      </c>
      <c r="AS80" s="35">
        <v>230</v>
      </c>
      <c r="AT80" s="36">
        <v>93</v>
      </c>
      <c r="AU80" s="37">
        <v>251</v>
      </c>
      <c r="AV80" s="36">
        <v>72.000000000000014</v>
      </c>
      <c r="AW80" s="37">
        <v>251</v>
      </c>
      <c r="AX80" s="36">
        <v>72.000000000000014</v>
      </c>
      <c r="AY80" s="37">
        <v>251</v>
      </c>
      <c r="AZ80" s="36">
        <v>72.000000000000014</v>
      </c>
    </row>
    <row r="81" spans="1:52">
      <c r="A81" s="196" t="s">
        <v>921</v>
      </c>
      <c r="B81" s="41" t="s">
        <v>540</v>
      </c>
      <c r="C81" s="211" t="s">
        <v>687</v>
      </c>
      <c r="D81" s="41">
        <v>148</v>
      </c>
      <c r="E81" s="41">
        <v>3.25</v>
      </c>
      <c r="F81" s="22" t="s">
        <v>387</v>
      </c>
      <c r="G81" s="413">
        <v>24</v>
      </c>
      <c r="H81" s="80">
        <v>96.694214876033058</v>
      </c>
      <c r="I81" s="228"/>
      <c r="J81" s="35" t="s">
        <v>3</v>
      </c>
      <c r="K81" s="36" t="s">
        <v>3</v>
      </c>
      <c r="L81" s="498" t="s">
        <v>1210</v>
      </c>
      <c r="M81" s="135">
        <v>0</v>
      </c>
      <c r="N81" s="134">
        <v>3.6</v>
      </c>
      <c r="O81" s="135">
        <v>0</v>
      </c>
      <c r="P81" s="136">
        <v>0.70000000000000007</v>
      </c>
      <c r="Q81" s="134">
        <v>0</v>
      </c>
      <c r="R81" s="136">
        <v>0.5</v>
      </c>
      <c r="S81" s="37"/>
      <c r="T81" s="135">
        <v>0</v>
      </c>
      <c r="U81" s="134">
        <v>3.8000000000000003</v>
      </c>
      <c r="V81" s="135">
        <v>0</v>
      </c>
      <c r="W81" s="134">
        <v>1.1000000000000001</v>
      </c>
      <c r="X81" s="135">
        <v>0</v>
      </c>
      <c r="Y81" s="136">
        <v>1</v>
      </c>
      <c r="Z81" s="135">
        <v>0</v>
      </c>
      <c r="AA81" s="136">
        <v>0.5</v>
      </c>
      <c r="AB81" s="134">
        <v>0</v>
      </c>
      <c r="AC81" s="136">
        <v>0.5</v>
      </c>
      <c r="AE81" s="22">
        <v>51</v>
      </c>
      <c r="AF81" s="65"/>
      <c r="AG81" s="35">
        <v>0</v>
      </c>
      <c r="AH81" s="36">
        <v>0</v>
      </c>
      <c r="AI81" s="37"/>
      <c r="AJ81" s="35">
        <v>62</v>
      </c>
      <c r="AK81" s="36">
        <v>86.4</v>
      </c>
      <c r="AL81" s="35">
        <v>131</v>
      </c>
      <c r="AM81" s="36">
        <v>16.8</v>
      </c>
      <c r="AN81" s="35">
        <v>136</v>
      </c>
      <c r="AO81" s="36">
        <v>12</v>
      </c>
      <c r="AP81" s="37"/>
      <c r="AQ81" s="35">
        <v>57</v>
      </c>
      <c r="AR81" s="36">
        <v>91.2</v>
      </c>
      <c r="AS81" s="35">
        <v>122</v>
      </c>
      <c r="AT81" s="36">
        <v>26.400000000000002</v>
      </c>
      <c r="AU81" s="35">
        <v>124</v>
      </c>
      <c r="AV81" s="36">
        <v>24</v>
      </c>
      <c r="AW81" s="35">
        <v>136</v>
      </c>
      <c r="AX81" s="36">
        <v>12</v>
      </c>
      <c r="AY81" s="35">
        <v>136</v>
      </c>
      <c r="AZ81" s="36">
        <v>12</v>
      </c>
    </row>
    <row r="82" spans="1:52">
      <c r="A82" s="196" t="s">
        <v>922</v>
      </c>
      <c r="B82" s="41" t="s">
        <v>540</v>
      </c>
      <c r="C82" s="211" t="s">
        <v>687</v>
      </c>
      <c r="D82" s="41">
        <v>148</v>
      </c>
      <c r="E82" s="41">
        <v>3.25</v>
      </c>
      <c r="F82" s="22" t="s">
        <v>387</v>
      </c>
      <c r="G82" s="40">
        <v>30</v>
      </c>
      <c r="H82" s="80">
        <v>96.694214876033058</v>
      </c>
      <c r="I82" s="228"/>
      <c r="J82" s="35" t="s">
        <v>3</v>
      </c>
      <c r="K82" s="36" t="s">
        <v>3</v>
      </c>
      <c r="L82" s="498" t="s">
        <v>1210</v>
      </c>
      <c r="M82" s="135">
        <v>0</v>
      </c>
      <c r="N82" s="134">
        <v>2.9000000000000004</v>
      </c>
      <c r="O82" s="135">
        <v>0</v>
      </c>
      <c r="P82" s="136">
        <v>0.60000000000000009</v>
      </c>
      <c r="Q82" s="134">
        <v>0</v>
      </c>
      <c r="R82" s="136">
        <v>0.4</v>
      </c>
      <c r="S82" s="37"/>
      <c r="T82" s="135">
        <v>0</v>
      </c>
      <c r="U82" s="134">
        <v>3.1</v>
      </c>
      <c r="V82" s="135">
        <v>0</v>
      </c>
      <c r="W82" s="134">
        <v>0.9</v>
      </c>
      <c r="X82" s="135">
        <v>0</v>
      </c>
      <c r="Y82" s="136">
        <v>0.8</v>
      </c>
      <c r="Z82" s="135">
        <v>0</v>
      </c>
      <c r="AA82" s="136">
        <v>0.4</v>
      </c>
      <c r="AB82" s="134">
        <v>0</v>
      </c>
      <c r="AC82" s="136">
        <v>0.4</v>
      </c>
      <c r="AE82" s="22">
        <v>51</v>
      </c>
      <c r="AF82" s="65"/>
      <c r="AG82" s="35">
        <v>0</v>
      </c>
      <c r="AH82" s="36">
        <v>0</v>
      </c>
      <c r="AI82" s="37"/>
      <c r="AJ82" s="35">
        <v>61</v>
      </c>
      <c r="AK82" s="36">
        <v>87.000000000000014</v>
      </c>
      <c r="AL82" s="35">
        <v>130</v>
      </c>
      <c r="AM82" s="36">
        <v>18.000000000000004</v>
      </c>
      <c r="AN82" s="35">
        <v>136</v>
      </c>
      <c r="AO82" s="36">
        <v>12</v>
      </c>
      <c r="AP82" s="37"/>
      <c r="AQ82" s="35">
        <v>55</v>
      </c>
      <c r="AR82" s="36">
        <v>93</v>
      </c>
      <c r="AS82" s="35">
        <v>121</v>
      </c>
      <c r="AT82" s="36">
        <v>27</v>
      </c>
      <c r="AU82" s="35">
        <v>124</v>
      </c>
      <c r="AV82" s="36">
        <v>24</v>
      </c>
      <c r="AW82" s="35">
        <v>136</v>
      </c>
      <c r="AX82" s="36">
        <v>12</v>
      </c>
      <c r="AY82" s="35">
        <v>136</v>
      </c>
      <c r="AZ82" s="36">
        <v>12</v>
      </c>
    </row>
    <row r="83" spans="1:52">
      <c r="A83" s="196" t="s">
        <v>984</v>
      </c>
      <c r="B83" s="41" t="s">
        <v>670</v>
      </c>
      <c r="C83" s="211" t="s">
        <v>705</v>
      </c>
      <c r="D83" s="41">
        <v>137</v>
      </c>
      <c r="E83" s="41">
        <v>3.75</v>
      </c>
      <c r="F83" s="22" t="s">
        <v>983</v>
      </c>
      <c r="G83" s="40">
        <v>24</v>
      </c>
      <c r="H83" s="80">
        <v>136.36363636363637</v>
      </c>
      <c r="I83" s="228"/>
      <c r="J83" s="35" t="s">
        <v>3</v>
      </c>
      <c r="K83" s="36" t="s">
        <v>3</v>
      </c>
      <c r="L83" s="498" t="s">
        <v>1210</v>
      </c>
      <c r="M83" s="135">
        <v>19</v>
      </c>
      <c r="N83" s="134">
        <v>4</v>
      </c>
      <c r="O83" s="135">
        <v>0</v>
      </c>
      <c r="P83" s="136">
        <v>1.7000000000000002</v>
      </c>
      <c r="Q83" s="134">
        <v>0</v>
      </c>
      <c r="R83" s="136">
        <v>0.9</v>
      </c>
      <c r="S83" s="37"/>
      <c r="T83" s="135">
        <v>0</v>
      </c>
      <c r="U83" s="134">
        <v>5</v>
      </c>
      <c r="V83" s="135">
        <v>0</v>
      </c>
      <c r="W83" s="134">
        <v>0.9</v>
      </c>
      <c r="X83" s="135">
        <v>0</v>
      </c>
      <c r="Y83" s="136">
        <v>0.9</v>
      </c>
      <c r="Z83" s="135">
        <v>0</v>
      </c>
      <c r="AA83" s="136">
        <v>0.8</v>
      </c>
      <c r="AB83" s="134">
        <v>0</v>
      </c>
      <c r="AC83" s="136">
        <v>0.8</v>
      </c>
      <c r="AE83" s="22">
        <v>1</v>
      </c>
      <c r="AF83" s="65"/>
      <c r="AG83" s="35">
        <v>0</v>
      </c>
      <c r="AH83" s="36">
        <v>0</v>
      </c>
      <c r="AI83" s="37"/>
      <c r="AJ83" s="35">
        <v>22</v>
      </c>
      <c r="AK83" s="36">
        <v>96</v>
      </c>
      <c r="AL83" s="35">
        <v>96</v>
      </c>
      <c r="AM83" s="36">
        <v>40.800000000000004</v>
      </c>
      <c r="AN83" s="37">
        <v>115</v>
      </c>
      <c r="AO83" s="36">
        <v>21.6</v>
      </c>
      <c r="AP83" s="37"/>
      <c r="AQ83" s="35">
        <v>17</v>
      </c>
      <c r="AR83" s="36">
        <v>120</v>
      </c>
      <c r="AS83" s="35">
        <v>115</v>
      </c>
      <c r="AT83" s="36">
        <v>21.6</v>
      </c>
      <c r="AU83" s="37">
        <v>115</v>
      </c>
      <c r="AV83" s="36">
        <v>21.6</v>
      </c>
      <c r="AW83" s="37">
        <v>118</v>
      </c>
      <c r="AX83" s="36">
        <v>19.200000000000003</v>
      </c>
      <c r="AY83" s="37">
        <v>118</v>
      </c>
      <c r="AZ83" s="36">
        <v>19.200000000000003</v>
      </c>
    </row>
    <row r="84" spans="1:52">
      <c r="A84" s="196" t="s">
        <v>968</v>
      </c>
      <c r="B84" s="41" t="s">
        <v>670</v>
      </c>
      <c r="C84" s="211" t="s">
        <v>614</v>
      </c>
      <c r="D84" s="41">
        <v>204</v>
      </c>
      <c r="E84" s="41">
        <v>3.75</v>
      </c>
      <c r="F84" s="22" t="s">
        <v>381</v>
      </c>
      <c r="G84" s="413">
        <v>24</v>
      </c>
      <c r="H84" s="80">
        <v>173.55371900826447</v>
      </c>
      <c r="I84" s="228"/>
      <c r="J84" s="35" t="s">
        <v>3</v>
      </c>
      <c r="K84" s="36" t="s">
        <v>3</v>
      </c>
      <c r="L84" s="498" t="s">
        <v>1210</v>
      </c>
      <c r="M84" s="135" t="s">
        <v>3</v>
      </c>
      <c r="N84" s="134" t="s">
        <v>3</v>
      </c>
      <c r="O84" s="135" t="s">
        <v>3</v>
      </c>
      <c r="P84" s="136" t="s">
        <v>3</v>
      </c>
      <c r="Q84" s="134" t="s">
        <v>3</v>
      </c>
      <c r="R84" s="136" t="s">
        <v>3</v>
      </c>
      <c r="S84" s="37"/>
      <c r="T84" s="135">
        <v>0</v>
      </c>
      <c r="U84" s="134">
        <v>6</v>
      </c>
      <c r="V84" s="135">
        <v>0</v>
      </c>
      <c r="W84" s="134">
        <v>1.7000000000000002</v>
      </c>
      <c r="X84" s="135">
        <v>0</v>
      </c>
      <c r="Y84" s="136">
        <v>1.7000000000000002</v>
      </c>
      <c r="Z84" s="135">
        <v>0</v>
      </c>
      <c r="AA84" s="136">
        <v>1.7000000000000002</v>
      </c>
      <c r="AB84" s="134">
        <v>0</v>
      </c>
      <c r="AC84" s="136">
        <v>1.7000000000000002</v>
      </c>
      <c r="AE84" s="22">
        <v>30</v>
      </c>
      <c r="AF84" s="65"/>
      <c r="AG84" s="35">
        <v>0</v>
      </c>
      <c r="AH84" s="36">
        <v>0</v>
      </c>
      <c r="AI84" s="37"/>
      <c r="AJ84" s="35" t="s">
        <v>3</v>
      </c>
      <c r="AK84" s="36" t="s">
        <v>3</v>
      </c>
      <c r="AL84" s="35" t="s">
        <v>3</v>
      </c>
      <c r="AM84" s="36" t="s">
        <v>3</v>
      </c>
      <c r="AN84" s="35" t="s">
        <v>3</v>
      </c>
      <c r="AO84" s="36" t="s">
        <v>3</v>
      </c>
      <c r="AP84" s="37"/>
      <c r="AQ84" s="35">
        <v>60</v>
      </c>
      <c r="AR84" s="36">
        <v>144</v>
      </c>
      <c r="AS84" s="35">
        <v>163</v>
      </c>
      <c r="AT84" s="36">
        <v>40.800000000000004</v>
      </c>
      <c r="AU84" s="35">
        <v>163</v>
      </c>
      <c r="AV84" s="36">
        <v>40.800000000000004</v>
      </c>
      <c r="AW84" s="35">
        <v>163</v>
      </c>
      <c r="AX84" s="36">
        <v>40.800000000000004</v>
      </c>
      <c r="AY84" s="35">
        <v>163</v>
      </c>
      <c r="AZ84" s="36">
        <v>40.800000000000004</v>
      </c>
    </row>
    <row r="85" spans="1:52">
      <c r="A85" s="196" t="s">
        <v>969</v>
      </c>
      <c r="B85" s="41" t="s">
        <v>225</v>
      </c>
      <c r="C85" s="211" t="s">
        <v>719</v>
      </c>
      <c r="D85" s="41">
        <v>191</v>
      </c>
      <c r="E85" s="41">
        <v>3.75</v>
      </c>
      <c r="F85" s="22" t="s">
        <v>381</v>
      </c>
      <c r="G85" s="40">
        <v>24</v>
      </c>
      <c r="H85" s="80">
        <v>166.11570247933884</v>
      </c>
      <c r="I85" s="228"/>
      <c r="J85" s="35" t="s">
        <v>3</v>
      </c>
      <c r="K85" s="36" t="s">
        <v>3</v>
      </c>
      <c r="L85" s="498" t="s">
        <v>1210</v>
      </c>
      <c r="M85" s="135" t="s">
        <v>3</v>
      </c>
      <c r="N85" s="134" t="s">
        <v>3</v>
      </c>
      <c r="O85" s="135" t="s">
        <v>3</v>
      </c>
      <c r="P85" s="136" t="s">
        <v>3</v>
      </c>
      <c r="Q85" s="134" t="s">
        <v>3</v>
      </c>
      <c r="R85" s="136" t="s">
        <v>3</v>
      </c>
      <c r="S85" s="37"/>
      <c r="T85" s="135">
        <v>0</v>
      </c>
      <c r="U85" s="134">
        <v>5.6000000000000005</v>
      </c>
      <c r="V85" s="135">
        <v>0</v>
      </c>
      <c r="W85" s="134">
        <v>1.7000000000000002</v>
      </c>
      <c r="X85" s="135">
        <v>0</v>
      </c>
      <c r="Y85" s="136">
        <v>1.7000000000000002</v>
      </c>
      <c r="Z85" s="135">
        <v>0</v>
      </c>
      <c r="AA85" s="136">
        <v>1.7000000000000002</v>
      </c>
      <c r="AB85" s="134">
        <v>0</v>
      </c>
      <c r="AC85" s="136">
        <v>1.7000000000000002</v>
      </c>
      <c r="AE85" s="22">
        <v>25</v>
      </c>
      <c r="AF85" s="65"/>
      <c r="AG85" s="35">
        <v>0</v>
      </c>
      <c r="AH85" s="36">
        <v>0</v>
      </c>
      <c r="AI85" s="37"/>
      <c r="AJ85" s="35" t="s">
        <v>3</v>
      </c>
      <c r="AK85" s="36" t="s">
        <v>3</v>
      </c>
      <c r="AL85" s="35" t="s">
        <v>3</v>
      </c>
      <c r="AM85" s="36" t="s">
        <v>3</v>
      </c>
      <c r="AN85" s="37" t="s">
        <v>3</v>
      </c>
      <c r="AO85" s="36" t="s">
        <v>3</v>
      </c>
      <c r="AP85" s="37"/>
      <c r="AQ85" s="35">
        <v>57</v>
      </c>
      <c r="AR85" s="36">
        <v>134.4</v>
      </c>
      <c r="AS85" s="35">
        <v>150</v>
      </c>
      <c r="AT85" s="36">
        <v>40.800000000000004</v>
      </c>
      <c r="AU85" s="37">
        <v>150</v>
      </c>
      <c r="AV85" s="36">
        <v>40.800000000000004</v>
      </c>
      <c r="AW85" s="37">
        <v>150</v>
      </c>
      <c r="AX85" s="36">
        <v>40.800000000000004</v>
      </c>
      <c r="AY85" s="37">
        <v>150</v>
      </c>
      <c r="AZ85" s="36">
        <v>40.800000000000004</v>
      </c>
    </row>
    <row r="86" spans="1:52">
      <c r="A86" s="196" t="s">
        <v>970</v>
      </c>
      <c r="B86" s="41" t="s">
        <v>60</v>
      </c>
      <c r="C86" s="211" t="s">
        <v>568</v>
      </c>
      <c r="D86" s="41">
        <v>182</v>
      </c>
      <c r="E86" s="41">
        <v>3.75</v>
      </c>
      <c r="F86" s="22" t="s">
        <v>381</v>
      </c>
      <c r="G86" s="413">
        <v>24</v>
      </c>
      <c r="H86" s="80">
        <v>161.98347107438016</v>
      </c>
      <c r="I86" s="228"/>
      <c r="J86" s="35" t="s">
        <v>3</v>
      </c>
      <c r="K86" s="36" t="s">
        <v>3</v>
      </c>
      <c r="L86" s="498" t="s">
        <v>1210</v>
      </c>
      <c r="M86" s="135" t="s">
        <v>3</v>
      </c>
      <c r="N86" s="134" t="s">
        <v>3</v>
      </c>
      <c r="O86" s="135" t="s">
        <v>3</v>
      </c>
      <c r="P86" s="136" t="s">
        <v>3</v>
      </c>
      <c r="Q86" s="134" t="s">
        <v>3</v>
      </c>
      <c r="R86" s="136" t="s">
        <v>3</v>
      </c>
      <c r="S86" s="37"/>
      <c r="T86" s="135">
        <v>0</v>
      </c>
      <c r="U86" s="134">
        <v>5.6000000000000005</v>
      </c>
      <c r="V86" s="135">
        <v>0</v>
      </c>
      <c r="W86" s="134">
        <v>1.7000000000000002</v>
      </c>
      <c r="X86" s="135">
        <v>0</v>
      </c>
      <c r="Y86" s="136">
        <v>1.7000000000000002</v>
      </c>
      <c r="Z86" s="135">
        <v>0</v>
      </c>
      <c r="AA86" s="136">
        <v>1.7000000000000002</v>
      </c>
      <c r="AB86" s="134">
        <v>0</v>
      </c>
      <c r="AC86" s="136">
        <v>1.7000000000000002</v>
      </c>
      <c r="AE86" s="22">
        <v>20</v>
      </c>
      <c r="AF86" s="65"/>
      <c r="AG86" s="35">
        <v>0</v>
      </c>
      <c r="AH86" s="36">
        <v>0</v>
      </c>
      <c r="AI86" s="37"/>
      <c r="AJ86" s="35" t="s">
        <v>3</v>
      </c>
      <c r="AK86" s="36" t="s">
        <v>3</v>
      </c>
      <c r="AL86" s="35" t="s">
        <v>3</v>
      </c>
      <c r="AM86" s="36" t="s">
        <v>3</v>
      </c>
      <c r="AN86" s="35" t="s">
        <v>3</v>
      </c>
      <c r="AO86" s="36" t="s">
        <v>3</v>
      </c>
      <c r="AP86" s="37"/>
      <c r="AQ86" s="35">
        <v>48</v>
      </c>
      <c r="AR86" s="36">
        <v>134.4</v>
      </c>
      <c r="AS86" s="35">
        <v>141</v>
      </c>
      <c r="AT86" s="36">
        <v>40.800000000000004</v>
      </c>
      <c r="AU86" s="35">
        <v>141</v>
      </c>
      <c r="AV86" s="36">
        <v>40.800000000000004</v>
      </c>
      <c r="AW86" s="35">
        <v>141</v>
      </c>
      <c r="AX86" s="36">
        <v>40.800000000000004</v>
      </c>
      <c r="AY86" s="35">
        <v>141</v>
      </c>
      <c r="AZ86" s="36">
        <v>40.800000000000004</v>
      </c>
    </row>
    <row r="87" spans="1:52">
      <c r="A87" s="196" t="s">
        <v>971</v>
      </c>
      <c r="B87" s="41" t="s">
        <v>60</v>
      </c>
      <c r="C87" s="211" t="s">
        <v>569</v>
      </c>
      <c r="D87" s="41">
        <v>310</v>
      </c>
      <c r="E87" s="41">
        <v>3.75</v>
      </c>
      <c r="F87" s="22" t="s">
        <v>381</v>
      </c>
      <c r="G87" s="40">
        <v>24</v>
      </c>
      <c r="H87" s="80">
        <v>250.41322314049589</v>
      </c>
      <c r="I87" s="228"/>
      <c r="J87" s="35" t="s">
        <v>3</v>
      </c>
      <c r="K87" s="36" t="s">
        <v>3</v>
      </c>
      <c r="L87" s="498" t="s">
        <v>1210</v>
      </c>
      <c r="M87" s="135" t="s">
        <v>3</v>
      </c>
      <c r="N87" s="134" t="s">
        <v>3</v>
      </c>
      <c r="O87" s="135" t="s">
        <v>3</v>
      </c>
      <c r="P87" s="136" t="s">
        <v>3</v>
      </c>
      <c r="Q87" s="134" t="s">
        <v>3</v>
      </c>
      <c r="R87" s="136" t="s">
        <v>3</v>
      </c>
      <c r="S87" s="37"/>
      <c r="T87" s="135">
        <v>0</v>
      </c>
      <c r="U87" s="134">
        <v>8.5</v>
      </c>
      <c r="V87" s="135">
        <v>0</v>
      </c>
      <c r="W87" s="134">
        <v>5</v>
      </c>
      <c r="X87" s="135">
        <v>0</v>
      </c>
      <c r="Y87" s="136">
        <v>5</v>
      </c>
      <c r="Z87" s="135">
        <v>0</v>
      </c>
      <c r="AA87" s="136">
        <v>5</v>
      </c>
      <c r="AB87" s="134">
        <v>0</v>
      </c>
      <c r="AC87" s="136">
        <v>5</v>
      </c>
      <c r="AE87" s="22">
        <v>60</v>
      </c>
      <c r="AF87" s="65"/>
      <c r="AG87" s="35">
        <v>0</v>
      </c>
      <c r="AH87" s="36">
        <v>0</v>
      </c>
      <c r="AI87" s="37"/>
      <c r="AJ87" s="35" t="s">
        <v>3</v>
      </c>
      <c r="AK87" s="36" t="s">
        <v>3</v>
      </c>
      <c r="AL87" s="35" t="s">
        <v>3</v>
      </c>
      <c r="AM87" s="36" t="s">
        <v>3</v>
      </c>
      <c r="AN87" s="37" t="s">
        <v>3</v>
      </c>
      <c r="AO87" s="36" t="s">
        <v>3</v>
      </c>
      <c r="AP87" s="37"/>
      <c r="AQ87" s="35">
        <v>106</v>
      </c>
      <c r="AR87" s="36">
        <v>204</v>
      </c>
      <c r="AS87" s="35">
        <v>190</v>
      </c>
      <c r="AT87" s="36">
        <v>120</v>
      </c>
      <c r="AU87" s="37">
        <v>190</v>
      </c>
      <c r="AV87" s="36">
        <v>120</v>
      </c>
      <c r="AW87" s="37">
        <v>190</v>
      </c>
      <c r="AX87" s="36">
        <v>120</v>
      </c>
      <c r="AY87" s="37">
        <v>190</v>
      </c>
      <c r="AZ87" s="36">
        <v>120</v>
      </c>
    </row>
    <row r="88" spans="1:52">
      <c r="A88" s="196" t="s">
        <v>972</v>
      </c>
      <c r="B88" s="41" t="s">
        <v>60</v>
      </c>
      <c r="C88" s="211" t="s">
        <v>570</v>
      </c>
      <c r="D88" s="41">
        <v>310</v>
      </c>
      <c r="E88" s="41">
        <v>3.75</v>
      </c>
      <c r="F88" s="22" t="s">
        <v>381</v>
      </c>
      <c r="G88" s="413">
        <v>24</v>
      </c>
      <c r="H88" s="80">
        <v>240.49586776859505</v>
      </c>
      <c r="I88" s="228"/>
      <c r="J88" s="35" t="s">
        <v>3</v>
      </c>
      <c r="K88" s="36" t="s">
        <v>3</v>
      </c>
      <c r="L88" s="498" t="s">
        <v>1210</v>
      </c>
      <c r="M88" s="135" t="s">
        <v>3</v>
      </c>
      <c r="N88" s="134" t="s">
        <v>3</v>
      </c>
      <c r="O88" s="135" t="s">
        <v>3</v>
      </c>
      <c r="P88" s="136" t="s">
        <v>3</v>
      </c>
      <c r="Q88" s="134" t="s">
        <v>3</v>
      </c>
      <c r="R88" s="136" t="s">
        <v>3</v>
      </c>
      <c r="S88" s="37"/>
      <c r="T88" s="135">
        <v>0</v>
      </c>
      <c r="U88" s="134">
        <v>8.1</v>
      </c>
      <c r="V88" s="135">
        <v>0</v>
      </c>
      <c r="W88" s="134">
        <v>4.2</v>
      </c>
      <c r="X88" s="135">
        <v>0</v>
      </c>
      <c r="Y88" s="136">
        <v>4.2</v>
      </c>
      <c r="Z88" s="135">
        <v>0</v>
      </c>
      <c r="AA88" s="136">
        <v>4.1000000000000005</v>
      </c>
      <c r="AB88" s="134">
        <v>0</v>
      </c>
      <c r="AC88" s="136">
        <v>4.1000000000000005</v>
      </c>
      <c r="AE88" s="22">
        <v>70</v>
      </c>
      <c r="AF88" s="65"/>
      <c r="AG88" s="35">
        <v>0</v>
      </c>
      <c r="AH88" s="36">
        <v>0</v>
      </c>
      <c r="AI88" s="37"/>
      <c r="AJ88" s="35" t="s">
        <v>3</v>
      </c>
      <c r="AK88" s="36" t="s">
        <v>3</v>
      </c>
      <c r="AL88" s="35" t="s">
        <v>3</v>
      </c>
      <c r="AM88" s="36" t="s">
        <v>3</v>
      </c>
      <c r="AN88" s="35" t="s">
        <v>3</v>
      </c>
      <c r="AO88" s="36" t="s">
        <v>3</v>
      </c>
      <c r="AP88" s="37"/>
      <c r="AQ88" s="35">
        <v>116</v>
      </c>
      <c r="AR88" s="36">
        <v>194.39999999999998</v>
      </c>
      <c r="AS88" s="35">
        <v>209</v>
      </c>
      <c r="AT88" s="36">
        <v>100.80000000000001</v>
      </c>
      <c r="AU88" s="35">
        <v>209</v>
      </c>
      <c r="AV88" s="36">
        <v>100.80000000000001</v>
      </c>
      <c r="AW88" s="35">
        <v>212</v>
      </c>
      <c r="AX88" s="36">
        <v>98.4</v>
      </c>
      <c r="AY88" s="35">
        <v>212</v>
      </c>
      <c r="AZ88" s="36">
        <v>98.4</v>
      </c>
    </row>
    <row r="89" spans="1:52">
      <c r="A89" s="196" t="s">
        <v>975</v>
      </c>
      <c r="B89" s="41" t="s">
        <v>673</v>
      </c>
      <c r="C89" s="211" t="s">
        <v>549</v>
      </c>
      <c r="D89" s="41">
        <v>208</v>
      </c>
      <c r="E89" s="41">
        <v>3.75</v>
      </c>
      <c r="F89" s="22" t="s">
        <v>381</v>
      </c>
      <c r="G89" s="40">
        <v>24</v>
      </c>
      <c r="H89" s="80">
        <v>187.60330578512398</v>
      </c>
      <c r="I89" s="228"/>
      <c r="J89" s="35" t="s">
        <v>3</v>
      </c>
      <c r="K89" s="36" t="s">
        <v>3</v>
      </c>
      <c r="L89" s="498" t="s">
        <v>1210</v>
      </c>
      <c r="M89" s="135" t="s">
        <v>3</v>
      </c>
      <c r="N89" s="134" t="s">
        <v>3</v>
      </c>
      <c r="O89" s="135" t="s">
        <v>3</v>
      </c>
      <c r="P89" s="136" t="s">
        <v>3</v>
      </c>
      <c r="Q89" s="134" t="s">
        <v>3</v>
      </c>
      <c r="R89" s="136" t="s">
        <v>3</v>
      </c>
      <c r="S89" s="37"/>
      <c r="T89" s="135">
        <v>0</v>
      </c>
      <c r="U89" s="134">
        <v>6.7</v>
      </c>
      <c r="V89" s="135">
        <v>0</v>
      </c>
      <c r="W89" s="134">
        <v>2.5</v>
      </c>
      <c r="X89" s="135">
        <v>0</v>
      </c>
      <c r="Y89" s="136">
        <v>2.5</v>
      </c>
      <c r="Z89" s="135">
        <v>0</v>
      </c>
      <c r="AA89" s="136">
        <v>2.5</v>
      </c>
      <c r="AB89" s="134">
        <v>0</v>
      </c>
      <c r="AC89" s="136">
        <v>2.5</v>
      </c>
      <c r="AE89" s="22">
        <v>20</v>
      </c>
      <c r="AF89" s="65"/>
      <c r="AG89" s="35">
        <v>0</v>
      </c>
      <c r="AH89" s="36">
        <v>0</v>
      </c>
      <c r="AI89" s="37"/>
      <c r="AJ89" s="35" t="s">
        <v>3</v>
      </c>
      <c r="AK89" s="36" t="s">
        <v>3</v>
      </c>
      <c r="AL89" s="35" t="s">
        <v>3</v>
      </c>
      <c r="AM89" s="36" t="s">
        <v>3</v>
      </c>
      <c r="AN89" s="37" t="s">
        <v>3</v>
      </c>
      <c r="AO89" s="36" t="s">
        <v>3</v>
      </c>
      <c r="AP89" s="37"/>
      <c r="AQ89" s="35">
        <v>47</v>
      </c>
      <c r="AR89" s="36">
        <v>160.80000000000001</v>
      </c>
      <c r="AS89" s="35">
        <v>148</v>
      </c>
      <c r="AT89" s="36">
        <v>60</v>
      </c>
      <c r="AU89" s="37">
        <v>148</v>
      </c>
      <c r="AV89" s="36">
        <v>60</v>
      </c>
      <c r="AW89" s="37">
        <v>148</v>
      </c>
      <c r="AX89" s="36">
        <v>60</v>
      </c>
      <c r="AY89" s="37">
        <v>148</v>
      </c>
      <c r="AZ89" s="36">
        <v>60</v>
      </c>
    </row>
    <row r="90" spans="1:52">
      <c r="A90" s="196" t="s">
        <v>976</v>
      </c>
      <c r="B90" s="41" t="s">
        <v>673</v>
      </c>
      <c r="C90" s="211" t="s">
        <v>550</v>
      </c>
      <c r="D90" s="41">
        <v>132</v>
      </c>
      <c r="E90" s="41">
        <v>3.75</v>
      </c>
      <c r="F90" s="22" t="s">
        <v>381</v>
      </c>
      <c r="G90" s="413">
        <v>24</v>
      </c>
      <c r="H90" s="80">
        <v>100.82644628099173</v>
      </c>
      <c r="I90" s="228"/>
      <c r="J90" s="35" t="s">
        <v>3</v>
      </c>
      <c r="K90" s="36" t="s">
        <v>3</v>
      </c>
      <c r="L90" s="498" t="s">
        <v>1210</v>
      </c>
      <c r="M90" s="135">
        <v>0</v>
      </c>
      <c r="N90" s="134">
        <v>3.6</v>
      </c>
      <c r="O90" s="135">
        <v>0</v>
      </c>
      <c r="P90" s="136">
        <v>0.70000000000000007</v>
      </c>
      <c r="Q90" s="134">
        <v>0</v>
      </c>
      <c r="R90" s="136">
        <v>0.30000000000000004</v>
      </c>
      <c r="S90" s="37"/>
      <c r="T90" s="135">
        <v>0</v>
      </c>
      <c r="U90" s="134">
        <v>3.8000000000000003</v>
      </c>
      <c r="V90" s="135">
        <v>0</v>
      </c>
      <c r="W90" s="134">
        <v>0.9</v>
      </c>
      <c r="X90" s="135">
        <v>0</v>
      </c>
      <c r="Y90" s="136">
        <v>0.9</v>
      </c>
      <c r="Z90" s="135">
        <v>0</v>
      </c>
      <c r="AA90" s="136">
        <v>0.8</v>
      </c>
      <c r="AB90" s="134">
        <v>0</v>
      </c>
      <c r="AC90" s="136">
        <v>0.8</v>
      </c>
      <c r="AE90" s="22">
        <v>31</v>
      </c>
      <c r="AF90" s="65"/>
      <c r="AG90" s="35">
        <v>0</v>
      </c>
      <c r="AH90" s="36">
        <v>0</v>
      </c>
      <c r="AI90" s="37"/>
      <c r="AJ90" s="35">
        <v>46</v>
      </c>
      <c r="AK90" s="36">
        <v>86.4</v>
      </c>
      <c r="AL90" s="35">
        <v>115</v>
      </c>
      <c r="AM90" s="36">
        <v>16.8</v>
      </c>
      <c r="AN90" s="37">
        <v>125</v>
      </c>
      <c r="AO90" s="36">
        <v>7.2000000000000011</v>
      </c>
      <c r="AP90" s="37"/>
      <c r="AQ90" s="35">
        <v>41</v>
      </c>
      <c r="AR90" s="36">
        <v>91.2</v>
      </c>
      <c r="AS90" s="35">
        <v>110</v>
      </c>
      <c r="AT90" s="36">
        <v>21.6</v>
      </c>
      <c r="AU90" s="37">
        <v>110</v>
      </c>
      <c r="AV90" s="36">
        <v>21.6</v>
      </c>
      <c r="AW90" s="37">
        <v>113</v>
      </c>
      <c r="AX90" s="36">
        <v>19.200000000000003</v>
      </c>
      <c r="AY90" s="37">
        <v>113</v>
      </c>
      <c r="AZ90" s="36">
        <v>19.200000000000003</v>
      </c>
    </row>
    <row r="91" spans="1:52">
      <c r="A91" s="196" t="s">
        <v>977</v>
      </c>
      <c r="B91" s="41" t="s">
        <v>673</v>
      </c>
      <c r="C91" s="211" t="s">
        <v>467</v>
      </c>
      <c r="D91" s="41">
        <v>115</v>
      </c>
      <c r="E91" s="41">
        <v>3.75</v>
      </c>
      <c r="F91" s="22" t="s">
        <v>381</v>
      </c>
      <c r="G91" s="40">
        <v>24</v>
      </c>
      <c r="H91" s="80">
        <v>105.78512396694215</v>
      </c>
      <c r="I91" s="228"/>
      <c r="J91" s="35" t="s">
        <v>3</v>
      </c>
      <c r="K91" s="36" t="s">
        <v>3</v>
      </c>
      <c r="L91" s="498" t="s">
        <v>1210</v>
      </c>
      <c r="M91" s="135">
        <v>0</v>
      </c>
      <c r="N91" s="134">
        <v>3.8000000000000003</v>
      </c>
      <c r="O91" s="135">
        <v>0</v>
      </c>
      <c r="P91" s="136">
        <v>0.9</v>
      </c>
      <c r="Q91" s="134">
        <v>0</v>
      </c>
      <c r="R91" s="136">
        <v>0.30000000000000004</v>
      </c>
      <c r="S91" s="37"/>
      <c r="T91" s="135">
        <v>0</v>
      </c>
      <c r="U91" s="134">
        <v>4</v>
      </c>
      <c r="V91" s="135">
        <v>0</v>
      </c>
      <c r="W91" s="134">
        <v>0.9</v>
      </c>
      <c r="X91" s="135">
        <v>0</v>
      </c>
      <c r="Y91" s="136">
        <v>0.9</v>
      </c>
      <c r="Z91" s="135">
        <v>0</v>
      </c>
      <c r="AA91" s="136">
        <v>0.8</v>
      </c>
      <c r="AB91" s="134">
        <v>0</v>
      </c>
      <c r="AC91" s="136">
        <v>0.8</v>
      </c>
      <c r="AE91" s="22">
        <v>9</v>
      </c>
      <c r="AF91" s="65"/>
      <c r="AG91" s="35">
        <v>0</v>
      </c>
      <c r="AH91" s="36">
        <v>0</v>
      </c>
      <c r="AI91" s="37"/>
      <c r="AJ91" s="35">
        <v>24</v>
      </c>
      <c r="AK91" s="36">
        <v>91.2</v>
      </c>
      <c r="AL91" s="35">
        <v>93</v>
      </c>
      <c r="AM91" s="36">
        <v>21.6</v>
      </c>
      <c r="AN91" s="35">
        <v>108</v>
      </c>
      <c r="AO91" s="36">
        <v>7.2000000000000011</v>
      </c>
      <c r="AP91" s="37"/>
      <c r="AQ91" s="35">
        <v>19</v>
      </c>
      <c r="AR91" s="36">
        <v>96</v>
      </c>
      <c r="AS91" s="35">
        <v>93</v>
      </c>
      <c r="AT91" s="36">
        <v>21.6</v>
      </c>
      <c r="AU91" s="35">
        <v>93</v>
      </c>
      <c r="AV91" s="36">
        <v>21.6</v>
      </c>
      <c r="AW91" s="35">
        <v>96</v>
      </c>
      <c r="AX91" s="36">
        <v>19.200000000000003</v>
      </c>
      <c r="AY91" s="35">
        <v>96</v>
      </c>
      <c r="AZ91" s="36">
        <v>19.200000000000003</v>
      </c>
    </row>
    <row r="92" spans="1:52">
      <c r="A92" s="196" t="s">
        <v>979</v>
      </c>
      <c r="B92" s="41" t="s">
        <v>664</v>
      </c>
      <c r="C92" s="211" t="s">
        <v>561</v>
      </c>
      <c r="D92" s="41">
        <v>208</v>
      </c>
      <c r="E92" s="41">
        <v>3.75</v>
      </c>
      <c r="F92" s="22" t="s">
        <v>381</v>
      </c>
      <c r="G92" s="40">
        <v>24</v>
      </c>
      <c r="H92" s="80">
        <v>171.900826446281</v>
      </c>
      <c r="I92" s="228"/>
      <c r="J92" s="35" t="s">
        <v>3</v>
      </c>
      <c r="K92" s="36" t="s">
        <v>3</v>
      </c>
      <c r="L92" s="498" t="s">
        <v>1210</v>
      </c>
      <c r="M92" s="135" t="s">
        <v>3</v>
      </c>
      <c r="N92" s="134" t="s">
        <v>3</v>
      </c>
      <c r="O92" s="135" t="s">
        <v>3</v>
      </c>
      <c r="P92" s="136" t="s">
        <v>3</v>
      </c>
      <c r="Q92" s="134" t="s">
        <v>3</v>
      </c>
      <c r="R92" s="136" t="s">
        <v>3</v>
      </c>
      <c r="S92" s="37"/>
      <c r="T92" s="135">
        <v>0</v>
      </c>
      <c r="U92" s="134">
        <v>6</v>
      </c>
      <c r="V92" s="135">
        <v>0</v>
      </c>
      <c r="W92" s="134">
        <v>1.7000000000000002</v>
      </c>
      <c r="X92" s="135">
        <v>0</v>
      </c>
      <c r="Y92" s="136">
        <v>1.7000000000000002</v>
      </c>
      <c r="Z92" s="135">
        <v>0</v>
      </c>
      <c r="AA92" s="136">
        <v>1.7000000000000002</v>
      </c>
      <c r="AB92" s="134">
        <v>0</v>
      </c>
      <c r="AC92" s="136">
        <v>1.7000000000000002</v>
      </c>
      <c r="AE92" s="22">
        <v>36</v>
      </c>
      <c r="AF92" s="65"/>
      <c r="AG92" s="35">
        <v>0</v>
      </c>
      <c r="AH92" s="36">
        <v>0</v>
      </c>
      <c r="AI92" s="37"/>
      <c r="AJ92" s="35" t="s">
        <v>3</v>
      </c>
      <c r="AK92" s="36" t="s">
        <v>3</v>
      </c>
      <c r="AL92" s="35" t="s">
        <v>3</v>
      </c>
      <c r="AM92" s="36" t="s">
        <v>3</v>
      </c>
      <c r="AN92" s="37" t="s">
        <v>3</v>
      </c>
      <c r="AO92" s="36" t="s">
        <v>3</v>
      </c>
      <c r="AP92" s="37"/>
      <c r="AQ92" s="35">
        <v>64</v>
      </c>
      <c r="AR92" s="36">
        <v>144</v>
      </c>
      <c r="AS92" s="35">
        <v>167</v>
      </c>
      <c r="AT92" s="36">
        <v>40.800000000000004</v>
      </c>
      <c r="AU92" s="37">
        <v>167</v>
      </c>
      <c r="AV92" s="36">
        <v>40.800000000000004</v>
      </c>
      <c r="AW92" s="37">
        <v>167</v>
      </c>
      <c r="AX92" s="36">
        <v>40.800000000000004</v>
      </c>
      <c r="AY92" s="37">
        <v>167</v>
      </c>
      <c r="AZ92" s="36">
        <v>40.800000000000004</v>
      </c>
    </row>
    <row r="93" spans="1:52">
      <c r="A93" s="196" t="s">
        <v>980</v>
      </c>
      <c r="B93" s="41" t="s">
        <v>664</v>
      </c>
      <c r="C93" s="211" t="s">
        <v>620</v>
      </c>
      <c r="D93" s="41">
        <v>327</v>
      </c>
      <c r="E93" s="41">
        <v>3.75</v>
      </c>
      <c r="F93" s="22" t="s">
        <v>381</v>
      </c>
      <c r="G93" s="413">
        <v>24</v>
      </c>
      <c r="H93" s="80">
        <v>276.03305785123968</v>
      </c>
      <c r="I93" s="228"/>
      <c r="J93" s="35" t="s">
        <v>3</v>
      </c>
      <c r="K93" s="36" t="s">
        <v>3</v>
      </c>
      <c r="L93" s="498" t="s">
        <v>1210</v>
      </c>
      <c r="M93" s="135" t="s">
        <v>3</v>
      </c>
      <c r="N93" s="134" t="s">
        <v>3</v>
      </c>
      <c r="O93" s="135" t="s">
        <v>3</v>
      </c>
      <c r="P93" s="136" t="s">
        <v>3</v>
      </c>
      <c r="Q93" s="134" t="s">
        <v>3</v>
      </c>
      <c r="R93" s="136" t="s">
        <v>3</v>
      </c>
      <c r="S93" s="37"/>
      <c r="T93" s="135">
        <v>0</v>
      </c>
      <c r="U93" s="134">
        <v>8.7000000000000011</v>
      </c>
      <c r="V93" s="135">
        <v>0</v>
      </c>
      <c r="W93" s="134">
        <v>4.2</v>
      </c>
      <c r="X93" s="135">
        <v>0</v>
      </c>
      <c r="Y93" s="136">
        <v>4.2</v>
      </c>
      <c r="Z93" s="135">
        <v>0</v>
      </c>
      <c r="AA93" s="136">
        <v>4.1000000000000005</v>
      </c>
      <c r="AB93" s="134">
        <v>0</v>
      </c>
      <c r="AC93" s="136">
        <v>4.1000000000000005</v>
      </c>
      <c r="AE93" s="22">
        <v>51</v>
      </c>
      <c r="AF93" s="65"/>
      <c r="AG93" s="35">
        <v>0</v>
      </c>
      <c r="AH93" s="36">
        <v>0</v>
      </c>
      <c r="AI93" s="37"/>
      <c r="AJ93" s="35" t="s">
        <v>3</v>
      </c>
      <c r="AK93" s="36" t="s">
        <v>3</v>
      </c>
      <c r="AL93" s="35" t="s">
        <v>3</v>
      </c>
      <c r="AM93" s="36" t="s">
        <v>3</v>
      </c>
      <c r="AN93" s="37" t="s">
        <v>3</v>
      </c>
      <c r="AO93" s="36" t="s">
        <v>3</v>
      </c>
      <c r="AP93" s="37"/>
      <c r="AQ93" s="35">
        <v>118</v>
      </c>
      <c r="AR93" s="36">
        <v>208.8</v>
      </c>
      <c r="AS93" s="35">
        <v>226</v>
      </c>
      <c r="AT93" s="36">
        <v>100.80000000000001</v>
      </c>
      <c r="AU93" s="37">
        <v>226</v>
      </c>
      <c r="AV93" s="36">
        <v>100.80000000000001</v>
      </c>
      <c r="AW93" s="37">
        <v>229</v>
      </c>
      <c r="AX93" s="36">
        <v>98.4</v>
      </c>
      <c r="AY93" s="37">
        <v>229</v>
      </c>
      <c r="AZ93" s="36">
        <v>98.4</v>
      </c>
    </row>
    <row r="94" spans="1:52">
      <c r="A94" s="196" t="s">
        <v>981</v>
      </c>
      <c r="B94" s="41" t="s">
        <v>664</v>
      </c>
      <c r="C94" s="211" t="s">
        <v>641</v>
      </c>
      <c r="D94" s="41">
        <v>167</v>
      </c>
      <c r="E94" s="41">
        <v>3.75</v>
      </c>
      <c r="F94" s="22" t="s">
        <v>381</v>
      </c>
      <c r="G94" s="40">
        <v>24</v>
      </c>
      <c r="H94" s="80">
        <v>109.91735537190083</v>
      </c>
      <c r="I94" s="228"/>
      <c r="J94" s="35" t="s">
        <v>3</v>
      </c>
      <c r="K94" s="36" t="s">
        <v>3</v>
      </c>
      <c r="L94" s="498" t="s">
        <v>1210</v>
      </c>
      <c r="M94" s="135">
        <v>0</v>
      </c>
      <c r="N94" s="134">
        <v>4</v>
      </c>
      <c r="O94" s="135">
        <v>0</v>
      </c>
      <c r="P94" s="136">
        <v>1.1000000000000001</v>
      </c>
      <c r="Q94" s="134">
        <v>0</v>
      </c>
      <c r="R94" s="136">
        <v>0.30000000000000004</v>
      </c>
      <c r="S94" s="37"/>
      <c r="T94" s="135">
        <v>0</v>
      </c>
      <c r="U94" s="134">
        <v>4.2</v>
      </c>
      <c r="V94" s="135">
        <v>0</v>
      </c>
      <c r="W94" s="134">
        <v>0.9</v>
      </c>
      <c r="X94" s="135">
        <v>0</v>
      </c>
      <c r="Y94" s="136">
        <v>0.9</v>
      </c>
      <c r="Z94" s="135">
        <v>0</v>
      </c>
      <c r="AA94" s="136">
        <v>0.8</v>
      </c>
      <c r="AB94" s="134">
        <v>0</v>
      </c>
      <c r="AC94" s="136">
        <v>0.8</v>
      </c>
      <c r="AE94" s="22">
        <v>57</v>
      </c>
      <c r="AF94" s="65"/>
      <c r="AG94" s="35">
        <v>0</v>
      </c>
      <c r="AH94" s="36">
        <v>0</v>
      </c>
      <c r="AI94" s="37"/>
      <c r="AJ94" s="35">
        <v>71</v>
      </c>
      <c r="AK94" s="36">
        <v>96</v>
      </c>
      <c r="AL94" s="35">
        <v>141</v>
      </c>
      <c r="AM94" s="36">
        <v>26.400000000000002</v>
      </c>
      <c r="AN94" s="35">
        <v>160</v>
      </c>
      <c r="AO94" s="36">
        <v>7.2000000000000011</v>
      </c>
      <c r="AP94" s="37"/>
      <c r="AQ94" s="35">
        <v>66</v>
      </c>
      <c r="AR94" s="36">
        <v>100.80000000000001</v>
      </c>
      <c r="AS94" s="35">
        <v>145</v>
      </c>
      <c r="AT94" s="36">
        <v>21.6</v>
      </c>
      <c r="AU94" s="35">
        <v>145</v>
      </c>
      <c r="AV94" s="36">
        <v>21.6</v>
      </c>
      <c r="AW94" s="35">
        <v>148</v>
      </c>
      <c r="AX94" s="36">
        <v>19.200000000000003</v>
      </c>
      <c r="AY94" s="35">
        <v>148</v>
      </c>
      <c r="AZ94" s="36">
        <v>19.200000000000003</v>
      </c>
    </row>
    <row r="95" spans="1:52">
      <c r="A95" s="196" t="s">
        <v>923</v>
      </c>
      <c r="B95" s="41" t="s">
        <v>59</v>
      </c>
      <c r="C95" s="211" t="s">
        <v>511</v>
      </c>
      <c r="D95" s="41">
        <v>215</v>
      </c>
      <c r="E95" s="41">
        <v>0</v>
      </c>
      <c r="F95" s="22" t="s">
        <v>924</v>
      </c>
      <c r="G95" s="413">
        <v>24</v>
      </c>
      <c r="H95" s="80">
        <v>214.04958677685951</v>
      </c>
      <c r="I95" s="228"/>
      <c r="J95" s="35" t="s">
        <v>3</v>
      </c>
      <c r="K95" s="36" t="s">
        <v>3</v>
      </c>
      <c r="L95" s="498" t="s">
        <v>1210</v>
      </c>
      <c r="M95" s="135" t="s">
        <v>3</v>
      </c>
      <c r="N95" s="134" t="s">
        <v>3</v>
      </c>
      <c r="O95" s="135" t="s">
        <v>3</v>
      </c>
      <c r="P95" s="136" t="s">
        <v>3</v>
      </c>
      <c r="Q95" s="134" t="s">
        <v>3</v>
      </c>
      <c r="R95" s="136" t="s">
        <v>3</v>
      </c>
      <c r="S95" s="37"/>
      <c r="T95" s="135">
        <v>0</v>
      </c>
      <c r="U95" s="134">
        <v>6.5</v>
      </c>
      <c r="V95" s="135">
        <v>0</v>
      </c>
      <c r="W95" s="134">
        <v>2.5</v>
      </c>
      <c r="X95" s="135">
        <v>0</v>
      </c>
      <c r="Y95" s="136">
        <v>2</v>
      </c>
      <c r="Z95" s="135">
        <v>0</v>
      </c>
      <c r="AA95" s="136">
        <v>1</v>
      </c>
      <c r="AB95" s="134">
        <v>0</v>
      </c>
      <c r="AC95" s="136">
        <v>1</v>
      </c>
      <c r="AE95" s="22">
        <v>1</v>
      </c>
      <c r="AF95" s="65"/>
      <c r="AG95" s="35">
        <v>0</v>
      </c>
      <c r="AH95" s="36">
        <v>0</v>
      </c>
      <c r="AI95" s="37"/>
      <c r="AJ95" s="35" t="s">
        <v>3</v>
      </c>
      <c r="AK95" s="36" t="s">
        <v>3</v>
      </c>
      <c r="AL95" s="35" t="s">
        <v>3</v>
      </c>
      <c r="AM95" s="36" t="s">
        <v>3</v>
      </c>
      <c r="AN95" s="37" t="s">
        <v>3</v>
      </c>
      <c r="AO95" s="36" t="s">
        <v>3</v>
      </c>
      <c r="AP95" s="37"/>
      <c r="AQ95" s="35">
        <v>59</v>
      </c>
      <c r="AR95" s="36">
        <v>156</v>
      </c>
      <c r="AS95" s="35">
        <v>155</v>
      </c>
      <c r="AT95" s="36">
        <v>60</v>
      </c>
      <c r="AU95" s="37">
        <v>167</v>
      </c>
      <c r="AV95" s="36">
        <v>48</v>
      </c>
      <c r="AW95" s="37">
        <v>191</v>
      </c>
      <c r="AX95" s="36">
        <v>24</v>
      </c>
      <c r="AY95" s="37">
        <v>191</v>
      </c>
      <c r="AZ95" s="36">
        <v>24</v>
      </c>
    </row>
    <row r="96" spans="1:52">
      <c r="A96" s="196" t="s">
        <v>949</v>
      </c>
      <c r="B96" s="41" t="s">
        <v>673</v>
      </c>
      <c r="C96" s="211" t="s">
        <v>601</v>
      </c>
      <c r="D96" s="41">
        <v>159</v>
      </c>
      <c r="E96" s="41">
        <v>0</v>
      </c>
      <c r="F96" s="22" t="s">
        <v>924</v>
      </c>
      <c r="G96" s="40">
        <v>24</v>
      </c>
      <c r="H96" s="80">
        <v>147.93388429752068</v>
      </c>
      <c r="I96" s="228"/>
      <c r="J96" s="35" t="s">
        <v>3</v>
      </c>
      <c r="K96" s="36" t="s">
        <v>3</v>
      </c>
      <c r="L96" s="498" t="s">
        <v>1210</v>
      </c>
      <c r="M96" s="135">
        <v>29</v>
      </c>
      <c r="N96" s="134">
        <v>4.2</v>
      </c>
      <c r="O96" s="135">
        <v>0</v>
      </c>
      <c r="P96" s="136">
        <v>2.3000000000000003</v>
      </c>
      <c r="Q96" s="134">
        <v>0</v>
      </c>
      <c r="R96" s="136">
        <v>1.5</v>
      </c>
      <c r="S96" s="37"/>
      <c r="T96" s="135">
        <v>0</v>
      </c>
      <c r="U96" s="134">
        <v>5.4</v>
      </c>
      <c r="V96" s="135">
        <v>0</v>
      </c>
      <c r="W96" s="134">
        <v>1.7000000000000002</v>
      </c>
      <c r="X96" s="135">
        <v>0</v>
      </c>
      <c r="Y96" s="136">
        <v>1</v>
      </c>
      <c r="Z96" s="135">
        <v>0</v>
      </c>
      <c r="AA96" s="136">
        <v>0.5</v>
      </c>
      <c r="AB96" s="134">
        <v>0</v>
      </c>
      <c r="AC96" s="136">
        <v>0.5</v>
      </c>
      <c r="AE96" s="22">
        <v>11</v>
      </c>
      <c r="AF96" s="65"/>
      <c r="AG96" s="35">
        <v>0</v>
      </c>
      <c r="AH96" s="36">
        <v>0</v>
      </c>
      <c r="AI96" s="37"/>
      <c r="AJ96" s="35">
        <v>29</v>
      </c>
      <c r="AK96" s="36">
        <v>100.80000000000001</v>
      </c>
      <c r="AL96" s="35">
        <v>104</v>
      </c>
      <c r="AM96" s="36">
        <v>55.2</v>
      </c>
      <c r="AN96" s="35">
        <v>123</v>
      </c>
      <c r="AO96" s="36">
        <v>36</v>
      </c>
      <c r="AP96" s="37"/>
      <c r="AQ96" s="35">
        <v>29</v>
      </c>
      <c r="AR96" s="36">
        <v>129.60000000000002</v>
      </c>
      <c r="AS96" s="35">
        <v>118</v>
      </c>
      <c r="AT96" s="36">
        <v>40.800000000000004</v>
      </c>
      <c r="AU96" s="35">
        <v>135</v>
      </c>
      <c r="AV96" s="36">
        <v>24</v>
      </c>
      <c r="AW96" s="35">
        <v>147</v>
      </c>
      <c r="AX96" s="36">
        <v>12</v>
      </c>
      <c r="AY96" s="35">
        <v>147</v>
      </c>
      <c r="AZ96" s="36">
        <v>12</v>
      </c>
    </row>
    <row r="97" spans="1:52">
      <c r="A97" s="196" t="s">
        <v>950</v>
      </c>
      <c r="B97" s="41" t="s">
        <v>673</v>
      </c>
      <c r="C97" s="211" t="s">
        <v>634</v>
      </c>
      <c r="D97" s="41">
        <v>315</v>
      </c>
      <c r="E97" s="41">
        <v>0</v>
      </c>
      <c r="F97" s="22" t="s">
        <v>924</v>
      </c>
      <c r="G97" s="413">
        <v>24</v>
      </c>
      <c r="H97" s="80">
        <v>288.42975206611573</v>
      </c>
      <c r="I97" s="228"/>
      <c r="J97" s="35" t="s">
        <v>3</v>
      </c>
      <c r="K97" s="36" t="s">
        <v>3</v>
      </c>
      <c r="L97" s="498" t="s">
        <v>1210</v>
      </c>
      <c r="M97" s="135" t="s">
        <v>3</v>
      </c>
      <c r="N97" s="134" t="s">
        <v>3</v>
      </c>
      <c r="O97" s="135" t="s">
        <v>3</v>
      </c>
      <c r="P97" s="136" t="s">
        <v>3</v>
      </c>
      <c r="Q97" s="134" t="s">
        <v>3</v>
      </c>
      <c r="R97" s="136" t="s">
        <v>3</v>
      </c>
      <c r="S97" s="37"/>
      <c r="T97" s="135">
        <v>0</v>
      </c>
      <c r="U97" s="134">
        <v>9.1</v>
      </c>
      <c r="V97" s="135">
        <v>0</v>
      </c>
      <c r="W97" s="134">
        <v>5.2</v>
      </c>
      <c r="X97" s="135">
        <v>0</v>
      </c>
      <c r="Y97" s="136">
        <v>4</v>
      </c>
      <c r="Z97" s="135">
        <v>0</v>
      </c>
      <c r="AA97" s="136">
        <v>5</v>
      </c>
      <c r="AB97" s="134">
        <v>0</v>
      </c>
      <c r="AC97" s="136">
        <v>5</v>
      </c>
      <c r="AE97" s="22">
        <v>27</v>
      </c>
      <c r="AF97" s="65"/>
      <c r="AG97" s="35">
        <v>0</v>
      </c>
      <c r="AH97" s="36">
        <v>0</v>
      </c>
      <c r="AI97" s="37"/>
      <c r="AJ97" s="35" t="s">
        <v>3</v>
      </c>
      <c r="AK97" s="36" t="s">
        <v>3</v>
      </c>
      <c r="AL97" s="35" t="s">
        <v>3</v>
      </c>
      <c r="AM97" s="36" t="s">
        <v>3</v>
      </c>
      <c r="AN97" s="37" t="s">
        <v>3</v>
      </c>
      <c r="AO97" s="36" t="s">
        <v>3</v>
      </c>
      <c r="AP97" s="37"/>
      <c r="AQ97" s="35">
        <v>97</v>
      </c>
      <c r="AR97" s="36">
        <v>218.39999999999998</v>
      </c>
      <c r="AS97" s="35">
        <v>190</v>
      </c>
      <c r="AT97" s="36">
        <v>124.80000000000001</v>
      </c>
      <c r="AU97" s="37">
        <v>219</v>
      </c>
      <c r="AV97" s="36">
        <v>96</v>
      </c>
      <c r="AW97" s="37">
        <v>195</v>
      </c>
      <c r="AX97" s="36">
        <v>120</v>
      </c>
      <c r="AY97" s="37">
        <v>195</v>
      </c>
      <c r="AZ97" s="36">
        <v>120</v>
      </c>
    </row>
    <row r="98" spans="1:52">
      <c r="A98" s="196" t="s">
        <v>951</v>
      </c>
      <c r="B98" s="41" t="s">
        <v>673</v>
      </c>
      <c r="C98" s="211" t="s">
        <v>634</v>
      </c>
      <c r="D98" s="41">
        <v>315</v>
      </c>
      <c r="E98" s="41">
        <v>0</v>
      </c>
      <c r="F98" s="22" t="s">
        <v>924</v>
      </c>
      <c r="G98" s="40">
        <v>30</v>
      </c>
      <c r="H98" s="80">
        <v>288.42975206611573</v>
      </c>
      <c r="I98" s="228"/>
      <c r="J98" s="35" t="s">
        <v>3</v>
      </c>
      <c r="K98" s="36" t="s">
        <v>3</v>
      </c>
      <c r="L98" s="498" t="s">
        <v>1210</v>
      </c>
      <c r="M98" s="135" t="s">
        <v>3</v>
      </c>
      <c r="N98" s="134" t="s">
        <v>3</v>
      </c>
      <c r="O98" s="135" t="s">
        <v>3</v>
      </c>
      <c r="P98" s="136" t="s">
        <v>3</v>
      </c>
      <c r="Q98" s="134" t="s">
        <v>3</v>
      </c>
      <c r="R98" s="136" t="s">
        <v>3</v>
      </c>
      <c r="S98" s="37"/>
      <c r="T98" s="135">
        <v>0</v>
      </c>
      <c r="U98" s="134">
        <v>7.3000000000000007</v>
      </c>
      <c r="V98" s="135">
        <v>0</v>
      </c>
      <c r="W98" s="134">
        <v>4.2</v>
      </c>
      <c r="X98" s="135">
        <v>0</v>
      </c>
      <c r="Y98" s="136">
        <v>3.2</v>
      </c>
      <c r="Z98" s="135">
        <v>0</v>
      </c>
      <c r="AA98" s="136">
        <v>4</v>
      </c>
      <c r="AB98" s="134">
        <v>0</v>
      </c>
      <c r="AC98" s="136">
        <v>4</v>
      </c>
      <c r="AE98" s="22">
        <v>27</v>
      </c>
      <c r="AF98" s="65"/>
      <c r="AG98" s="35">
        <v>0</v>
      </c>
      <c r="AH98" s="36">
        <v>0</v>
      </c>
      <c r="AI98" s="37"/>
      <c r="AJ98" s="35" t="s">
        <v>3</v>
      </c>
      <c r="AK98" s="36" t="s">
        <v>3</v>
      </c>
      <c r="AL98" s="35" t="s">
        <v>3</v>
      </c>
      <c r="AM98" s="36" t="s">
        <v>3</v>
      </c>
      <c r="AN98" s="35" t="s">
        <v>3</v>
      </c>
      <c r="AO98" s="36" t="s">
        <v>3</v>
      </c>
      <c r="AP98" s="37"/>
      <c r="AQ98" s="35">
        <v>96</v>
      </c>
      <c r="AR98" s="36">
        <v>219.00000000000003</v>
      </c>
      <c r="AS98" s="35">
        <v>189</v>
      </c>
      <c r="AT98" s="36">
        <v>126</v>
      </c>
      <c r="AU98" s="35">
        <v>219</v>
      </c>
      <c r="AV98" s="36">
        <v>96</v>
      </c>
      <c r="AW98" s="35">
        <v>195</v>
      </c>
      <c r="AX98" s="36">
        <v>120</v>
      </c>
      <c r="AY98" s="35">
        <v>195</v>
      </c>
      <c r="AZ98" s="36">
        <v>120</v>
      </c>
    </row>
    <row r="99" spans="1:52">
      <c r="A99" s="196" t="s">
        <v>958</v>
      </c>
      <c r="B99" s="41" t="s">
        <v>664</v>
      </c>
      <c r="C99" s="211" t="s">
        <v>602</v>
      </c>
      <c r="D99" s="41">
        <v>298</v>
      </c>
      <c r="E99" s="41">
        <v>0</v>
      </c>
      <c r="F99" s="22" t="s">
        <v>924</v>
      </c>
      <c r="G99" s="413">
        <v>24</v>
      </c>
      <c r="H99" s="80">
        <v>247.10743801652893</v>
      </c>
      <c r="I99" s="228"/>
      <c r="J99" s="35" t="s">
        <v>3</v>
      </c>
      <c r="K99" s="36" t="s">
        <v>3</v>
      </c>
      <c r="L99" s="498" t="s">
        <v>1210</v>
      </c>
      <c r="M99" s="135" t="s">
        <v>3</v>
      </c>
      <c r="N99" s="134" t="s">
        <v>3</v>
      </c>
      <c r="O99" s="135" t="s">
        <v>3</v>
      </c>
      <c r="P99" s="136" t="s">
        <v>3</v>
      </c>
      <c r="Q99" s="134" t="s">
        <v>3</v>
      </c>
      <c r="R99" s="136" t="s">
        <v>3</v>
      </c>
      <c r="S99" s="37"/>
      <c r="T99" s="135">
        <v>0</v>
      </c>
      <c r="U99" s="134">
        <v>9.1</v>
      </c>
      <c r="V99" s="135">
        <v>0</v>
      </c>
      <c r="W99" s="134">
        <v>5.2</v>
      </c>
      <c r="X99" s="135">
        <v>0</v>
      </c>
      <c r="Y99" s="136">
        <v>4</v>
      </c>
      <c r="Z99" s="135">
        <v>0</v>
      </c>
      <c r="AA99" s="136">
        <v>5</v>
      </c>
      <c r="AB99" s="134">
        <v>0</v>
      </c>
      <c r="AC99" s="136">
        <v>5</v>
      </c>
      <c r="AE99" s="22">
        <v>51</v>
      </c>
      <c r="AF99" s="65"/>
      <c r="AG99" s="35">
        <v>0</v>
      </c>
      <c r="AH99" s="36">
        <v>0</v>
      </c>
      <c r="AI99" s="37"/>
      <c r="AJ99" s="35" t="s">
        <v>3</v>
      </c>
      <c r="AK99" s="36" t="s">
        <v>3</v>
      </c>
      <c r="AL99" s="35" t="s">
        <v>3</v>
      </c>
      <c r="AM99" s="36" t="s">
        <v>3</v>
      </c>
      <c r="AN99" s="37" t="s">
        <v>3</v>
      </c>
      <c r="AO99" s="36" t="s">
        <v>3</v>
      </c>
      <c r="AP99" s="37"/>
      <c r="AQ99" s="35">
        <v>80</v>
      </c>
      <c r="AR99" s="36">
        <v>218.39999999999998</v>
      </c>
      <c r="AS99" s="35">
        <v>173</v>
      </c>
      <c r="AT99" s="36">
        <v>124.80000000000001</v>
      </c>
      <c r="AU99" s="37">
        <v>202</v>
      </c>
      <c r="AV99" s="36">
        <v>96</v>
      </c>
      <c r="AW99" s="37">
        <v>178</v>
      </c>
      <c r="AX99" s="36">
        <v>120</v>
      </c>
      <c r="AY99" s="37">
        <v>178</v>
      </c>
      <c r="AZ99" s="36">
        <v>120</v>
      </c>
    </row>
    <row r="100" spans="1:52">
      <c r="A100" s="196" t="s">
        <v>959</v>
      </c>
      <c r="B100" s="41" t="s">
        <v>664</v>
      </c>
      <c r="C100" s="211" t="s">
        <v>602</v>
      </c>
      <c r="D100" s="41">
        <v>298</v>
      </c>
      <c r="E100" s="41">
        <v>0</v>
      </c>
      <c r="F100" s="22" t="s">
        <v>924</v>
      </c>
      <c r="G100" s="40">
        <v>30</v>
      </c>
      <c r="H100" s="80">
        <v>247.10743801652893</v>
      </c>
      <c r="I100" s="228"/>
      <c r="J100" s="35" t="s">
        <v>3</v>
      </c>
      <c r="K100" s="36" t="s">
        <v>3</v>
      </c>
      <c r="L100" s="498" t="s">
        <v>1210</v>
      </c>
      <c r="M100" s="135" t="s">
        <v>3</v>
      </c>
      <c r="N100" s="134" t="s">
        <v>3</v>
      </c>
      <c r="O100" s="135" t="s">
        <v>3</v>
      </c>
      <c r="P100" s="136" t="s">
        <v>3</v>
      </c>
      <c r="Q100" s="134" t="s">
        <v>3</v>
      </c>
      <c r="R100" s="136" t="s">
        <v>3</v>
      </c>
      <c r="S100" s="37"/>
      <c r="T100" s="135">
        <v>0</v>
      </c>
      <c r="U100" s="134">
        <v>7.3000000000000007</v>
      </c>
      <c r="V100" s="135">
        <v>0</v>
      </c>
      <c r="W100" s="134">
        <v>4.2</v>
      </c>
      <c r="X100" s="135">
        <v>0</v>
      </c>
      <c r="Y100" s="136">
        <v>3.2</v>
      </c>
      <c r="Z100" s="135">
        <v>0</v>
      </c>
      <c r="AA100" s="136">
        <v>4</v>
      </c>
      <c r="AB100" s="134">
        <v>0</v>
      </c>
      <c r="AC100" s="136">
        <v>4</v>
      </c>
      <c r="AE100" s="22">
        <v>51</v>
      </c>
      <c r="AF100" s="65"/>
      <c r="AG100" s="35">
        <v>0</v>
      </c>
      <c r="AH100" s="36">
        <v>0</v>
      </c>
      <c r="AI100" s="37"/>
      <c r="AJ100" s="35" t="s">
        <v>3</v>
      </c>
      <c r="AK100" s="36" t="s">
        <v>3</v>
      </c>
      <c r="AL100" s="35" t="s">
        <v>3</v>
      </c>
      <c r="AM100" s="36" t="s">
        <v>3</v>
      </c>
      <c r="AN100" s="35" t="s">
        <v>3</v>
      </c>
      <c r="AO100" s="36" t="s">
        <v>3</v>
      </c>
      <c r="AP100" s="37"/>
      <c r="AQ100" s="35">
        <v>79</v>
      </c>
      <c r="AR100" s="36">
        <v>219.00000000000003</v>
      </c>
      <c r="AS100" s="35">
        <v>172</v>
      </c>
      <c r="AT100" s="36">
        <v>126</v>
      </c>
      <c r="AU100" s="35">
        <v>202</v>
      </c>
      <c r="AV100" s="36">
        <v>96</v>
      </c>
      <c r="AW100" s="35">
        <v>178</v>
      </c>
      <c r="AX100" s="36">
        <v>120</v>
      </c>
      <c r="AY100" s="35">
        <v>178</v>
      </c>
      <c r="AZ100" s="36">
        <v>120</v>
      </c>
    </row>
    <row r="101" spans="1:52">
      <c r="A101" s="196" t="s">
        <v>964</v>
      </c>
      <c r="B101" s="41" t="s">
        <v>664</v>
      </c>
      <c r="C101" s="211" t="s">
        <v>604</v>
      </c>
      <c r="D101" s="41">
        <v>165</v>
      </c>
      <c r="E101" s="41">
        <v>0</v>
      </c>
      <c r="F101" s="22" t="s">
        <v>924</v>
      </c>
      <c r="G101" s="413">
        <v>24</v>
      </c>
      <c r="H101" s="80">
        <v>139.6694214876033</v>
      </c>
      <c r="I101" s="228"/>
      <c r="J101" s="35" t="s">
        <v>3</v>
      </c>
      <c r="K101" s="36" t="s">
        <v>3</v>
      </c>
      <c r="L101" s="498" t="s">
        <v>1210</v>
      </c>
      <c r="M101" s="135">
        <v>29</v>
      </c>
      <c r="N101" s="134">
        <v>4.2</v>
      </c>
      <c r="O101" s="135">
        <v>0</v>
      </c>
      <c r="P101" s="136">
        <v>2.3000000000000003</v>
      </c>
      <c r="Q101" s="134">
        <v>0</v>
      </c>
      <c r="R101" s="136">
        <v>1.3</v>
      </c>
      <c r="S101" s="37"/>
      <c r="T101" s="135">
        <v>0</v>
      </c>
      <c r="U101" s="134">
        <v>5.4</v>
      </c>
      <c r="V101" s="135">
        <v>0</v>
      </c>
      <c r="W101" s="134">
        <v>1</v>
      </c>
      <c r="X101" s="135">
        <v>0</v>
      </c>
      <c r="Y101" s="136">
        <v>1</v>
      </c>
      <c r="Z101" s="135">
        <v>0</v>
      </c>
      <c r="AA101" s="136">
        <v>0.5</v>
      </c>
      <c r="AB101" s="134">
        <v>0</v>
      </c>
      <c r="AC101" s="136">
        <v>0.5</v>
      </c>
      <c r="AE101" s="22">
        <v>25</v>
      </c>
      <c r="AF101" s="65"/>
      <c r="AG101" s="35">
        <v>0</v>
      </c>
      <c r="AH101" s="36">
        <v>0</v>
      </c>
      <c r="AI101" s="37"/>
      <c r="AJ101" s="35">
        <v>35</v>
      </c>
      <c r="AK101" s="36">
        <v>100.80000000000001</v>
      </c>
      <c r="AL101" s="35">
        <v>110</v>
      </c>
      <c r="AM101" s="36">
        <v>55.2</v>
      </c>
      <c r="AN101" s="37">
        <v>134</v>
      </c>
      <c r="AO101" s="36">
        <v>31.200000000000003</v>
      </c>
      <c r="AP101" s="37"/>
      <c r="AQ101" s="35">
        <v>35</v>
      </c>
      <c r="AR101" s="36">
        <v>129.60000000000002</v>
      </c>
      <c r="AS101" s="35">
        <v>141</v>
      </c>
      <c r="AT101" s="36">
        <v>24</v>
      </c>
      <c r="AU101" s="37">
        <v>141</v>
      </c>
      <c r="AV101" s="36">
        <v>24</v>
      </c>
      <c r="AW101" s="37">
        <v>153</v>
      </c>
      <c r="AX101" s="36">
        <v>12</v>
      </c>
      <c r="AY101" s="37">
        <v>153</v>
      </c>
      <c r="AZ101" s="36">
        <v>12</v>
      </c>
    </row>
    <row r="102" spans="1:52">
      <c r="A102" s="196" t="s">
        <v>1040</v>
      </c>
      <c r="B102" s="41" t="s">
        <v>675</v>
      </c>
      <c r="C102" s="211" t="s">
        <v>452</v>
      </c>
      <c r="D102" s="41">
        <v>71</v>
      </c>
      <c r="E102" s="41">
        <v>0</v>
      </c>
      <c r="F102" s="22" t="s">
        <v>1041</v>
      </c>
      <c r="G102" s="40">
        <v>24</v>
      </c>
      <c r="H102" s="80">
        <v>53.719008264462815</v>
      </c>
      <c r="I102" s="228"/>
      <c r="J102" s="35" t="s">
        <v>3</v>
      </c>
      <c r="K102" s="36" t="s">
        <v>3</v>
      </c>
      <c r="L102" s="498" t="s">
        <v>1210</v>
      </c>
      <c r="M102" s="135">
        <v>0</v>
      </c>
      <c r="N102" s="134">
        <v>1.3</v>
      </c>
      <c r="O102" s="135">
        <v>0</v>
      </c>
      <c r="P102" s="136">
        <v>1.3</v>
      </c>
      <c r="Q102" s="134">
        <v>0</v>
      </c>
      <c r="R102" s="136">
        <v>1.3</v>
      </c>
      <c r="S102" s="37"/>
      <c r="T102" s="135">
        <v>0</v>
      </c>
      <c r="U102" s="134">
        <v>0.9</v>
      </c>
      <c r="V102" s="135">
        <v>0</v>
      </c>
      <c r="W102" s="134">
        <v>0.9</v>
      </c>
      <c r="X102" s="135">
        <v>0</v>
      </c>
      <c r="Y102" s="136">
        <v>0</v>
      </c>
      <c r="Z102" s="135">
        <v>0</v>
      </c>
      <c r="AA102" s="136">
        <v>0</v>
      </c>
      <c r="AB102" s="134">
        <v>0</v>
      </c>
      <c r="AC102" s="136">
        <v>0</v>
      </c>
      <c r="AE102" s="22">
        <v>17</v>
      </c>
      <c r="AF102" s="65"/>
      <c r="AG102" s="35">
        <v>0</v>
      </c>
      <c r="AH102" s="36">
        <v>0</v>
      </c>
      <c r="AI102" s="37"/>
      <c r="AJ102" s="35">
        <v>40</v>
      </c>
      <c r="AK102" s="36">
        <v>31.200000000000003</v>
      </c>
      <c r="AL102" s="35">
        <v>40</v>
      </c>
      <c r="AM102" s="36">
        <v>31.200000000000003</v>
      </c>
      <c r="AN102" s="35">
        <v>40</v>
      </c>
      <c r="AO102" s="36">
        <v>31.200000000000003</v>
      </c>
      <c r="AP102" s="37"/>
      <c r="AQ102" s="35">
        <v>49</v>
      </c>
      <c r="AR102" s="36">
        <v>21.6</v>
      </c>
      <c r="AS102" s="35">
        <v>49</v>
      </c>
      <c r="AT102" s="36">
        <v>21.6</v>
      </c>
      <c r="AU102" s="35">
        <v>71</v>
      </c>
      <c r="AV102" s="36">
        <v>0</v>
      </c>
      <c r="AW102" s="35">
        <v>71</v>
      </c>
      <c r="AX102" s="36">
        <v>0</v>
      </c>
      <c r="AY102" s="35">
        <v>71</v>
      </c>
      <c r="AZ102" s="36">
        <v>0</v>
      </c>
    </row>
    <row r="103" spans="1:52">
      <c r="A103" s="196" t="s">
        <v>1042</v>
      </c>
      <c r="B103" s="41" t="s">
        <v>675</v>
      </c>
      <c r="C103" s="211" t="s">
        <v>453</v>
      </c>
      <c r="D103" s="41">
        <v>49</v>
      </c>
      <c r="E103" s="41">
        <v>0</v>
      </c>
      <c r="F103" s="22" t="s">
        <v>1041</v>
      </c>
      <c r="G103" s="413">
        <v>24</v>
      </c>
      <c r="H103" s="80">
        <v>35.537190082644628</v>
      </c>
      <c r="I103" s="228"/>
      <c r="J103" s="35" t="s">
        <v>3</v>
      </c>
      <c r="K103" s="36" t="s">
        <v>3</v>
      </c>
      <c r="L103" s="498" t="s">
        <v>1210</v>
      </c>
      <c r="M103" s="135">
        <v>0</v>
      </c>
      <c r="N103" s="134">
        <v>0.70000000000000007</v>
      </c>
      <c r="O103" s="135">
        <v>0</v>
      </c>
      <c r="P103" s="136">
        <v>0.70000000000000007</v>
      </c>
      <c r="Q103" s="134">
        <v>0</v>
      </c>
      <c r="R103" s="136">
        <v>0.70000000000000007</v>
      </c>
      <c r="S103" s="37"/>
      <c r="T103" s="135">
        <v>0</v>
      </c>
      <c r="U103" s="134">
        <v>0</v>
      </c>
      <c r="V103" s="135">
        <v>0</v>
      </c>
      <c r="W103" s="134">
        <v>0</v>
      </c>
      <c r="X103" s="135">
        <v>0</v>
      </c>
      <c r="Y103" s="136">
        <v>0</v>
      </c>
      <c r="Z103" s="135">
        <v>0</v>
      </c>
      <c r="AA103" s="136">
        <v>0</v>
      </c>
      <c r="AB103" s="134">
        <v>0</v>
      </c>
      <c r="AC103" s="136">
        <v>0</v>
      </c>
      <c r="AE103" s="22">
        <v>13</v>
      </c>
      <c r="AF103" s="65"/>
      <c r="AG103" s="35">
        <v>0</v>
      </c>
      <c r="AH103" s="36">
        <v>0</v>
      </c>
      <c r="AI103" s="37"/>
      <c r="AJ103" s="35">
        <v>32</v>
      </c>
      <c r="AK103" s="36">
        <v>16.8</v>
      </c>
      <c r="AL103" s="35">
        <v>32</v>
      </c>
      <c r="AM103" s="36">
        <v>16.8</v>
      </c>
      <c r="AN103" s="37">
        <v>32</v>
      </c>
      <c r="AO103" s="36">
        <v>16.8</v>
      </c>
      <c r="AP103" s="37"/>
      <c r="AQ103" s="35">
        <v>49</v>
      </c>
      <c r="AR103" s="36">
        <v>0</v>
      </c>
      <c r="AS103" s="35">
        <v>49</v>
      </c>
      <c r="AT103" s="36">
        <v>0</v>
      </c>
      <c r="AU103" s="37">
        <v>49</v>
      </c>
      <c r="AV103" s="36">
        <v>0</v>
      </c>
      <c r="AW103" s="37">
        <v>49</v>
      </c>
      <c r="AX103" s="36">
        <v>0</v>
      </c>
      <c r="AY103" s="37">
        <v>49</v>
      </c>
      <c r="AZ103" s="36">
        <v>0</v>
      </c>
    </row>
    <row r="104" spans="1:52">
      <c r="A104" s="196" t="s">
        <v>1195</v>
      </c>
      <c r="B104" s="41" t="s">
        <v>55</v>
      </c>
      <c r="C104" s="211" t="s">
        <v>528</v>
      </c>
      <c r="D104" s="41">
        <v>44</v>
      </c>
      <c r="E104" s="41">
        <v>0</v>
      </c>
      <c r="F104" s="22" t="s">
        <v>1041</v>
      </c>
      <c r="G104" s="40">
        <v>24</v>
      </c>
      <c r="H104" s="80">
        <v>43.801652892561982</v>
      </c>
      <c r="I104" s="228"/>
      <c r="J104" s="35" t="s">
        <v>3</v>
      </c>
      <c r="K104" s="36" t="s">
        <v>3</v>
      </c>
      <c r="L104" s="498" t="s">
        <v>1210</v>
      </c>
      <c r="M104" s="135" t="s">
        <v>3</v>
      </c>
      <c r="N104" s="134" t="s">
        <v>3</v>
      </c>
      <c r="O104" s="135" t="s">
        <v>3</v>
      </c>
      <c r="P104" s="136" t="s">
        <v>3</v>
      </c>
      <c r="Q104" s="134" t="s">
        <v>3</v>
      </c>
      <c r="R104" s="136" t="s">
        <v>3</v>
      </c>
      <c r="S104" s="37"/>
      <c r="T104" s="135">
        <v>0</v>
      </c>
      <c r="U104" s="134">
        <v>1</v>
      </c>
      <c r="V104" s="135">
        <v>0</v>
      </c>
      <c r="W104" s="134">
        <v>1</v>
      </c>
      <c r="X104" s="135">
        <v>0</v>
      </c>
      <c r="Y104" s="136">
        <v>0</v>
      </c>
      <c r="Z104" s="135">
        <v>0</v>
      </c>
      <c r="AA104" s="136">
        <v>0</v>
      </c>
      <c r="AB104" s="134">
        <v>0</v>
      </c>
      <c r="AC104" s="136">
        <v>0</v>
      </c>
      <c r="AE104" s="22">
        <v>0</v>
      </c>
      <c r="AF104" s="65"/>
      <c r="AG104" s="35">
        <v>0</v>
      </c>
      <c r="AH104" s="36">
        <v>0</v>
      </c>
      <c r="AI104" s="37"/>
      <c r="AJ104" s="35" t="s">
        <v>3</v>
      </c>
      <c r="AK104" s="36" t="s">
        <v>3</v>
      </c>
      <c r="AL104" s="35" t="s">
        <v>3</v>
      </c>
      <c r="AM104" s="36" t="s">
        <v>3</v>
      </c>
      <c r="AN104" s="35" t="s">
        <v>3</v>
      </c>
      <c r="AO104" s="36" t="s">
        <v>3</v>
      </c>
      <c r="AP104" s="37"/>
      <c r="AQ104" s="35">
        <v>20</v>
      </c>
      <c r="AR104" s="36">
        <v>24</v>
      </c>
      <c r="AS104" s="35">
        <v>20</v>
      </c>
      <c r="AT104" s="36">
        <v>24</v>
      </c>
      <c r="AU104" s="35">
        <v>44</v>
      </c>
      <c r="AV104" s="36">
        <v>0</v>
      </c>
      <c r="AW104" s="35">
        <v>44</v>
      </c>
      <c r="AX104" s="36">
        <v>0</v>
      </c>
      <c r="AY104" s="35">
        <v>44</v>
      </c>
      <c r="AZ104" s="36">
        <v>0</v>
      </c>
    </row>
    <row r="105" spans="1:52">
      <c r="A105" s="196" t="s">
        <v>1196</v>
      </c>
      <c r="B105" s="41" t="s">
        <v>55</v>
      </c>
      <c r="C105" s="211" t="s">
        <v>529</v>
      </c>
      <c r="D105" s="41">
        <v>77</v>
      </c>
      <c r="E105" s="41">
        <v>0</v>
      </c>
      <c r="F105" s="22" t="s">
        <v>1041</v>
      </c>
      <c r="G105" s="413">
        <v>24</v>
      </c>
      <c r="H105" s="80">
        <v>53.719008264462815</v>
      </c>
      <c r="I105" s="228"/>
      <c r="J105" s="35" t="s">
        <v>3</v>
      </c>
      <c r="K105" s="36" t="s">
        <v>3</v>
      </c>
      <c r="L105" s="498" t="s">
        <v>1210</v>
      </c>
      <c r="M105" s="135" t="s">
        <v>3</v>
      </c>
      <c r="N105" s="134" t="s">
        <v>3</v>
      </c>
      <c r="O105" s="135" t="s">
        <v>3</v>
      </c>
      <c r="P105" s="136" t="s">
        <v>3</v>
      </c>
      <c r="Q105" s="134" t="s">
        <v>3</v>
      </c>
      <c r="R105" s="136" t="s">
        <v>3</v>
      </c>
      <c r="S105" s="37"/>
      <c r="T105" s="135">
        <v>0</v>
      </c>
      <c r="U105" s="134">
        <v>1.3</v>
      </c>
      <c r="V105" s="135">
        <v>0</v>
      </c>
      <c r="W105" s="134">
        <v>1.3</v>
      </c>
      <c r="X105" s="135">
        <v>0</v>
      </c>
      <c r="Y105" s="136">
        <v>0</v>
      </c>
      <c r="Z105" s="135">
        <v>0</v>
      </c>
      <c r="AA105" s="136">
        <v>0</v>
      </c>
      <c r="AB105" s="134">
        <v>0</v>
      </c>
      <c r="AC105" s="136">
        <v>0</v>
      </c>
      <c r="AE105" s="22">
        <v>23</v>
      </c>
      <c r="AF105" s="65"/>
      <c r="AG105" s="35">
        <v>0</v>
      </c>
      <c r="AH105" s="36">
        <v>0</v>
      </c>
      <c r="AI105" s="37"/>
      <c r="AJ105" s="35" t="s">
        <v>3</v>
      </c>
      <c r="AK105" s="36" t="s">
        <v>3</v>
      </c>
      <c r="AL105" s="35" t="s">
        <v>3</v>
      </c>
      <c r="AM105" s="36" t="s">
        <v>3</v>
      </c>
      <c r="AN105" s="37" t="s">
        <v>3</v>
      </c>
      <c r="AO105" s="36" t="s">
        <v>3</v>
      </c>
      <c r="AP105" s="37"/>
      <c r="AQ105" s="35">
        <v>46</v>
      </c>
      <c r="AR105" s="36">
        <v>31.200000000000003</v>
      </c>
      <c r="AS105" s="35">
        <v>46</v>
      </c>
      <c r="AT105" s="36">
        <v>31.200000000000003</v>
      </c>
      <c r="AU105" s="37">
        <v>77</v>
      </c>
      <c r="AV105" s="36">
        <v>0</v>
      </c>
      <c r="AW105" s="37">
        <v>77</v>
      </c>
      <c r="AX105" s="36">
        <v>0</v>
      </c>
      <c r="AY105" s="37">
        <v>77</v>
      </c>
      <c r="AZ105" s="36">
        <v>0</v>
      </c>
    </row>
    <row r="106" spans="1:52">
      <c r="A106" s="196" t="s">
        <v>1201</v>
      </c>
      <c r="B106" s="41" t="s">
        <v>1200</v>
      </c>
      <c r="C106" s="211" t="s">
        <v>757</v>
      </c>
      <c r="D106" s="41">
        <v>43</v>
      </c>
      <c r="E106" s="41">
        <v>0</v>
      </c>
      <c r="F106" s="139" t="s">
        <v>1215</v>
      </c>
      <c r="G106" s="41">
        <v>24</v>
      </c>
      <c r="H106" s="80">
        <v>42.148760330578511</v>
      </c>
      <c r="I106" s="228"/>
      <c r="J106" s="35" t="s">
        <v>3</v>
      </c>
      <c r="K106" s="36" t="s">
        <v>3</v>
      </c>
      <c r="L106" s="498" t="s">
        <v>1210</v>
      </c>
      <c r="M106" s="135" t="s">
        <v>3</v>
      </c>
      <c r="N106" s="134" t="s">
        <v>3</v>
      </c>
      <c r="O106" s="135" t="s">
        <v>3</v>
      </c>
      <c r="P106" s="136" t="s">
        <v>3</v>
      </c>
      <c r="Q106" s="134" t="s">
        <v>3</v>
      </c>
      <c r="R106" s="136" t="s">
        <v>3</v>
      </c>
      <c r="S106" s="37"/>
      <c r="T106" s="135">
        <v>0</v>
      </c>
      <c r="U106" s="134">
        <v>1</v>
      </c>
      <c r="V106" s="135">
        <v>0</v>
      </c>
      <c r="W106" s="134">
        <v>1</v>
      </c>
      <c r="X106" s="135">
        <v>0</v>
      </c>
      <c r="Y106" s="136">
        <v>0.5</v>
      </c>
      <c r="Z106" s="135">
        <v>0</v>
      </c>
      <c r="AA106" s="136">
        <v>0.5</v>
      </c>
      <c r="AB106" s="134">
        <v>0</v>
      </c>
      <c r="AC106" s="136">
        <v>0.5</v>
      </c>
      <c r="AE106" s="22">
        <v>1</v>
      </c>
      <c r="AF106" s="65"/>
      <c r="AG106" s="35">
        <v>0</v>
      </c>
      <c r="AH106" s="36">
        <v>0</v>
      </c>
      <c r="AI106" s="37"/>
      <c r="AJ106" s="35" t="s">
        <v>3</v>
      </c>
      <c r="AK106" s="36" t="s">
        <v>3</v>
      </c>
      <c r="AL106" s="35" t="s">
        <v>3</v>
      </c>
      <c r="AM106" s="36" t="s">
        <v>3</v>
      </c>
      <c r="AN106" s="35" t="s">
        <v>3</v>
      </c>
      <c r="AO106" s="36" t="s">
        <v>3</v>
      </c>
      <c r="AP106" s="37"/>
      <c r="AQ106" s="35">
        <v>19</v>
      </c>
      <c r="AR106" s="36">
        <v>24</v>
      </c>
      <c r="AS106" s="35">
        <v>19</v>
      </c>
      <c r="AT106" s="36">
        <v>24</v>
      </c>
      <c r="AU106" s="35">
        <v>31</v>
      </c>
      <c r="AV106" s="36">
        <v>12</v>
      </c>
      <c r="AW106" s="35">
        <v>31</v>
      </c>
      <c r="AX106" s="36">
        <v>12</v>
      </c>
      <c r="AY106" s="35">
        <v>31</v>
      </c>
      <c r="AZ106" s="36">
        <v>12</v>
      </c>
    </row>
    <row r="107" spans="1:52">
      <c r="A107" s="196" t="s">
        <v>1202</v>
      </c>
      <c r="B107" s="41" t="s">
        <v>1200</v>
      </c>
      <c r="C107" s="211" t="s">
        <v>767</v>
      </c>
      <c r="D107" s="41">
        <v>115</v>
      </c>
      <c r="E107" s="41">
        <v>5.25</v>
      </c>
      <c r="F107" s="139" t="s">
        <v>1215</v>
      </c>
      <c r="G107" s="22">
        <v>24</v>
      </c>
      <c r="H107" s="80">
        <v>114.04958677685951</v>
      </c>
      <c r="I107" s="228"/>
      <c r="J107" s="35" t="s">
        <v>3</v>
      </c>
      <c r="K107" s="36" t="s">
        <v>3</v>
      </c>
      <c r="L107" s="498" t="s">
        <v>1210</v>
      </c>
      <c r="M107" s="135" t="s">
        <v>3</v>
      </c>
      <c r="N107" s="134" t="s">
        <v>3</v>
      </c>
      <c r="O107" s="135" t="s">
        <v>3</v>
      </c>
      <c r="P107" s="136" t="s">
        <v>3</v>
      </c>
      <c r="Q107" s="134" t="s">
        <v>3</v>
      </c>
      <c r="R107" s="136" t="s">
        <v>3</v>
      </c>
      <c r="S107" s="37"/>
      <c r="T107" s="135">
        <v>0</v>
      </c>
      <c r="U107" s="134">
        <v>4.6000000000000005</v>
      </c>
      <c r="V107" s="135">
        <v>0</v>
      </c>
      <c r="W107" s="134">
        <v>3.8000000000000003</v>
      </c>
      <c r="X107" s="135">
        <v>0</v>
      </c>
      <c r="Y107" s="136">
        <v>1</v>
      </c>
      <c r="Z107" s="135">
        <v>0</v>
      </c>
      <c r="AA107" s="136">
        <v>1</v>
      </c>
      <c r="AB107" s="134">
        <v>0</v>
      </c>
      <c r="AC107" s="136">
        <v>1</v>
      </c>
      <c r="AE107" s="22">
        <v>1</v>
      </c>
      <c r="AF107" s="65"/>
      <c r="AG107" s="35">
        <v>0</v>
      </c>
      <c r="AH107" s="36">
        <v>0</v>
      </c>
      <c r="AI107" s="37"/>
      <c r="AJ107" s="35" t="s">
        <v>3</v>
      </c>
      <c r="AK107" s="36" t="s">
        <v>3</v>
      </c>
      <c r="AL107" s="35" t="s">
        <v>3</v>
      </c>
      <c r="AM107" s="36" t="s">
        <v>3</v>
      </c>
      <c r="AN107" s="37" t="s">
        <v>3</v>
      </c>
      <c r="AO107" s="36" t="s">
        <v>3</v>
      </c>
      <c r="AP107" s="37"/>
      <c r="AQ107" s="35">
        <v>5</v>
      </c>
      <c r="AR107" s="36">
        <v>110.4</v>
      </c>
      <c r="AS107" s="35">
        <v>24</v>
      </c>
      <c r="AT107" s="36">
        <v>91.2</v>
      </c>
      <c r="AU107" s="37">
        <v>91</v>
      </c>
      <c r="AV107" s="36">
        <v>24</v>
      </c>
      <c r="AW107" s="37">
        <v>91</v>
      </c>
      <c r="AX107" s="36">
        <v>24</v>
      </c>
      <c r="AY107" s="37">
        <v>91</v>
      </c>
      <c r="AZ107" s="36">
        <v>24</v>
      </c>
    </row>
    <row r="108" spans="1:52">
      <c r="A108" s="196" t="s">
        <v>1204</v>
      </c>
      <c r="B108" s="41" t="s">
        <v>1200</v>
      </c>
      <c r="C108" s="211" t="s">
        <v>771</v>
      </c>
      <c r="D108" s="41">
        <v>126</v>
      </c>
      <c r="E108" s="41">
        <v>0</v>
      </c>
      <c r="F108" s="139" t="s">
        <v>1215</v>
      </c>
      <c r="G108" s="22">
        <v>24</v>
      </c>
      <c r="H108" s="80">
        <v>109.91735537190083</v>
      </c>
      <c r="I108" s="228"/>
      <c r="J108" s="35" t="s">
        <v>3</v>
      </c>
      <c r="K108" s="36" t="s">
        <v>3</v>
      </c>
      <c r="L108" s="498" t="s">
        <v>1210</v>
      </c>
      <c r="M108" s="135" t="s">
        <v>3</v>
      </c>
      <c r="N108" s="134" t="s">
        <v>3</v>
      </c>
      <c r="O108" s="135" t="s">
        <v>3</v>
      </c>
      <c r="P108" s="136" t="s">
        <v>3</v>
      </c>
      <c r="Q108" s="134" t="s">
        <v>3</v>
      </c>
      <c r="R108" s="136" t="s">
        <v>3</v>
      </c>
      <c r="S108" s="37"/>
      <c r="T108" s="135">
        <v>0</v>
      </c>
      <c r="U108" s="134">
        <v>4.2</v>
      </c>
      <c r="V108" s="135">
        <v>0</v>
      </c>
      <c r="W108" s="134">
        <v>3.4000000000000004</v>
      </c>
      <c r="X108" s="135">
        <v>0</v>
      </c>
      <c r="Y108" s="136">
        <v>1</v>
      </c>
      <c r="Z108" s="135">
        <v>0</v>
      </c>
      <c r="AA108" s="136">
        <v>1</v>
      </c>
      <c r="AB108" s="134">
        <v>0</v>
      </c>
      <c r="AC108" s="136">
        <v>1</v>
      </c>
      <c r="AE108" s="22">
        <v>16</v>
      </c>
      <c r="AF108" s="65"/>
      <c r="AG108" s="35">
        <v>0</v>
      </c>
      <c r="AH108" s="36">
        <v>0</v>
      </c>
      <c r="AI108" s="37"/>
      <c r="AJ108" s="35" t="s">
        <v>3</v>
      </c>
      <c r="AK108" s="36" t="s">
        <v>3</v>
      </c>
      <c r="AL108" s="35" t="s">
        <v>3</v>
      </c>
      <c r="AM108" s="36" t="s">
        <v>3</v>
      </c>
      <c r="AN108" s="35" t="s">
        <v>3</v>
      </c>
      <c r="AO108" s="36" t="s">
        <v>3</v>
      </c>
      <c r="AP108" s="37"/>
      <c r="AQ108" s="35">
        <v>25</v>
      </c>
      <c r="AR108" s="36">
        <v>100.80000000000001</v>
      </c>
      <c r="AS108" s="35">
        <v>44</v>
      </c>
      <c r="AT108" s="36">
        <v>81.600000000000009</v>
      </c>
      <c r="AU108" s="35">
        <v>102</v>
      </c>
      <c r="AV108" s="36">
        <v>24</v>
      </c>
      <c r="AW108" s="35">
        <v>102</v>
      </c>
      <c r="AX108" s="36">
        <v>24</v>
      </c>
      <c r="AY108" s="35">
        <v>102</v>
      </c>
      <c r="AZ108" s="36">
        <v>24</v>
      </c>
    </row>
    <row r="109" spans="1:52">
      <c r="A109" s="196" t="s">
        <v>1035</v>
      </c>
      <c r="B109" s="41" t="s">
        <v>59</v>
      </c>
      <c r="C109" s="211" t="s">
        <v>739</v>
      </c>
      <c r="D109" s="41">
        <v>66</v>
      </c>
      <c r="E109" s="41">
        <v>0</v>
      </c>
      <c r="F109" s="22" t="s">
        <v>1034</v>
      </c>
      <c r="G109" s="40">
        <v>24</v>
      </c>
      <c r="H109" s="80">
        <v>56.198347107438018</v>
      </c>
      <c r="I109" s="228"/>
      <c r="J109" s="35" t="s">
        <v>3</v>
      </c>
      <c r="K109" s="36" t="s">
        <v>3</v>
      </c>
      <c r="L109" s="498" t="s">
        <v>1210</v>
      </c>
      <c r="M109" s="135">
        <v>0</v>
      </c>
      <c r="N109" s="134">
        <v>1.4000000000000001</v>
      </c>
      <c r="O109" s="135">
        <v>0</v>
      </c>
      <c r="P109" s="136">
        <v>1.4000000000000001</v>
      </c>
      <c r="Q109" s="134">
        <v>0</v>
      </c>
      <c r="R109" s="136">
        <v>1.4000000000000001</v>
      </c>
      <c r="S109" s="37"/>
      <c r="T109" s="135">
        <v>0</v>
      </c>
      <c r="U109" s="134">
        <v>0</v>
      </c>
      <c r="V109" s="135">
        <v>0</v>
      </c>
      <c r="W109" s="134">
        <v>0</v>
      </c>
      <c r="X109" s="135">
        <v>0</v>
      </c>
      <c r="Y109" s="136">
        <v>0</v>
      </c>
      <c r="Z109" s="135">
        <v>0</v>
      </c>
      <c r="AA109" s="136">
        <v>0</v>
      </c>
      <c r="AB109" s="134">
        <v>0</v>
      </c>
      <c r="AC109" s="136">
        <v>0</v>
      </c>
      <c r="AE109" s="22">
        <v>10</v>
      </c>
      <c r="AF109" s="65"/>
      <c r="AG109" s="35">
        <v>0</v>
      </c>
      <c r="AH109" s="36">
        <v>0</v>
      </c>
      <c r="AI109" s="37"/>
      <c r="AJ109" s="35">
        <v>32</v>
      </c>
      <c r="AK109" s="36">
        <v>33.6</v>
      </c>
      <c r="AL109" s="35">
        <v>32</v>
      </c>
      <c r="AM109" s="36">
        <v>33.6</v>
      </c>
      <c r="AN109" s="37">
        <v>32</v>
      </c>
      <c r="AO109" s="36">
        <v>33.6</v>
      </c>
      <c r="AP109" s="37"/>
      <c r="AQ109" s="35">
        <v>66</v>
      </c>
      <c r="AR109" s="36">
        <v>0</v>
      </c>
      <c r="AS109" s="35">
        <v>66</v>
      </c>
      <c r="AT109" s="36">
        <v>0</v>
      </c>
      <c r="AU109" s="37">
        <v>66</v>
      </c>
      <c r="AV109" s="36">
        <v>0</v>
      </c>
      <c r="AW109" s="37">
        <v>66</v>
      </c>
      <c r="AX109" s="36">
        <v>0</v>
      </c>
      <c r="AY109" s="37">
        <v>66</v>
      </c>
      <c r="AZ109" s="36">
        <v>0</v>
      </c>
    </row>
    <row r="110" spans="1:52">
      <c r="A110" s="196" t="s">
        <v>1036</v>
      </c>
      <c r="B110" s="41" t="s">
        <v>59</v>
      </c>
      <c r="C110" s="211" t="s">
        <v>527</v>
      </c>
      <c r="D110" s="41">
        <v>107</v>
      </c>
      <c r="E110" s="41">
        <v>0</v>
      </c>
      <c r="F110" s="22" t="s">
        <v>1034</v>
      </c>
      <c r="G110" s="413">
        <v>24</v>
      </c>
      <c r="H110" s="80">
        <v>93.388429752066116</v>
      </c>
      <c r="I110" s="228"/>
      <c r="J110" s="35" t="s">
        <v>3</v>
      </c>
      <c r="K110" s="36" t="s">
        <v>3</v>
      </c>
      <c r="L110" s="498" t="s">
        <v>1210</v>
      </c>
      <c r="M110" s="135">
        <v>0</v>
      </c>
      <c r="N110" s="134">
        <v>3.4000000000000004</v>
      </c>
      <c r="O110" s="135">
        <v>0</v>
      </c>
      <c r="P110" s="136">
        <v>0.5</v>
      </c>
      <c r="Q110" s="134">
        <v>0</v>
      </c>
      <c r="R110" s="136">
        <v>0.30000000000000004</v>
      </c>
      <c r="S110" s="37"/>
      <c r="T110" s="135">
        <v>0</v>
      </c>
      <c r="U110" s="134">
        <v>0.9</v>
      </c>
      <c r="V110" s="135">
        <v>0</v>
      </c>
      <c r="W110" s="134">
        <v>0.9</v>
      </c>
      <c r="X110" s="135">
        <v>0</v>
      </c>
      <c r="Y110" s="136">
        <v>0.9</v>
      </c>
      <c r="Z110" s="135">
        <v>0</v>
      </c>
      <c r="AA110" s="136">
        <v>0.8</v>
      </c>
      <c r="AB110" s="134">
        <v>0</v>
      </c>
      <c r="AC110" s="136">
        <v>0.8</v>
      </c>
      <c r="AE110" s="22">
        <v>14</v>
      </c>
      <c r="AF110" s="65"/>
      <c r="AG110" s="35">
        <v>0</v>
      </c>
      <c r="AH110" s="36">
        <v>0</v>
      </c>
      <c r="AI110" s="37"/>
      <c r="AJ110" s="35">
        <v>25</v>
      </c>
      <c r="AK110" s="36">
        <v>81.600000000000009</v>
      </c>
      <c r="AL110" s="35">
        <v>95</v>
      </c>
      <c r="AM110" s="36">
        <v>12</v>
      </c>
      <c r="AN110" s="35">
        <v>100</v>
      </c>
      <c r="AO110" s="36">
        <v>7.2000000000000011</v>
      </c>
      <c r="AP110" s="37"/>
      <c r="AQ110" s="35">
        <v>85</v>
      </c>
      <c r="AR110" s="36">
        <v>21.6</v>
      </c>
      <c r="AS110" s="35">
        <v>85</v>
      </c>
      <c r="AT110" s="36">
        <v>21.6</v>
      </c>
      <c r="AU110" s="35">
        <v>85</v>
      </c>
      <c r="AV110" s="36">
        <v>21.6</v>
      </c>
      <c r="AW110" s="35">
        <v>88</v>
      </c>
      <c r="AX110" s="36">
        <v>19.200000000000003</v>
      </c>
      <c r="AY110" s="35">
        <v>88</v>
      </c>
      <c r="AZ110" s="36">
        <v>19.200000000000003</v>
      </c>
    </row>
    <row r="111" spans="1:52">
      <c r="A111" s="196" t="s">
        <v>1033</v>
      </c>
      <c r="B111" s="41" t="s">
        <v>672</v>
      </c>
      <c r="C111" s="211" t="s">
        <v>740</v>
      </c>
      <c r="D111" s="41">
        <v>204</v>
      </c>
      <c r="E111" s="41">
        <v>0</v>
      </c>
      <c r="F111" s="22" t="s">
        <v>1034</v>
      </c>
      <c r="G111" s="413">
        <v>24</v>
      </c>
      <c r="H111" s="80">
        <v>183.47107438016531</v>
      </c>
      <c r="I111" s="228"/>
      <c r="J111" s="35" t="s">
        <v>3</v>
      </c>
      <c r="K111" s="36" t="s">
        <v>3</v>
      </c>
      <c r="L111" s="498" t="s">
        <v>1210</v>
      </c>
      <c r="M111" s="135" t="s">
        <v>3</v>
      </c>
      <c r="N111" s="134" t="s">
        <v>3</v>
      </c>
      <c r="O111" s="135" t="s">
        <v>3</v>
      </c>
      <c r="P111" s="136" t="s">
        <v>3</v>
      </c>
      <c r="Q111" s="134" t="s">
        <v>3</v>
      </c>
      <c r="R111" s="136" t="s">
        <v>3</v>
      </c>
      <c r="S111" s="37"/>
      <c r="T111" s="135">
        <v>0</v>
      </c>
      <c r="U111" s="134">
        <v>6.5</v>
      </c>
      <c r="V111" s="135">
        <v>0</v>
      </c>
      <c r="W111" s="134">
        <v>4.2</v>
      </c>
      <c r="X111" s="135">
        <v>0</v>
      </c>
      <c r="Y111" s="136">
        <v>4.2</v>
      </c>
      <c r="Z111" s="135">
        <v>0</v>
      </c>
      <c r="AA111" s="136">
        <v>4.1000000000000005</v>
      </c>
      <c r="AB111" s="134">
        <v>0</v>
      </c>
      <c r="AC111" s="136">
        <v>4.1000000000000005</v>
      </c>
      <c r="AE111" s="22">
        <v>21</v>
      </c>
      <c r="AF111" s="65"/>
      <c r="AG111" s="35">
        <v>0</v>
      </c>
      <c r="AH111" s="36">
        <v>0</v>
      </c>
      <c r="AI111" s="37"/>
      <c r="AJ111" s="35" t="s">
        <v>3</v>
      </c>
      <c r="AK111" s="36" t="s">
        <v>3</v>
      </c>
      <c r="AL111" s="35" t="s">
        <v>3</v>
      </c>
      <c r="AM111" s="36" t="s">
        <v>3</v>
      </c>
      <c r="AN111" s="37" t="s">
        <v>3</v>
      </c>
      <c r="AO111" s="36" t="s">
        <v>3</v>
      </c>
      <c r="AP111" s="37"/>
      <c r="AQ111" s="35">
        <v>48</v>
      </c>
      <c r="AR111" s="36">
        <v>156</v>
      </c>
      <c r="AS111" s="35">
        <v>103</v>
      </c>
      <c r="AT111" s="36">
        <v>100.80000000000001</v>
      </c>
      <c r="AU111" s="37">
        <v>103</v>
      </c>
      <c r="AV111" s="36">
        <v>100.80000000000001</v>
      </c>
      <c r="AW111" s="37">
        <v>106</v>
      </c>
      <c r="AX111" s="36">
        <v>98.4</v>
      </c>
      <c r="AY111" s="37">
        <v>106</v>
      </c>
      <c r="AZ111" s="36">
        <v>98.4</v>
      </c>
    </row>
    <row r="112" spans="1:52">
      <c r="A112" s="196" t="s">
        <v>1156</v>
      </c>
      <c r="B112" s="41" t="s">
        <v>672</v>
      </c>
      <c r="C112" s="211" t="s">
        <v>542</v>
      </c>
      <c r="D112" s="41">
        <v>75</v>
      </c>
      <c r="E112" s="41">
        <v>0</v>
      </c>
      <c r="F112" s="22" t="s">
        <v>1140</v>
      </c>
      <c r="G112" s="413">
        <v>24</v>
      </c>
      <c r="H112" s="80">
        <v>74.380165289256198</v>
      </c>
      <c r="I112" s="228"/>
      <c r="J112" s="35" t="s">
        <v>3</v>
      </c>
      <c r="K112" s="36" t="s">
        <v>3</v>
      </c>
      <c r="L112" s="498" t="s">
        <v>1210</v>
      </c>
      <c r="M112" s="135">
        <v>0</v>
      </c>
      <c r="N112" s="134">
        <v>2.1</v>
      </c>
      <c r="O112" s="135">
        <v>0</v>
      </c>
      <c r="P112" s="136">
        <v>2.1</v>
      </c>
      <c r="Q112" s="134">
        <v>0</v>
      </c>
      <c r="R112" s="136">
        <v>2.1</v>
      </c>
      <c r="S112" s="37"/>
      <c r="T112" s="135">
        <v>0</v>
      </c>
      <c r="U112" s="134">
        <v>0.5</v>
      </c>
      <c r="V112" s="135">
        <v>0</v>
      </c>
      <c r="W112" s="134">
        <v>0.5</v>
      </c>
      <c r="X112" s="135">
        <v>0</v>
      </c>
      <c r="Y112" s="136">
        <v>0.5</v>
      </c>
      <c r="Z112" s="135">
        <v>0</v>
      </c>
      <c r="AA112" s="136">
        <v>0.4</v>
      </c>
      <c r="AB112" s="134">
        <v>0</v>
      </c>
      <c r="AC112" s="136">
        <v>0.4</v>
      </c>
      <c r="AE112" s="22">
        <v>1</v>
      </c>
      <c r="AF112" s="65"/>
      <c r="AG112" s="35">
        <v>0</v>
      </c>
      <c r="AH112" s="36">
        <v>0</v>
      </c>
      <c r="AI112" s="37"/>
      <c r="AJ112" s="35">
        <v>25</v>
      </c>
      <c r="AK112" s="36">
        <v>50.400000000000006</v>
      </c>
      <c r="AL112" s="35">
        <v>25</v>
      </c>
      <c r="AM112" s="36">
        <v>50.400000000000006</v>
      </c>
      <c r="AN112" s="35">
        <v>25</v>
      </c>
      <c r="AO112" s="36">
        <v>50.400000000000006</v>
      </c>
      <c r="AP112" s="37"/>
      <c r="AQ112" s="35">
        <v>63</v>
      </c>
      <c r="AR112" s="36">
        <v>12</v>
      </c>
      <c r="AS112" s="35">
        <v>63</v>
      </c>
      <c r="AT112" s="36">
        <v>12</v>
      </c>
      <c r="AU112" s="35">
        <v>63</v>
      </c>
      <c r="AV112" s="36">
        <v>12</v>
      </c>
      <c r="AW112" s="35">
        <v>65</v>
      </c>
      <c r="AX112" s="36">
        <v>9.6000000000000014</v>
      </c>
      <c r="AY112" s="35">
        <v>65</v>
      </c>
      <c r="AZ112" s="36">
        <v>9.6000000000000014</v>
      </c>
    </row>
    <row r="113" spans="1:52">
      <c r="A113" s="196" t="s">
        <v>1043</v>
      </c>
      <c r="B113" s="41" t="s">
        <v>58</v>
      </c>
      <c r="C113" s="211" t="s">
        <v>372</v>
      </c>
      <c r="D113" s="41">
        <v>223</v>
      </c>
      <c r="E113" s="41">
        <v>0</v>
      </c>
      <c r="F113" s="22" t="s">
        <v>1041</v>
      </c>
      <c r="G113" s="40">
        <v>24</v>
      </c>
      <c r="H113" s="80">
        <v>136.36363636363637</v>
      </c>
      <c r="I113" s="228"/>
      <c r="J113" s="35" t="s">
        <v>3</v>
      </c>
      <c r="K113" s="36" t="s">
        <v>3</v>
      </c>
      <c r="L113" s="498" t="s">
        <v>1210</v>
      </c>
      <c r="M113" s="135">
        <v>19</v>
      </c>
      <c r="N113" s="134">
        <v>4</v>
      </c>
      <c r="O113" s="135">
        <v>0</v>
      </c>
      <c r="P113" s="136">
        <v>1.9000000000000001</v>
      </c>
      <c r="Q113" s="134">
        <v>0</v>
      </c>
      <c r="R113" s="136">
        <v>0.9</v>
      </c>
      <c r="S113" s="37"/>
      <c r="T113" s="135">
        <v>0</v>
      </c>
      <c r="U113" s="134">
        <v>5</v>
      </c>
      <c r="V113" s="135">
        <v>0</v>
      </c>
      <c r="W113" s="134">
        <v>2.1</v>
      </c>
      <c r="X113" s="135">
        <v>0</v>
      </c>
      <c r="Y113" s="136">
        <v>2.1</v>
      </c>
      <c r="Z113" s="135">
        <v>0</v>
      </c>
      <c r="AA113" s="136">
        <v>2.1</v>
      </c>
      <c r="AB113" s="134">
        <v>0</v>
      </c>
      <c r="AC113" s="136">
        <v>2.1</v>
      </c>
      <c r="AE113" s="22">
        <v>87</v>
      </c>
      <c r="AF113" s="65"/>
      <c r="AG113" s="35">
        <v>0</v>
      </c>
      <c r="AH113" s="36">
        <v>0</v>
      </c>
      <c r="AI113" s="37"/>
      <c r="AJ113" s="35">
        <v>108</v>
      </c>
      <c r="AK113" s="36">
        <v>96</v>
      </c>
      <c r="AL113" s="35">
        <v>177</v>
      </c>
      <c r="AM113" s="36">
        <v>45.6</v>
      </c>
      <c r="AN113" s="37">
        <v>201</v>
      </c>
      <c r="AO113" s="36">
        <v>21.6</v>
      </c>
      <c r="AP113" s="37"/>
      <c r="AQ113" s="35">
        <v>103</v>
      </c>
      <c r="AR113" s="36">
        <v>120</v>
      </c>
      <c r="AS113" s="35">
        <v>173</v>
      </c>
      <c r="AT113" s="36">
        <v>50.400000000000006</v>
      </c>
      <c r="AU113" s="37">
        <v>173</v>
      </c>
      <c r="AV113" s="36">
        <v>50.400000000000006</v>
      </c>
      <c r="AW113" s="37">
        <v>173</v>
      </c>
      <c r="AX113" s="36">
        <v>50.400000000000006</v>
      </c>
      <c r="AY113" s="37">
        <v>173</v>
      </c>
      <c r="AZ113" s="36">
        <v>50.400000000000006</v>
      </c>
    </row>
    <row r="114" spans="1:52">
      <c r="A114" s="196" t="s">
        <v>1044</v>
      </c>
      <c r="B114" s="41" t="s">
        <v>58</v>
      </c>
      <c r="C114" s="211" t="s">
        <v>372</v>
      </c>
      <c r="D114" s="41">
        <v>223</v>
      </c>
      <c r="E114" s="41">
        <v>0</v>
      </c>
      <c r="F114" s="22" t="s">
        <v>1041</v>
      </c>
      <c r="G114" s="413">
        <v>30</v>
      </c>
      <c r="H114" s="80">
        <v>136.36363636363637</v>
      </c>
      <c r="I114" s="228"/>
      <c r="J114" s="35" t="s">
        <v>3</v>
      </c>
      <c r="K114" s="36" t="s">
        <v>3</v>
      </c>
      <c r="L114" s="498" t="s">
        <v>1210</v>
      </c>
      <c r="M114" s="135">
        <v>19</v>
      </c>
      <c r="N114" s="134">
        <v>3.2</v>
      </c>
      <c r="O114" s="135">
        <v>0</v>
      </c>
      <c r="P114" s="136">
        <v>1.6</v>
      </c>
      <c r="Q114" s="134">
        <v>0</v>
      </c>
      <c r="R114" s="136">
        <v>0.8</v>
      </c>
      <c r="S114" s="37"/>
      <c r="T114" s="135">
        <v>0</v>
      </c>
      <c r="U114" s="134">
        <v>4</v>
      </c>
      <c r="V114" s="135">
        <v>0</v>
      </c>
      <c r="W114" s="134">
        <v>1.7000000000000002</v>
      </c>
      <c r="X114" s="135">
        <v>0</v>
      </c>
      <c r="Y114" s="136">
        <v>1.7000000000000002</v>
      </c>
      <c r="Z114" s="135">
        <v>0</v>
      </c>
      <c r="AA114" s="136">
        <v>1.7000000000000002</v>
      </c>
      <c r="AB114" s="134">
        <v>0</v>
      </c>
      <c r="AC114" s="136">
        <v>1.7000000000000002</v>
      </c>
      <c r="AE114" s="22">
        <v>87</v>
      </c>
      <c r="AF114" s="65"/>
      <c r="AG114" s="35">
        <v>0</v>
      </c>
      <c r="AH114" s="36">
        <v>0</v>
      </c>
      <c r="AI114" s="37"/>
      <c r="AJ114" s="35">
        <v>108</v>
      </c>
      <c r="AK114" s="36">
        <v>96</v>
      </c>
      <c r="AL114" s="35">
        <v>175</v>
      </c>
      <c r="AM114" s="36">
        <v>48</v>
      </c>
      <c r="AN114" s="35">
        <v>199</v>
      </c>
      <c r="AO114" s="36">
        <v>24</v>
      </c>
      <c r="AP114" s="37"/>
      <c r="AQ114" s="35">
        <v>103</v>
      </c>
      <c r="AR114" s="36">
        <v>120</v>
      </c>
      <c r="AS114" s="35">
        <v>172</v>
      </c>
      <c r="AT114" s="36">
        <v>51.000000000000007</v>
      </c>
      <c r="AU114" s="35">
        <v>172</v>
      </c>
      <c r="AV114" s="36">
        <v>51.000000000000007</v>
      </c>
      <c r="AW114" s="35">
        <v>172</v>
      </c>
      <c r="AX114" s="36">
        <v>51.000000000000007</v>
      </c>
      <c r="AY114" s="35">
        <v>172</v>
      </c>
      <c r="AZ114" s="36">
        <v>51.000000000000007</v>
      </c>
    </row>
    <row r="115" spans="1:52">
      <c r="A115" s="196" t="s">
        <v>1045</v>
      </c>
      <c r="B115" s="41" t="s">
        <v>58</v>
      </c>
      <c r="C115" s="211" t="s">
        <v>741</v>
      </c>
      <c r="D115" s="41">
        <v>137</v>
      </c>
      <c r="E115" s="41">
        <v>0</v>
      </c>
      <c r="F115" s="22" t="s">
        <v>1041</v>
      </c>
      <c r="G115" s="40">
        <v>24</v>
      </c>
      <c r="H115" s="80">
        <v>136.36363636363637</v>
      </c>
      <c r="I115" s="228"/>
      <c r="J115" s="35" t="s">
        <v>3</v>
      </c>
      <c r="K115" s="36" t="s">
        <v>3</v>
      </c>
      <c r="L115" s="498" t="s">
        <v>1210</v>
      </c>
      <c r="M115" s="135">
        <v>19</v>
      </c>
      <c r="N115" s="134">
        <v>4</v>
      </c>
      <c r="O115" s="135">
        <v>0</v>
      </c>
      <c r="P115" s="136">
        <v>1.9000000000000001</v>
      </c>
      <c r="Q115" s="134">
        <v>0</v>
      </c>
      <c r="R115" s="136">
        <v>0.9</v>
      </c>
      <c r="S115" s="37"/>
      <c r="T115" s="135">
        <v>0</v>
      </c>
      <c r="U115" s="134">
        <v>5</v>
      </c>
      <c r="V115" s="135">
        <v>0</v>
      </c>
      <c r="W115" s="134">
        <v>2.1</v>
      </c>
      <c r="X115" s="135">
        <v>0</v>
      </c>
      <c r="Y115" s="136">
        <v>2.1</v>
      </c>
      <c r="Z115" s="135">
        <v>0</v>
      </c>
      <c r="AA115" s="136">
        <v>2.1</v>
      </c>
      <c r="AB115" s="134">
        <v>0</v>
      </c>
      <c r="AC115" s="136">
        <v>2.1</v>
      </c>
      <c r="AE115" s="22">
        <v>1</v>
      </c>
      <c r="AF115" s="65"/>
      <c r="AG115" s="35">
        <v>0</v>
      </c>
      <c r="AH115" s="36">
        <v>0</v>
      </c>
      <c r="AI115" s="37"/>
      <c r="AJ115" s="35">
        <v>22</v>
      </c>
      <c r="AK115" s="36">
        <v>96</v>
      </c>
      <c r="AL115" s="35">
        <v>91</v>
      </c>
      <c r="AM115" s="36">
        <v>45.6</v>
      </c>
      <c r="AN115" s="37">
        <v>115</v>
      </c>
      <c r="AO115" s="36">
        <v>21.6</v>
      </c>
      <c r="AP115" s="37"/>
      <c r="AQ115" s="35">
        <v>17</v>
      </c>
      <c r="AR115" s="36">
        <v>120</v>
      </c>
      <c r="AS115" s="35">
        <v>87</v>
      </c>
      <c r="AT115" s="36">
        <v>50.400000000000006</v>
      </c>
      <c r="AU115" s="37">
        <v>87</v>
      </c>
      <c r="AV115" s="36">
        <v>50.400000000000006</v>
      </c>
      <c r="AW115" s="37">
        <v>87</v>
      </c>
      <c r="AX115" s="36">
        <v>50.400000000000006</v>
      </c>
      <c r="AY115" s="37">
        <v>87</v>
      </c>
      <c r="AZ115" s="36">
        <v>50.400000000000006</v>
      </c>
    </row>
    <row r="116" spans="1:52">
      <c r="A116" s="196" t="s">
        <v>1046</v>
      </c>
      <c r="B116" s="41" t="s">
        <v>58</v>
      </c>
      <c r="C116" s="211" t="s">
        <v>741</v>
      </c>
      <c r="D116" s="41">
        <v>137</v>
      </c>
      <c r="E116" s="41">
        <v>0</v>
      </c>
      <c r="F116" s="22" t="s">
        <v>1041</v>
      </c>
      <c r="G116" s="413">
        <v>30</v>
      </c>
      <c r="H116" s="80">
        <v>136.36363636363637</v>
      </c>
      <c r="I116" s="228"/>
      <c r="J116" s="35" t="s">
        <v>3</v>
      </c>
      <c r="K116" s="36" t="s">
        <v>3</v>
      </c>
      <c r="L116" s="498" t="s">
        <v>1210</v>
      </c>
      <c r="M116" s="135">
        <v>19</v>
      </c>
      <c r="N116" s="134">
        <v>3.2</v>
      </c>
      <c r="O116" s="135">
        <v>0</v>
      </c>
      <c r="P116" s="136">
        <v>1.6</v>
      </c>
      <c r="Q116" s="134">
        <v>0</v>
      </c>
      <c r="R116" s="136">
        <v>0.8</v>
      </c>
      <c r="S116" s="37"/>
      <c r="T116" s="135">
        <v>0</v>
      </c>
      <c r="U116" s="134">
        <v>4</v>
      </c>
      <c r="V116" s="135">
        <v>0</v>
      </c>
      <c r="W116" s="134">
        <v>1.7000000000000002</v>
      </c>
      <c r="X116" s="135">
        <v>0</v>
      </c>
      <c r="Y116" s="136">
        <v>1.7000000000000002</v>
      </c>
      <c r="Z116" s="135">
        <v>0</v>
      </c>
      <c r="AA116" s="136">
        <v>1.7000000000000002</v>
      </c>
      <c r="AB116" s="134">
        <v>0</v>
      </c>
      <c r="AC116" s="136">
        <v>1.7000000000000002</v>
      </c>
      <c r="AE116" s="22">
        <v>1</v>
      </c>
      <c r="AF116" s="65"/>
      <c r="AG116" s="35">
        <v>0</v>
      </c>
      <c r="AH116" s="36">
        <v>0</v>
      </c>
      <c r="AI116" s="37"/>
      <c r="AJ116" s="35">
        <v>22</v>
      </c>
      <c r="AK116" s="36">
        <v>96</v>
      </c>
      <c r="AL116" s="35">
        <v>89</v>
      </c>
      <c r="AM116" s="36">
        <v>48</v>
      </c>
      <c r="AN116" s="35">
        <v>113</v>
      </c>
      <c r="AO116" s="36">
        <v>24</v>
      </c>
      <c r="AP116" s="37"/>
      <c r="AQ116" s="35">
        <v>17</v>
      </c>
      <c r="AR116" s="36">
        <v>120</v>
      </c>
      <c r="AS116" s="35">
        <v>86</v>
      </c>
      <c r="AT116" s="36">
        <v>51.000000000000007</v>
      </c>
      <c r="AU116" s="35">
        <v>86</v>
      </c>
      <c r="AV116" s="36">
        <v>51.000000000000007</v>
      </c>
      <c r="AW116" s="35">
        <v>86</v>
      </c>
      <c r="AX116" s="36">
        <v>51.000000000000007</v>
      </c>
      <c r="AY116" s="35">
        <v>86</v>
      </c>
      <c r="AZ116" s="36">
        <v>51.000000000000007</v>
      </c>
    </row>
    <row r="117" spans="1:52">
      <c r="A117" s="196" t="s">
        <v>1047</v>
      </c>
      <c r="B117" s="41" t="s">
        <v>58</v>
      </c>
      <c r="C117" s="211" t="s">
        <v>742</v>
      </c>
      <c r="D117" s="41">
        <v>184</v>
      </c>
      <c r="E117" s="41">
        <v>0</v>
      </c>
      <c r="F117" s="22" t="s">
        <v>1041</v>
      </c>
      <c r="G117" s="40">
        <v>24</v>
      </c>
      <c r="H117" s="80">
        <v>183.47107438016531</v>
      </c>
      <c r="I117" s="228"/>
      <c r="J117" s="35" t="s">
        <v>3</v>
      </c>
      <c r="K117" s="36" t="s">
        <v>3</v>
      </c>
      <c r="L117" s="498" t="s">
        <v>1210</v>
      </c>
      <c r="M117" s="135" t="s">
        <v>3</v>
      </c>
      <c r="N117" s="134" t="s">
        <v>3</v>
      </c>
      <c r="O117" s="135" t="s">
        <v>3</v>
      </c>
      <c r="P117" s="136" t="s">
        <v>3</v>
      </c>
      <c r="Q117" s="134" t="s">
        <v>3</v>
      </c>
      <c r="R117" s="136" t="s">
        <v>3</v>
      </c>
      <c r="S117" s="37"/>
      <c r="T117" s="135">
        <v>0</v>
      </c>
      <c r="U117" s="134">
        <v>6.7</v>
      </c>
      <c r="V117" s="135">
        <v>0</v>
      </c>
      <c r="W117" s="134">
        <v>4.2</v>
      </c>
      <c r="X117" s="135">
        <v>0</v>
      </c>
      <c r="Y117" s="136">
        <v>4.2</v>
      </c>
      <c r="Z117" s="135">
        <v>0</v>
      </c>
      <c r="AA117" s="136">
        <v>4.1000000000000005</v>
      </c>
      <c r="AB117" s="134">
        <v>0</v>
      </c>
      <c r="AC117" s="136">
        <v>4.1000000000000005</v>
      </c>
      <c r="AE117" s="22">
        <v>1</v>
      </c>
      <c r="AF117" s="65"/>
      <c r="AG117" s="35">
        <v>0</v>
      </c>
      <c r="AH117" s="36">
        <v>0</v>
      </c>
      <c r="AI117" s="37"/>
      <c r="AJ117" s="35" t="s">
        <v>3</v>
      </c>
      <c r="AK117" s="36" t="s">
        <v>3</v>
      </c>
      <c r="AL117" s="35" t="s">
        <v>3</v>
      </c>
      <c r="AM117" s="36" t="s">
        <v>3</v>
      </c>
      <c r="AN117" s="37" t="s">
        <v>3</v>
      </c>
      <c r="AO117" s="36" t="s">
        <v>3</v>
      </c>
      <c r="AP117" s="37"/>
      <c r="AQ117" s="35">
        <v>23</v>
      </c>
      <c r="AR117" s="36">
        <v>160.80000000000001</v>
      </c>
      <c r="AS117" s="35">
        <v>83</v>
      </c>
      <c r="AT117" s="36">
        <v>100.80000000000001</v>
      </c>
      <c r="AU117" s="37">
        <v>83</v>
      </c>
      <c r="AV117" s="36">
        <v>100.80000000000001</v>
      </c>
      <c r="AW117" s="37">
        <v>86</v>
      </c>
      <c r="AX117" s="36">
        <v>98.4</v>
      </c>
      <c r="AY117" s="37">
        <v>86</v>
      </c>
      <c r="AZ117" s="36">
        <v>98.4</v>
      </c>
    </row>
    <row r="118" spans="1:52">
      <c r="A118" s="196" t="s">
        <v>1048</v>
      </c>
      <c r="B118" s="41" t="s">
        <v>58</v>
      </c>
      <c r="C118" s="211" t="s">
        <v>742</v>
      </c>
      <c r="D118" s="41">
        <v>184</v>
      </c>
      <c r="E118" s="41">
        <v>0</v>
      </c>
      <c r="F118" s="22" t="s">
        <v>1041</v>
      </c>
      <c r="G118" s="413">
        <v>30</v>
      </c>
      <c r="H118" s="80">
        <v>183.47107438016531</v>
      </c>
      <c r="I118" s="228"/>
      <c r="J118" s="35" t="s">
        <v>3</v>
      </c>
      <c r="K118" s="36" t="s">
        <v>3</v>
      </c>
      <c r="L118" s="498" t="s">
        <v>1210</v>
      </c>
      <c r="M118" s="135" t="s">
        <v>3</v>
      </c>
      <c r="N118" s="134" t="s">
        <v>3</v>
      </c>
      <c r="O118" s="135" t="s">
        <v>3</v>
      </c>
      <c r="P118" s="136" t="s">
        <v>3</v>
      </c>
      <c r="Q118" s="134" t="s">
        <v>3</v>
      </c>
      <c r="R118" s="136" t="s">
        <v>3</v>
      </c>
      <c r="S118" s="37"/>
      <c r="T118" s="135">
        <v>0</v>
      </c>
      <c r="U118" s="134">
        <v>5.4</v>
      </c>
      <c r="V118" s="135">
        <v>0</v>
      </c>
      <c r="W118" s="134">
        <v>3.4000000000000004</v>
      </c>
      <c r="X118" s="135">
        <v>0</v>
      </c>
      <c r="Y118" s="136">
        <v>3.4000000000000004</v>
      </c>
      <c r="Z118" s="135">
        <v>0</v>
      </c>
      <c r="AA118" s="136">
        <v>3.3000000000000003</v>
      </c>
      <c r="AB118" s="134">
        <v>0</v>
      </c>
      <c r="AC118" s="136">
        <v>3.3000000000000003</v>
      </c>
      <c r="AE118" s="22">
        <v>1</v>
      </c>
      <c r="AF118" s="65"/>
      <c r="AG118" s="35">
        <v>0</v>
      </c>
      <c r="AH118" s="36">
        <v>0</v>
      </c>
      <c r="AI118" s="37"/>
      <c r="AJ118" s="35" t="s">
        <v>3</v>
      </c>
      <c r="AK118" s="36" t="s">
        <v>3</v>
      </c>
      <c r="AL118" s="35" t="s">
        <v>3</v>
      </c>
      <c r="AM118" s="36" t="s">
        <v>3</v>
      </c>
      <c r="AN118" s="35" t="s">
        <v>3</v>
      </c>
      <c r="AO118" s="36" t="s">
        <v>3</v>
      </c>
      <c r="AP118" s="37"/>
      <c r="AQ118" s="35">
        <v>22</v>
      </c>
      <c r="AR118" s="36">
        <v>162</v>
      </c>
      <c r="AS118" s="35">
        <v>82</v>
      </c>
      <c r="AT118" s="36">
        <v>102.00000000000001</v>
      </c>
      <c r="AU118" s="35">
        <v>82</v>
      </c>
      <c r="AV118" s="36">
        <v>102.00000000000001</v>
      </c>
      <c r="AW118" s="35">
        <v>85</v>
      </c>
      <c r="AX118" s="36">
        <v>99.000000000000014</v>
      </c>
      <c r="AY118" s="35">
        <v>85</v>
      </c>
      <c r="AZ118" s="36">
        <v>99.000000000000014</v>
      </c>
    </row>
    <row r="119" spans="1:52">
      <c r="A119" s="196" t="s">
        <v>1049</v>
      </c>
      <c r="B119" s="41" t="s">
        <v>58</v>
      </c>
      <c r="C119" s="211" t="s">
        <v>552</v>
      </c>
      <c r="D119" s="41">
        <v>279</v>
      </c>
      <c r="E119" s="41">
        <v>0</v>
      </c>
      <c r="F119" s="22" t="s">
        <v>1041</v>
      </c>
      <c r="G119" s="40">
        <v>24</v>
      </c>
      <c r="H119" s="80">
        <v>277.68595041322317</v>
      </c>
      <c r="I119" s="228"/>
      <c r="J119" s="35" t="s">
        <v>3</v>
      </c>
      <c r="K119" s="36" t="s">
        <v>3</v>
      </c>
      <c r="L119" s="498" t="s">
        <v>1210</v>
      </c>
      <c r="M119" s="135" t="s">
        <v>3</v>
      </c>
      <c r="N119" s="134" t="s">
        <v>3</v>
      </c>
      <c r="O119" s="135" t="s">
        <v>3</v>
      </c>
      <c r="P119" s="136" t="s">
        <v>3</v>
      </c>
      <c r="Q119" s="134" t="s">
        <v>3</v>
      </c>
      <c r="R119" s="136" t="s">
        <v>3</v>
      </c>
      <c r="S119" s="37"/>
      <c r="T119" s="135">
        <v>0</v>
      </c>
      <c r="U119" s="134">
        <v>8.9</v>
      </c>
      <c r="V119" s="135">
        <v>0</v>
      </c>
      <c r="W119" s="134">
        <v>6.2</v>
      </c>
      <c r="X119" s="135">
        <v>0</v>
      </c>
      <c r="Y119" s="136">
        <v>6.2</v>
      </c>
      <c r="Z119" s="135">
        <v>0</v>
      </c>
      <c r="AA119" s="136">
        <v>6.2</v>
      </c>
      <c r="AB119" s="134">
        <v>0</v>
      </c>
      <c r="AC119" s="136">
        <v>6.2</v>
      </c>
      <c r="AE119" s="22">
        <v>1</v>
      </c>
      <c r="AF119" s="65"/>
      <c r="AG119" s="35">
        <v>0</v>
      </c>
      <c r="AH119" s="36">
        <v>0</v>
      </c>
      <c r="AI119" s="37"/>
      <c r="AJ119" s="35" t="s">
        <v>3</v>
      </c>
      <c r="AK119" s="36" t="s">
        <v>3</v>
      </c>
      <c r="AL119" s="35" t="s">
        <v>3</v>
      </c>
      <c r="AM119" s="36" t="s">
        <v>3</v>
      </c>
      <c r="AN119" s="37" t="s">
        <v>3</v>
      </c>
      <c r="AO119" s="36" t="s">
        <v>3</v>
      </c>
      <c r="AP119" s="37"/>
      <c r="AQ119" s="35">
        <v>65</v>
      </c>
      <c r="AR119" s="36">
        <v>213.60000000000002</v>
      </c>
      <c r="AS119" s="35">
        <v>130</v>
      </c>
      <c r="AT119" s="36">
        <v>148.80000000000001</v>
      </c>
      <c r="AU119" s="37">
        <v>130</v>
      </c>
      <c r="AV119" s="36">
        <v>148.80000000000001</v>
      </c>
      <c r="AW119" s="37">
        <v>130</v>
      </c>
      <c r="AX119" s="36">
        <v>148.80000000000001</v>
      </c>
      <c r="AY119" s="37">
        <v>130</v>
      </c>
      <c r="AZ119" s="36">
        <v>148.80000000000001</v>
      </c>
    </row>
    <row r="120" spans="1:52">
      <c r="A120" s="196" t="s">
        <v>1050</v>
      </c>
      <c r="B120" s="41" t="s">
        <v>58</v>
      </c>
      <c r="C120" s="211" t="s">
        <v>552</v>
      </c>
      <c r="D120" s="41">
        <v>279</v>
      </c>
      <c r="E120" s="41">
        <v>0</v>
      </c>
      <c r="F120" s="22" t="s">
        <v>1041</v>
      </c>
      <c r="G120" s="413">
        <v>30</v>
      </c>
      <c r="H120" s="80">
        <v>277.68595041322317</v>
      </c>
      <c r="I120" s="228"/>
      <c r="J120" s="35" t="s">
        <v>3</v>
      </c>
      <c r="K120" s="36" t="s">
        <v>3</v>
      </c>
      <c r="L120" s="498" t="s">
        <v>1210</v>
      </c>
      <c r="M120" s="135" t="s">
        <v>3</v>
      </c>
      <c r="N120" s="134" t="s">
        <v>3</v>
      </c>
      <c r="O120" s="135" t="s">
        <v>3</v>
      </c>
      <c r="P120" s="136" t="s">
        <v>3</v>
      </c>
      <c r="Q120" s="134" t="s">
        <v>3</v>
      </c>
      <c r="R120" s="136" t="s">
        <v>3</v>
      </c>
      <c r="S120" s="37"/>
      <c r="T120" s="135">
        <v>0</v>
      </c>
      <c r="U120" s="134">
        <v>7.2</v>
      </c>
      <c r="V120" s="135">
        <v>0</v>
      </c>
      <c r="W120" s="134">
        <v>5</v>
      </c>
      <c r="X120" s="135">
        <v>0</v>
      </c>
      <c r="Y120" s="136">
        <v>5</v>
      </c>
      <c r="Z120" s="135">
        <v>0</v>
      </c>
      <c r="AA120" s="136">
        <v>5</v>
      </c>
      <c r="AB120" s="134">
        <v>0</v>
      </c>
      <c r="AC120" s="136">
        <v>5</v>
      </c>
      <c r="AE120" s="22">
        <v>1</v>
      </c>
      <c r="AF120" s="65"/>
      <c r="AG120" s="35">
        <v>0</v>
      </c>
      <c r="AH120" s="36">
        <v>0</v>
      </c>
      <c r="AI120" s="37"/>
      <c r="AJ120" s="35" t="s">
        <v>3</v>
      </c>
      <c r="AK120" s="36" t="s">
        <v>3</v>
      </c>
      <c r="AL120" s="35" t="s">
        <v>3</v>
      </c>
      <c r="AM120" s="36" t="s">
        <v>3</v>
      </c>
      <c r="AN120" s="35" t="s">
        <v>3</v>
      </c>
      <c r="AO120" s="36" t="s">
        <v>3</v>
      </c>
      <c r="AP120" s="37"/>
      <c r="AQ120" s="35">
        <v>63</v>
      </c>
      <c r="AR120" s="36">
        <v>216</v>
      </c>
      <c r="AS120" s="35">
        <v>129</v>
      </c>
      <c r="AT120" s="36">
        <v>150</v>
      </c>
      <c r="AU120" s="35">
        <v>129</v>
      </c>
      <c r="AV120" s="36">
        <v>150</v>
      </c>
      <c r="AW120" s="35">
        <v>129</v>
      </c>
      <c r="AX120" s="36">
        <v>150</v>
      </c>
      <c r="AY120" s="35">
        <v>129</v>
      </c>
      <c r="AZ120" s="36">
        <v>150</v>
      </c>
    </row>
    <row r="121" spans="1:52">
      <c r="A121" s="196" t="s">
        <v>1150</v>
      </c>
      <c r="B121" s="41" t="s">
        <v>58</v>
      </c>
      <c r="C121" s="211" t="s">
        <v>747</v>
      </c>
      <c r="D121" s="41">
        <v>300</v>
      </c>
      <c r="E121" s="41">
        <v>2.5</v>
      </c>
      <c r="F121" s="22" t="s">
        <v>1140</v>
      </c>
      <c r="G121" s="413">
        <v>24</v>
      </c>
      <c r="H121" s="80">
        <v>299.17355371900828</v>
      </c>
      <c r="I121" s="228"/>
      <c r="J121" s="35" t="s">
        <v>3</v>
      </c>
      <c r="K121" s="36" t="s">
        <v>3</v>
      </c>
      <c r="L121" s="498" t="s">
        <v>1210</v>
      </c>
      <c r="M121" s="135" t="s">
        <v>3</v>
      </c>
      <c r="N121" s="134" t="s">
        <v>3</v>
      </c>
      <c r="O121" s="135" t="s">
        <v>3</v>
      </c>
      <c r="P121" s="136" t="s">
        <v>3</v>
      </c>
      <c r="Q121" s="134" t="s">
        <v>3</v>
      </c>
      <c r="R121" s="136" t="s">
        <v>3</v>
      </c>
      <c r="S121" s="37"/>
      <c r="T121" s="135">
        <v>0</v>
      </c>
      <c r="U121" s="134">
        <v>8.7000000000000011</v>
      </c>
      <c r="V121" s="135">
        <v>0</v>
      </c>
      <c r="W121" s="134">
        <v>8.7000000000000011</v>
      </c>
      <c r="X121" s="135">
        <v>0</v>
      </c>
      <c r="Y121" s="136">
        <v>8.7000000000000011</v>
      </c>
      <c r="Z121" s="135">
        <v>0</v>
      </c>
      <c r="AA121" s="136">
        <v>8.7000000000000011</v>
      </c>
      <c r="AB121" s="134">
        <v>0</v>
      </c>
      <c r="AC121" s="136">
        <v>8.7000000000000011</v>
      </c>
      <c r="AE121" s="22">
        <v>1</v>
      </c>
      <c r="AF121" s="65"/>
      <c r="AG121" s="35">
        <v>0</v>
      </c>
      <c r="AH121" s="36">
        <v>0</v>
      </c>
      <c r="AI121" s="37"/>
      <c r="AJ121" s="35" t="s">
        <v>3</v>
      </c>
      <c r="AK121" s="36" t="s">
        <v>3</v>
      </c>
      <c r="AL121" s="35" t="s">
        <v>3</v>
      </c>
      <c r="AM121" s="36" t="s">
        <v>3</v>
      </c>
      <c r="AN121" s="37" t="s">
        <v>3</v>
      </c>
      <c r="AO121" s="36" t="s">
        <v>3</v>
      </c>
      <c r="AP121" s="37"/>
      <c r="AQ121" s="35">
        <v>91</v>
      </c>
      <c r="AR121" s="36">
        <v>208.8</v>
      </c>
      <c r="AS121" s="35">
        <v>91</v>
      </c>
      <c r="AT121" s="36">
        <v>208.8</v>
      </c>
      <c r="AU121" s="37">
        <v>91</v>
      </c>
      <c r="AV121" s="36">
        <v>208.8</v>
      </c>
      <c r="AW121" s="37">
        <v>91</v>
      </c>
      <c r="AX121" s="36">
        <v>208.8</v>
      </c>
      <c r="AY121" s="37">
        <v>91</v>
      </c>
      <c r="AZ121" s="36">
        <v>208.8</v>
      </c>
    </row>
    <row r="122" spans="1:52">
      <c r="A122" s="196" t="s">
        <v>1151</v>
      </c>
      <c r="B122" s="41" t="s">
        <v>58</v>
      </c>
      <c r="C122" s="211" t="s">
        <v>747</v>
      </c>
      <c r="D122" s="41">
        <v>300</v>
      </c>
      <c r="E122" s="41">
        <v>2.5</v>
      </c>
      <c r="F122" s="22" t="s">
        <v>1140</v>
      </c>
      <c r="G122" s="40">
        <v>30</v>
      </c>
      <c r="H122" s="80">
        <v>299.17355371900828</v>
      </c>
      <c r="I122" s="228"/>
      <c r="J122" s="35" t="s">
        <v>3</v>
      </c>
      <c r="K122" s="36" t="s">
        <v>3</v>
      </c>
      <c r="L122" s="498" t="s">
        <v>1210</v>
      </c>
      <c r="M122" s="135" t="s">
        <v>3</v>
      </c>
      <c r="N122" s="134" t="s">
        <v>3</v>
      </c>
      <c r="O122" s="135" t="s">
        <v>3</v>
      </c>
      <c r="P122" s="136" t="s">
        <v>3</v>
      </c>
      <c r="Q122" s="134" t="s">
        <v>3</v>
      </c>
      <c r="R122" s="136" t="s">
        <v>3</v>
      </c>
      <c r="S122" s="37"/>
      <c r="T122" s="135">
        <v>0</v>
      </c>
      <c r="U122" s="134">
        <v>7</v>
      </c>
      <c r="V122" s="135">
        <v>0</v>
      </c>
      <c r="W122" s="134">
        <v>7</v>
      </c>
      <c r="X122" s="135">
        <v>0</v>
      </c>
      <c r="Y122" s="136">
        <v>7</v>
      </c>
      <c r="Z122" s="135">
        <v>0</v>
      </c>
      <c r="AA122" s="136">
        <v>7</v>
      </c>
      <c r="AB122" s="134">
        <v>0</v>
      </c>
      <c r="AC122" s="136">
        <v>7</v>
      </c>
      <c r="AE122" s="22">
        <v>1</v>
      </c>
      <c r="AF122" s="65"/>
      <c r="AG122" s="35">
        <v>0</v>
      </c>
      <c r="AH122" s="36">
        <v>0</v>
      </c>
      <c r="AI122" s="37"/>
      <c r="AJ122" s="35" t="s">
        <v>3</v>
      </c>
      <c r="AK122" s="36" t="s">
        <v>3</v>
      </c>
      <c r="AL122" s="35" t="s">
        <v>3</v>
      </c>
      <c r="AM122" s="36" t="s">
        <v>3</v>
      </c>
      <c r="AN122" s="35" t="s">
        <v>3</v>
      </c>
      <c r="AO122" s="36" t="s">
        <v>3</v>
      </c>
      <c r="AP122" s="37"/>
      <c r="AQ122" s="35">
        <v>90</v>
      </c>
      <c r="AR122" s="36">
        <v>210</v>
      </c>
      <c r="AS122" s="35">
        <v>90</v>
      </c>
      <c r="AT122" s="36">
        <v>210</v>
      </c>
      <c r="AU122" s="35">
        <v>90</v>
      </c>
      <c r="AV122" s="36">
        <v>210</v>
      </c>
      <c r="AW122" s="35">
        <v>90</v>
      </c>
      <c r="AX122" s="36">
        <v>210</v>
      </c>
      <c r="AY122" s="35">
        <v>90</v>
      </c>
      <c r="AZ122" s="36">
        <v>210</v>
      </c>
    </row>
    <row r="123" spans="1:52">
      <c r="A123" s="196" t="s">
        <v>1051</v>
      </c>
      <c r="B123" s="41" t="s">
        <v>672</v>
      </c>
      <c r="C123" s="211" t="s">
        <v>750</v>
      </c>
      <c r="D123" s="41">
        <v>168</v>
      </c>
      <c r="E123" s="41">
        <v>0</v>
      </c>
      <c r="F123" s="22" t="s">
        <v>1041</v>
      </c>
      <c r="G123" s="40">
        <v>24</v>
      </c>
      <c r="H123" s="80">
        <v>157.85123966942149</v>
      </c>
      <c r="I123" s="228"/>
      <c r="J123" s="35" t="s">
        <v>3</v>
      </c>
      <c r="K123" s="36" t="s">
        <v>3</v>
      </c>
      <c r="L123" s="498" t="s">
        <v>1210</v>
      </c>
      <c r="M123" s="135">
        <v>29</v>
      </c>
      <c r="N123" s="134">
        <v>4.2</v>
      </c>
      <c r="O123" s="135">
        <v>0</v>
      </c>
      <c r="P123" s="136">
        <v>2.1</v>
      </c>
      <c r="Q123" s="134">
        <v>0</v>
      </c>
      <c r="R123" s="136">
        <v>1.3</v>
      </c>
      <c r="S123" s="37"/>
      <c r="T123" s="135">
        <v>0</v>
      </c>
      <c r="U123" s="134">
        <v>5.4</v>
      </c>
      <c r="V123" s="135">
        <v>0</v>
      </c>
      <c r="W123" s="134">
        <v>1.7000000000000002</v>
      </c>
      <c r="X123" s="135">
        <v>0</v>
      </c>
      <c r="Y123" s="136">
        <v>1.7000000000000002</v>
      </c>
      <c r="Z123" s="135">
        <v>0</v>
      </c>
      <c r="AA123" s="136">
        <v>1.7000000000000002</v>
      </c>
      <c r="AB123" s="134">
        <v>0</v>
      </c>
      <c r="AC123" s="136">
        <v>1.7000000000000002</v>
      </c>
      <c r="AE123" s="22">
        <v>10</v>
      </c>
      <c r="AF123" s="65"/>
      <c r="AG123" s="35">
        <v>0</v>
      </c>
      <c r="AH123" s="36">
        <v>0</v>
      </c>
      <c r="AI123" s="37"/>
      <c r="AJ123" s="35">
        <v>38</v>
      </c>
      <c r="AK123" s="36">
        <v>100.80000000000001</v>
      </c>
      <c r="AL123" s="35">
        <v>118</v>
      </c>
      <c r="AM123" s="36">
        <v>50.400000000000006</v>
      </c>
      <c r="AN123" s="37">
        <v>137</v>
      </c>
      <c r="AO123" s="36">
        <v>31.200000000000003</v>
      </c>
      <c r="AP123" s="37"/>
      <c r="AQ123" s="35">
        <v>38</v>
      </c>
      <c r="AR123" s="36">
        <v>129.60000000000002</v>
      </c>
      <c r="AS123" s="35">
        <v>127</v>
      </c>
      <c r="AT123" s="36">
        <v>40.800000000000004</v>
      </c>
      <c r="AU123" s="37">
        <v>127</v>
      </c>
      <c r="AV123" s="36">
        <v>40.800000000000004</v>
      </c>
      <c r="AW123" s="37">
        <v>127</v>
      </c>
      <c r="AX123" s="36">
        <v>40.800000000000004</v>
      </c>
      <c r="AY123" s="37">
        <v>127</v>
      </c>
      <c r="AZ123" s="36">
        <v>40.800000000000004</v>
      </c>
    </row>
    <row r="124" spans="1:52">
      <c r="A124" s="196" t="s">
        <v>1052</v>
      </c>
      <c r="B124" s="41" t="s">
        <v>106</v>
      </c>
      <c r="C124" s="211" t="s">
        <v>751</v>
      </c>
      <c r="D124" s="41">
        <v>204</v>
      </c>
      <c r="E124" s="41">
        <v>0</v>
      </c>
      <c r="F124" s="22" t="s">
        <v>1041</v>
      </c>
      <c r="G124" s="413">
        <v>24</v>
      </c>
      <c r="H124" s="80">
        <v>195.04132231404958</v>
      </c>
      <c r="I124" s="228"/>
      <c r="J124" s="35" t="s">
        <v>3</v>
      </c>
      <c r="K124" s="36" t="s">
        <v>3</v>
      </c>
      <c r="L124" s="498" t="s">
        <v>1210</v>
      </c>
      <c r="M124" s="135" t="s">
        <v>3</v>
      </c>
      <c r="N124" s="134" t="s">
        <v>3</v>
      </c>
      <c r="O124" s="135" t="s">
        <v>3</v>
      </c>
      <c r="P124" s="136" t="s">
        <v>3</v>
      </c>
      <c r="Q124" s="134" t="s">
        <v>3</v>
      </c>
      <c r="R124" s="136" t="s">
        <v>3</v>
      </c>
      <c r="S124" s="37"/>
      <c r="T124" s="135">
        <v>0</v>
      </c>
      <c r="U124" s="134">
        <v>6.9</v>
      </c>
      <c r="V124" s="135">
        <v>0</v>
      </c>
      <c r="W124" s="134">
        <v>2.5</v>
      </c>
      <c r="X124" s="135">
        <v>0</v>
      </c>
      <c r="Y124" s="136">
        <v>2.5</v>
      </c>
      <c r="Z124" s="135">
        <v>0</v>
      </c>
      <c r="AA124" s="136">
        <v>3</v>
      </c>
      <c r="AB124" s="134">
        <v>0</v>
      </c>
      <c r="AC124" s="136">
        <v>3</v>
      </c>
      <c r="AE124" s="22">
        <v>9</v>
      </c>
      <c r="AF124" s="65"/>
      <c r="AG124" s="35">
        <v>0</v>
      </c>
      <c r="AH124" s="36">
        <v>0</v>
      </c>
      <c r="AI124" s="37"/>
      <c r="AJ124" s="35" t="s">
        <v>3</v>
      </c>
      <c r="AK124" s="36" t="s">
        <v>3</v>
      </c>
      <c r="AL124" s="35" t="s">
        <v>3</v>
      </c>
      <c r="AM124" s="36" t="s">
        <v>3</v>
      </c>
      <c r="AN124" s="35" t="s">
        <v>3</v>
      </c>
      <c r="AO124" s="36" t="s">
        <v>3</v>
      </c>
      <c r="AP124" s="37"/>
      <c r="AQ124" s="35">
        <v>38</v>
      </c>
      <c r="AR124" s="36">
        <v>165.60000000000002</v>
      </c>
      <c r="AS124" s="35">
        <v>144</v>
      </c>
      <c r="AT124" s="36">
        <v>60</v>
      </c>
      <c r="AU124" s="35">
        <v>144</v>
      </c>
      <c r="AV124" s="36">
        <v>60</v>
      </c>
      <c r="AW124" s="35">
        <v>132</v>
      </c>
      <c r="AX124" s="36">
        <v>72</v>
      </c>
      <c r="AY124" s="35">
        <v>132</v>
      </c>
      <c r="AZ124" s="36">
        <v>72</v>
      </c>
    </row>
    <row r="125" spans="1:52">
      <c r="A125" s="196" t="s">
        <v>1053</v>
      </c>
      <c r="B125" s="41" t="s">
        <v>670</v>
      </c>
      <c r="C125" s="211" t="s">
        <v>588</v>
      </c>
      <c r="D125" s="41">
        <v>47</v>
      </c>
      <c r="E125" s="41">
        <v>0</v>
      </c>
      <c r="F125" s="22" t="s">
        <v>1041</v>
      </c>
      <c r="G125" s="40">
        <v>24</v>
      </c>
      <c r="H125" s="80">
        <v>46.280991735537192</v>
      </c>
      <c r="I125" s="228"/>
      <c r="J125" s="35" t="s">
        <v>3</v>
      </c>
      <c r="K125" s="36" t="s">
        <v>3</v>
      </c>
      <c r="L125" s="498" t="s">
        <v>1210</v>
      </c>
      <c r="M125" s="135">
        <v>0</v>
      </c>
      <c r="N125" s="134">
        <v>1.1000000000000001</v>
      </c>
      <c r="O125" s="135">
        <v>0</v>
      </c>
      <c r="P125" s="136">
        <v>1.1000000000000001</v>
      </c>
      <c r="Q125" s="134">
        <v>0</v>
      </c>
      <c r="R125" s="136">
        <v>1.1000000000000001</v>
      </c>
      <c r="S125" s="37"/>
      <c r="T125" s="135">
        <v>0</v>
      </c>
      <c r="U125" s="134">
        <v>0.5</v>
      </c>
      <c r="V125" s="135">
        <v>0</v>
      </c>
      <c r="W125" s="134">
        <v>0.5</v>
      </c>
      <c r="X125" s="135">
        <v>0</v>
      </c>
      <c r="Y125" s="136">
        <v>0.5</v>
      </c>
      <c r="Z125" s="135">
        <v>0</v>
      </c>
      <c r="AA125" s="136">
        <v>0.4</v>
      </c>
      <c r="AB125" s="134">
        <v>0</v>
      </c>
      <c r="AC125" s="136">
        <v>0.4</v>
      </c>
      <c r="AE125" s="22">
        <v>1</v>
      </c>
      <c r="AF125" s="65"/>
      <c r="AG125" s="35">
        <v>0</v>
      </c>
      <c r="AH125" s="36">
        <v>0</v>
      </c>
      <c r="AI125" s="37"/>
      <c r="AJ125" s="35">
        <v>21</v>
      </c>
      <c r="AK125" s="36">
        <v>26.400000000000002</v>
      </c>
      <c r="AL125" s="35">
        <v>21</v>
      </c>
      <c r="AM125" s="36">
        <v>26.400000000000002</v>
      </c>
      <c r="AN125" s="37">
        <v>21</v>
      </c>
      <c r="AO125" s="36">
        <v>26.400000000000002</v>
      </c>
      <c r="AP125" s="37"/>
      <c r="AQ125" s="35">
        <v>35</v>
      </c>
      <c r="AR125" s="36">
        <v>12</v>
      </c>
      <c r="AS125" s="35">
        <v>35</v>
      </c>
      <c r="AT125" s="36">
        <v>12</v>
      </c>
      <c r="AU125" s="37">
        <v>35</v>
      </c>
      <c r="AV125" s="36">
        <v>12</v>
      </c>
      <c r="AW125" s="37">
        <v>37</v>
      </c>
      <c r="AX125" s="36">
        <v>9.6000000000000014</v>
      </c>
      <c r="AY125" s="37">
        <v>37</v>
      </c>
      <c r="AZ125" s="36">
        <v>9.6000000000000014</v>
      </c>
    </row>
    <row r="126" spans="1:52">
      <c r="A126" s="196" t="s">
        <v>1054</v>
      </c>
      <c r="B126" s="41" t="s">
        <v>57</v>
      </c>
      <c r="C126" s="211" t="s">
        <v>639</v>
      </c>
      <c r="D126" s="41">
        <v>94</v>
      </c>
      <c r="E126" s="41">
        <v>0</v>
      </c>
      <c r="F126" s="22" t="s">
        <v>1041</v>
      </c>
      <c r="G126" s="413">
        <v>24</v>
      </c>
      <c r="H126" s="80">
        <v>73.553719008264466</v>
      </c>
      <c r="I126" s="228"/>
      <c r="J126" s="35" t="s">
        <v>3</v>
      </c>
      <c r="K126" s="36" t="s">
        <v>3</v>
      </c>
      <c r="L126" s="498" t="s">
        <v>1210</v>
      </c>
      <c r="M126" s="135">
        <v>0</v>
      </c>
      <c r="N126" s="134">
        <v>2</v>
      </c>
      <c r="O126" s="135">
        <v>0</v>
      </c>
      <c r="P126" s="136">
        <v>2</v>
      </c>
      <c r="Q126" s="134">
        <v>0</v>
      </c>
      <c r="R126" s="136">
        <v>2</v>
      </c>
      <c r="S126" s="37"/>
      <c r="T126" s="135">
        <v>0</v>
      </c>
      <c r="U126" s="134">
        <v>0.9</v>
      </c>
      <c r="V126" s="135">
        <v>0</v>
      </c>
      <c r="W126" s="134">
        <v>0.9</v>
      </c>
      <c r="X126" s="135">
        <v>0</v>
      </c>
      <c r="Y126" s="136">
        <v>0.9</v>
      </c>
      <c r="Z126" s="135">
        <v>0</v>
      </c>
      <c r="AA126" s="136">
        <v>0.8</v>
      </c>
      <c r="AB126" s="134">
        <v>0</v>
      </c>
      <c r="AC126" s="136">
        <v>0.8</v>
      </c>
      <c r="AE126" s="22">
        <v>20</v>
      </c>
      <c r="AF126" s="65"/>
      <c r="AG126" s="35">
        <v>0</v>
      </c>
      <c r="AH126" s="36">
        <v>0</v>
      </c>
      <c r="AI126" s="37"/>
      <c r="AJ126" s="35">
        <v>46</v>
      </c>
      <c r="AK126" s="36">
        <v>48</v>
      </c>
      <c r="AL126" s="35">
        <v>46</v>
      </c>
      <c r="AM126" s="36">
        <v>48</v>
      </c>
      <c r="AN126" s="35">
        <v>46</v>
      </c>
      <c r="AO126" s="36">
        <v>48</v>
      </c>
      <c r="AP126" s="37"/>
      <c r="AQ126" s="35">
        <v>72</v>
      </c>
      <c r="AR126" s="36">
        <v>21.6</v>
      </c>
      <c r="AS126" s="35">
        <v>72</v>
      </c>
      <c r="AT126" s="36">
        <v>21.6</v>
      </c>
      <c r="AU126" s="35">
        <v>72</v>
      </c>
      <c r="AV126" s="36">
        <v>21.6</v>
      </c>
      <c r="AW126" s="35">
        <v>75</v>
      </c>
      <c r="AX126" s="36">
        <v>19.200000000000003</v>
      </c>
      <c r="AY126" s="35">
        <v>75</v>
      </c>
      <c r="AZ126" s="36">
        <v>19.200000000000003</v>
      </c>
    </row>
    <row r="127" spans="1:52">
      <c r="A127" s="196" t="s">
        <v>1055</v>
      </c>
      <c r="B127" s="41" t="s">
        <v>57</v>
      </c>
      <c r="C127" s="211" t="s">
        <v>565</v>
      </c>
      <c r="D127" s="41">
        <v>41</v>
      </c>
      <c r="E127" s="41">
        <v>0</v>
      </c>
      <c r="F127" s="22" t="s">
        <v>1041</v>
      </c>
      <c r="G127" s="40">
        <v>24</v>
      </c>
      <c r="H127" s="80">
        <v>38.84297520661157</v>
      </c>
      <c r="I127" s="228"/>
      <c r="J127" s="35" t="s">
        <v>3</v>
      </c>
      <c r="K127" s="36" t="s">
        <v>3</v>
      </c>
      <c r="L127" s="498" t="s">
        <v>1210</v>
      </c>
      <c r="M127" s="135">
        <v>0</v>
      </c>
      <c r="N127" s="134">
        <v>0.8</v>
      </c>
      <c r="O127" s="135">
        <v>0</v>
      </c>
      <c r="P127" s="136">
        <v>0.8</v>
      </c>
      <c r="Q127" s="134">
        <v>0</v>
      </c>
      <c r="R127" s="136">
        <v>0.8</v>
      </c>
      <c r="S127" s="37"/>
      <c r="T127" s="135">
        <v>0</v>
      </c>
      <c r="U127" s="134">
        <v>0</v>
      </c>
      <c r="V127" s="135">
        <v>0</v>
      </c>
      <c r="W127" s="134">
        <v>0</v>
      </c>
      <c r="X127" s="135">
        <v>0</v>
      </c>
      <c r="Y127" s="136">
        <v>0</v>
      </c>
      <c r="Z127" s="135">
        <v>0</v>
      </c>
      <c r="AA127" s="136">
        <v>0</v>
      </c>
      <c r="AB127" s="134">
        <v>0</v>
      </c>
      <c r="AC127" s="136">
        <v>0</v>
      </c>
      <c r="AE127" s="22">
        <v>2</v>
      </c>
      <c r="AF127" s="65"/>
      <c r="AG127" s="35">
        <v>0</v>
      </c>
      <c r="AH127" s="36">
        <v>0</v>
      </c>
      <c r="AI127" s="37"/>
      <c r="AJ127" s="35">
        <v>22</v>
      </c>
      <c r="AK127" s="36">
        <v>19.200000000000003</v>
      </c>
      <c r="AL127" s="35">
        <v>22</v>
      </c>
      <c r="AM127" s="36">
        <v>19.200000000000003</v>
      </c>
      <c r="AN127" s="37">
        <v>22</v>
      </c>
      <c r="AO127" s="36">
        <v>19.200000000000003</v>
      </c>
      <c r="AP127" s="37"/>
      <c r="AQ127" s="35">
        <v>41</v>
      </c>
      <c r="AR127" s="36">
        <v>0</v>
      </c>
      <c r="AS127" s="35">
        <v>41</v>
      </c>
      <c r="AT127" s="36">
        <v>0</v>
      </c>
      <c r="AU127" s="37">
        <v>41</v>
      </c>
      <c r="AV127" s="36">
        <v>0</v>
      </c>
      <c r="AW127" s="37">
        <v>41</v>
      </c>
      <c r="AX127" s="36">
        <v>0</v>
      </c>
      <c r="AY127" s="37">
        <v>41</v>
      </c>
      <c r="AZ127" s="36">
        <v>0</v>
      </c>
    </row>
    <row r="128" spans="1:52">
      <c r="A128" s="196" t="s">
        <v>1056</v>
      </c>
      <c r="B128" s="41" t="s">
        <v>57</v>
      </c>
      <c r="C128" s="211" t="s">
        <v>621</v>
      </c>
      <c r="D128" s="41">
        <v>188</v>
      </c>
      <c r="E128" s="41">
        <v>0</v>
      </c>
      <c r="F128" s="22" t="s">
        <v>1041</v>
      </c>
      <c r="G128" s="413">
        <v>24</v>
      </c>
      <c r="H128" s="80">
        <v>133.05785123966942</v>
      </c>
      <c r="I128" s="228"/>
      <c r="J128" s="35" t="s">
        <v>3</v>
      </c>
      <c r="K128" s="36" t="s">
        <v>3</v>
      </c>
      <c r="L128" s="498" t="s">
        <v>1210</v>
      </c>
      <c r="M128" s="135">
        <v>19</v>
      </c>
      <c r="N128" s="134">
        <v>4</v>
      </c>
      <c r="O128" s="135">
        <v>0</v>
      </c>
      <c r="P128" s="136">
        <v>1.7000000000000002</v>
      </c>
      <c r="Q128" s="134">
        <v>0</v>
      </c>
      <c r="R128" s="136">
        <v>0.9</v>
      </c>
      <c r="S128" s="37"/>
      <c r="T128" s="135">
        <v>0</v>
      </c>
      <c r="U128" s="134">
        <v>4.8000000000000007</v>
      </c>
      <c r="V128" s="135">
        <v>0</v>
      </c>
      <c r="W128" s="134">
        <v>1.7000000000000002</v>
      </c>
      <c r="X128" s="135">
        <v>0</v>
      </c>
      <c r="Y128" s="136">
        <v>1.7000000000000002</v>
      </c>
      <c r="Z128" s="135">
        <v>0</v>
      </c>
      <c r="AA128" s="136">
        <v>1.7000000000000002</v>
      </c>
      <c r="AB128" s="134">
        <v>0</v>
      </c>
      <c r="AC128" s="136">
        <v>1.7000000000000002</v>
      </c>
      <c r="AE128" s="22">
        <v>55</v>
      </c>
      <c r="AF128" s="65"/>
      <c r="AG128" s="35">
        <v>0</v>
      </c>
      <c r="AH128" s="36">
        <v>0</v>
      </c>
      <c r="AI128" s="37"/>
      <c r="AJ128" s="35">
        <v>73</v>
      </c>
      <c r="AK128" s="36">
        <v>96</v>
      </c>
      <c r="AL128" s="35">
        <v>147</v>
      </c>
      <c r="AM128" s="36">
        <v>40.800000000000004</v>
      </c>
      <c r="AN128" s="35">
        <v>166</v>
      </c>
      <c r="AO128" s="36">
        <v>21.6</v>
      </c>
      <c r="AP128" s="37"/>
      <c r="AQ128" s="35">
        <v>73</v>
      </c>
      <c r="AR128" s="36">
        <v>115.20000000000002</v>
      </c>
      <c r="AS128" s="35">
        <v>147</v>
      </c>
      <c r="AT128" s="36">
        <v>40.800000000000004</v>
      </c>
      <c r="AU128" s="35">
        <v>147</v>
      </c>
      <c r="AV128" s="36">
        <v>40.800000000000004</v>
      </c>
      <c r="AW128" s="35">
        <v>147</v>
      </c>
      <c r="AX128" s="36">
        <v>40.800000000000004</v>
      </c>
      <c r="AY128" s="35">
        <v>147</v>
      </c>
      <c r="AZ128" s="36">
        <v>40.800000000000004</v>
      </c>
    </row>
    <row r="129" spans="1:52">
      <c r="A129" s="196" t="s">
        <v>1057</v>
      </c>
      <c r="B129" s="41" t="s">
        <v>110</v>
      </c>
      <c r="C129" s="211" t="s">
        <v>610</v>
      </c>
      <c r="D129" s="41">
        <v>65</v>
      </c>
      <c r="E129" s="41">
        <v>0</v>
      </c>
      <c r="F129" s="22" t="s">
        <v>1041</v>
      </c>
      <c r="G129" s="40">
        <v>24</v>
      </c>
      <c r="H129" s="80">
        <v>42.97520661157025</v>
      </c>
      <c r="I129" s="228"/>
      <c r="J129" s="35" t="s">
        <v>3</v>
      </c>
      <c r="K129" s="36" t="s">
        <v>3</v>
      </c>
      <c r="L129" s="498" t="s">
        <v>1210</v>
      </c>
      <c r="M129" s="135">
        <v>0</v>
      </c>
      <c r="N129" s="134">
        <v>1</v>
      </c>
      <c r="O129" s="135">
        <v>0</v>
      </c>
      <c r="P129" s="136">
        <v>1</v>
      </c>
      <c r="Q129" s="134">
        <v>0</v>
      </c>
      <c r="R129" s="136">
        <v>1</v>
      </c>
      <c r="S129" s="37"/>
      <c r="T129" s="135">
        <v>0</v>
      </c>
      <c r="U129" s="134">
        <v>0</v>
      </c>
      <c r="V129" s="135">
        <v>0</v>
      </c>
      <c r="W129" s="134">
        <v>0</v>
      </c>
      <c r="X129" s="135">
        <v>0</v>
      </c>
      <c r="Y129" s="136">
        <v>0</v>
      </c>
      <c r="Z129" s="135">
        <v>0</v>
      </c>
      <c r="AA129" s="136">
        <v>0</v>
      </c>
      <c r="AB129" s="134">
        <v>0</v>
      </c>
      <c r="AC129" s="136">
        <v>0</v>
      </c>
      <c r="AE129" s="22">
        <v>22</v>
      </c>
      <c r="AF129" s="65"/>
      <c r="AG129" s="35">
        <v>0</v>
      </c>
      <c r="AH129" s="36">
        <v>0</v>
      </c>
      <c r="AI129" s="37"/>
      <c r="AJ129" s="35">
        <v>41</v>
      </c>
      <c r="AK129" s="36">
        <v>24</v>
      </c>
      <c r="AL129" s="35">
        <v>41</v>
      </c>
      <c r="AM129" s="36">
        <v>24</v>
      </c>
      <c r="AN129" s="37">
        <v>41</v>
      </c>
      <c r="AO129" s="36">
        <v>24</v>
      </c>
      <c r="AP129" s="37"/>
      <c r="AQ129" s="35">
        <v>65</v>
      </c>
      <c r="AR129" s="36">
        <v>0</v>
      </c>
      <c r="AS129" s="35">
        <v>65</v>
      </c>
      <c r="AT129" s="36">
        <v>0</v>
      </c>
      <c r="AU129" s="37">
        <v>65</v>
      </c>
      <c r="AV129" s="36">
        <v>0</v>
      </c>
      <c r="AW129" s="37">
        <v>65</v>
      </c>
      <c r="AX129" s="36">
        <v>0</v>
      </c>
      <c r="AY129" s="37">
        <v>65</v>
      </c>
      <c r="AZ129" s="36">
        <v>0</v>
      </c>
    </row>
    <row r="130" spans="1:52">
      <c r="A130" s="196" t="s">
        <v>1058</v>
      </c>
      <c r="B130" s="41" t="s">
        <v>667</v>
      </c>
      <c r="C130" s="211" t="s">
        <v>582</v>
      </c>
      <c r="D130" s="41">
        <v>53</v>
      </c>
      <c r="E130" s="41">
        <v>0</v>
      </c>
      <c r="F130" s="22" t="s">
        <v>1041</v>
      </c>
      <c r="G130" s="413">
        <v>24</v>
      </c>
      <c r="H130" s="80">
        <v>36.363636363636367</v>
      </c>
      <c r="I130" s="228"/>
      <c r="J130" s="35"/>
      <c r="K130" s="36"/>
      <c r="L130" s="498" t="s">
        <v>1210</v>
      </c>
      <c r="M130" s="35">
        <v>0</v>
      </c>
      <c r="N130" s="155">
        <v>0.8</v>
      </c>
      <c r="O130" s="35">
        <v>0</v>
      </c>
      <c r="P130" s="156">
        <v>0.8</v>
      </c>
      <c r="Q130" s="37">
        <v>0</v>
      </c>
      <c r="R130" s="156">
        <v>0.8</v>
      </c>
      <c r="S130" s="37"/>
      <c r="T130" s="135">
        <v>0</v>
      </c>
      <c r="U130" s="134">
        <v>0</v>
      </c>
      <c r="V130" s="135">
        <v>0</v>
      </c>
      <c r="W130" s="134">
        <v>0</v>
      </c>
      <c r="X130" s="135">
        <v>0</v>
      </c>
      <c r="Y130" s="136">
        <v>0</v>
      </c>
      <c r="Z130" s="135">
        <v>0</v>
      </c>
      <c r="AA130" s="136">
        <v>0</v>
      </c>
      <c r="AB130" s="134">
        <v>0</v>
      </c>
      <c r="AC130" s="136">
        <v>0</v>
      </c>
      <c r="AE130" s="22">
        <v>17</v>
      </c>
      <c r="AF130" s="65"/>
      <c r="AG130" s="35"/>
      <c r="AH130" s="36"/>
      <c r="AI130" s="37"/>
      <c r="AJ130" s="35">
        <v>34</v>
      </c>
      <c r="AK130" s="36">
        <v>19.200000000000003</v>
      </c>
      <c r="AL130" s="35">
        <v>34</v>
      </c>
      <c r="AM130" s="36">
        <v>19.200000000000003</v>
      </c>
      <c r="AN130" s="35">
        <v>34</v>
      </c>
      <c r="AO130" s="36">
        <v>19.200000000000003</v>
      </c>
      <c r="AP130" s="37"/>
      <c r="AQ130" s="35">
        <v>53</v>
      </c>
      <c r="AR130" s="36">
        <v>0</v>
      </c>
      <c r="AS130" s="35">
        <v>53</v>
      </c>
      <c r="AT130" s="36">
        <v>0</v>
      </c>
      <c r="AU130" s="35">
        <v>53</v>
      </c>
      <c r="AV130" s="36">
        <v>0</v>
      </c>
      <c r="AW130" s="35">
        <v>53</v>
      </c>
      <c r="AX130" s="36">
        <v>0</v>
      </c>
      <c r="AY130" s="35">
        <v>53</v>
      </c>
      <c r="AZ130" s="36">
        <v>0</v>
      </c>
    </row>
    <row r="131" spans="1:52">
      <c r="A131" s="196" t="s">
        <v>1059</v>
      </c>
      <c r="B131" s="41" t="s">
        <v>60</v>
      </c>
      <c r="C131" s="211" t="s">
        <v>658</v>
      </c>
      <c r="D131" s="41">
        <v>172</v>
      </c>
      <c r="E131" s="41">
        <v>0</v>
      </c>
      <c r="F131" s="22" t="s">
        <v>1041</v>
      </c>
      <c r="G131" s="40">
        <v>24</v>
      </c>
      <c r="H131" s="80">
        <v>130.57851239669421</v>
      </c>
      <c r="I131" s="228"/>
      <c r="J131" s="35"/>
      <c r="K131" s="36"/>
      <c r="L131" s="498" t="s">
        <v>1210</v>
      </c>
      <c r="M131" s="35">
        <v>19</v>
      </c>
      <c r="N131" s="155">
        <v>3.8000000000000003</v>
      </c>
      <c r="O131" s="35">
        <v>0</v>
      </c>
      <c r="P131" s="156">
        <v>1.5</v>
      </c>
      <c r="Q131" s="37">
        <v>0</v>
      </c>
      <c r="R131" s="156">
        <v>0.70000000000000007</v>
      </c>
      <c r="S131" s="37"/>
      <c r="T131" s="135">
        <v>0</v>
      </c>
      <c r="U131" s="134">
        <v>4.6000000000000005</v>
      </c>
      <c r="V131" s="135">
        <v>0</v>
      </c>
      <c r="W131" s="134">
        <v>1.7000000000000002</v>
      </c>
      <c r="X131" s="135">
        <v>0</v>
      </c>
      <c r="Y131" s="136">
        <v>1.7000000000000002</v>
      </c>
      <c r="Z131" s="135">
        <v>0</v>
      </c>
      <c r="AA131" s="136">
        <v>1.7000000000000002</v>
      </c>
      <c r="AB131" s="134">
        <v>0</v>
      </c>
      <c r="AC131" s="136">
        <v>1.7000000000000002</v>
      </c>
      <c r="AE131" s="22">
        <v>41</v>
      </c>
      <c r="AF131" s="65"/>
      <c r="AG131" s="35"/>
      <c r="AH131" s="36"/>
      <c r="AI131" s="37"/>
      <c r="AJ131" s="35">
        <v>62</v>
      </c>
      <c r="AK131" s="36">
        <v>91.2</v>
      </c>
      <c r="AL131" s="35">
        <v>136</v>
      </c>
      <c r="AM131" s="36">
        <v>36</v>
      </c>
      <c r="AN131" s="37">
        <v>155</v>
      </c>
      <c r="AO131" s="36">
        <v>16.8</v>
      </c>
      <c r="AP131" s="37"/>
      <c r="AQ131" s="35">
        <v>62</v>
      </c>
      <c r="AR131" s="36">
        <v>110.4</v>
      </c>
      <c r="AS131" s="35">
        <v>131</v>
      </c>
      <c r="AT131" s="36">
        <v>40.800000000000004</v>
      </c>
      <c r="AU131" s="37">
        <v>131</v>
      </c>
      <c r="AV131" s="36">
        <v>40.800000000000004</v>
      </c>
      <c r="AW131" s="37">
        <v>131</v>
      </c>
      <c r="AX131" s="36">
        <v>40.800000000000004</v>
      </c>
      <c r="AY131" s="37">
        <v>131</v>
      </c>
      <c r="AZ131" s="36">
        <v>40.800000000000004</v>
      </c>
    </row>
    <row r="132" spans="1:52">
      <c r="A132" s="196" t="s">
        <v>1060</v>
      </c>
      <c r="B132" s="41" t="s">
        <v>60</v>
      </c>
      <c r="C132" s="211" t="s">
        <v>659</v>
      </c>
      <c r="D132" s="41">
        <v>240</v>
      </c>
      <c r="E132" s="41">
        <v>0</v>
      </c>
      <c r="F132" s="22" t="s">
        <v>1041</v>
      </c>
      <c r="G132" s="413">
        <v>24</v>
      </c>
      <c r="H132" s="80">
        <v>187.60330578512398</v>
      </c>
      <c r="I132" s="228"/>
      <c r="J132" s="35"/>
      <c r="K132" s="36"/>
      <c r="L132" s="498"/>
      <c r="M132" s="35" t="s">
        <v>3</v>
      </c>
      <c r="N132" s="155" t="s">
        <v>3</v>
      </c>
      <c r="O132" s="35" t="s">
        <v>3</v>
      </c>
      <c r="P132" s="156" t="s">
        <v>3</v>
      </c>
      <c r="Q132" s="37" t="s">
        <v>3</v>
      </c>
      <c r="R132" s="156" t="s">
        <v>3</v>
      </c>
      <c r="S132" s="37"/>
      <c r="T132" s="135">
        <v>0</v>
      </c>
      <c r="U132" s="134">
        <v>6.7</v>
      </c>
      <c r="V132" s="135">
        <v>0</v>
      </c>
      <c r="W132" s="134">
        <v>2.5</v>
      </c>
      <c r="X132" s="135">
        <v>0</v>
      </c>
      <c r="Y132" s="136">
        <v>2.5</v>
      </c>
      <c r="Z132" s="135">
        <v>0</v>
      </c>
      <c r="AA132" s="136">
        <v>2.5</v>
      </c>
      <c r="AB132" s="134">
        <v>0</v>
      </c>
      <c r="AC132" s="136">
        <v>2.5</v>
      </c>
      <c r="AE132" s="22">
        <v>52</v>
      </c>
      <c r="AF132" s="65"/>
      <c r="AG132" s="35"/>
      <c r="AH132" s="36"/>
      <c r="AI132" s="37"/>
      <c r="AJ132" s="35" t="s">
        <v>3</v>
      </c>
      <c r="AK132" s="36" t="s">
        <v>3</v>
      </c>
      <c r="AL132" s="35" t="s">
        <v>3</v>
      </c>
      <c r="AM132" s="36" t="s">
        <v>3</v>
      </c>
      <c r="AN132" s="35" t="s">
        <v>3</v>
      </c>
      <c r="AO132" s="36" t="s">
        <v>3</v>
      </c>
      <c r="AP132" s="37"/>
      <c r="AQ132" s="35">
        <v>79</v>
      </c>
      <c r="AR132" s="36">
        <v>160.80000000000001</v>
      </c>
      <c r="AS132" s="35">
        <v>180</v>
      </c>
      <c r="AT132" s="36">
        <v>60</v>
      </c>
      <c r="AU132" s="35">
        <v>180</v>
      </c>
      <c r="AV132" s="36">
        <v>60</v>
      </c>
      <c r="AW132" s="35">
        <v>180</v>
      </c>
      <c r="AX132" s="36">
        <v>60</v>
      </c>
      <c r="AY132" s="35">
        <v>180</v>
      </c>
      <c r="AZ132" s="36">
        <v>60</v>
      </c>
    </row>
    <row r="133" spans="1:52">
      <c r="A133" s="196" t="s">
        <v>1061</v>
      </c>
      <c r="B133" s="41" t="s">
        <v>60</v>
      </c>
      <c r="C133" s="211" t="s">
        <v>555</v>
      </c>
      <c r="D133" s="41">
        <v>99</v>
      </c>
      <c r="E133" s="41">
        <v>0</v>
      </c>
      <c r="F133" s="22" t="s">
        <v>1041</v>
      </c>
      <c r="G133" s="40">
        <v>24</v>
      </c>
      <c r="H133" s="80">
        <v>75.206611570247929</v>
      </c>
      <c r="I133" s="228"/>
      <c r="J133" s="35" t="s">
        <v>3</v>
      </c>
      <c r="K133" s="36" t="s">
        <v>3</v>
      </c>
      <c r="L133" s="498" t="s">
        <v>1210</v>
      </c>
      <c r="M133" s="135">
        <v>0</v>
      </c>
      <c r="N133" s="134">
        <v>2.1</v>
      </c>
      <c r="O133" s="135">
        <v>0</v>
      </c>
      <c r="P133" s="136">
        <v>2.1</v>
      </c>
      <c r="Q133" s="134">
        <v>0</v>
      </c>
      <c r="R133" s="136">
        <v>2.1</v>
      </c>
      <c r="S133" s="37"/>
      <c r="T133" s="135">
        <v>0</v>
      </c>
      <c r="U133" s="134">
        <v>0.9</v>
      </c>
      <c r="V133" s="135">
        <v>0</v>
      </c>
      <c r="W133" s="134">
        <v>0</v>
      </c>
      <c r="X133" s="135">
        <v>0</v>
      </c>
      <c r="Y133" s="136">
        <v>0</v>
      </c>
      <c r="Z133" s="135">
        <v>0</v>
      </c>
      <c r="AA133" s="136">
        <v>0</v>
      </c>
      <c r="AB133" s="134">
        <v>0</v>
      </c>
      <c r="AC133" s="136">
        <v>0</v>
      </c>
      <c r="AE133" s="22">
        <v>24</v>
      </c>
      <c r="AF133" s="65"/>
      <c r="AG133" s="35">
        <v>0</v>
      </c>
      <c r="AH133" s="36">
        <v>0</v>
      </c>
      <c r="AI133" s="37"/>
      <c r="AJ133" s="35">
        <v>49</v>
      </c>
      <c r="AK133" s="36">
        <v>50.400000000000006</v>
      </c>
      <c r="AL133" s="35">
        <v>49</v>
      </c>
      <c r="AM133" s="36">
        <v>50.400000000000006</v>
      </c>
      <c r="AN133" s="37">
        <v>49</v>
      </c>
      <c r="AO133" s="36">
        <v>50.400000000000006</v>
      </c>
      <c r="AP133" s="37"/>
      <c r="AQ133" s="35">
        <v>77</v>
      </c>
      <c r="AR133" s="36">
        <v>21.6</v>
      </c>
      <c r="AS133" s="35">
        <v>99</v>
      </c>
      <c r="AT133" s="36">
        <v>0</v>
      </c>
      <c r="AU133" s="37">
        <v>99</v>
      </c>
      <c r="AV133" s="36">
        <v>0</v>
      </c>
      <c r="AW133" s="37">
        <v>99</v>
      </c>
      <c r="AX133" s="36">
        <v>0</v>
      </c>
      <c r="AY133" s="37">
        <v>99</v>
      </c>
      <c r="AZ133" s="36">
        <v>0</v>
      </c>
    </row>
    <row r="134" spans="1:52">
      <c r="A134" s="196" t="s">
        <v>1062</v>
      </c>
      <c r="B134" s="41" t="s">
        <v>673</v>
      </c>
      <c r="C134" s="211" t="s">
        <v>526</v>
      </c>
      <c r="D134" s="41">
        <v>46</v>
      </c>
      <c r="E134" s="41">
        <v>0</v>
      </c>
      <c r="F134" s="22" t="s">
        <v>1041</v>
      </c>
      <c r="G134" s="413">
        <v>24</v>
      </c>
      <c r="H134" s="80">
        <v>42.97520661157025</v>
      </c>
      <c r="I134" s="228"/>
      <c r="J134" s="35" t="s">
        <v>3</v>
      </c>
      <c r="K134" s="36" t="s">
        <v>3</v>
      </c>
      <c r="L134" s="498" t="s">
        <v>1210</v>
      </c>
      <c r="M134" s="135">
        <v>0</v>
      </c>
      <c r="N134" s="134">
        <v>1</v>
      </c>
      <c r="O134" s="135">
        <v>0</v>
      </c>
      <c r="P134" s="136">
        <v>1</v>
      </c>
      <c r="Q134" s="134">
        <v>0</v>
      </c>
      <c r="R134" s="136">
        <v>1</v>
      </c>
      <c r="S134" s="37"/>
      <c r="T134" s="135">
        <v>0</v>
      </c>
      <c r="U134" s="134">
        <v>0</v>
      </c>
      <c r="V134" s="135">
        <v>0</v>
      </c>
      <c r="W134" s="134">
        <v>0</v>
      </c>
      <c r="X134" s="135">
        <v>0</v>
      </c>
      <c r="Y134" s="136">
        <v>0</v>
      </c>
      <c r="Z134" s="135">
        <v>0</v>
      </c>
      <c r="AA134" s="136">
        <v>0</v>
      </c>
      <c r="AB134" s="134">
        <v>0</v>
      </c>
      <c r="AC134" s="136">
        <v>0</v>
      </c>
      <c r="AE134" s="22">
        <v>3</v>
      </c>
      <c r="AF134" s="65"/>
      <c r="AG134" s="35">
        <v>0</v>
      </c>
      <c r="AH134" s="36">
        <v>0</v>
      </c>
      <c r="AI134" s="37"/>
      <c r="AJ134" s="35">
        <v>22</v>
      </c>
      <c r="AK134" s="36">
        <v>24</v>
      </c>
      <c r="AL134" s="35">
        <v>22</v>
      </c>
      <c r="AM134" s="36">
        <v>24</v>
      </c>
      <c r="AN134" s="35">
        <v>22</v>
      </c>
      <c r="AO134" s="36">
        <v>24</v>
      </c>
      <c r="AP134" s="37"/>
      <c r="AQ134" s="35">
        <v>46</v>
      </c>
      <c r="AR134" s="36">
        <v>0</v>
      </c>
      <c r="AS134" s="35">
        <v>46</v>
      </c>
      <c r="AT134" s="36">
        <v>0</v>
      </c>
      <c r="AU134" s="35">
        <v>46</v>
      </c>
      <c r="AV134" s="36">
        <v>0</v>
      </c>
      <c r="AW134" s="35">
        <v>46</v>
      </c>
      <c r="AX134" s="36">
        <v>0</v>
      </c>
      <c r="AY134" s="35">
        <v>46</v>
      </c>
      <c r="AZ134" s="36">
        <v>0</v>
      </c>
    </row>
    <row r="135" spans="1:52">
      <c r="A135" s="196" t="s">
        <v>1063</v>
      </c>
      <c r="B135" s="41" t="s">
        <v>664</v>
      </c>
      <c r="C135" s="211" t="s">
        <v>640</v>
      </c>
      <c r="D135" s="41">
        <v>93</v>
      </c>
      <c r="E135" s="41">
        <v>0</v>
      </c>
      <c r="F135" s="22" t="s">
        <v>1041</v>
      </c>
      <c r="G135" s="40">
        <v>24</v>
      </c>
      <c r="H135" s="80">
        <v>92.561983471074385</v>
      </c>
      <c r="I135" s="228"/>
      <c r="J135" s="35" t="s">
        <v>3</v>
      </c>
      <c r="K135" s="36" t="s">
        <v>3</v>
      </c>
      <c r="L135" s="498" t="s">
        <v>1210</v>
      </c>
      <c r="M135" s="135">
        <v>0</v>
      </c>
      <c r="N135" s="134">
        <v>3.4000000000000004</v>
      </c>
      <c r="O135" s="135">
        <v>0</v>
      </c>
      <c r="P135" s="136">
        <v>0.30000000000000004</v>
      </c>
      <c r="Q135" s="134">
        <v>0</v>
      </c>
      <c r="R135" s="136">
        <v>0.30000000000000004</v>
      </c>
      <c r="S135" s="37"/>
      <c r="T135" s="135">
        <v>0</v>
      </c>
      <c r="U135" s="134">
        <v>0.9</v>
      </c>
      <c r="V135" s="135">
        <v>0</v>
      </c>
      <c r="W135" s="134">
        <v>0.9</v>
      </c>
      <c r="X135" s="135">
        <v>0</v>
      </c>
      <c r="Y135" s="136">
        <v>0.9</v>
      </c>
      <c r="Z135" s="135">
        <v>0</v>
      </c>
      <c r="AA135" s="136">
        <v>0.8</v>
      </c>
      <c r="AB135" s="134">
        <v>0</v>
      </c>
      <c r="AC135" s="136">
        <v>0.8</v>
      </c>
      <c r="AE135" s="22">
        <v>0</v>
      </c>
      <c r="AF135" s="65"/>
      <c r="AG135" s="35">
        <v>0</v>
      </c>
      <c r="AH135" s="36">
        <v>0</v>
      </c>
      <c r="AI135" s="37"/>
      <c r="AJ135" s="35">
        <v>11</v>
      </c>
      <c r="AK135" s="36">
        <v>81.600000000000009</v>
      </c>
      <c r="AL135" s="35">
        <v>86</v>
      </c>
      <c r="AM135" s="36">
        <v>7.2000000000000011</v>
      </c>
      <c r="AN135" s="37">
        <v>86</v>
      </c>
      <c r="AO135" s="36">
        <v>7.2000000000000011</v>
      </c>
      <c r="AP135" s="37"/>
      <c r="AQ135" s="35">
        <v>71</v>
      </c>
      <c r="AR135" s="36">
        <v>21.6</v>
      </c>
      <c r="AS135" s="35">
        <v>71</v>
      </c>
      <c r="AT135" s="36">
        <v>21.6</v>
      </c>
      <c r="AU135" s="37">
        <v>71</v>
      </c>
      <c r="AV135" s="36">
        <v>21.6</v>
      </c>
      <c r="AW135" s="37">
        <v>74</v>
      </c>
      <c r="AX135" s="36">
        <v>19.200000000000003</v>
      </c>
      <c r="AY135" s="37">
        <v>74</v>
      </c>
      <c r="AZ135" s="36">
        <v>19.200000000000003</v>
      </c>
    </row>
    <row r="136" spans="1:52">
      <c r="A136" s="196" t="s">
        <v>1064</v>
      </c>
      <c r="B136" s="41" t="s">
        <v>664</v>
      </c>
      <c r="C136" s="211" t="s">
        <v>573</v>
      </c>
      <c r="D136" s="41">
        <v>71</v>
      </c>
      <c r="E136" s="41">
        <v>0</v>
      </c>
      <c r="F136" s="22" t="s">
        <v>1041</v>
      </c>
      <c r="G136" s="413">
        <v>24</v>
      </c>
      <c r="H136" s="80">
        <v>48.760330578512395</v>
      </c>
      <c r="I136" s="228"/>
      <c r="J136" s="35" t="s">
        <v>3</v>
      </c>
      <c r="K136" s="36" t="s">
        <v>3</v>
      </c>
      <c r="L136" s="498" t="s">
        <v>1210</v>
      </c>
      <c r="M136" s="135">
        <v>0</v>
      </c>
      <c r="N136" s="134">
        <v>1.2000000000000002</v>
      </c>
      <c r="O136" s="135">
        <v>0</v>
      </c>
      <c r="P136" s="136">
        <v>1.2000000000000002</v>
      </c>
      <c r="Q136" s="134">
        <v>0</v>
      </c>
      <c r="R136" s="136">
        <v>1.2000000000000002</v>
      </c>
      <c r="S136" s="37"/>
      <c r="T136" s="135">
        <v>0</v>
      </c>
      <c r="U136" s="134">
        <v>0.5</v>
      </c>
      <c r="V136" s="135">
        <v>0</v>
      </c>
      <c r="W136" s="134">
        <v>0</v>
      </c>
      <c r="X136" s="135">
        <v>0</v>
      </c>
      <c r="Y136" s="136">
        <v>0</v>
      </c>
      <c r="Z136" s="135">
        <v>0</v>
      </c>
      <c r="AA136" s="136">
        <v>0</v>
      </c>
      <c r="AB136" s="134">
        <v>0</v>
      </c>
      <c r="AC136" s="136">
        <v>0</v>
      </c>
      <c r="AE136" s="22">
        <v>22</v>
      </c>
      <c r="AF136" s="65"/>
      <c r="AG136" s="35">
        <v>0</v>
      </c>
      <c r="AH136" s="36">
        <v>0</v>
      </c>
      <c r="AI136" s="37"/>
      <c r="AJ136" s="35">
        <v>42</v>
      </c>
      <c r="AK136" s="36">
        <v>28.800000000000004</v>
      </c>
      <c r="AL136" s="35">
        <v>42</v>
      </c>
      <c r="AM136" s="36">
        <v>28.800000000000004</v>
      </c>
      <c r="AN136" s="35">
        <v>42</v>
      </c>
      <c r="AO136" s="36">
        <v>28.800000000000004</v>
      </c>
      <c r="AP136" s="37"/>
      <c r="AQ136" s="35">
        <v>59</v>
      </c>
      <c r="AR136" s="36">
        <v>12</v>
      </c>
      <c r="AS136" s="35">
        <v>71</v>
      </c>
      <c r="AT136" s="36">
        <v>0</v>
      </c>
      <c r="AU136" s="35">
        <v>71</v>
      </c>
      <c r="AV136" s="36">
        <v>0</v>
      </c>
      <c r="AW136" s="35">
        <v>71</v>
      </c>
      <c r="AX136" s="36">
        <v>0</v>
      </c>
      <c r="AY136" s="35">
        <v>71</v>
      </c>
      <c r="AZ136" s="36">
        <v>0</v>
      </c>
    </row>
    <row r="137" spans="1:52">
      <c r="A137" s="196" t="s">
        <v>1065</v>
      </c>
      <c r="B137" s="41" t="s">
        <v>664</v>
      </c>
      <c r="C137" s="211" t="s">
        <v>752</v>
      </c>
      <c r="D137" s="41">
        <v>32</v>
      </c>
      <c r="E137" s="41">
        <v>0</v>
      </c>
      <c r="F137" s="22" t="s">
        <v>1041</v>
      </c>
      <c r="G137" s="40">
        <v>24</v>
      </c>
      <c r="H137" s="80">
        <v>31.404958677685951</v>
      </c>
      <c r="I137" s="228"/>
      <c r="J137" s="35" t="s">
        <v>3</v>
      </c>
      <c r="K137" s="36" t="s">
        <v>3</v>
      </c>
      <c r="L137" s="498" t="s">
        <v>1210</v>
      </c>
      <c r="M137" s="135">
        <v>0</v>
      </c>
      <c r="N137" s="134">
        <v>0.60000000000000009</v>
      </c>
      <c r="O137" s="135">
        <v>0</v>
      </c>
      <c r="P137" s="136">
        <v>0.60000000000000009</v>
      </c>
      <c r="Q137" s="134">
        <v>0</v>
      </c>
      <c r="R137" s="136">
        <v>0.60000000000000009</v>
      </c>
      <c r="S137" s="37"/>
      <c r="T137" s="135">
        <v>0</v>
      </c>
      <c r="U137" s="134">
        <v>0.5</v>
      </c>
      <c r="V137" s="135">
        <v>0</v>
      </c>
      <c r="W137" s="134">
        <v>0</v>
      </c>
      <c r="X137" s="135">
        <v>0</v>
      </c>
      <c r="Y137" s="136">
        <v>0</v>
      </c>
      <c r="Z137" s="135">
        <v>0</v>
      </c>
      <c r="AA137" s="136">
        <v>0</v>
      </c>
      <c r="AB137" s="134">
        <v>0</v>
      </c>
      <c r="AC137" s="136">
        <v>0</v>
      </c>
      <c r="AE137" s="22">
        <v>1</v>
      </c>
      <c r="AF137" s="65"/>
      <c r="AG137" s="35">
        <v>0</v>
      </c>
      <c r="AH137" s="36">
        <v>0</v>
      </c>
      <c r="AI137" s="37"/>
      <c r="AJ137" s="35">
        <v>18</v>
      </c>
      <c r="AK137" s="36">
        <v>14.400000000000002</v>
      </c>
      <c r="AL137" s="35">
        <v>18</v>
      </c>
      <c r="AM137" s="36">
        <v>14.400000000000002</v>
      </c>
      <c r="AN137" s="37">
        <v>18</v>
      </c>
      <c r="AO137" s="36">
        <v>14.400000000000002</v>
      </c>
      <c r="AP137" s="37"/>
      <c r="AQ137" s="35">
        <v>20</v>
      </c>
      <c r="AR137" s="36">
        <v>12</v>
      </c>
      <c r="AS137" s="35">
        <v>32</v>
      </c>
      <c r="AT137" s="36">
        <v>0</v>
      </c>
      <c r="AU137" s="37">
        <v>32</v>
      </c>
      <c r="AV137" s="36">
        <v>0</v>
      </c>
      <c r="AW137" s="37">
        <v>32</v>
      </c>
      <c r="AX137" s="36">
        <v>0</v>
      </c>
      <c r="AY137" s="37">
        <v>32</v>
      </c>
      <c r="AZ137" s="36">
        <v>0</v>
      </c>
    </row>
    <row r="138" spans="1:52">
      <c r="A138" s="196" t="s">
        <v>1066</v>
      </c>
      <c r="B138" s="41" t="s">
        <v>664</v>
      </c>
      <c r="C138" s="211" t="s">
        <v>753</v>
      </c>
      <c r="D138" s="41">
        <v>85</v>
      </c>
      <c r="E138" s="41">
        <v>0</v>
      </c>
      <c r="F138" s="22" t="s">
        <v>1041</v>
      </c>
      <c r="G138" s="413">
        <v>24</v>
      </c>
      <c r="H138" s="80">
        <v>84.297520661157023</v>
      </c>
      <c r="I138" s="228"/>
      <c r="J138" s="35" t="s">
        <v>3</v>
      </c>
      <c r="K138" s="36" t="s">
        <v>3</v>
      </c>
      <c r="L138" s="498" t="s">
        <v>1210</v>
      </c>
      <c r="M138" s="135">
        <v>0</v>
      </c>
      <c r="N138" s="134">
        <v>2.9000000000000004</v>
      </c>
      <c r="O138" s="135">
        <v>0</v>
      </c>
      <c r="P138" s="136">
        <v>0.30000000000000004</v>
      </c>
      <c r="Q138" s="134">
        <v>0</v>
      </c>
      <c r="R138" s="136">
        <v>0.30000000000000004</v>
      </c>
      <c r="S138" s="37"/>
      <c r="T138" s="135">
        <v>0</v>
      </c>
      <c r="U138" s="134">
        <v>0.9</v>
      </c>
      <c r="V138" s="135">
        <v>0</v>
      </c>
      <c r="W138" s="134">
        <v>0.9</v>
      </c>
      <c r="X138" s="135">
        <v>0</v>
      </c>
      <c r="Y138" s="136">
        <v>0.9</v>
      </c>
      <c r="Z138" s="135">
        <v>0</v>
      </c>
      <c r="AA138" s="136">
        <v>0.8</v>
      </c>
      <c r="AB138" s="134">
        <v>0</v>
      </c>
      <c r="AC138" s="136">
        <v>0.8</v>
      </c>
      <c r="AE138" s="22">
        <v>1</v>
      </c>
      <c r="AF138" s="65"/>
      <c r="AG138" s="35">
        <v>0</v>
      </c>
      <c r="AH138" s="36">
        <v>0</v>
      </c>
      <c r="AI138" s="37"/>
      <c r="AJ138" s="35">
        <v>15</v>
      </c>
      <c r="AK138" s="36">
        <v>69.600000000000009</v>
      </c>
      <c r="AL138" s="35">
        <v>78</v>
      </c>
      <c r="AM138" s="36">
        <v>7.2000000000000011</v>
      </c>
      <c r="AN138" s="35">
        <v>78</v>
      </c>
      <c r="AO138" s="36">
        <v>7.2000000000000011</v>
      </c>
      <c r="AP138" s="37"/>
      <c r="AQ138" s="35">
        <v>63</v>
      </c>
      <c r="AR138" s="36">
        <v>21.6</v>
      </c>
      <c r="AS138" s="35">
        <v>63</v>
      </c>
      <c r="AT138" s="36">
        <v>21.6</v>
      </c>
      <c r="AU138" s="35">
        <v>63</v>
      </c>
      <c r="AV138" s="36">
        <v>21.6</v>
      </c>
      <c r="AW138" s="35">
        <v>66</v>
      </c>
      <c r="AX138" s="36">
        <v>19.200000000000003</v>
      </c>
      <c r="AY138" s="35">
        <v>66</v>
      </c>
      <c r="AZ138" s="36">
        <v>19.200000000000003</v>
      </c>
    </row>
    <row r="139" spans="1:52">
      <c r="A139" s="196" t="s">
        <v>1067</v>
      </c>
      <c r="B139" s="41" t="s">
        <v>540</v>
      </c>
      <c r="C139" s="211" t="s">
        <v>548</v>
      </c>
      <c r="D139" s="41">
        <v>38</v>
      </c>
      <c r="E139" s="41">
        <v>0</v>
      </c>
      <c r="F139" s="22" t="s">
        <v>1041</v>
      </c>
      <c r="G139" s="40">
        <v>24</v>
      </c>
      <c r="H139" s="80">
        <v>37.190082644628099</v>
      </c>
      <c r="I139" s="228"/>
      <c r="J139" s="35" t="s">
        <v>3</v>
      </c>
      <c r="K139" s="36" t="s">
        <v>3</v>
      </c>
      <c r="L139" s="498" t="s">
        <v>1210</v>
      </c>
      <c r="M139" s="135">
        <v>0</v>
      </c>
      <c r="N139" s="134">
        <v>0.8</v>
      </c>
      <c r="O139" s="135">
        <v>0</v>
      </c>
      <c r="P139" s="136">
        <v>0.8</v>
      </c>
      <c r="Q139" s="134">
        <v>0</v>
      </c>
      <c r="R139" s="136">
        <v>0.8</v>
      </c>
      <c r="S139" s="37"/>
      <c r="T139" s="135">
        <v>0</v>
      </c>
      <c r="U139" s="134">
        <v>0</v>
      </c>
      <c r="V139" s="135">
        <v>0</v>
      </c>
      <c r="W139" s="134">
        <v>0</v>
      </c>
      <c r="X139" s="135">
        <v>0</v>
      </c>
      <c r="Y139" s="136">
        <v>0</v>
      </c>
      <c r="Z139" s="135">
        <v>0</v>
      </c>
      <c r="AA139" s="136">
        <v>0</v>
      </c>
      <c r="AB139" s="134">
        <v>0</v>
      </c>
      <c r="AC139" s="136">
        <v>0</v>
      </c>
      <c r="AE139" s="22">
        <v>1</v>
      </c>
      <c r="AF139" s="65"/>
      <c r="AG139" s="35">
        <v>0</v>
      </c>
      <c r="AH139" s="36">
        <v>0</v>
      </c>
      <c r="AI139" s="37"/>
      <c r="AJ139" s="35">
        <v>19</v>
      </c>
      <c r="AK139" s="36">
        <v>19.200000000000003</v>
      </c>
      <c r="AL139" s="35">
        <v>19</v>
      </c>
      <c r="AM139" s="36">
        <v>19.200000000000003</v>
      </c>
      <c r="AN139" s="37">
        <v>19</v>
      </c>
      <c r="AO139" s="36">
        <v>19.200000000000003</v>
      </c>
      <c r="AP139" s="37"/>
      <c r="AQ139" s="35">
        <v>38</v>
      </c>
      <c r="AR139" s="36">
        <v>0</v>
      </c>
      <c r="AS139" s="35">
        <v>38</v>
      </c>
      <c r="AT139" s="36">
        <v>0</v>
      </c>
      <c r="AU139" s="37">
        <v>38</v>
      </c>
      <c r="AV139" s="36">
        <v>0</v>
      </c>
      <c r="AW139" s="37">
        <v>38</v>
      </c>
      <c r="AX139" s="36">
        <v>0</v>
      </c>
      <c r="AY139" s="37">
        <v>38</v>
      </c>
      <c r="AZ139" s="36">
        <v>0</v>
      </c>
    </row>
    <row r="140" spans="1:52">
      <c r="A140" s="196" t="s">
        <v>1100</v>
      </c>
      <c r="B140" s="41" t="s">
        <v>674</v>
      </c>
      <c r="C140" s="211" t="s">
        <v>543</v>
      </c>
      <c r="D140" s="41">
        <v>48</v>
      </c>
      <c r="E140" s="41">
        <v>0</v>
      </c>
      <c r="F140" s="22" t="s">
        <v>1101</v>
      </c>
      <c r="G140" s="413">
        <v>24</v>
      </c>
      <c r="H140" s="80">
        <v>46.280991735537192</v>
      </c>
      <c r="I140" s="228"/>
      <c r="J140" s="35" t="s">
        <v>3</v>
      </c>
      <c r="K140" s="36" t="s">
        <v>3</v>
      </c>
      <c r="L140" s="498" t="s">
        <v>1210</v>
      </c>
      <c r="M140" s="135">
        <v>0</v>
      </c>
      <c r="N140" s="134">
        <v>1.1000000000000001</v>
      </c>
      <c r="O140" s="135">
        <v>0</v>
      </c>
      <c r="P140" s="136">
        <v>1.1000000000000001</v>
      </c>
      <c r="Q140" s="134">
        <v>0</v>
      </c>
      <c r="R140" s="136">
        <v>1.1000000000000001</v>
      </c>
      <c r="S140" s="37"/>
      <c r="T140" s="135">
        <v>0</v>
      </c>
      <c r="U140" s="134">
        <v>0.5</v>
      </c>
      <c r="V140" s="135">
        <v>0</v>
      </c>
      <c r="W140" s="134">
        <v>0.5</v>
      </c>
      <c r="X140" s="135">
        <v>0</v>
      </c>
      <c r="Y140" s="136">
        <v>0.5</v>
      </c>
      <c r="Z140" s="135">
        <v>0</v>
      </c>
      <c r="AA140" s="136">
        <v>0.4</v>
      </c>
      <c r="AB140" s="134">
        <v>0</v>
      </c>
      <c r="AC140" s="136">
        <v>0.4</v>
      </c>
      <c r="AE140" s="22">
        <v>2</v>
      </c>
      <c r="AF140" s="65"/>
      <c r="AG140" s="35">
        <v>0</v>
      </c>
      <c r="AH140" s="36">
        <v>0</v>
      </c>
      <c r="AI140" s="37"/>
      <c r="AJ140" s="35">
        <v>22</v>
      </c>
      <c r="AK140" s="36">
        <v>26.400000000000002</v>
      </c>
      <c r="AL140" s="35">
        <v>22</v>
      </c>
      <c r="AM140" s="36">
        <v>26.400000000000002</v>
      </c>
      <c r="AN140" s="35">
        <v>22</v>
      </c>
      <c r="AO140" s="36">
        <v>26.400000000000002</v>
      </c>
      <c r="AP140" s="37"/>
      <c r="AQ140" s="35">
        <v>36</v>
      </c>
      <c r="AR140" s="36">
        <v>12</v>
      </c>
      <c r="AS140" s="35">
        <v>36</v>
      </c>
      <c r="AT140" s="36">
        <v>12</v>
      </c>
      <c r="AU140" s="35">
        <v>36</v>
      </c>
      <c r="AV140" s="36">
        <v>12</v>
      </c>
      <c r="AW140" s="35">
        <v>38</v>
      </c>
      <c r="AX140" s="36">
        <v>9.6000000000000014</v>
      </c>
      <c r="AY140" s="35">
        <v>38</v>
      </c>
      <c r="AZ140" s="36">
        <v>9.6000000000000014</v>
      </c>
    </row>
    <row r="141" spans="1:52">
      <c r="A141" s="196" t="s">
        <v>1068</v>
      </c>
      <c r="B141" s="41" t="s">
        <v>59</v>
      </c>
      <c r="C141" s="211" t="s">
        <v>519</v>
      </c>
      <c r="D141" s="41">
        <v>165</v>
      </c>
      <c r="E141" s="41">
        <v>0</v>
      </c>
      <c r="F141" s="22" t="s">
        <v>1069</v>
      </c>
      <c r="G141" s="413">
        <v>24</v>
      </c>
      <c r="H141" s="80">
        <v>157.02479338842977</v>
      </c>
      <c r="I141" s="228"/>
      <c r="J141" s="35" t="s">
        <v>3</v>
      </c>
      <c r="K141" s="36" t="s">
        <v>3</v>
      </c>
      <c r="L141" s="498" t="s">
        <v>1210</v>
      </c>
      <c r="M141" s="135">
        <v>29</v>
      </c>
      <c r="N141" s="134">
        <v>4</v>
      </c>
      <c r="O141" s="135">
        <v>0</v>
      </c>
      <c r="P141" s="136">
        <v>2.1</v>
      </c>
      <c r="Q141" s="134">
        <v>0</v>
      </c>
      <c r="R141" s="136">
        <v>1.3</v>
      </c>
      <c r="S141" s="37"/>
      <c r="T141" s="135">
        <v>0</v>
      </c>
      <c r="U141" s="134">
        <v>5.4</v>
      </c>
      <c r="V141" s="135">
        <v>0</v>
      </c>
      <c r="W141" s="134">
        <v>1.7000000000000002</v>
      </c>
      <c r="X141" s="135">
        <v>0</v>
      </c>
      <c r="Y141" s="136">
        <v>1.7000000000000002</v>
      </c>
      <c r="Z141" s="135">
        <v>0</v>
      </c>
      <c r="AA141" s="136">
        <v>1.7000000000000002</v>
      </c>
      <c r="AB141" s="134">
        <v>0</v>
      </c>
      <c r="AC141" s="136">
        <v>1.7000000000000002</v>
      </c>
      <c r="AE141" s="22">
        <v>8</v>
      </c>
      <c r="AF141" s="65"/>
      <c r="AG141" s="35">
        <v>0</v>
      </c>
      <c r="AH141" s="36">
        <v>0</v>
      </c>
      <c r="AI141" s="37"/>
      <c r="AJ141" s="35">
        <v>40</v>
      </c>
      <c r="AK141" s="36">
        <v>96</v>
      </c>
      <c r="AL141" s="35">
        <v>115</v>
      </c>
      <c r="AM141" s="36">
        <v>50.400000000000006</v>
      </c>
      <c r="AN141" s="37">
        <v>134</v>
      </c>
      <c r="AO141" s="36">
        <v>31.200000000000003</v>
      </c>
      <c r="AP141" s="37"/>
      <c r="AQ141" s="35">
        <v>35</v>
      </c>
      <c r="AR141" s="36">
        <v>129.60000000000002</v>
      </c>
      <c r="AS141" s="35">
        <v>124</v>
      </c>
      <c r="AT141" s="36">
        <v>40.800000000000004</v>
      </c>
      <c r="AU141" s="37">
        <v>124</v>
      </c>
      <c r="AV141" s="36">
        <v>40.800000000000004</v>
      </c>
      <c r="AW141" s="37">
        <v>124</v>
      </c>
      <c r="AX141" s="36">
        <v>40.800000000000004</v>
      </c>
      <c r="AY141" s="37">
        <v>124</v>
      </c>
      <c r="AZ141" s="36">
        <v>40.800000000000004</v>
      </c>
    </row>
    <row r="142" spans="1:52">
      <c r="A142" s="196" t="s">
        <v>1070</v>
      </c>
      <c r="B142" s="41" t="s">
        <v>59</v>
      </c>
      <c r="C142" s="211" t="s">
        <v>754</v>
      </c>
      <c r="D142" s="41">
        <v>248</v>
      </c>
      <c r="E142" s="41">
        <v>0</v>
      </c>
      <c r="F142" s="22" t="s">
        <v>1069</v>
      </c>
      <c r="G142" s="40">
        <v>24</v>
      </c>
      <c r="H142" s="80">
        <v>243.801652892562</v>
      </c>
      <c r="I142" s="228"/>
      <c r="J142" s="35" t="s">
        <v>3</v>
      </c>
      <c r="K142" s="36" t="s">
        <v>3</v>
      </c>
      <c r="L142" s="498" t="s">
        <v>1210</v>
      </c>
      <c r="M142" s="135" t="s">
        <v>3</v>
      </c>
      <c r="N142" s="134" t="s">
        <v>3</v>
      </c>
      <c r="O142" s="135" t="s">
        <v>3</v>
      </c>
      <c r="P142" s="136" t="s">
        <v>3</v>
      </c>
      <c r="Q142" s="134" t="s">
        <v>3</v>
      </c>
      <c r="R142" s="136" t="s">
        <v>3</v>
      </c>
      <c r="S142" s="37"/>
      <c r="T142" s="135">
        <v>0</v>
      </c>
      <c r="U142" s="134">
        <v>8.3000000000000007</v>
      </c>
      <c r="V142" s="135">
        <v>0</v>
      </c>
      <c r="W142" s="134">
        <v>4.2</v>
      </c>
      <c r="X142" s="135">
        <v>0</v>
      </c>
      <c r="Y142" s="136">
        <v>4.2</v>
      </c>
      <c r="Z142" s="135">
        <v>0</v>
      </c>
      <c r="AA142" s="136">
        <v>4.1000000000000005</v>
      </c>
      <c r="AB142" s="134">
        <v>0</v>
      </c>
      <c r="AC142" s="136">
        <v>4.1000000000000005</v>
      </c>
      <c r="AE142" s="22">
        <v>4</v>
      </c>
      <c r="AF142" s="65"/>
      <c r="AG142" s="35">
        <v>0</v>
      </c>
      <c r="AH142" s="36">
        <v>0</v>
      </c>
      <c r="AI142" s="37"/>
      <c r="AJ142" s="35" t="s">
        <v>3</v>
      </c>
      <c r="AK142" s="36" t="s">
        <v>3</v>
      </c>
      <c r="AL142" s="35" t="s">
        <v>3</v>
      </c>
      <c r="AM142" s="36" t="s">
        <v>3</v>
      </c>
      <c r="AN142" s="35" t="s">
        <v>3</v>
      </c>
      <c r="AO142" s="36" t="s">
        <v>3</v>
      </c>
      <c r="AP142" s="37"/>
      <c r="AQ142" s="35">
        <v>49</v>
      </c>
      <c r="AR142" s="36">
        <v>199.20000000000002</v>
      </c>
      <c r="AS142" s="35">
        <v>147</v>
      </c>
      <c r="AT142" s="36">
        <v>100.80000000000001</v>
      </c>
      <c r="AU142" s="35">
        <v>147</v>
      </c>
      <c r="AV142" s="36">
        <v>100.80000000000001</v>
      </c>
      <c r="AW142" s="35">
        <v>150</v>
      </c>
      <c r="AX142" s="36">
        <v>98.4</v>
      </c>
      <c r="AY142" s="35">
        <v>150</v>
      </c>
      <c r="AZ142" s="36">
        <v>98.4</v>
      </c>
    </row>
    <row r="143" spans="1:52">
      <c r="A143" s="196" t="s">
        <v>1071</v>
      </c>
      <c r="B143" s="41" t="s">
        <v>60</v>
      </c>
      <c r="C143" s="211" t="s">
        <v>544</v>
      </c>
      <c r="D143" s="41">
        <v>190</v>
      </c>
      <c r="E143" s="41">
        <v>0</v>
      </c>
      <c r="F143" s="22" t="s">
        <v>1069</v>
      </c>
      <c r="G143" s="413">
        <v>24</v>
      </c>
      <c r="H143" s="80">
        <v>114.87603305785125</v>
      </c>
      <c r="I143" s="228"/>
      <c r="J143" s="35" t="s">
        <v>3</v>
      </c>
      <c r="K143" s="36" t="s">
        <v>3</v>
      </c>
      <c r="L143" s="498" t="s">
        <v>1210</v>
      </c>
      <c r="M143" s="135">
        <v>0</v>
      </c>
      <c r="N143" s="134">
        <v>4.2</v>
      </c>
      <c r="O143" s="135">
        <v>0</v>
      </c>
      <c r="P143" s="136">
        <v>1.3</v>
      </c>
      <c r="Q143" s="134">
        <v>0</v>
      </c>
      <c r="R143" s="136">
        <v>0.5</v>
      </c>
      <c r="S143" s="37"/>
      <c r="T143" s="135">
        <v>0</v>
      </c>
      <c r="U143" s="134">
        <v>4.4000000000000004</v>
      </c>
      <c r="V143" s="135">
        <v>0</v>
      </c>
      <c r="W143" s="134">
        <v>0.9</v>
      </c>
      <c r="X143" s="135">
        <v>0</v>
      </c>
      <c r="Y143" s="136">
        <v>0.9</v>
      </c>
      <c r="Z143" s="135">
        <v>0</v>
      </c>
      <c r="AA143" s="136">
        <v>0.8</v>
      </c>
      <c r="AB143" s="134">
        <v>0</v>
      </c>
      <c r="AC143" s="136">
        <v>0.8</v>
      </c>
      <c r="AE143" s="22">
        <v>75</v>
      </c>
      <c r="AF143" s="65"/>
      <c r="AG143" s="35">
        <v>0</v>
      </c>
      <c r="AH143" s="36">
        <v>0</v>
      </c>
      <c r="AI143" s="37"/>
      <c r="AJ143" s="35">
        <v>89</v>
      </c>
      <c r="AK143" s="36">
        <v>100.80000000000001</v>
      </c>
      <c r="AL143" s="35">
        <v>159</v>
      </c>
      <c r="AM143" s="36">
        <v>31.200000000000003</v>
      </c>
      <c r="AN143" s="37">
        <v>178</v>
      </c>
      <c r="AO143" s="36">
        <v>12</v>
      </c>
      <c r="AP143" s="37"/>
      <c r="AQ143" s="35">
        <v>84</v>
      </c>
      <c r="AR143" s="36">
        <v>105.60000000000001</v>
      </c>
      <c r="AS143" s="35">
        <v>168</v>
      </c>
      <c r="AT143" s="36">
        <v>21.6</v>
      </c>
      <c r="AU143" s="37">
        <v>168</v>
      </c>
      <c r="AV143" s="36">
        <v>21.6</v>
      </c>
      <c r="AW143" s="37">
        <v>171</v>
      </c>
      <c r="AX143" s="36">
        <v>19.200000000000003</v>
      </c>
      <c r="AY143" s="37">
        <v>171</v>
      </c>
      <c r="AZ143" s="36">
        <v>19.200000000000003</v>
      </c>
    </row>
    <row r="144" spans="1:52">
      <c r="A144" s="196" t="s">
        <v>1072</v>
      </c>
      <c r="B144" s="41" t="s">
        <v>293</v>
      </c>
      <c r="C144" s="211" t="s">
        <v>755</v>
      </c>
      <c r="D144" s="41">
        <v>75</v>
      </c>
      <c r="E144" s="41">
        <v>0</v>
      </c>
      <c r="F144" s="22" t="s">
        <v>1069</v>
      </c>
      <c r="G144" s="40">
        <v>24</v>
      </c>
      <c r="H144" s="80">
        <v>90.082644628099175</v>
      </c>
      <c r="I144" s="228"/>
      <c r="J144" s="35" t="s">
        <v>3</v>
      </c>
      <c r="K144" s="36" t="s">
        <v>3</v>
      </c>
      <c r="L144" s="498" t="s">
        <v>1210</v>
      </c>
      <c r="M144" s="135">
        <v>0</v>
      </c>
      <c r="N144" s="134">
        <v>3.1</v>
      </c>
      <c r="O144" s="135">
        <v>0</v>
      </c>
      <c r="P144" s="136">
        <v>0.30000000000000004</v>
      </c>
      <c r="Q144" s="134">
        <v>0</v>
      </c>
      <c r="R144" s="136">
        <v>0.30000000000000004</v>
      </c>
      <c r="S144" s="37"/>
      <c r="T144" s="135">
        <v>0</v>
      </c>
      <c r="U144" s="134">
        <v>0.5</v>
      </c>
      <c r="V144" s="135">
        <v>0</v>
      </c>
      <c r="W144" s="134">
        <v>0.5</v>
      </c>
      <c r="X144" s="135">
        <v>0</v>
      </c>
      <c r="Y144" s="136">
        <v>0.5</v>
      </c>
      <c r="Z144" s="135">
        <v>0</v>
      </c>
      <c r="AA144" s="136">
        <v>0.4</v>
      </c>
      <c r="AB144" s="134">
        <v>0</v>
      </c>
      <c r="AC144" s="136">
        <v>0.4</v>
      </c>
      <c r="AE144" s="22">
        <v>-15</v>
      </c>
      <c r="AF144" s="65"/>
      <c r="AG144" s="35">
        <v>0</v>
      </c>
      <c r="AH144" s="36">
        <v>0</v>
      </c>
      <c r="AI144" s="37"/>
      <c r="AJ144" s="35">
        <v>1</v>
      </c>
      <c r="AK144" s="36">
        <v>74.400000000000006</v>
      </c>
      <c r="AL144" s="35">
        <v>68</v>
      </c>
      <c r="AM144" s="36">
        <v>7.2000000000000011</v>
      </c>
      <c r="AN144" s="35">
        <v>68</v>
      </c>
      <c r="AO144" s="36">
        <v>7.2000000000000011</v>
      </c>
      <c r="AP144" s="37"/>
      <c r="AQ144" s="35">
        <v>63</v>
      </c>
      <c r="AR144" s="36">
        <v>12</v>
      </c>
      <c r="AS144" s="35">
        <v>63</v>
      </c>
      <c r="AT144" s="36">
        <v>12</v>
      </c>
      <c r="AU144" s="35">
        <v>63</v>
      </c>
      <c r="AV144" s="36">
        <v>12</v>
      </c>
      <c r="AW144" s="35">
        <v>65</v>
      </c>
      <c r="AX144" s="36">
        <v>9.6000000000000014</v>
      </c>
      <c r="AY144" s="35">
        <v>65</v>
      </c>
      <c r="AZ144" s="36">
        <v>9.6000000000000014</v>
      </c>
    </row>
    <row r="145" spans="1:52">
      <c r="A145" s="196" t="s">
        <v>1073</v>
      </c>
      <c r="B145" s="41" t="s">
        <v>673</v>
      </c>
      <c r="C145" s="211" t="s">
        <v>651</v>
      </c>
      <c r="D145" s="41">
        <v>165</v>
      </c>
      <c r="E145" s="41">
        <v>0</v>
      </c>
      <c r="F145" s="22" t="s">
        <v>1069</v>
      </c>
      <c r="G145" s="413">
        <v>24</v>
      </c>
      <c r="H145" s="80">
        <v>133.05785123966942</v>
      </c>
      <c r="I145" s="228"/>
      <c r="J145" s="35" t="s">
        <v>3</v>
      </c>
      <c r="K145" s="36" t="s">
        <v>3</v>
      </c>
      <c r="L145" s="498" t="s">
        <v>1210</v>
      </c>
      <c r="M145" s="135">
        <v>19</v>
      </c>
      <c r="N145" s="134">
        <v>4</v>
      </c>
      <c r="O145" s="135">
        <v>0</v>
      </c>
      <c r="P145" s="136">
        <v>1.7000000000000002</v>
      </c>
      <c r="Q145" s="134">
        <v>0</v>
      </c>
      <c r="R145" s="136">
        <v>0.9</v>
      </c>
      <c r="S145" s="37"/>
      <c r="T145" s="135">
        <v>0</v>
      </c>
      <c r="U145" s="134">
        <v>4.8000000000000007</v>
      </c>
      <c r="V145" s="135">
        <v>0</v>
      </c>
      <c r="W145" s="134">
        <v>1.7000000000000002</v>
      </c>
      <c r="X145" s="135">
        <v>0</v>
      </c>
      <c r="Y145" s="136">
        <v>1.7000000000000002</v>
      </c>
      <c r="Z145" s="135">
        <v>0</v>
      </c>
      <c r="AA145" s="136">
        <v>1.7000000000000002</v>
      </c>
      <c r="AB145" s="134">
        <v>0</v>
      </c>
      <c r="AC145" s="136">
        <v>1.7000000000000002</v>
      </c>
      <c r="AE145" s="22">
        <v>32</v>
      </c>
      <c r="AF145" s="65"/>
      <c r="AG145" s="35">
        <v>0</v>
      </c>
      <c r="AH145" s="36">
        <v>0</v>
      </c>
      <c r="AI145" s="37"/>
      <c r="AJ145" s="35">
        <v>50</v>
      </c>
      <c r="AK145" s="36">
        <v>96</v>
      </c>
      <c r="AL145" s="35">
        <v>124</v>
      </c>
      <c r="AM145" s="36">
        <v>40.800000000000004</v>
      </c>
      <c r="AN145" s="37">
        <v>143</v>
      </c>
      <c r="AO145" s="36">
        <v>21.6</v>
      </c>
      <c r="AP145" s="37"/>
      <c r="AQ145" s="35">
        <v>50</v>
      </c>
      <c r="AR145" s="36">
        <v>115.20000000000002</v>
      </c>
      <c r="AS145" s="35">
        <v>124</v>
      </c>
      <c r="AT145" s="36">
        <v>40.800000000000004</v>
      </c>
      <c r="AU145" s="37">
        <v>124</v>
      </c>
      <c r="AV145" s="36">
        <v>40.800000000000004</v>
      </c>
      <c r="AW145" s="37">
        <v>124</v>
      </c>
      <c r="AX145" s="36">
        <v>40.800000000000004</v>
      </c>
      <c r="AY145" s="37">
        <v>124</v>
      </c>
      <c r="AZ145" s="36">
        <v>40.800000000000004</v>
      </c>
    </row>
    <row r="146" spans="1:52">
      <c r="A146" s="196" t="s">
        <v>1133</v>
      </c>
      <c r="B146" s="41" t="s">
        <v>664</v>
      </c>
      <c r="C146" s="211" t="s">
        <v>652</v>
      </c>
      <c r="D146" s="41">
        <v>40</v>
      </c>
      <c r="E146" s="41">
        <v>0</v>
      </c>
      <c r="F146" s="22" t="s">
        <v>1134</v>
      </c>
      <c r="G146" s="413">
        <v>24</v>
      </c>
      <c r="H146" s="80">
        <v>39.669421487603309</v>
      </c>
      <c r="I146" s="228"/>
      <c r="J146" s="35" t="s">
        <v>3</v>
      </c>
      <c r="K146" s="36" t="s">
        <v>3</v>
      </c>
      <c r="L146" s="498" t="s">
        <v>1210</v>
      </c>
      <c r="M146" s="135">
        <v>0</v>
      </c>
      <c r="N146" s="134">
        <v>0.9</v>
      </c>
      <c r="O146" s="135">
        <v>0</v>
      </c>
      <c r="P146" s="136">
        <v>0.9</v>
      </c>
      <c r="Q146" s="134">
        <v>0</v>
      </c>
      <c r="R146" s="136">
        <v>0.9</v>
      </c>
      <c r="S146" s="37"/>
      <c r="T146" s="135">
        <v>0</v>
      </c>
      <c r="U146" s="134">
        <v>0</v>
      </c>
      <c r="V146" s="135">
        <v>0</v>
      </c>
      <c r="W146" s="134">
        <v>0</v>
      </c>
      <c r="X146" s="135">
        <v>0</v>
      </c>
      <c r="Y146" s="136">
        <v>0</v>
      </c>
      <c r="Z146" s="135">
        <v>0</v>
      </c>
      <c r="AA146" s="136">
        <v>0</v>
      </c>
      <c r="AB146" s="134">
        <v>0</v>
      </c>
      <c r="AC146" s="136">
        <v>0</v>
      </c>
      <c r="AE146" s="22">
        <v>0</v>
      </c>
      <c r="AF146" s="65"/>
      <c r="AG146" s="35">
        <v>0</v>
      </c>
      <c r="AH146" s="36">
        <v>0</v>
      </c>
      <c r="AI146" s="37"/>
      <c r="AJ146" s="35">
        <v>18</v>
      </c>
      <c r="AK146" s="36">
        <v>21.6</v>
      </c>
      <c r="AL146" s="35">
        <v>18</v>
      </c>
      <c r="AM146" s="36">
        <v>21.6</v>
      </c>
      <c r="AN146" s="35">
        <v>18</v>
      </c>
      <c r="AO146" s="36">
        <v>21.6</v>
      </c>
      <c r="AP146" s="37"/>
      <c r="AQ146" s="35">
        <v>40</v>
      </c>
      <c r="AR146" s="36">
        <v>0</v>
      </c>
      <c r="AS146" s="35">
        <v>40</v>
      </c>
      <c r="AT146" s="36">
        <v>0</v>
      </c>
      <c r="AU146" s="35">
        <v>40</v>
      </c>
      <c r="AV146" s="36">
        <v>0</v>
      </c>
      <c r="AW146" s="35">
        <v>40</v>
      </c>
      <c r="AX146" s="36">
        <v>0</v>
      </c>
      <c r="AY146" s="35">
        <v>40</v>
      </c>
      <c r="AZ146" s="36">
        <v>0</v>
      </c>
    </row>
    <row r="147" spans="1:52">
      <c r="A147" s="196" t="s">
        <v>1093</v>
      </c>
      <c r="B147" s="41" t="s">
        <v>55</v>
      </c>
      <c r="C147" s="211" t="s">
        <v>470</v>
      </c>
      <c r="D147" s="41">
        <v>82</v>
      </c>
      <c r="E147" s="41">
        <v>0</v>
      </c>
      <c r="F147" s="22" t="s">
        <v>1084</v>
      </c>
      <c r="G147" s="413">
        <v>24</v>
      </c>
      <c r="H147" s="80">
        <v>95.041322314049594</v>
      </c>
      <c r="I147" s="228"/>
      <c r="J147" s="35" t="s">
        <v>3</v>
      </c>
      <c r="K147" s="36" t="s">
        <v>3</v>
      </c>
      <c r="L147" s="498" t="s">
        <v>1210</v>
      </c>
      <c r="M147" s="135">
        <v>0</v>
      </c>
      <c r="N147" s="134">
        <v>2.7</v>
      </c>
      <c r="O147" s="135">
        <v>0</v>
      </c>
      <c r="P147" s="136">
        <v>0.30000000000000004</v>
      </c>
      <c r="Q147" s="134">
        <v>0</v>
      </c>
      <c r="R147" s="136">
        <v>0.30000000000000004</v>
      </c>
      <c r="S147" s="37"/>
      <c r="T147" s="135">
        <v>0</v>
      </c>
      <c r="U147" s="134">
        <v>3.4000000000000004</v>
      </c>
      <c r="V147" s="135">
        <v>0</v>
      </c>
      <c r="W147" s="134">
        <v>3.4000000000000004</v>
      </c>
      <c r="X147" s="135">
        <v>0</v>
      </c>
      <c r="Y147" s="136">
        <v>3.4000000000000004</v>
      </c>
      <c r="Z147" s="135">
        <v>0</v>
      </c>
      <c r="AA147" s="136">
        <v>3.3000000000000003</v>
      </c>
      <c r="AB147" s="134">
        <v>0</v>
      </c>
      <c r="AC147" s="136">
        <v>3.3000000000000003</v>
      </c>
      <c r="AE147" s="22">
        <v>-13</v>
      </c>
      <c r="AF147" s="65"/>
      <c r="AG147" s="35">
        <v>0</v>
      </c>
      <c r="AH147" s="36">
        <v>0</v>
      </c>
      <c r="AI147" s="37"/>
      <c r="AJ147" s="35">
        <v>17</v>
      </c>
      <c r="AK147" s="36">
        <v>64.800000000000011</v>
      </c>
      <c r="AL147" s="35">
        <v>75</v>
      </c>
      <c r="AM147" s="36">
        <v>7.2000000000000011</v>
      </c>
      <c r="AN147" s="37">
        <v>75</v>
      </c>
      <c r="AO147" s="36">
        <v>7.2000000000000011</v>
      </c>
      <c r="AP147" s="37"/>
      <c r="AQ147" s="35">
        <v>0</v>
      </c>
      <c r="AR147" s="36">
        <v>81.600000000000009</v>
      </c>
      <c r="AS147" s="35">
        <v>0</v>
      </c>
      <c r="AT147" s="36">
        <v>81.600000000000009</v>
      </c>
      <c r="AU147" s="37">
        <v>0</v>
      </c>
      <c r="AV147" s="36">
        <v>81.600000000000009</v>
      </c>
      <c r="AW147" s="37">
        <v>3</v>
      </c>
      <c r="AX147" s="36">
        <v>79.2</v>
      </c>
      <c r="AY147" s="37">
        <v>3</v>
      </c>
      <c r="AZ147" s="36">
        <v>79.2</v>
      </c>
    </row>
    <row r="148" spans="1:52">
      <c r="A148" s="196" t="s">
        <v>1094</v>
      </c>
      <c r="B148" s="41" t="s">
        <v>55</v>
      </c>
      <c r="C148" s="211" t="s">
        <v>525</v>
      </c>
      <c r="D148" s="41">
        <v>100</v>
      </c>
      <c r="E148" s="41">
        <v>0</v>
      </c>
      <c r="F148" s="22" t="s">
        <v>1084</v>
      </c>
      <c r="G148" s="40">
        <v>24</v>
      </c>
      <c r="H148" s="80">
        <v>104.95867768595042</v>
      </c>
      <c r="I148" s="228"/>
      <c r="J148" s="35" t="s">
        <v>3</v>
      </c>
      <c r="K148" s="36" t="s">
        <v>3</v>
      </c>
      <c r="L148" s="498" t="s">
        <v>1210</v>
      </c>
      <c r="M148" s="135">
        <v>0</v>
      </c>
      <c r="N148" s="134">
        <v>3.4000000000000004</v>
      </c>
      <c r="O148" s="135">
        <v>0</v>
      </c>
      <c r="P148" s="136">
        <v>0.5</v>
      </c>
      <c r="Q148" s="134">
        <v>0</v>
      </c>
      <c r="R148" s="136">
        <v>0.30000000000000004</v>
      </c>
      <c r="S148" s="37"/>
      <c r="T148" s="135">
        <v>0</v>
      </c>
      <c r="U148" s="134">
        <v>3.8000000000000003</v>
      </c>
      <c r="V148" s="135">
        <v>0</v>
      </c>
      <c r="W148" s="134">
        <v>3.8000000000000003</v>
      </c>
      <c r="X148" s="135">
        <v>0</v>
      </c>
      <c r="Y148" s="136">
        <v>3.8000000000000003</v>
      </c>
      <c r="Z148" s="135">
        <v>0</v>
      </c>
      <c r="AA148" s="136">
        <v>3.7</v>
      </c>
      <c r="AB148" s="134">
        <v>0</v>
      </c>
      <c r="AC148" s="136">
        <v>3.7</v>
      </c>
      <c r="AE148" s="22">
        <v>-5</v>
      </c>
      <c r="AF148" s="65"/>
      <c r="AG148" s="35">
        <v>0</v>
      </c>
      <c r="AH148" s="36">
        <v>0</v>
      </c>
      <c r="AI148" s="37"/>
      <c r="AJ148" s="35">
        <v>18</v>
      </c>
      <c r="AK148" s="36">
        <v>81.600000000000009</v>
      </c>
      <c r="AL148" s="35">
        <v>88</v>
      </c>
      <c r="AM148" s="36">
        <v>12</v>
      </c>
      <c r="AN148" s="35">
        <v>93</v>
      </c>
      <c r="AO148" s="36">
        <v>7.2000000000000011</v>
      </c>
      <c r="AP148" s="37"/>
      <c r="AQ148" s="35">
        <v>9</v>
      </c>
      <c r="AR148" s="36">
        <v>91.2</v>
      </c>
      <c r="AS148" s="35">
        <v>9</v>
      </c>
      <c r="AT148" s="36">
        <v>91.2</v>
      </c>
      <c r="AU148" s="35">
        <v>9</v>
      </c>
      <c r="AV148" s="36">
        <v>91.2</v>
      </c>
      <c r="AW148" s="35">
        <v>11</v>
      </c>
      <c r="AX148" s="36">
        <v>88.800000000000011</v>
      </c>
      <c r="AY148" s="35">
        <v>11</v>
      </c>
      <c r="AZ148" s="36">
        <v>88.800000000000011</v>
      </c>
    </row>
    <row r="149" spans="1:52">
      <c r="A149" s="196" t="s">
        <v>1102</v>
      </c>
      <c r="B149" s="41" t="s">
        <v>55</v>
      </c>
      <c r="C149" s="211" t="s">
        <v>564</v>
      </c>
      <c r="D149" s="41">
        <v>59</v>
      </c>
      <c r="E149" s="41">
        <v>0</v>
      </c>
      <c r="F149" s="22" t="s">
        <v>1101</v>
      </c>
      <c r="G149" s="40">
        <v>24</v>
      </c>
      <c r="H149" s="80">
        <v>58.677685950413228</v>
      </c>
      <c r="I149" s="228"/>
      <c r="J149" s="35" t="s">
        <v>3</v>
      </c>
      <c r="K149" s="36" t="s">
        <v>3</v>
      </c>
      <c r="L149" s="498" t="s">
        <v>1210</v>
      </c>
      <c r="M149" s="135">
        <v>0</v>
      </c>
      <c r="N149" s="134">
        <v>1.5</v>
      </c>
      <c r="O149" s="135">
        <v>0</v>
      </c>
      <c r="P149" s="136">
        <v>1.5</v>
      </c>
      <c r="Q149" s="134">
        <v>0</v>
      </c>
      <c r="R149" s="136">
        <v>1.5</v>
      </c>
      <c r="S149" s="37"/>
      <c r="T149" s="135">
        <v>0</v>
      </c>
      <c r="U149" s="134">
        <v>0.9</v>
      </c>
      <c r="V149" s="135">
        <v>0</v>
      </c>
      <c r="W149" s="134">
        <v>0.9</v>
      </c>
      <c r="X149" s="135">
        <v>0</v>
      </c>
      <c r="Y149" s="136">
        <v>0.9</v>
      </c>
      <c r="Z149" s="135">
        <v>0</v>
      </c>
      <c r="AA149" s="136">
        <v>0.8</v>
      </c>
      <c r="AB149" s="134">
        <v>0</v>
      </c>
      <c r="AC149" s="136">
        <v>0.8</v>
      </c>
      <c r="AE149" s="22">
        <v>0</v>
      </c>
      <c r="AF149" s="65"/>
      <c r="AG149" s="35">
        <v>0</v>
      </c>
      <c r="AH149" s="36">
        <v>0</v>
      </c>
      <c r="AI149" s="37"/>
      <c r="AJ149" s="35">
        <v>23</v>
      </c>
      <c r="AK149" s="36">
        <v>36</v>
      </c>
      <c r="AL149" s="35">
        <v>23</v>
      </c>
      <c r="AM149" s="36">
        <v>36</v>
      </c>
      <c r="AN149" s="37">
        <v>23</v>
      </c>
      <c r="AO149" s="36">
        <v>36</v>
      </c>
      <c r="AP149" s="37"/>
      <c r="AQ149" s="35">
        <v>37</v>
      </c>
      <c r="AR149" s="36">
        <v>21.6</v>
      </c>
      <c r="AS149" s="35">
        <v>37</v>
      </c>
      <c r="AT149" s="36">
        <v>21.6</v>
      </c>
      <c r="AU149" s="37">
        <v>37</v>
      </c>
      <c r="AV149" s="36">
        <v>21.6</v>
      </c>
      <c r="AW149" s="37">
        <v>40</v>
      </c>
      <c r="AX149" s="36">
        <v>19.200000000000003</v>
      </c>
      <c r="AY149" s="37">
        <v>40</v>
      </c>
      <c r="AZ149" s="36">
        <v>19.200000000000003</v>
      </c>
    </row>
    <row r="150" spans="1:52">
      <c r="A150" s="196" t="s">
        <v>1119</v>
      </c>
      <c r="B150" s="41" t="s">
        <v>664</v>
      </c>
      <c r="C150" s="211" t="s">
        <v>518</v>
      </c>
      <c r="D150" s="41">
        <v>109</v>
      </c>
      <c r="E150" s="41">
        <v>0</v>
      </c>
      <c r="F150" s="22" t="s">
        <v>1105</v>
      </c>
      <c r="G150" s="413">
        <v>24</v>
      </c>
      <c r="H150" s="80">
        <v>65.289256198347104</v>
      </c>
      <c r="I150" s="228"/>
      <c r="J150" s="35" t="s">
        <v>3</v>
      </c>
      <c r="K150" s="36" t="s">
        <v>3</v>
      </c>
      <c r="L150" s="498" t="s">
        <v>1210</v>
      </c>
      <c r="M150" s="135">
        <v>0</v>
      </c>
      <c r="N150" s="134">
        <v>1.7000000000000002</v>
      </c>
      <c r="O150" s="135">
        <v>0</v>
      </c>
      <c r="P150" s="136">
        <v>1.7000000000000002</v>
      </c>
      <c r="Q150" s="134">
        <v>0</v>
      </c>
      <c r="R150" s="136">
        <v>1.7000000000000002</v>
      </c>
      <c r="S150" s="37"/>
      <c r="T150" s="135">
        <v>0</v>
      </c>
      <c r="U150" s="134">
        <v>0.5</v>
      </c>
      <c r="V150" s="135">
        <v>0</v>
      </c>
      <c r="W150" s="134">
        <v>0.5</v>
      </c>
      <c r="X150" s="135">
        <v>0</v>
      </c>
      <c r="Y150" s="136">
        <v>0.5</v>
      </c>
      <c r="Z150" s="135">
        <v>0</v>
      </c>
      <c r="AA150" s="136">
        <v>0.4</v>
      </c>
      <c r="AB150" s="134">
        <v>0</v>
      </c>
      <c r="AC150" s="136">
        <v>0.4</v>
      </c>
      <c r="AE150" s="22">
        <v>44</v>
      </c>
      <c r="AF150" s="65"/>
      <c r="AG150" s="35">
        <v>0</v>
      </c>
      <c r="AH150" s="36">
        <v>0</v>
      </c>
      <c r="AI150" s="37"/>
      <c r="AJ150" s="35">
        <v>68</v>
      </c>
      <c r="AK150" s="36">
        <v>40.800000000000004</v>
      </c>
      <c r="AL150" s="35">
        <v>68</v>
      </c>
      <c r="AM150" s="36">
        <v>40.800000000000004</v>
      </c>
      <c r="AN150" s="35">
        <v>68</v>
      </c>
      <c r="AO150" s="36">
        <v>40.800000000000004</v>
      </c>
      <c r="AP150" s="37"/>
      <c r="AQ150" s="35">
        <v>97</v>
      </c>
      <c r="AR150" s="36">
        <v>12</v>
      </c>
      <c r="AS150" s="35">
        <v>97</v>
      </c>
      <c r="AT150" s="36">
        <v>12</v>
      </c>
      <c r="AU150" s="35">
        <v>97</v>
      </c>
      <c r="AV150" s="36">
        <v>12</v>
      </c>
      <c r="AW150" s="35">
        <v>99</v>
      </c>
      <c r="AX150" s="36">
        <v>9.6000000000000014</v>
      </c>
      <c r="AY150" s="35">
        <v>99</v>
      </c>
      <c r="AZ150" s="36">
        <v>9.6000000000000014</v>
      </c>
    </row>
    <row r="151" spans="1:52">
      <c r="A151" s="196" t="s">
        <v>1120</v>
      </c>
      <c r="B151" s="41" t="s">
        <v>664</v>
      </c>
      <c r="C151" s="211" t="s">
        <v>574</v>
      </c>
      <c r="D151" s="41">
        <v>116</v>
      </c>
      <c r="E151" s="41">
        <v>0</v>
      </c>
      <c r="F151" s="22" t="s">
        <v>1105</v>
      </c>
      <c r="G151" s="40">
        <v>24</v>
      </c>
      <c r="H151" s="80">
        <v>95.041322314049594</v>
      </c>
      <c r="I151" s="228"/>
      <c r="J151" s="35" t="s">
        <v>3</v>
      </c>
      <c r="K151" s="36" t="s">
        <v>3</v>
      </c>
      <c r="L151" s="498" t="s">
        <v>1210</v>
      </c>
      <c r="M151" s="135">
        <v>0</v>
      </c>
      <c r="N151" s="134">
        <v>3.4000000000000004</v>
      </c>
      <c r="O151" s="135">
        <v>0</v>
      </c>
      <c r="P151" s="136">
        <v>0.5</v>
      </c>
      <c r="Q151" s="134">
        <v>0</v>
      </c>
      <c r="R151" s="136">
        <v>0.30000000000000004</v>
      </c>
      <c r="S151" s="37"/>
      <c r="T151" s="135">
        <v>0</v>
      </c>
      <c r="U151" s="134">
        <v>0.9</v>
      </c>
      <c r="V151" s="135">
        <v>0</v>
      </c>
      <c r="W151" s="134">
        <v>0.9</v>
      </c>
      <c r="X151" s="135">
        <v>0</v>
      </c>
      <c r="Y151" s="136">
        <v>0.9</v>
      </c>
      <c r="Z151" s="135">
        <v>0</v>
      </c>
      <c r="AA151" s="136">
        <v>0.8</v>
      </c>
      <c r="AB151" s="134">
        <v>0</v>
      </c>
      <c r="AC151" s="136">
        <v>0.8</v>
      </c>
      <c r="AE151" s="22">
        <v>21</v>
      </c>
      <c r="AF151" s="65"/>
      <c r="AG151" s="35">
        <v>0</v>
      </c>
      <c r="AH151" s="36">
        <v>0</v>
      </c>
      <c r="AI151" s="37"/>
      <c r="AJ151" s="35">
        <v>34</v>
      </c>
      <c r="AK151" s="36">
        <v>81.600000000000009</v>
      </c>
      <c r="AL151" s="35">
        <v>104</v>
      </c>
      <c r="AM151" s="36">
        <v>12</v>
      </c>
      <c r="AN151" s="37">
        <v>109</v>
      </c>
      <c r="AO151" s="36">
        <v>7.2000000000000011</v>
      </c>
      <c r="AP151" s="37"/>
      <c r="AQ151" s="35">
        <v>94</v>
      </c>
      <c r="AR151" s="36">
        <v>21.6</v>
      </c>
      <c r="AS151" s="35">
        <v>94</v>
      </c>
      <c r="AT151" s="36">
        <v>21.6</v>
      </c>
      <c r="AU151" s="37">
        <v>94</v>
      </c>
      <c r="AV151" s="36">
        <v>21.6</v>
      </c>
      <c r="AW151" s="37">
        <v>97</v>
      </c>
      <c r="AX151" s="36">
        <v>19.200000000000003</v>
      </c>
      <c r="AY151" s="37">
        <v>97</v>
      </c>
      <c r="AZ151" s="36">
        <v>19.200000000000003</v>
      </c>
    </row>
    <row r="152" spans="1:52">
      <c r="A152" s="196" t="s">
        <v>1037</v>
      </c>
      <c r="B152" s="41" t="s">
        <v>106</v>
      </c>
      <c r="C152" s="211" t="s">
        <v>405</v>
      </c>
      <c r="D152" s="41">
        <v>89</v>
      </c>
      <c r="E152" s="41">
        <v>0</v>
      </c>
      <c r="F152" s="22" t="s">
        <v>1038</v>
      </c>
      <c r="G152" s="40">
        <v>24</v>
      </c>
      <c r="H152" s="80">
        <v>87.603305785123965</v>
      </c>
      <c r="I152" s="228"/>
      <c r="J152" s="35" t="s">
        <v>3</v>
      </c>
      <c r="K152" s="36" t="s">
        <v>3</v>
      </c>
      <c r="L152" s="498" t="s">
        <v>1210</v>
      </c>
      <c r="M152" s="135">
        <v>0</v>
      </c>
      <c r="N152" s="134">
        <v>2.9000000000000004</v>
      </c>
      <c r="O152" s="135">
        <v>0</v>
      </c>
      <c r="P152" s="136">
        <v>0.30000000000000004</v>
      </c>
      <c r="Q152" s="134">
        <v>0</v>
      </c>
      <c r="R152" s="136">
        <v>0.30000000000000004</v>
      </c>
      <c r="S152" s="37"/>
      <c r="T152" s="135">
        <v>0</v>
      </c>
      <c r="U152" s="134">
        <v>0.9</v>
      </c>
      <c r="V152" s="135">
        <v>0</v>
      </c>
      <c r="W152" s="134">
        <v>0.9</v>
      </c>
      <c r="X152" s="135">
        <v>0</v>
      </c>
      <c r="Y152" s="136">
        <v>0.9</v>
      </c>
      <c r="Z152" s="135">
        <v>0</v>
      </c>
      <c r="AA152" s="136">
        <v>0.8</v>
      </c>
      <c r="AB152" s="134">
        <v>0</v>
      </c>
      <c r="AC152" s="136">
        <v>0.8</v>
      </c>
      <c r="AE152" s="22">
        <v>1</v>
      </c>
      <c r="AF152" s="65"/>
      <c r="AG152" s="35">
        <v>0</v>
      </c>
      <c r="AH152" s="36">
        <v>0</v>
      </c>
      <c r="AI152" s="37"/>
      <c r="AJ152" s="35">
        <v>19</v>
      </c>
      <c r="AK152" s="36">
        <v>69.600000000000009</v>
      </c>
      <c r="AL152" s="35">
        <v>82</v>
      </c>
      <c r="AM152" s="36">
        <v>7.2000000000000011</v>
      </c>
      <c r="AN152" s="35">
        <v>82</v>
      </c>
      <c r="AO152" s="36">
        <v>7.2000000000000011</v>
      </c>
      <c r="AP152" s="37"/>
      <c r="AQ152" s="35">
        <v>67</v>
      </c>
      <c r="AR152" s="36">
        <v>21.6</v>
      </c>
      <c r="AS152" s="35">
        <v>67</v>
      </c>
      <c r="AT152" s="36">
        <v>21.6</v>
      </c>
      <c r="AU152" s="35">
        <v>67</v>
      </c>
      <c r="AV152" s="36">
        <v>21.6</v>
      </c>
      <c r="AW152" s="35">
        <v>70</v>
      </c>
      <c r="AX152" s="36">
        <v>19.200000000000003</v>
      </c>
      <c r="AY152" s="35">
        <v>70</v>
      </c>
      <c r="AZ152" s="36">
        <v>19.200000000000003</v>
      </c>
    </row>
    <row r="153" spans="1:52">
      <c r="A153" s="196" t="s">
        <v>1039</v>
      </c>
      <c r="B153" s="41" t="s">
        <v>106</v>
      </c>
      <c r="C153" s="211" t="s">
        <v>380</v>
      </c>
      <c r="D153" s="41">
        <v>49</v>
      </c>
      <c r="E153" s="41">
        <v>0</v>
      </c>
      <c r="F153" s="22" t="s">
        <v>1038</v>
      </c>
      <c r="G153" s="413">
        <v>24</v>
      </c>
      <c r="H153" s="80">
        <v>59.504132231404959</v>
      </c>
      <c r="I153" s="228"/>
      <c r="J153" s="35" t="s">
        <v>3</v>
      </c>
      <c r="K153" s="36" t="s">
        <v>3</v>
      </c>
      <c r="L153" s="498" t="s">
        <v>1210</v>
      </c>
      <c r="M153" s="135">
        <v>0</v>
      </c>
      <c r="N153" s="134">
        <v>1.5</v>
      </c>
      <c r="O153" s="135">
        <v>0</v>
      </c>
      <c r="P153" s="136">
        <v>1.5</v>
      </c>
      <c r="Q153" s="134">
        <v>0</v>
      </c>
      <c r="R153" s="136">
        <v>1.5</v>
      </c>
      <c r="S153" s="37"/>
      <c r="T153" s="135">
        <v>0</v>
      </c>
      <c r="U153" s="134">
        <v>0</v>
      </c>
      <c r="V153" s="135">
        <v>0</v>
      </c>
      <c r="W153" s="134">
        <v>0</v>
      </c>
      <c r="X153" s="135">
        <v>0</v>
      </c>
      <c r="Y153" s="136">
        <v>0</v>
      </c>
      <c r="Z153" s="135">
        <v>0</v>
      </c>
      <c r="AA153" s="136">
        <v>0</v>
      </c>
      <c r="AB153" s="134">
        <v>0</v>
      </c>
      <c r="AC153" s="136">
        <v>0</v>
      </c>
      <c r="AE153" s="22">
        <v>-11</v>
      </c>
      <c r="AF153" s="65"/>
      <c r="AG153" s="35">
        <v>0</v>
      </c>
      <c r="AH153" s="36">
        <v>0</v>
      </c>
      <c r="AI153" s="37"/>
      <c r="AJ153" s="35">
        <v>13</v>
      </c>
      <c r="AK153" s="36">
        <v>36</v>
      </c>
      <c r="AL153" s="35">
        <v>13</v>
      </c>
      <c r="AM153" s="36">
        <v>36</v>
      </c>
      <c r="AN153" s="37">
        <v>13</v>
      </c>
      <c r="AO153" s="36">
        <v>36</v>
      </c>
      <c r="AP153" s="37"/>
      <c r="AQ153" s="35">
        <v>49</v>
      </c>
      <c r="AR153" s="36">
        <v>0</v>
      </c>
      <c r="AS153" s="35">
        <v>49</v>
      </c>
      <c r="AT153" s="36">
        <v>0</v>
      </c>
      <c r="AU153" s="37">
        <v>49</v>
      </c>
      <c r="AV153" s="36">
        <v>0</v>
      </c>
      <c r="AW153" s="37">
        <v>49</v>
      </c>
      <c r="AX153" s="36">
        <v>0</v>
      </c>
      <c r="AY153" s="37">
        <v>49</v>
      </c>
      <c r="AZ153" s="36">
        <v>0</v>
      </c>
    </row>
    <row r="154" spans="1:52">
      <c r="A154" s="196" t="s">
        <v>1157</v>
      </c>
      <c r="B154" s="41" t="s">
        <v>106</v>
      </c>
      <c r="C154" s="211" t="s">
        <v>760</v>
      </c>
      <c r="D154" s="41">
        <v>413</v>
      </c>
      <c r="E154" s="41">
        <v>2.5</v>
      </c>
      <c r="F154" s="22" t="s">
        <v>1140</v>
      </c>
      <c r="G154" s="40">
        <v>24</v>
      </c>
      <c r="H154" s="80">
        <v>305.78512396694214</v>
      </c>
      <c r="I154" s="228"/>
      <c r="J154" s="35" t="s">
        <v>3</v>
      </c>
      <c r="K154" s="36" t="s">
        <v>3</v>
      </c>
      <c r="L154" s="498" t="s">
        <v>1210</v>
      </c>
      <c r="M154" s="135" t="s">
        <v>3</v>
      </c>
      <c r="N154" s="134" t="s">
        <v>3</v>
      </c>
      <c r="O154" s="135" t="s">
        <v>3</v>
      </c>
      <c r="P154" s="136" t="s">
        <v>3</v>
      </c>
      <c r="Q154" s="134" t="s">
        <v>3</v>
      </c>
      <c r="R154" s="136" t="s">
        <v>3</v>
      </c>
      <c r="S154" s="37"/>
      <c r="T154" s="135">
        <v>0</v>
      </c>
      <c r="U154" s="134">
        <v>10.200000000000001</v>
      </c>
      <c r="V154" s="135">
        <v>0</v>
      </c>
      <c r="W154" s="134">
        <v>6.2</v>
      </c>
      <c r="X154" s="135">
        <v>0</v>
      </c>
      <c r="Y154" s="136">
        <v>6.2</v>
      </c>
      <c r="Z154" s="135">
        <v>0</v>
      </c>
      <c r="AA154" s="136">
        <v>6.2</v>
      </c>
      <c r="AB154" s="134">
        <v>0</v>
      </c>
      <c r="AC154" s="136">
        <v>6.2</v>
      </c>
      <c r="AE154" s="22">
        <v>107</v>
      </c>
      <c r="AF154" s="65"/>
      <c r="AG154" s="35">
        <v>0</v>
      </c>
      <c r="AH154" s="36">
        <v>0</v>
      </c>
      <c r="AI154" s="37"/>
      <c r="AJ154" s="35" t="s">
        <v>3</v>
      </c>
      <c r="AK154" s="36" t="s">
        <v>3</v>
      </c>
      <c r="AL154" s="35" t="s">
        <v>3</v>
      </c>
      <c r="AM154" s="36" t="s">
        <v>3</v>
      </c>
      <c r="AN154" s="35" t="s">
        <v>3</v>
      </c>
      <c r="AO154" s="36" t="s">
        <v>3</v>
      </c>
      <c r="AP154" s="37"/>
      <c r="AQ154" s="35">
        <v>168</v>
      </c>
      <c r="AR154" s="36">
        <v>244.8</v>
      </c>
      <c r="AS154" s="35">
        <v>264</v>
      </c>
      <c r="AT154" s="36">
        <v>148.80000000000001</v>
      </c>
      <c r="AU154" s="35">
        <v>264</v>
      </c>
      <c r="AV154" s="36">
        <v>148.80000000000001</v>
      </c>
      <c r="AW154" s="35">
        <v>264</v>
      </c>
      <c r="AX154" s="36">
        <v>148.80000000000001</v>
      </c>
      <c r="AY154" s="35">
        <v>264</v>
      </c>
      <c r="AZ154" s="36">
        <v>148.80000000000001</v>
      </c>
    </row>
    <row r="155" spans="1:52">
      <c r="A155" s="196" t="s">
        <v>1158</v>
      </c>
      <c r="B155" s="41" t="s">
        <v>106</v>
      </c>
      <c r="C155" s="211" t="s">
        <v>760</v>
      </c>
      <c r="D155" s="41">
        <v>413</v>
      </c>
      <c r="E155" s="41">
        <v>2.5</v>
      </c>
      <c r="F155" s="22" t="s">
        <v>1140</v>
      </c>
      <c r="G155" s="413">
        <v>30</v>
      </c>
      <c r="H155" s="80">
        <v>305.78512396694214</v>
      </c>
      <c r="I155" s="228"/>
      <c r="J155" s="35" t="s">
        <v>3</v>
      </c>
      <c r="K155" s="36" t="s">
        <v>3</v>
      </c>
      <c r="L155" s="498" t="s">
        <v>1210</v>
      </c>
      <c r="M155" s="135" t="s">
        <v>3</v>
      </c>
      <c r="N155" s="134" t="s">
        <v>3</v>
      </c>
      <c r="O155" s="135" t="s">
        <v>3</v>
      </c>
      <c r="P155" s="136" t="s">
        <v>3</v>
      </c>
      <c r="Q155" s="134" t="s">
        <v>3</v>
      </c>
      <c r="R155" s="136" t="s">
        <v>3</v>
      </c>
      <c r="S155" s="37"/>
      <c r="T155" s="135">
        <v>0</v>
      </c>
      <c r="U155" s="134">
        <v>8.2000000000000011</v>
      </c>
      <c r="V155" s="135">
        <v>0</v>
      </c>
      <c r="W155" s="134">
        <v>5</v>
      </c>
      <c r="X155" s="135">
        <v>0</v>
      </c>
      <c r="Y155" s="136">
        <v>5</v>
      </c>
      <c r="Z155" s="135">
        <v>0</v>
      </c>
      <c r="AA155" s="136">
        <v>5</v>
      </c>
      <c r="AB155" s="134">
        <v>0</v>
      </c>
      <c r="AC155" s="136">
        <v>5</v>
      </c>
      <c r="AE155" s="22">
        <v>107</v>
      </c>
      <c r="AF155" s="65"/>
      <c r="AG155" s="35">
        <v>0</v>
      </c>
      <c r="AH155" s="36">
        <v>0</v>
      </c>
      <c r="AI155" s="37"/>
      <c r="AJ155" s="35" t="s">
        <v>3</v>
      </c>
      <c r="AK155" s="36" t="s">
        <v>3</v>
      </c>
      <c r="AL155" s="35" t="s">
        <v>3</v>
      </c>
      <c r="AM155" s="36" t="s">
        <v>3</v>
      </c>
      <c r="AN155" s="37" t="s">
        <v>3</v>
      </c>
      <c r="AO155" s="36" t="s">
        <v>3</v>
      </c>
      <c r="AP155" s="37"/>
      <c r="AQ155" s="35">
        <v>167</v>
      </c>
      <c r="AR155" s="36">
        <v>246.00000000000003</v>
      </c>
      <c r="AS155" s="35">
        <v>263</v>
      </c>
      <c r="AT155" s="36">
        <v>150</v>
      </c>
      <c r="AU155" s="37">
        <v>263</v>
      </c>
      <c r="AV155" s="36">
        <v>150</v>
      </c>
      <c r="AW155" s="37">
        <v>263</v>
      </c>
      <c r="AX155" s="36">
        <v>150</v>
      </c>
      <c r="AY155" s="37">
        <v>263</v>
      </c>
      <c r="AZ155" s="36">
        <v>150</v>
      </c>
    </row>
    <row r="156" spans="1:52">
      <c r="A156" s="196" t="s">
        <v>1135</v>
      </c>
      <c r="B156" s="41" t="s">
        <v>670</v>
      </c>
      <c r="C156" s="211" t="s">
        <v>648</v>
      </c>
      <c r="D156" s="41">
        <v>62</v>
      </c>
      <c r="E156" s="41">
        <v>0</v>
      </c>
      <c r="F156" s="22" t="s">
        <v>1136</v>
      </c>
      <c r="G156" s="40">
        <v>24</v>
      </c>
      <c r="H156" s="80">
        <v>50.413223140495866</v>
      </c>
      <c r="I156" s="228"/>
      <c r="J156" s="35" t="s">
        <v>3</v>
      </c>
      <c r="K156" s="36" t="s">
        <v>3</v>
      </c>
      <c r="L156" s="498" t="s">
        <v>1210</v>
      </c>
      <c r="M156" s="135">
        <v>0</v>
      </c>
      <c r="N156" s="134">
        <v>1.2000000000000002</v>
      </c>
      <c r="O156" s="135">
        <v>0</v>
      </c>
      <c r="P156" s="136">
        <v>1.2000000000000002</v>
      </c>
      <c r="Q156" s="134">
        <v>0</v>
      </c>
      <c r="R156" s="136">
        <v>1.2000000000000002</v>
      </c>
      <c r="S156" s="37"/>
      <c r="T156" s="135">
        <v>0</v>
      </c>
      <c r="U156" s="134">
        <v>0</v>
      </c>
      <c r="V156" s="135">
        <v>0</v>
      </c>
      <c r="W156" s="134">
        <v>0</v>
      </c>
      <c r="X156" s="135">
        <v>0</v>
      </c>
      <c r="Y156" s="136">
        <v>0</v>
      </c>
      <c r="Z156" s="135">
        <v>0</v>
      </c>
      <c r="AA156" s="136">
        <v>0</v>
      </c>
      <c r="AB156" s="134">
        <v>0</v>
      </c>
      <c r="AC156" s="136">
        <v>0</v>
      </c>
      <c r="AE156" s="22">
        <v>12</v>
      </c>
      <c r="AF156" s="65"/>
      <c r="AG156" s="35">
        <v>0</v>
      </c>
      <c r="AH156" s="36">
        <v>0</v>
      </c>
      <c r="AI156" s="37"/>
      <c r="AJ156" s="35">
        <v>33</v>
      </c>
      <c r="AK156" s="36">
        <v>28.800000000000004</v>
      </c>
      <c r="AL156" s="35">
        <v>33</v>
      </c>
      <c r="AM156" s="36">
        <v>28.800000000000004</v>
      </c>
      <c r="AN156" s="35">
        <v>33</v>
      </c>
      <c r="AO156" s="36">
        <v>28.800000000000004</v>
      </c>
      <c r="AP156" s="37"/>
      <c r="AQ156" s="35">
        <v>62</v>
      </c>
      <c r="AR156" s="36">
        <v>0</v>
      </c>
      <c r="AS156" s="35">
        <v>62</v>
      </c>
      <c r="AT156" s="36">
        <v>0</v>
      </c>
      <c r="AU156" s="35">
        <v>62</v>
      </c>
      <c r="AV156" s="36">
        <v>0</v>
      </c>
      <c r="AW156" s="35">
        <v>62</v>
      </c>
      <c r="AX156" s="36">
        <v>0</v>
      </c>
      <c r="AY156" s="35">
        <v>62</v>
      </c>
      <c r="AZ156" s="36">
        <v>0</v>
      </c>
    </row>
    <row r="157" spans="1:52">
      <c r="A157" s="196" t="s">
        <v>1137</v>
      </c>
      <c r="B157" s="41" t="s">
        <v>57</v>
      </c>
      <c r="C157" s="211" t="s">
        <v>649</v>
      </c>
      <c r="D157" s="41">
        <v>58</v>
      </c>
      <c r="E157" s="41">
        <v>0</v>
      </c>
      <c r="F157" s="22" t="s">
        <v>1136</v>
      </c>
      <c r="G157" s="413">
        <v>24</v>
      </c>
      <c r="H157" s="80">
        <v>48.760330578512395</v>
      </c>
      <c r="I157" s="228"/>
      <c r="J157" s="35" t="s">
        <v>3</v>
      </c>
      <c r="K157" s="36" t="s">
        <v>3</v>
      </c>
      <c r="L157" s="498" t="s">
        <v>1210</v>
      </c>
      <c r="M157" s="135">
        <v>0</v>
      </c>
      <c r="N157" s="134">
        <v>1.2000000000000002</v>
      </c>
      <c r="O157" s="135">
        <v>0</v>
      </c>
      <c r="P157" s="136">
        <v>1.2000000000000002</v>
      </c>
      <c r="Q157" s="134">
        <v>0</v>
      </c>
      <c r="R157" s="136">
        <v>1.2000000000000002</v>
      </c>
      <c r="S157" s="37"/>
      <c r="T157" s="135">
        <v>0</v>
      </c>
      <c r="U157" s="134">
        <v>0</v>
      </c>
      <c r="V157" s="135">
        <v>0</v>
      </c>
      <c r="W157" s="134">
        <v>0</v>
      </c>
      <c r="X157" s="135">
        <v>0</v>
      </c>
      <c r="Y157" s="136">
        <v>0</v>
      </c>
      <c r="Z157" s="135">
        <v>0</v>
      </c>
      <c r="AA157" s="136">
        <v>0</v>
      </c>
      <c r="AB157" s="134">
        <v>0</v>
      </c>
      <c r="AC157" s="136">
        <v>0</v>
      </c>
      <c r="AE157" s="22">
        <v>9</v>
      </c>
      <c r="AF157" s="65"/>
      <c r="AG157" s="35">
        <v>0</v>
      </c>
      <c r="AH157" s="36">
        <v>0</v>
      </c>
      <c r="AI157" s="37"/>
      <c r="AJ157" s="35">
        <v>29</v>
      </c>
      <c r="AK157" s="36">
        <v>28.800000000000004</v>
      </c>
      <c r="AL157" s="35">
        <v>29</v>
      </c>
      <c r="AM157" s="36">
        <v>28.800000000000004</v>
      </c>
      <c r="AN157" s="37">
        <v>29</v>
      </c>
      <c r="AO157" s="36">
        <v>28.800000000000004</v>
      </c>
      <c r="AP157" s="37"/>
      <c r="AQ157" s="35">
        <v>58</v>
      </c>
      <c r="AR157" s="36">
        <v>0</v>
      </c>
      <c r="AS157" s="35">
        <v>58</v>
      </c>
      <c r="AT157" s="36">
        <v>0</v>
      </c>
      <c r="AU157" s="37">
        <v>58</v>
      </c>
      <c r="AV157" s="36">
        <v>0</v>
      </c>
      <c r="AW157" s="37">
        <v>58</v>
      </c>
      <c r="AX157" s="36">
        <v>0</v>
      </c>
      <c r="AY157" s="37">
        <v>58</v>
      </c>
      <c r="AZ157" s="36">
        <v>0</v>
      </c>
    </row>
    <row r="158" spans="1:52">
      <c r="A158" s="196" t="s">
        <v>1159</v>
      </c>
      <c r="B158" s="41" t="s">
        <v>57</v>
      </c>
      <c r="C158" s="211" t="s">
        <v>622</v>
      </c>
      <c r="D158" s="41">
        <v>161</v>
      </c>
      <c r="E158" s="41">
        <v>2.5</v>
      </c>
      <c r="F158" s="22" t="s">
        <v>1140</v>
      </c>
      <c r="G158" s="40">
        <v>24</v>
      </c>
      <c r="H158" s="80">
        <v>100</v>
      </c>
      <c r="I158" s="228"/>
      <c r="J158" s="35" t="s">
        <v>3</v>
      </c>
      <c r="K158" s="36" t="s">
        <v>3</v>
      </c>
      <c r="L158" s="498" t="s">
        <v>1210</v>
      </c>
      <c r="M158" s="135">
        <v>0</v>
      </c>
      <c r="N158" s="134">
        <v>3.6</v>
      </c>
      <c r="O158" s="135">
        <v>0</v>
      </c>
      <c r="P158" s="136">
        <v>0.70000000000000007</v>
      </c>
      <c r="Q158" s="134">
        <v>0</v>
      </c>
      <c r="R158" s="136">
        <v>0.30000000000000004</v>
      </c>
      <c r="S158" s="37"/>
      <c r="T158" s="135">
        <v>0</v>
      </c>
      <c r="U158" s="134">
        <v>1.7000000000000002</v>
      </c>
      <c r="V158" s="135">
        <v>0</v>
      </c>
      <c r="W158" s="134">
        <v>0.9</v>
      </c>
      <c r="X158" s="135">
        <v>0</v>
      </c>
      <c r="Y158" s="136">
        <v>0.9</v>
      </c>
      <c r="Z158" s="135">
        <v>0</v>
      </c>
      <c r="AA158" s="136">
        <v>0.8</v>
      </c>
      <c r="AB158" s="134">
        <v>0</v>
      </c>
      <c r="AC158" s="136">
        <v>0.8</v>
      </c>
      <c r="AE158" s="22">
        <v>61</v>
      </c>
      <c r="AF158" s="65"/>
      <c r="AG158" s="35">
        <v>0</v>
      </c>
      <c r="AH158" s="36">
        <v>0</v>
      </c>
      <c r="AI158" s="37"/>
      <c r="AJ158" s="35">
        <v>75</v>
      </c>
      <c r="AK158" s="36">
        <v>86.4</v>
      </c>
      <c r="AL158" s="35">
        <v>144</v>
      </c>
      <c r="AM158" s="36">
        <v>16.8</v>
      </c>
      <c r="AN158" s="35">
        <v>154</v>
      </c>
      <c r="AO158" s="36">
        <v>7.2000000000000011</v>
      </c>
      <c r="AP158" s="37"/>
      <c r="AQ158" s="35">
        <v>120</v>
      </c>
      <c r="AR158" s="36">
        <v>40.800000000000004</v>
      </c>
      <c r="AS158" s="35">
        <v>139</v>
      </c>
      <c r="AT158" s="36">
        <v>21.6</v>
      </c>
      <c r="AU158" s="35">
        <v>139</v>
      </c>
      <c r="AV158" s="36">
        <v>21.6</v>
      </c>
      <c r="AW158" s="35">
        <v>142</v>
      </c>
      <c r="AX158" s="36">
        <v>19.200000000000003</v>
      </c>
      <c r="AY158" s="35">
        <v>142</v>
      </c>
      <c r="AZ158" s="36">
        <v>19.200000000000003</v>
      </c>
    </row>
    <row r="159" spans="1:52">
      <c r="A159" s="196" t="s">
        <v>1183</v>
      </c>
      <c r="B159" s="41" t="s">
        <v>57</v>
      </c>
      <c r="C159" s="211" t="s">
        <v>761</v>
      </c>
      <c r="D159" s="41">
        <v>288</v>
      </c>
      <c r="E159" s="41">
        <v>2.5</v>
      </c>
      <c r="F159" s="22" t="s">
        <v>1184</v>
      </c>
      <c r="G159" s="413">
        <v>24</v>
      </c>
      <c r="H159" s="80">
        <v>323.96694214876032</v>
      </c>
      <c r="I159" s="228"/>
      <c r="J159" s="35"/>
      <c r="K159" s="36"/>
      <c r="L159" s="498"/>
      <c r="M159" s="35" t="s">
        <v>3</v>
      </c>
      <c r="N159" s="155" t="s">
        <v>3</v>
      </c>
      <c r="O159" s="35" t="s">
        <v>3</v>
      </c>
      <c r="P159" s="156" t="s">
        <v>3</v>
      </c>
      <c r="Q159" s="37" t="s">
        <v>3</v>
      </c>
      <c r="R159" s="156" t="s">
        <v>3</v>
      </c>
      <c r="S159" s="37"/>
      <c r="T159" s="135">
        <v>0</v>
      </c>
      <c r="U159" s="134">
        <v>7.9</v>
      </c>
      <c r="V159" s="135">
        <v>0</v>
      </c>
      <c r="W159" s="134">
        <v>4.2</v>
      </c>
      <c r="X159" s="135">
        <v>0</v>
      </c>
      <c r="Y159" s="136">
        <v>4.2</v>
      </c>
      <c r="Z159" s="135">
        <v>0</v>
      </c>
      <c r="AA159" s="136">
        <v>4.1000000000000005</v>
      </c>
      <c r="AB159" s="134">
        <v>0</v>
      </c>
      <c r="AC159" s="136">
        <v>4.1000000000000005</v>
      </c>
      <c r="AE159" s="22">
        <v>-36</v>
      </c>
      <c r="AF159" s="65"/>
      <c r="AG159" s="35"/>
      <c r="AH159" s="36"/>
      <c r="AI159" s="37"/>
      <c r="AJ159" s="35" t="s">
        <v>3</v>
      </c>
      <c r="AK159" s="36" t="s">
        <v>3</v>
      </c>
      <c r="AL159" s="35" t="s">
        <v>3</v>
      </c>
      <c r="AM159" s="36" t="s">
        <v>3</v>
      </c>
      <c r="AN159" s="37" t="s">
        <v>3</v>
      </c>
      <c r="AO159" s="36" t="s">
        <v>3</v>
      </c>
      <c r="AP159" s="37"/>
      <c r="AQ159" s="35">
        <v>98</v>
      </c>
      <c r="AR159" s="36">
        <v>189.60000000000002</v>
      </c>
      <c r="AS159" s="35">
        <v>187</v>
      </c>
      <c r="AT159" s="36">
        <v>100.80000000000001</v>
      </c>
      <c r="AU159" s="37">
        <v>187</v>
      </c>
      <c r="AV159" s="36">
        <v>100.80000000000001</v>
      </c>
      <c r="AW159" s="37">
        <v>190</v>
      </c>
      <c r="AX159" s="36">
        <v>98.4</v>
      </c>
      <c r="AY159" s="37">
        <v>190</v>
      </c>
      <c r="AZ159" s="36">
        <v>98.4</v>
      </c>
    </row>
    <row r="160" spans="1:52">
      <c r="A160" s="196" t="s">
        <v>1185</v>
      </c>
      <c r="B160" s="41" t="s">
        <v>57</v>
      </c>
      <c r="C160" s="211" t="s">
        <v>762</v>
      </c>
      <c r="D160" s="41">
        <v>245</v>
      </c>
      <c r="E160" s="41">
        <v>2.5</v>
      </c>
      <c r="F160" s="22" t="s">
        <v>1184</v>
      </c>
      <c r="G160" s="40">
        <v>24</v>
      </c>
      <c r="H160" s="80">
        <v>311.57024793388433</v>
      </c>
      <c r="I160" s="228"/>
      <c r="J160" s="35" t="s">
        <v>3</v>
      </c>
      <c r="K160" s="36" t="s">
        <v>3</v>
      </c>
      <c r="L160" s="498" t="s">
        <v>1210</v>
      </c>
      <c r="M160" s="135" t="s">
        <v>3</v>
      </c>
      <c r="N160" s="134" t="s">
        <v>3</v>
      </c>
      <c r="O160" s="135" t="s">
        <v>3</v>
      </c>
      <c r="P160" s="136" t="s">
        <v>3</v>
      </c>
      <c r="Q160" s="134" t="s">
        <v>3</v>
      </c>
      <c r="R160" s="136" t="s">
        <v>3</v>
      </c>
      <c r="S160" s="37"/>
      <c r="T160" s="135">
        <v>0</v>
      </c>
      <c r="U160" s="134">
        <v>7.9</v>
      </c>
      <c r="V160" s="135">
        <v>0</v>
      </c>
      <c r="W160" s="134">
        <v>4.2</v>
      </c>
      <c r="X160" s="135">
        <v>0</v>
      </c>
      <c r="Y160" s="136">
        <v>4.2</v>
      </c>
      <c r="Z160" s="135">
        <v>0</v>
      </c>
      <c r="AA160" s="136">
        <v>4.1000000000000005</v>
      </c>
      <c r="AB160" s="134">
        <v>0</v>
      </c>
      <c r="AC160" s="136">
        <v>4.1000000000000005</v>
      </c>
      <c r="AE160" s="22">
        <v>-67</v>
      </c>
      <c r="AF160" s="65"/>
      <c r="AG160" s="35">
        <v>0</v>
      </c>
      <c r="AH160" s="36">
        <v>0</v>
      </c>
      <c r="AI160" s="37"/>
      <c r="AJ160" s="35" t="s">
        <v>3</v>
      </c>
      <c r="AK160" s="36" t="s">
        <v>3</v>
      </c>
      <c r="AL160" s="35" t="s">
        <v>3</v>
      </c>
      <c r="AM160" s="36" t="s">
        <v>3</v>
      </c>
      <c r="AN160" s="35" t="s">
        <v>3</v>
      </c>
      <c r="AO160" s="36" t="s">
        <v>3</v>
      </c>
      <c r="AP160" s="37"/>
      <c r="AQ160" s="35">
        <v>55</v>
      </c>
      <c r="AR160" s="36">
        <v>189.60000000000002</v>
      </c>
      <c r="AS160" s="35">
        <v>144</v>
      </c>
      <c r="AT160" s="36">
        <v>100.80000000000001</v>
      </c>
      <c r="AU160" s="35">
        <v>144</v>
      </c>
      <c r="AV160" s="36">
        <v>100.80000000000001</v>
      </c>
      <c r="AW160" s="35">
        <v>147</v>
      </c>
      <c r="AX160" s="36">
        <v>98.4</v>
      </c>
      <c r="AY160" s="35">
        <v>147</v>
      </c>
      <c r="AZ160" s="36">
        <v>98.4</v>
      </c>
    </row>
    <row r="161" spans="1:52">
      <c r="A161" s="196" t="s">
        <v>1186</v>
      </c>
      <c r="B161" s="41" t="s">
        <v>57</v>
      </c>
      <c r="C161" s="211" t="s">
        <v>763</v>
      </c>
      <c r="D161" s="41">
        <v>288</v>
      </c>
      <c r="E161" s="41">
        <v>2.5</v>
      </c>
      <c r="F161" s="22" t="s">
        <v>1184</v>
      </c>
      <c r="G161" s="413">
        <v>24</v>
      </c>
      <c r="H161" s="80">
        <v>323.96694214876032</v>
      </c>
      <c r="I161" s="228"/>
      <c r="J161" s="35" t="s">
        <v>3</v>
      </c>
      <c r="K161" s="36" t="s">
        <v>3</v>
      </c>
      <c r="L161" s="498" t="s">
        <v>1210</v>
      </c>
      <c r="M161" s="135" t="s">
        <v>3</v>
      </c>
      <c r="N161" s="134" t="s">
        <v>3</v>
      </c>
      <c r="O161" s="135" t="s">
        <v>3</v>
      </c>
      <c r="P161" s="136" t="s">
        <v>3</v>
      </c>
      <c r="Q161" s="134" t="s">
        <v>3</v>
      </c>
      <c r="R161" s="136" t="s">
        <v>3</v>
      </c>
      <c r="S161" s="37"/>
      <c r="T161" s="135">
        <v>0</v>
      </c>
      <c r="U161" s="134">
        <v>7.7</v>
      </c>
      <c r="V161" s="135">
        <v>0</v>
      </c>
      <c r="W161" s="134">
        <v>4.2</v>
      </c>
      <c r="X161" s="135">
        <v>0</v>
      </c>
      <c r="Y161" s="136">
        <v>4.2</v>
      </c>
      <c r="Z161" s="135">
        <v>0</v>
      </c>
      <c r="AA161" s="136">
        <v>4.1000000000000005</v>
      </c>
      <c r="AB161" s="134">
        <v>0</v>
      </c>
      <c r="AC161" s="136">
        <v>4.1000000000000005</v>
      </c>
      <c r="AE161" s="22">
        <v>-36</v>
      </c>
      <c r="AF161" s="65"/>
      <c r="AG161" s="35">
        <v>0</v>
      </c>
      <c r="AH161" s="36">
        <v>0</v>
      </c>
      <c r="AI161" s="37"/>
      <c r="AJ161" s="35" t="s">
        <v>3</v>
      </c>
      <c r="AK161" s="36" t="s">
        <v>3</v>
      </c>
      <c r="AL161" s="35" t="s">
        <v>3</v>
      </c>
      <c r="AM161" s="36" t="s">
        <v>3</v>
      </c>
      <c r="AN161" s="37" t="s">
        <v>3</v>
      </c>
      <c r="AO161" s="36" t="s">
        <v>3</v>
      </c>
      <c r="AP161" s="37"/>
      <c r="AQ161" s="35">
        <v>103</v>
      </c>
      <c r="AR161" s="36">
        <v>184.8</v>
      </c>
      <c r="AS161" s="35">
        <v>187</v>
      </c>
      <c r="AT161" s="36">
        <v>100.80000000000001</v>
      </c>
      <c r="AU161" s="37">
        <v>187</v>
      </c>
      <c r="AV161" s="36">
        <v>100.80000000000001</v>
      </c>
      <c r="AW161" s="37">
        <v>190</v>
      </c>
      <c r="AX161" s="36">
        <v>98.4</v>
      </c>
      <c r="AY161" s="37">
        <v>190</v>
      </c>
      <c r="AZ161" s="36">
        <v>98.4</v>
      </c>
    </row>
    <row r="162" spans="1:52">
      <c r="A162" s="196" t="s">
        <v>1160</v>
      </c>
      <c r="B162" s="41" t="s">
        <v>57</v>
      </c>
      <c r="C162" s="211" t="s">
        <v>765</v>
      </c>
      <c r="D162" s="41">
        <v>377</v>
      </c>
      <c r="E162" s="41">
        <v>2.5</v>
      </c>
      <c r="F162" s="22" t="s">
        <v>1140</v>
      </c>
      <c r="G162" s="413">
        <v>24</v>
      </c>
      <c r="H162" s="80">
        <v>237.19008264462812</v>
      </c>
      <c r="I162" s="228"/>
      <c r="J162" s="35" t="s">
        <v>3</v>
      </c>
      <c r="K162" s="36" t="s">
        <v>3</v>
      </c>
      <c r="L162" s="498" t="s">
        <v>1210</v>
      </c>
      <c r="M162" s="135" t="s">
        <v>3</v>
      </c>
      <c r="N162" s="134" t="s">
        <v>3</v>
      </c>
      <c r="O162" s="135" t="s">
        <v>3</v>
      </c>
      <c r="P162" s="136" t="s">
        <v>3</v>
      </c>
      <c r="Q162" s="134" t="s">
        <v>3</v>
      </c>
      <c r="R162" s="136" t="s">
        <v>3</v>
      </c>
      <c r="S162" s="37"/>
      <c r="T162" s="135">
        <v>0</v>
      </c>
      <c r="U162" s="134">
        <v>7.9</v>
      </c>
      <c r="V162" s="135">
        <v>0</v>
      </c>
      <c r="W162" s="134">
        <v>4.2</v>
      </c>
      <c r="X162" s="135">
        <v>0</v>
      </c>
      <c r="Y162" s="136">
        <v>4.2</v>
      </c>
      <c r="Z162" s="135">
        <v>0</v>
      </c>
      <c r="AA162" s="136">
        <v>4.1000000000000005</v>
      </c>
      <c r="AB162" s="134">
        <v>0</v>
      </c>
      <c r="AC162" s="136">
        <v>4.1000000000000005</v>
      </c>
      <c r="AE162" s="22">
        <v>140</v>
      </c>
      <c r="AF162" s="65"/>
      <c r="AG162" s="35">
        <v>0</v>
      </c>
      <c r="AH162" s="36">
        <v>0</v>
      </c>
      <c r="AI162" s="37"/>
      <c r="AJ162" s="35" t="s">
        <v>3</v>
      </c>
      <c r="AK162" s="36" t="s">
        <v>3</v>
      </c>
      <c r="AL162" s="35" t="s">
        <v>3</v>
      </c>
      <c r="AM162" s="36" t="s">
        <v>3</v>
      </c>
      <c r="AN162" s="35" t="s">
        <v>3</v>
      </c>
      <c r="AO162" s="36" t="s">
        <v>3</v>
      </c>
      <c r="AP162" s="37"/>
      <c r="AQ162" s="35">
        <v>187</v>
      </c>
      <c r="AR162" s="36">
        <v>189.60000000000002</v>
      </c>
      <c r="AS162" s="35">
        <v>276</v>
      </c>
      <c r="AT162" s="36">
        <v>100.80000000000001</v>
      </c>
      <c r="AU162" s="35">
        <v>276</v>
      </c>
      <c r="AV162" s="36">
        <v>100.80000000000001</v>
      </c>
      <c r="AW162" s="35">
        <v>279</v>
      </c>
      <c r="AX162" s="36">
        <v>98.4</v>
      </c>
      <c r="AY162" s="35">
        <v>279</v>
      </c>
      <c r="AZ162" s="36">
        <v>98.4</v>
      </c>
    </row>
    <row r="163" spans="1:52">
      <c r="A163" s="196" t="s">
        <v>1129</v>
      </c>
      <c r="B163" s="41" t="s">
        <v>669</v>
      </c>
      <c r="C163" s="211" t="s">
        <v>409</v>
      </c>
      <c r="D163" s="41">
        <v>53</v>
      </c>
      <c r="E163" s="41">
        <v>5.25</v>
      </c>
      <c r="F163" s="22" t="s">
        <v>1130</v>
      </c>
      <c r="G163" s="40">
        <v>24</v>
      </c>
      <c r="H163" s="80">
        <v>52.892561983471076</v>
      </c>
      <c r="I163" s="228"/>
      <c r="J163" s="35" t="s">
        <v>3</v>
      </c>
      <c r="K163" s="36" t="s">
        <v>3</v>
      </c>
      <c r="L163" s="498" t="s">
        <v>1210</v>
      </c>
      <c r="M163" s="135">
        <v>0</v>
      </c>
      <c r="N163" s="134">
        <v>1.3</v>
      </c>
      <c r="O163" s="135">
        <v>0</v>
      </c>
      <c r="P163" s="136">
        <v>1.3</v>
      </c>
      <c r="Q163" s="134">
        <v>0</v>
      </c>
      <c r="R163" s="136">
        <v>1.3</v>
      </c>
      <c r="S163" s="37"/>
      <c r="T163" s="135">
        <v>0</v>
      </c>
      <c r="U163" s="134">
        <v>0</v>
      </c>
      <c r="V163" s="135">
        <v>0</v>
      </c>
      <c r="W163" s="134">
        <v>0</v>
      </c>
      <c r="X163" s="135">
        <v>0</v>
      </c>
      <c r="Y163" s="136">
        <v>0</v>
      </c>
      <c r="Z163" s="135">
        <v>0</v>
      </c>
      <c r="AA163" s="136">
        <v>0</v>
      </c>
      <c r="AB163" s="134">
        <v>0</v>
      </c>
      <c r="AC163" s="136">
        <v>0</v>
      </c>
      <c r="AE163" s="22">
        <v>0</v>
      </c>
      <c r="AF163" s="65"/>
      <c r="AG163" s="35">
        <v>0</v>
      </c>
      <c r="AH163" s="36">
        <v>0</v>
      </c>
      <c r="AI163" s="37"/>
      <c r="AJ163" s="35">
        <v>22</v>
      </c>
      <c r="AK163" s="36">
        <v>31.200000000000003</v>
      </c>
      <c r="AL163" s="35">
        <v>22</v>
      </c>
      <c r="AM163" s="36">
        <v>31.200000000000003</v>
      </c>
      <c r="AN163" s="37">
        <v>22</v>
      </c>
      <c r="AO163" s="36">
        <v>31.200000000000003</v>
      </c>
      <c r="AP163" s="37"/>
      <c r="AQ163" s="35">
        <v>53</v>
      </c>
      <c r="AR163" s="36">
        <v>0</v>
      </c>
      <c r="AS163" s="35">
        <v>53</v>
      </c>
      <c r="AT163" s="36">
        <v>0</v>
      </c>
      <c r="AU163" s="37">
        <v>53</v>
      </c>
      <c r="AV163" s="36">
        <v>0</v>
      </c>
      <c r="AW163" s="37">
        <v>53</v>
      </c>
      <c r="AX163" s="36">
        <v>0</v>
      </c>
      <c r="AY163" s="37">
        <v>53</v>
      </c>
      <c r="AZ163" s="36">
        <v>0</v>
      </c>
    </row>
    <row r="164" spans="1:52">
      <c r="A164" s="196" t="s">
        <v>1131</v>
      </c>
      <c r="B164" s="41" t="s">
        <v>669</v>
      </c>
      <c r="C164" s="211" t="s">
        <v>766</v>
      </c>
      <c r="D164" s="41">
        <v>191</v>
      </c>
      <c r="E164" s="41">
        <v>5.25</v>
      </c>
      <c r="F164" s="22" t="s">
        <v>1130</v>
      </c>
      <c r="G164" s="413">
        <v>24</v>
      </c>
      <c r="H164" s="80">
        <v>182.64462809917356</v>
      </c>
      <c r="I164" s="228"/>
      <c r="J164" s="35" t="s">
        <v>3</v>
      </c>
      <c r="K164" s="36" t="s">
        <v>3</v>
      </c>
      <c r="L164" s="498" t="s">
        <v>1210</v>
      </c>
      <c r="M164" s="135" t="s">
        <v>3</v>
      </c>
      <c r="N164" s="134" t="s">
        <v>3</v>
      </c>
      <c r="O164" s="135" t="s">
        <v>3</v>
      </c>
      <c r="P164" s="136" t="s">
        <v>3</v>
      </c>
      <c r="Q164" s="134" t="s">
        <v>3</v>
      </c>
      <c r="R164" s="136" t="s">
        <v>3</v>
      </c>
      <c r="S164" s="37"/>
      <c r="T164" s="135">
        <v>0</v>
      </c>
      <c r="U164" s="134">
        <v>6.5</v>
      </c>
      <c r="V164" s="135">
        <v>0</v>
      </c>
      <c r="W164" s="134">
        <v>3.4000000000000004</v>
      </c>
      <c r="X164" s="135">
        <v>0</v>
      </c>
      <c r="Y164" s="136">
        <v>3.4000000000000004</v>
      </c>
      <c r="Z164" s="135">
        <v>0</v>
      </c>
      <c r="AA164" s="136">
        <v>3.3000000000000003</v>
      </c>
      <c r="AB164" s="134">
        <v>0</v>
      </c>
      <c r="AC164" s="136">
        <v>3.3000000000000003</v>
      </c>
      <c r="AE164" s="22">
        <v>8</v>
      </c>
      <c r="AF164" s="65"/>
      <c r="AG164" s="35">
        <v>0</v>
      </c>
      <c r="AH164" s="36">
        <v>0</v>
      </c>
      <c r="AI164" s="37"/>
      <c r="AJ164" s="35" t="s">
        <v>3</v>
      </c>
      <c r="AK164" s="36" t="s">
        <v>3</v>
      </c>
      <c r="AL164" s="35" t="s">
        <v>3</v>
      </c>
      <c r="AM164" s="36" t="s">
        <v>3</v>
      </c>
      <c r="AN164" s="35" t="s">
        <v>3</v>
      </c>
      <c r="AO164" s="36" t="s">
        <v>3</v>
      </c>
      <c r="AP164" s="37"/>
      <c r="AQ164" s="35">
        <v>35</v>
      </c>
      <c r="AR164" s="36">
        <v>156</v>
      </c>
      <c r="AS164" s="35">
        <v>109</v>
      </c>
      <c r="AT164" s="36">
        <v>81.600000000000009</v>
      </c>
      <c r="AU164" s="35">
        <v>109</v>
      </c>
      <c r="AV164" s="36">
        <v>81.600000000000009</v>
      </c>
      <c r="AW164" s="35">
        <v>112</v>
      </c>
      <c r="AX164" s="36">
        <v>79.2</v>
      </c>
      <c r="AY164" s="35">
        <v>112</v>
      </c>
      <c r="AZ164" s="36">
        <v>79.2</v>
      </c>
    </row>
    <row r="165" spans="1:52">
      <c r="A165" s="196" t="s">
        <v>1113</v>
      </c>
      <c r="B165" s="41" t="s">
        <v>668</v>
      </c>
      <c r="C165" s="211" t="s">
        <v>575</v>
      </c>
      <c r="D165" s="41">
        <v>72</v>
      </c>
      <c r="E165" s="41">
        <v>0</v>
      </c>
      <c r="F165" s="22" t="s">
        <v>1105</v>
      </c>
      <c r="G165" s="413">
        <v>24</v>
      </c>
      <c r="H165" s="80">
        <v>78.512396694214885</v>
      </c>
      <c r="I165" s="228"/>
      <c r="J165" s="35" t="s">
        <v>3</v>
      </c>
      <c r="K165" s="36" t="s">
        <v>3</v>
      </c>
      <c r="L165" s="498" t="s">
        <v>1210</v>
      </c>
      <c r="M165" s="135">
        <v>0</v>
      </c>
      <c r="N165" s="134">
        <v>1.9000000000000001</v>
      </c>
      <c r="O165" s="135">
        <v>0</v>
      </c>
      <c r="P165" s="136">
        <v>1.9000000000000001</v>
      </c>
      <c r="Q165" s="134">
        <v>0</v>
      </c>
      <c r="R165" s="136">
        <v>1.9000000000000001</v>
      </c>
      <c r="S165" s="37"/>
      <c r="T165" s="135">
        <v>0</v>
      </c>
      <c r="U165" s="134">
        <v>2.5</v>
      </c>
      <c r="V165" s="135">
        <v>0</v>
      </c>
      <c r="W165" s="134">
        <v>2.5</v>
      </c>
      <c r="X165" s="135">
        <v>0</v>
      </c>
      <c r="Y165" s="136">
        <v>2.5</v>
      </c>
      <c r="Z165" s="135">
        <v>0</v>
      </c>
      <c r="AA165" s="136">
        <v>2.5</v>
      </c>
      <c r="AB165" s="134">
        <v>0</v>
      </c>
      <c r="AC165" s="136">
        <v>2.5</v>
      </c>
      <c r="AE165" s="22">
        <v>-7</v>
      </c>
      <c r="AF165" s="65"/>
      <c r="AG165" s="35">
        <v>0</v>
      </c>
      <c r="AH165" s="36">
        <v>0</v>
      </c>
      <c r="AI165" s="37"/>
      <c r="AJ165" s="35">
        <v>26</v>
      </c>
      <c r="AK165" s="36">
        <v>45.6</v>
      </c>
      <c r="AL165" s="35">
        <v>26</v>
      </c>
      <c r="AM165" s="36">
        <v>45.6</v>
      </c>
      <c r="AN165" s="37">
        <v>26</v>
      </c>
      <c r="AO165" s="36">
        <v>45.6</v>
      </c>
      <c r="AP165" s="37"/>
      <c r="AQ165" s="35">
        <v>12</v>
      </c>
      <c r="AR165" s="36">
        <v>60</v>
      </c>
      <c r="AS165" s="35">
        <v>12</v>
      </c>
      <c r="AT165" s="36">
        <v>60</v>
      </c>
      <c r="AU165" s="37">
        <v>12</v>
      </c>
      <c r="AV165" s="36">
        <v>60</v>
      </c>
      <c r="AW165" s="37">
        <v>12</v>
      </c>
      <c r="AX165" s="36">
        <v>60</v>
      </c>
      <c r="AY165" s="37">
        <v>12</v>
      </c>
      <c r="AZ165" s="36">
        <v>60</v>
      </c>
    </row>
    <row r="166" spans="1:52">
      <c r="A166" s="196" t="s">
        <v>1114</v>
      </c>
      <c r="B166" s="41" t="s">
        <v>668</v>
      </c>
      <c r="C166" s="211" t="s">
        <v>576</v>
      </c>
      <c r="D166" s="41">
        <v>83</v>
      </c>
      <c r="E166" s="41">
        <v>0</v>
      </c>
      <c r="F166" s="22" t="s">
        <v>1105</v>
      </c>
      <c r="G166" s="40">
        <v>24</v>
      </c>
      <c r="H166" s="80">
        <v>90.909090909090907</v>
      </c>
      <c r="I166" s="228"/>
      <c r="J166" s="35" t="s">
        <v>3</v>
      </c>
      <c r="K166" s="36" t="s">
        <v>3</v>
      </c>
      <c r="L166" s="498" t="s">
        <v>1210</v>
      </c>
      <c r="M166" s="135">
        <v>0</v>
      </c>
      <c r="N166" s="134">
        <v>2.9000000000000004</v>
      </c>
      <c r="O166" s="135">
        <v>0</v>
      </c>
      <c r="P166" s="136">
        <v>0.30000000000000004</v>
      </c>
      <c r="Q166" s="134">
        <v>0</v>
      </c>
      <c r="R166" s="136">
        <v>0.30000000000000004</v>
      </c>
      <c r="S166" s="37"/>
      <c r="T166" s="135">
        <v>0</v>
      </c>
      <c r="U166" s="134">
        <v>3.4000000000000004</v>
      </c>
      <c r="V166" s="135">
        <v>0</v>
      </c>
      <c r="W166" s="134">
        <v>3.4000000000000004</v>
      </c>
      <c r="X166" s="135">
        <v>0</v>
      </c>
      <c r="Y166" s="136">
        <v>3.4000000000000004</v>
      </c>
      <c r="Z166" s="135">
        <v>0</v>
      </c>
      <c r="AA166" s="136">
        <v>3.3000000000000003</v>
      </c>
      <c r="AB166" s="134">
        <v>0</v>
      </c>
      <c r="AC166" s="136">
        <v>3.3000000000000003</v>
      </c>
      <c r="AE166" s="22">
        <v>-8</v>
      </c>
      <c r="AF166" s="65"/>
      <c r="AG166" s="35">
        <v>0</v>
      </c>
      <c r="AH166" s="36">
        <v>0</v>
      </c>
      <c r="AI166" s="37"/>
      <c r="AJ166" s="35">
        <v>13</v>
      </c>
      <c r="AK166" s="36">
        <v>69.600000000000009</v>
      </c>
      <c r="AL166" s="35">
        <v>76</v>
      </c>
      <c r="AM166" s="36">
        <v>7.2000000000000011</v>
      </c>
      <c r="AN166" s="35">
        <v>76</v>
      </c>
      <c r="AO166" s="36">
        <v>7.2000000000000011</v>
      </c>
      <c r="AP166" s="37"/>
      <c r="AQ166" s="35">
        <v>1</v>
      </c>
      <c r="AR166" s="36">
        <v>81.600000000000009</v>
      </c>
      <c r="AS166" s="35">
        <v>1</v>
      </c>
      <c r="AT166" s="36">
        <v>81.600000000000009</v>
      </c>
      <c r="AU166" s="35">
        <v>1</v>
      </c>
      <c r="AV166" s="36">
        <v>81.600000000000009</v>
      </c>
      <c r="AW166" s="35">
        <v>4</v>
      </c>
      <c r="AX166" s="36">
        <v>79.2</v>
      </c>
      <c r="AY166" s="35">
        <v>4</v>
      </c>
      <c r="AZ166" s="36">
        <v>79.2</v>
      </c>
    </row>
    <row r="167" spans="1:52">
      <c r="A167" s="196" t="s">
        <v>1132</v>
      </c>
      <c r="B167" s="41" t="s">
        <v>225</v>
      </c>
      <c r="C167" s="211" t="s">
        <v>769</v>
      </c>
      <c r="D167" s="41">
        <v>140</v>
      </c>
      <c r="E167" s="41">
        <v>0</v>
      </c>
      <c r="F167" s="22" t="s">
        <v>1130</v>
      </c>
      <c r="G167" s="40">
        <v>24</v>
      </c>
      <c r="H167" s="80">
        <v>129.75206611570249</v>
      </c>
      <c r="I167" s="228"/>
      <c r="J167" s="35" t="s">
        <v>3</v>
      </c>
      <c r="K167" s="36" t="s">
        <v>3</v>
      </c>
      <c r="L167" s="498" t="s">
        <v>1210</v>
      </c>
      <c r="M167" s="135">
        <v>19</v>
      </c>
      <c r="N167" s="134">
        <v>3.8000000000000003</v>
      </c>
      <c r="O167" s="135">
        <v>0</v>
      </c>
      <c r="P167" s="136">
        <v>1.5</v>
      </c>
      <c r="Q167" s="134">
        <v>0</v>
      </c>
      <c r="R167" s="136">
        <v>0.70000000000000007</v>
      </c>
      <c r="S167" s="37"/>
      <c r="T167" s="135">
        <v>0</v>
      </c>
      <c r="U167" s="134">
        <v>4.6000000000000005</v>
      </c>
      <c r="V167" s="135">
        <v>0</v>
      </c>
      <c r="W167" s="134">
        <v>3.8000000000000003</v>
      </c>
      <c r="X167" s="135">
        <v>0</v>
      </c>
      <c r="Y167" s="136">
        <v>2.5</v>
      </c>
      <c r="Z167" s="135">
        <v>0</v>
      </c>
      <c r="AA167" s="136">
        <v>2.5</v>
      </c>
      <c r="AB167" s="134">
        <v>0</v>
      </c>
      <c r="AC167" s="136">
        <v>2.5</v>
      </c>
      <c r="AE167" s="22">
        <v>10</v>
      </c>
      <c r="AF167" s="65"/>
      <c r="AG167" s="35">
        <v>0</v>
      </c>
      <c r="AH167" s="36">
        <v>0</v>
      </c>
      <c r="AI167" s="37"/>
      <c r="AJ167" s="35">
        <v>30</v>
      </c>
      <c r="AK167" s="36">
        <v>91.2</v>
      </c>
      <c r="AL167" s="35">
        <v>104</v>
      </c>
      <c r="AM167" s="36">
        <v>36</v>
      </c>
      <c r="AN167" s="37">
        <v>123</v>
      </c>
      <c r="AO167" s="36">
        <v>16.8</v>
      </c>
      <c r="AP167" s="37"/>
      <c r="AQ167" s="35">
        <v>30</v>
      </c>
      <c r="AR167" s="36">
        <v>110.4</v>
      </c>
      <c r="AS167" s="35">
        <v>49</v>
      </c>
      <c r="AT167" s="36">
        <v>91.2</v>
      </c>
      <c r="AU167" s="37">
        <v>80</v>
      </c>
      <c r="AV167" s="36">
        <v>60</v>
      </c>
      <c r="AW167" s="37">
        <v>80</v>
      </c>
      <c r="AX167" s="36">
        <v>60</v>
      </c>
      <c r="AY167" s="37">
        <v>80</v>
      </c>
      <c r="AZ167" s="36">
        <v>60</v>
      </c>
    </row>
    <row r="168" spans="1:52">
      <c r="A168" s="196" t="s">
        <v>990</v>
      </c>
      <c r="B168" s="41" t="s">
        <v>113</v>
      </c>
      <c r="C168" s="211" t="s">
        <v>379</v>
      </c>
      <c r="D168" s="41">
        <v>198</v>
      </c>
      <c r="E168" s="41">
        <v>0</v>
      </c>
      <c r="F168" s="22" t="s">
        <v>986</v>
      </c>
      <c r="G168" s="413">
        <v>24</v>
      </c>
      <c r="H168" s="80">
        <v>212.39669421487605</v>
      </c>
      <c r="I168" s="228"/>
      <c r="J168" s="35" t="s">
        <v>3</v>
      </c>
      <c r="K168" s="36" t="s">
        <v>3</v>
      </c>
      <c r="L168" s="498" t="s">
        <v>1210</v>
      </c>
      <c r="M168" s="135" t="s">
        <v>3</v>
      </c>
      <c r="N168" s="134" t="s">
        <v>3</v>
      </c>
      <c r="O168" s="135" t="s">
        <v>3</v>
      </c>
      <c r="P168" s="136" t="s">
        <v>3</v>
      </c>
      <c r="Q168" s="134" t="s">
        <v>3</v>
      </c>
      <c r="R168" s="136" t="s">
        <v>3</v>
      </c>
      <c r="S168" s="37"/>
      <c r="T168" s="135">
        <v>0</v>
      </c>
      <c r="U168" s="134">
        <v>7.9</v>
      </c>
      <c r="V168" s="135">
        <v>0</v>
      </c>
      <c r="W168" s="134">
        <v>4.2</v>
      </c>
      <c r="X168" s="135">
        <v>0</v>
      </c>
      <c r="Y168" s="136">
        <v>4.2</v>
      </c>
      <c r="Z168" s="135">
        <v>0</v>
      </c>
      <c r="AA168" s="136">
        <v>5.2</v>
      </c>
      <c r="AB168" s="134">
        <v>0</v>
      </c>
      <c r="AC168" s="136">
        <v>5.2</v>
      </c>
      <c r="AE168" s="22">
        <v>-14</v>
      </c>
      <c r="AF168" s="65"/>
      <c r="AG168" s="35">
        <v>0</v>
      </c>
      <c r="AH168" s="36">
        <v>0</v>
      </c>
      <c r="AI168" s="37"/>
      <c r="AJ168" s="35" t="s">
        <v>3</v>
      </c>
      <c r="AK168" s="36" t="s">
        <v>3</v>
      </c>
      <c r="AL168" s="35" t="s">
        <v>3</v>
      </c>
      <c r="AM168" s="36" t="s">
        <v>3</v>
      </c>
      <c r="AN168" s="35" t="s">
        <v>3</v>
      </c>
      <c r="AO168" s="36" t="s">
        <v>3</v>
      </c>
      <c r="AP168" s="37"/>
      <c r="AQ168" s="35">
        <v>8</v>
      </c>
      <c r="AR168" s="36">
        <v>189.60000000000002</v>
      </c>
      <c r="AS168" s="35">
        <v>97</v>
      </c>
      <c r="AT168" s="36">
        <v>100.80000000000001</v>
      </c>
      <c r="AU168" s="35">
        <v>97</v>
      </c>
      <c r="AV168" s="36">
        <v>100.80000000000001</v>
      </c>
      <c r="AW168" s="35">
        <v>73</v>
      </c>
      <c r="AX168" s="36">
        <v>124.80000000000001</v>
      </c>
      <c r="AY168" s="35">
        <v>73</v>
      </c>
      <c r="AZ168" s="36">
        <v>124.80000000000001</v>
      </c>
    </row>
    <row r="169" spans="1:52">
      <c r="A169" s="196" t="s">
        <v>991</v>
      </c>
      <c r="B169" s="41" t="s">
        <v>113</v>
      </c>
      <c r="C169" s="211" t="s">
        <v>379</v>
      </c>
      <c r="D169" s="41">
        <v>198</v>
      </c>
      <c r="E169" s="41">
        <v>0</v>
      </c>
      <c r="F169" s="22" t="s">
        <v>986</v>
      </c>
      <c r="G169" s="40">
        <v>30</v>
      </c>
      <c r="H169" s="80">
        <v>212.39669421487605</v>
      </c>
      <c r="I169" s="228"/>
      <c r="J169" s="35" t="s">
        <v>3</v>
      </c>
      <c r="K169" s="36" t="s">
        <v>3</v>
      </c>
      <c r="L169" s="498" t="s">
        <v>1210</v>
      </c>
      <c r="M169" s="135" t="s">
        <v>3</v>
      </c>
      <c r="N169" s="134" t="s">
        <v>3</v>
      </c>
      <c r="O169" s="135" t="s">
        <v>3</v>
      </c>
      <c r="P169" s="136" t="s">
        <v>3</v>
      </c>
      <c r="Q169" s="134" t="s">
        <v>3</v>
      </c>
      <c r="R169" s="136" t="s">
        <v>3</v>
      </c>
      <c r="S169" s="37"/>
      <c r="T169" s="135">
        <v>0</v>
      </c>
      <c r="U169" s="134">
        <v>6.4</v>
      </c>
      <c r="V169" s="135">
        <v>0</v>
      </c>
      <c r="W169" s="134">
        <v>3.4000000000000004</v>
      </c>
      <c r="X169" s="135">
        <v>0</v>
      </c>
      <c r="Y169" s="136">
        <v>3.4000000000000004</v>
      </c>
      <c r="Z169" s="135">
        <v>0</v>
      </c>
      <c r="AA169" s="136">
        <v>4.2</v>
      </c>
      <c r="AB169" s="134">
        <v>0</v>
      </c>
      <c r="AC169" s="136">
        <v>4.2</v>
      </c>
      <c r="AE169" s="22">
        <v>-14</v>
      </c>
      <c r="AF169" s="65"/>
      <c r="AG169" s="35">
        <v>0</v>
      </c>
      <c r="AH169" s="36">
        <v>0</v>
      </c>
      <c r="AI169" s="37"/>
      <c r="AJ169" s="35" t="s">
        <v>3</v>
      </c>
      <c r="AK169" s="36" t="s">
        <v>3</v>
      </c>
      <c r="AL169" s="35" t="s">
        <v>3</v>
      </c>
      <c r="AM169" s="36" t="s">
        <v>3</v>
      </c>
      <c r="AN169" s="37" t="s">
        <v>3</v>
      </c>
      <c r="AO169" s="36" t="s">
        <v>3</v>
      </c>
      <c r="AP169" s="37"/>
      <c r="AQ169" s="35">
        <v>6</v>
      </c>
      <c r="AR169" s="36">
        <v>192</v>
      </c>
      <c r="AS169" s="35">
        <v>96</v>
      </c>
      <c r="AT169" s="36">
        <v>102.00000000000001</v>
      </c>
      <c r="AU169" s="37">
        <v>96</v>
      </c>
      <c r="AV169" s="36">
        <v>102.00000000000001</v>
      </c>
      <c r="AW169" s="37">
        <v>72</v>
      </c>
      <c r="AX169" s="36">
        <v>126</v>
      </c>
      <c r="AY169" s="37">
        <v>72</v>
      </c>
      <c r="AZ169" s="36">
        <v>126</v>
      </c>
    </row>
    <row r="170" spans="1:52">
      <c r="A170" s="196" t="s">
        <v>1163</v>
      </c>
      <c r="B170" s="41" t="s">
        <v>667</v>
      </c>
      <c r="C170" s="211" t="s">
        <v>636</v>
      </c>
      <c r="D170" s="41">
        <v>288</v>
      </c>
      <c r="E170" s="41">
        <v>2.5</v>
      </c>
      <c r="F170" s="22" t="s">
        <v>1140</v>
      </c>
      <c r="G170" s="40">
        <v>24</v>
      </c>
      <c r="H170" s="80">
        <v>186.77685950413223</v>
      </c>
      <c r="I170" s="228"/>
      <c r="J170" s="35" t="s">
        <v>3</v>
      </c>
      <c r="K170" s="36" t="s">
        <v>3</v>
      </c>
      <c r="L170" s="498" t="s">
        <v>1210</v>
      </c>
      <c r="M170" s="135" t="s">
        <v>3</v>
      </c>
      <c r="N170" s="134" t="s">
        <v>3</v>
      </c>
      <c r="O170" s="135" t="s">
        <v>3</v>
      </c>
      <c r="P170" s="136" t="s">
        <v>3</v>
      </c>
      <c r="Q170" s="134" t="s">
        <v>3</v>
      </c>
      <c r="R170" s="136" t="s">
        <v>3</v>
      </c>
      <c r="S170" s="37"/>
      <c r="T170" s="135">
        <v>0</v>
      </c>
      <c r="U170" s="134">
        <v>6.7</v>
      </c>
      <c r="V170" s="135">
        <v>0</v>
      </c>
      <c r="W170" s="134">
        <v>2.5</v>
      </c>
      <c r="X170" s="135">
        <v>0</v>
      </c>
      <c r="Y170" s="136">
        <v>2.5</v>
      </c>
      <c r="Z170" s="135">
        <v>0</v>
      </c>
      <c r="AA170" s="136">
        <v>2.5</v>
      </c>
      <c r="AB170" s="134">
        <v>0</v>
      </c>
      <c r="AC170" s="136">
        <v>2.5</v>
      </c>
      <c r="AE170" s="22">
        <v>101</v>
      </c>
      <c r="AF170" s="65"/>
      <c r="AG170" s="35">
        <v>0</v>
      </c>
      <c r="AH170" s="36">
        <v>0</v>
      </c>
      <c r="AI170" s="37"/>
      <c r="AJ170" s="35" t="s">
        <v>3</v>
      </c>
      <c r="AK170" s="36" t="s">
        <v>3</v>
      </c>
      <c r="AL170" s="35" t="s">
        <v>3</v>
      </c>
      <c r="AM170" s="36" t="s">
        <v>3</v>
      </c>
      <c r="AN170" s="35" t="s">
        <v>3</v>
      </c>
      <c r="AO170" s="36" t="s">
        <v>3</v>
      </c>
      <c r="AP170" s="37"/>
      <c r="AQ170" s="35">
        <v>127</v>
      </c>
      <c r="AR170" s="36">
        <v>160.80000000000001</v>
      </c>
      <c r="AS170" s="35">
        <v>228</v>
      </c>
      <c r="AT170" s="36">
        <v>60</v>
      </c>
      <c r="AU170" s="35">
        <v>228</v>
      </c>
      <c r="AV170" s="36">
        <v>60</v>
      </c>
      <c r="AW170" s="35">
        <v>228</v>
      </c>
      <c r="AX170" s="36">
        <v>60</v>
      </c>
      <c r="AY170" s="35">
        <v>228</v>
      </c>
      <c r="AZ170" s="36">
        <v>60</v>
      </c>
    </row>
    <row r="171" spans="1:52">
      <c r="A171" s="196" t="s">
        <v>1083</v>
      </c>
      <c r="B171" s="41" t="s">
        <v>187</v>
      </c>
      <c r="C171" s="211" t="s">
        <v>505</v>
      </c>
      <c r="D171" s="41">
        <v>41</v>
      </c>
      <c r="E171" s="41">
        <v>0</v>
      </c>
      <c r="F171" s="22" t="s">
        <v>1084</v>
      </c>
      <c r="G171" s="40">
        <v>24</v>
      </c>
      <c r="H171" s="80">
        <v>40.495867768595041</v>
      </c>
      <c r="I171" s="228"/>
      <c r="J171" s="35" t="s">
        <v>3</v>
      </c>
      <c r="K171" s="36" t="s">
        <v>3</v>
      </c>
      <c r="L171" s="498" t="s">
        <v>1210</v>
      </c>
      <c r="M171" s="135">
        <v>0</v>
      </c>
      <c r="N171" s="134">
        <v>0.9</v>
      </c>
      <c r="O171" s="135">
        <v>0</v>
      </c>
      <c r="P171" s="136">
        <v>0.9</v>
      </c>
      <c r="Q171" s="134">
        <v>0</v>
      </c>
      <c r="R171" s="136">
        <v>0.9</v>
      </c>
      <c r="S171" s="37"/>
      <c r="T171" s="135">
        <v>0</v>
      </c>
      <c r="U171" s="134">
        <v>0.5</v>
      </c>
      <c r="V171" s="135">
        <v>0</v>
      </c>
      <c r="W171" s="134">
        <v>0.5</v>
      </c>
      <c r="X171" s="135">
        <v>0</v>
      </c>
      <c r="Y171" s="136">
        <v>0.5</v>
      </c>
      <c r="Z171" s="135">
        <v>0</v>
      </c>
      <c r="AA171" s="136">
        <v>0.4</v>
      </c>
      <c r="AB171" s="134">
        <v>0</v>
      </c>
      <c r="AC171" s="136">
        <v>0.4</v>
      </c>
      <c r="AE171" s="22">
        <v>1</v>
      </c>
      <c r="AF171" s="65"/>
      <c r="AG171" s="35">
        <v>0</v>
      </c>
      <c r="AH171" s="36">
        <v>0</v>
      </c>
      <c r="AI171" s="37"/>
      <c r="AJ171" s="35">
        <v>19</v>
      </c>
      <c r="AK171" s="36">
        <v>21.6</v>
      </c>
      <c r="AL171" s="35">
        <v>19</v>
      </c>
      <c r="AM171" s="36">
        <v>21.6</v>
      </c>
      <c r="AN171" s="37">
        <v>19</v>
      </c>
      <c r="AO171" s="36">
        <v>21.6</v>
      </c>
      <c r="AP171" s="37"/>
      <c r="AQ171" s="35">
        <v>29</v>
      </c>
      <c r="AR171" s="36">
        <v>12</v>
      </c>
      <c r="AS171" s="35">
        <v>29</v>
      </c>
      <c r="AT171" s="36">
        <v>12</v>
      </c>
      <c r="AU171" s="37">
        <v>29</v>
      </c>
      <c r="AV171" s="36">
        <v>12</v>
      </c>
      <c r="AW171" s="37">
        <v>31</v>
      </c>
      <c r="AX171" s="36">
        <v>9.6000000000000014</v>
      </c>
      <c r="AY171" s="37">
        <v>31</v>
      </c>
      <c r="AZ171" s="36">
        <v>9.6000000000000014</v>
      </c>
    </row>
    <row r="172" spans="1:52">
      <c r="A172" s="196" t="s">
        <v>1088</v>
      </c>
      <c r="B172" s="41" t="s">
        <v>1089</v>
      </c>
      <c r="C172" s="211" t="s">
        <v>462</v>
      </c>
      <c r="D172" s="41">
        <v>47</v>
      </c>
      <c r="E172" s="41">
        <v>0</v>
      </c>
      <c r="F172" s="22" t="s">
        <v>1084</v>
      </c>
      <c r="G172" s="40">
        <v>24</v>
      </c>
      <c r="H172" s="80">
        <v>35.537190082644628</v>
      </c>
      <c r="I172" s="228"/>
      <c r="J172" s="35" t="s">
        <v>3</v>
      </c>
      <c r="K172" s="36" t="s">
        <v>3</v>
      </c>
      <c r="L172" s="498" t="s">
        <v>1210</v>
      </c>
      <c r="M172" s="135">
        <v>0</v>
      </c>
      <c r="N172" s="134">
        <v>0.70000000000000007</v>
      </c>
      <c r="O172" s="135">
        <v>0</v>
      </c>
      <c r="P172" s="136">
        <v>0.70000000000000007</v>
      </c>
      <c r="Q172" s="134">
        <v>0</v>
      </c>
      <c r="R172" s="136">
        <v>0.70000000000000007</v>
      </c>
      <c r="S172" s="37"/>
      <c r="T172" s="135">
        <v>0</v>
      </c>
      <c r="U172" s="134">
        <v>0</v>
      </c>
      <c r="V172" s="135">
        <v>0</v>
      </c>
      <c r="W172" s="134">
        <v>0</v>
      </c>
      <c r="X172" s="135">
        <v>0</v>
      </c>
      <c r="Y172" s="136">
        <v>0</v>
      </c>
      <c r="Z172" s="135">
        <v>0</v>
      </c>
      <c r="AA172" s="136">
        <v>0</v>
      </c>
      <c r="AB172" s="134">
        <v>0</v>
      </c>
      <c r="AC172" s="136">
        <v>0</v>
      </c>
      <c r="AE172" s="22">
        <v>11</v>
      </c>
      <c r="AF172" s="65"/>
      <c r="AG172" s="35">
        <v>0</v>
      </c>
      <c r="AH172" s="36">
        <v>0</v>
      </c>
      <c r="AI172" s="37"/>
      <c r="AJ172" s="35">
        <v>30</v>
      </c>
      <c r="AK172" s="36">
        <v>16.8</v>
      </c>
      <c r="AL172" s="35">
        <v>30</v>
      </c>
      <c r="AM172" s="36">
        <v>16.8</v>
      </c>
      <c r="AN172" s="35">
        <v>30</v>
      </c>
      <c r="AO172" s="36">
        <v>16.8</v>
      </c>
      <c r="AP172" s="37"/>
      <c r="AQ172" s="35">
        <v>47</v>
      </c>
      <c r="AR172" s="36">
        <v>0</v>
      </c>
      <c r="AS172" s="35">
        <v>47</v>
      </c>
      <c r="AT172" s="36">
        <v>0</v>
      </c>
      <c r="AU172" s="35">
        <v>47</v>
      </c>
      <c r="AV172" s="36">
        <v>0</v>
      </c>
      <c r="AW172" s="35">
        <v>47</v>
      </c>
      <c r="AX172" s="36">
        <v>0</v>
      </c>
      <c r="AY172" s="35">
        <v>47</v>
      </c>
      <c r="AZ172" s="36">
        <v>0</v>
      </c>
    </row>
    <row r="173" spans="1:52">
      <c r="A173" s="196" t="s">
        <v>1085</v>
      </c>
      <c r="B173" s="41" t="s">
        <v>187</v>
      </c>
      <c r="C173" s="211" t="s">
        <v>545</v>
      </c>
      <c r="D173" s="41">
        <v>38</v>
      </c>
      <c r="E173" s="41">
        <v>0</v>
      </c>
      <c r="F173" s="22" t="s">
        <v>1084</v>
      </c>
      <c r="G173" s="413">
        <v>24</v>
      </c>
      <c r="H173" s="80">
        <v>37.190082644628099</v>
      </c>
      <c r="I173" s="228"/>
      <c r="J173" s="35" t="s">
        <v>3</v>
      </c>
      <c r="K173" s="36" t="s">
        <v>3</v>
      </c>
      <c r="L173" s="498" t="s">
        <v>1210</v>
      </c>
      <c r="M173" s="135">
        <v>0</v>
      </c>
      <c r="N173" s="134">
        <v>0.8</v>
      </c>
      <c r="O173" s="135">
        <v>0</v>
      </c>
      <c r="P173" s="136">
        <v>0.8</v>
      </c>
      <c r="Q173" s="134">
        <v>0</v>
      </c>
      <c r="R173" s="136">
        <v>0.8</v>
      </c>
      <c r="S173" s="37"/>
      <c r="T173" s="135">
        <v>0</v>
      </c>
      <c r="U173" s="134">
        <v>0</v>
      </c>
      <c r="V173" s="135">
        <v>0</v>
      </c>
      <c r="W173" s="134">
        <v>0</v>
      </c>
      <c r="X173" s="135">
        <v>0</v>
      </c>
      <c r="Y173" s="136">
        <v>0</v>
      </c>
      <c r="Z173" s="135">
        <v>0</v>
      </c>
      <c r="AA173" s="136">
        <v>0</v>
      </c>
      <c r="AB173" s="134">
        <v>0</v>
      </c>
      <c r="AC173" s="136">
        <v>0</v>
      </c>
      <c r="AE173" s="22">
        <v>1</v>
      </c>
      <c r="AF173" s="65"/>
      <c r="AG173" s="35">
        <v>0</v>
      </c>
      <c r="AH173" s="36">
        <v>0</v>
      </c>
      <c r="AI173" s="37"/>
      <c r="AJ173" s="35">
        <v>19</v>
      </c>
      <c r="AK173" s="36">
        <v>19.200000000000003</v>
      </c>
      <c r="AL173" s="35">
        <v>19</v>
      </c>
      <c r="AM173" s="36">
        <v>19.200000000000003</v>
      </c>
      <c r="AN173" s="37">
        <v>19</v>
      </c>
      <c r="AO173" s="36">
        <v>19.200000000000003</v>
      </c>
      <c r="AP173" s="37"/>
      <c r="AQ173" s="35">
        <v>38</v>
      </c>
      <c r="AR173" s="36">
        <v>0</v>
      </c>
      <c r="AS173" s="35">
        <v>38</v>
      </c>
      <c r="AT173" s="36">
        <v>0</v>
      </c>
      <c r="AU173" s="37">
        <v>38</v>
      </c>
      <c r="AV173" s="36">
        <v>0</v>
      </c>
      <c r="AW173" s="37">
        <v>38</v>
      </c>
      <c r="AX173" s="36">
        <v>0</v>
      </c>
      <c r="AY173" s="37">
        <v>38</v>
      </c>
      <c r="AZ173" s="36">
        <v>0</v>
      </c>
    </row>
    <row r="174" spans="1:52">
      <c r="A174" s="196" t="s">
        <v>1086</v>
      </c>
      <c r="B174" s="41" t="s">
        <v>187</v>
      </c>
      <c r="C174" s="211" t="s">
        <v>546</v>
      </c>
      <c r="D174" s="41">
        <v>36</v>
      </c>
      <c r="E174" s="41">
        <v>0</v>
      </c>
      <c r="F174" s="22" t="s">
        <v>1084</v>
      </c>
      <c r="G174" s="40">
        <v>24</v>
      </c>
      <c r="H174" s="80">
        <v>35.537190082644628</v>
      </c>
      <c r="I174" s="228"/>
      <c r="J174" s="35" t="s">
        <v>3</v>
      </c>
      <c r="K174" s="36" t="s">
        <v>3</v>
      </c>
      <c r="L174" s="498" t="s">
        <v>1210</v>
      </c>
      <c r="M174" s="135">
        <v>0</v>
      </c>
      <c r="N174" s="134">
        <v>0.70000000000000007</v>
      </c>
      <c r="O174" s="135">
        <v>0</v>
      </c>
      <c r="P174" s="136">
        <v>0.70000000000000007</v>
      </c>
      <c r="Q174" s="134">
        <v>0</v>
      </c>
      <c r="R174" s="136">
        <v>0.70000000000000007</v>
      </c>
      <c r="S174" s="37"/>
      <c r="T174" s="135">
        <v>0</v>
      </c>
      <c r="U174" s="134">
        <v>0</v>
      </c>
      <c r="V174" s="135">
        <v>0</v>
      </c>
      <c r="W174" s="134">
        <v>0</v>
      </c>
      <c r="X174" s="135">
        <v>0</v>
      </c>
      <c r="Y174" s="136">
        <v>0</v>
      </c>
      <c r="Z174" s="135">
        <v>0</v>
      </c>
      <c r="AA174" s="136">
        <v>0</v>
      </c>
      <c r="AB174" s="134">
        <v>0</v>
      </c>
      <c r="AC174" s="136">
        <v>0</v>
      </c>
      <c r="AE174" s="22">
        <v>0</v>
      </c>
      <c r="AF174" s="65"/>
      <c r="AG174" s="35">
        <v>0</v>
      </c>
      <c r="AH174" s="36">
        <v>0</v>
      </c>
      <c r="AI174" s="37"/>
      <c r="AJ174" s="35">
        <v>19</v>
      </c>
      <c r="AK174" s="36">
        <v>16.8</v>
      </c>
      <c r="AL174" s="35">
        <v>19</v>
      </c>
      <c r="AM174" s="36">
        <v>16.8</v>
      </c>
      <c r="AN174" s="35">
        <v>19</v>
      </c>
      <c r="AO174" s="36">
        <v>16.8</v>
      </c>
      <c r="AP174" s="37"/>
      <c r="AQ174" s="35">
        <v>36</v>
      </c>
      <c r="AR174" s="36">
        <v>0</v>
      </c>
      <c r="AS174" s="35">
        <v>36</v>
      </c>
      <c r="AT174" s="36">
        <v>0</v>
      </c>
      <c r="AU174" s="35">
        <v>36</v>
      </c>
      <c r="AV174" s="36">
        <v>0</v>
      </c>
      <c r="AW174" s="35">
        <v>36</v>
      </c>
      <c r="AX174" s="36">
        <v>0</v>
      </c>
      <c r="AY174" s="35">
        <v>36</v>
      </c>
      <c r="AZ174" s="36">
        <v>0</v>
      </c>
    </row>
    <row r="175" spans="1:52">
      <c r="A175" s="196" t="s">
        <v>1087</v>
      </c>
      <c r="B175" s="41" t="s">
        <v>187</v>
      </c>
      <c r="C175" s="211" t="s">
        <v>471</v>
      </c>
      <c r="D175" s="41">
        <v>33</v>
      </c>
      <c r="E175" s="41">
        <v>0</v>
      </c>
      <c r="F175" s="22" t="s">
        <v>1084</v>
      </c>
      <c r="G175" s="413">
        <v>24</v>
      </c>
      <c r="H175" s="80">
        <v>32.231404958677686</v>
      </c>
      <c r="I175" s="228"/>
      <c r="J175" s="35" t="s">
        <v>3</v>
      </c>
      <c r="K175" s="36" t="s">
        <v>3</v>
      </c>
      <c r="L175" s="498" t="s">
        <v>1210</v>
      </c>
      <c r="M175" s="135">
        <v>0</v>
      </c>
      <c r="N175" s="134">
        <v>0.60000000000000009</v>
      </c>
      <c r="O175" s="135">
        <v>0</v>
      </c>
      <c r="P175" s="136">
        <v>0.60000000000000009</v>
      </c>
      <c r="Q175" s="134">
        <v>0</v>
      </c>
      <c r="R175" s="136">
        <v>0.60000000000000009</v>
      </c>
      <c r="S175" s="37"/>
      <c r="T175" s="135">
        <v>0</v>
      </c>
      <c r="U175" s="134">
        <v>0</v>
      </c>
      <c r="V175" s="135">
        <v>0</v>
      </c>
      <c r="W175" s="134">
        <v>0</v>
      </c>
      <c r="X175" s="135">
        <v>0</v>
      </c>
      <c r="Y175" s="136">
        <v>0</v>
      </c>
      <c r="Z175" s="135">
        <v>0</v>
      </c>
      <c r="AA175" s="136">
        <v>0</v>
      </c>
      <c r="AB175" s="134">
        <v>0</v>
      </c>
      <c r="AC175" s="136">
        <v>0</v>
      </c>
      <c r="AE175" s="22">
        <v>1</v>
      </c>
      <c r="AF175" s="65"/>
      <c r="AG175" s="35">
        <v>0</v>
      </c>
      <c r="AH175" s="36">
        <v>0</v>
      </c>
      <c r="AI175" s="37"/>
      <c r="AJ175" s="35">
        <v>19</v>
      </c>
      <c r="AK175" s="36">
        <v>14.400000000000002</v>
      </c>
      <c r="AL175" s="35">
        <v>19</v>
      </c>
      <c r="AM175" s="36">
        <v>14.400000000000002</v>
      </c>
      <c r="AN175" s="35">
        <v>19</v>
      </c>
      <c r="AO175" s="36">
        <v>14.400000000000002</v>
      </c>
      <c r="AP175" s="37"/>
      <c r="AQ175" s="35">
        <v>33</v>
      </c>
      <c r="AR175" s="36">
        <v>0</v>
      </c>
      <c r="AS175" s="35">
        <v>33</v>
      </c>
      <c r="AT175" s="36">
        <v>0</v>
      </c>
      <c r="AU175" s="35">
        <v>33</v>
      </c>
      <c r="AV175" s="36">
        <v>0</v>
      </c>
      <c r="AW175" s="35">
        <v>33</v>
      </c>
      <c r="AX175" s="36">
        <v>0</v>
      </c>
      <c r="AY175" s="35">
        <v>33</v>
      </c>
      <c r="AZ175" s="36">
        <v>0</v>
      </c>
    </row>
    <row r="176" spans="1:52">
      <c r="A176" s="196" t="s">
        <v>1091</v>
      </c>
      <c r="B176" s="41" t="s">
        <v>1092</v>
      </c>
      <c r="C176" s="211" t="s">
        <v>772</v>
      </c>
      <c r="D176" s="41">
        <v>176</v>
      </c>
      <c r="E176" s="41">
        <v>0</v>
      </c>
      <c r="F176" s="22" t="s">
        <v>1084</v>
      </c>
      <c r="G176" s="40">
        <v>24</v>
      </c>
      <c r="H176" s="80">
        <v>175.20661157024793</v>
      </c>
      <c r="I176" s="228"/>
      <c r="J176" s="35" t="s">
        <v>3</v>
      </c>
      <c r="K176" s="36" t="s">
        <v>3</v>
      </c>
      <c r="L176" s="498" t="s">
        <v>1210</v>
      </c>
      <c r="M176" s="135" t="s">
        <v>3</v>
      </c>
      <c r="N176" s="134" t="s">
        <v>3</v>
      </c>
      <c r="O176" s="135" t="s">
        <v>3</v>
      </c>
      <c r="P176" s="136" t="s">
        <v>3</v>
      </c>
      <c r="Q176" s="134" t="s">
        <v>3</v>
      </c>
      <c r="R176" s="136" t="s">
        <v>3</v>
      </c>
      <c r="S176" s="37"/>
      <c r="T176" s="135">
        <v>0</v>
      </c>
      <c r="U176" s="134">
        <v>6</v>
      </c>
      <c r="V176" s="135">
        <v>0</v>
      </c>
      <c r="W176" s="134">
        <v>5.2</v>
      </c>
      <c r="X176" s="135">
        <v>0</v>
      </c>
      <c r="Y176" s="136">
        <v>4</v>
      </c>
      <c r="Z176" s="135">
        <v>0</v>
      </c>
      <c r="AA176" s="136">
        <v>3.9000000000000004</v>
      </c>
      <c r="AB176" s="134">
        <v>0</v>
      </c>
      <c r="AC176" s="136">
        <v>3.9000000000000004</v>
      </c>
      <c r="AE176" s="22">
        <v>1</v>
      </c>
      <c r="AF176" s="65"/>
      <c r="AG176" s="35">
        <v>0</v>
      </c>
      <c r="AH176" s="36">
        <v>0</v>
      </c>
      <c r="AI176" s="37"/>
      <c r="AJ176" s="35" t="s">
        <v>3</v>
      </c>
      <c r="AK176" s="36" t="s">
        <v>3</v>
      </c>
      <c r="AL176" s="35" t="s">
        <v>3</v>
      </c>
      <c r="AM176" s="36" t="s">
        <v>3</v>
      </c>
      <c r="AN176" s="37" t="s">
        <v>3</v>
      </c>
      <c r="AO176" s="36" t="s">
        <v>3</v>
      </c>
      <c r="AP176" s="37"/>
      <c r="AQ176" s="35">
        <v>32</v>
      </c>
      <c r="AR176" s="36">
        <v>144</v>
      </c>
      <c r="AS176" s="35">
        <v>51</v>
      </c>
      <c r="AT176" s="36">
        <v>124.80000000000001</v>
      </c>
      <c r="AU176" s="37">
        <v>80</v>
      </c>
      <c r="AV176" s="36">
        <v>96</v>
      </c>
      <c r="AW176" s="37">
        <v>82</v>
      </c>
      <c r="AX176" s="36">
        <v>93.600000000000009</v>
      </c>
      <c r="AY176" s="37">
        <v>82</v>
      </c>
      <c r="AZ176" s="36">
        <v>93.600000000000009</v>
      </c>
    </row>
    <row r="177" spans="1:52">
      <c r="A177" s="196" t="s">
        <v>1090</v>
      </c>
      <c r="B177" s="41" t="s">
        <v>1089</v>
      </c>
      <c r="C177" s="211" t="s">
        <v>774</v>
      </c>
      <c r="D177" s="41">
        <v>33</v>
      </c>
      <c r="E177" s="41">
        <v>0</v>
      </c>
      <c r="F177" s="22" t="s">
        <v>1084</v>
      </c>
      <c r="G177" s="413">
        <v>24</v>
      </c>
      <c r="H177" s="80">
        <v>40.495867768595041</v>
      </c>
      <c r="I177" s="228"/>
      <c r="J177" s="35" t="s">
        <v>3</v>
      </c>
      <c r="K177" s="36" t="s">
        <v>3</v>
      </c>
      <c r="L177" s="498" t="s">
        <v>1210</v>
      </c>
      <c r="M177" s="135">
        <v>0</v>
      </c>
      <c r="N177" s="134">
        <v>0.9</v>
      </c>
      <c r="O177" s="135">
        <v>0</v>
      </c>
      <c r="P177" s="136">
        <v>0.9</v>
      </c>
      <c r="Q177" s="134">
        <v>0</v>
      </c>
      <c r="R177" s="136">
        <v>0.9</v>
      </c>
      <c r="S177" s="37"/>
      <c r="T177" s="135">
        <v>0</v>
      </c>
      <c r="U177" s="134">
        <v>0.5</v>
      </c>
      <c r="V177" s="135">
        <v>0</v>
      </c>
      <c r="W177" s="134">
        <v>0.5</v>
      </c>
      <c r="X177" s="135">
        <v>0</v>
      </c>
      <c r="Y177" s="136">
        <v>0.5</v>
      </c>
      <c r="Z177" s="135">
        <v>0</v>
      </c>
      <c r="AA177" s="136">
        <v>0.4</v>
      </c>
      <c r="AB177" s="134">
        <v>0</v>
      </c>
      <c r="AC177" s="136">
        <v>0.4</v>
      </c>
      <c r="AE177" s="22">
        <v>-7</v>
      </c>
      <c r="AF177" s="65"/>
      <c r="AG177" s="35">
        <v>0</v>
      </c>
      <c r="AH177" s="36">
        <v>0</v>
      </c>
      <c r="AI177" s="37"/>
      <c r="AJ177" s="35">
        <v>11</v>
      </c>
      <c r="AK177" s="36">
        <v>21.6</v>
      </c>
      <c r="AL177" s="35">
        <v>11</v>
      </c>
      <c r="AM177" s="36">
        <v>21.6</v>
      </c>
      <c r="AN177" s="37">
        <v>11</v>
      </c>
      <c r="AO177" s="36">
        <v>21.6</v>
      </c>
      <c r="AP177" s="37"/>
      <c r="AQ177" s="35">
        <v>21</v>
      </c>
      <c r="AR177" s="36">
        <v>12</v>
      </c>
      <c r="AS177" s="35">
        <v>21</v>
      </c>
      <c r="AT177" s="36">
        <v>12</v>
      </c>
      <c r="AU177" s="37">
        <v>21</v>
      </c>
      <c r="AV177" s="36">
        <v>12</v>
      </c>
      <c r="AW177" s="37">
        <v>23</v>
      </c>
      <c r="AX177" s="36">
        <v>9.6000000000000014</v>
      </c>
      <c r="AY177" s="37">
        <v>23</v>
      </c>
      <c r="AZ177" s="36">
        <v>9.6000000000000014</v>
      </c>
    </row>
    <row r="178" spans="1:52">
      <c r="A178" s="196" t="s">
        <v>1121</v>
      </c>
      <c r="B178" s="41" t="s">
        <v>664</v>
      </c>
      <c r="C178" s="211" t="s">
        <v>520</v>
      </c>
      <c r="D178" s="41">
        <v>174</v>
      </c>
      <c r="E178" s="41">
        <v>0</v>
      </c>
      <c r="F178" s="22" t="s">
        <v>1105</v>
      </c>
      <c r="G178" s="413">
        <v>24</v>
      </c>
      <c r="H178" s="80">
        <v>157.85123966942149</v>
      </c>
      <c r="I178" s="228"/>
      <c r="J178" s="35"/>
      <c r="K178" s="36"/>
      <c r="L178" s="498" t="s">
        <v>1210</v>
      </c>
      <c r="M178" s="35">
        <v>29</v>
      </c>
      <c r="N178" s="155">
        <v>4.2</v>
      </c>
      <c r="O178" s="35">
        <v>0</v>
      </c>
      <c r="P178" s="156">
        <v>2.1</v>
      </c>
      <c r="Q178" s="37">
        <v>0</v>
      </c>
      <c r="R178" s="156">
        <v>1.5</v>
      </c>
      <c r="S178" s="37"/>
      <c r="T178" s="135">
        <v>0</v>
      </c>
      <c r="U178" s="134">
        <v>5.6000000000000005</v>
      </c>
      <c r="V178" s="135">
        <v>0</v>
      </c>
      <c r="W178" s="134">
        <v>1.7000000000000002</v>
      </c>
      <c r="X178" s="135">
        <v>0</v>
      </c>
      <c r="Y178" s="136">
        <v>1.7000000000000002</v>
      </c>
      <c r="Z178" s="135">
        <v>0</v>
      </c>
      <c r="AA178" s="136">
        <v>1.7000000000000002</v>
      </c>
      <c r="AB178" s="134">
        <v>0</v>
      </c>
      <c r="AC178" s="136">
        <v>1.7000000000000002</v>
      </c>
      <c r="AE178" s="22">
        <v>16</v>
      </c>
      <c r="AF178" s="65"/>
      <c r="AG178" s="35"/>
      <c r="AH178" s="36"/>
      <c r="AI178" s="37"/>
      <c r="AJ178" s="35">
        <v>44</v>
      </c>
      <c r="AK178" s="36">
        <v>100.80000000000001</v>
      </c>
      <c r="AL178" s="35">
        <v>124</v>
      </c>
      <c r="AM178" s="36">
        <v>50.400000000000006</v>
      </c>
      <c r="AN178" s="35">
        <v>138</v>
      </c>
      <c r="AO178" s="36">
        <v>36</v>
      </c>
      <c r="AP178" s="37"/>
      <c r="AQ178" s="35">
        <v>40</v>
      </c>
      <c r="AR178" s="36">
        <v>134.4</v>
      </c>
      <c r="AS178" s="35">
        <v>133</v>
      </c>
      <c r="AT178" s="36">
        <v>40.800000000000004</v>
      </c>
      <c r="AU178" s="35">
        <v>133</v>
      </c>
      <c r="AV178" s="36">
        <v>40.800000000000004</v>
      </c>
      <c r="AW178" s="35">
        <v>133</v>
      </c>
      <c r="AX178" s="36">
        <v>40.800000000000004</v>
      </c>
      <c r="AY178" s="35">
        <v>133</v>
      </c>
      <c r="AZ178" s="36">
        <v>40.800000000000004</v>
      </c>
    </row>
    <row r="179" spans="1:52">
      <c r="A179" s="196" t="s">
        <v>1122</v>
      </c>
      <c r="B179" s="41" t="s">
        <v>664</v>
      </c>
      <c r="C179" s="211" t="s">
        <v>520</v>
      </c>
      <c r="D179" s="41">
        <v>174</v>
      </c>
      <c r="E179" s="41">
        <v>0</v>
      </c>
      <c r="F179" s="22" t="s">
        <v>1105</v>
      </c>
      <c r="G179" s="40">
        <v>30</v>
      </c>
      <c r="H179" s="80">
        <v>157.85123966942149</v>
      </c>
      <c r="I179" s="228"/>
      <c r="J179" s="35"/>
      <c r="K179" s="36"/>
      <c r="L179" s="498" t="s">
        <v>1210</v>
      </c>
      <c r="M179" s="35">
        <v>29</v>
      </c>
      <c r="N179" s="155">
        <v>3.4000000000000004</v>
      </c>
      <c r="O179" s="35">
        <v>0</v>
      </c>
      <c r="P179" s="156">
        <v>1.7000000000000002</v>
      </c>
      <c r="Q179" s="37">
        <v>0</v>
      </c>
      <c r="R179" s="156">
        <v>1.2000000000000002</v>
      </c>
      <c r="S179" s="37"/>
      <c r="T179" s="135">
        <v>0</v>
      </c>
      <c r="U179" s="134">
        <v>4.5</v>
      </c>
      <c r="V179" s="135">
        <v>0</v>
      </c>
      <c r="W179" s="134">
        <v>1.4000000000000001</v>
      </c>
      <c r="X179" s="135">
        <v>0</v>
      </c>
      <c r="Y179" s="136">
        <v>1.4000000000000001</v>
      </c>
      <c r="Z179" s="135">
        <v>0</v>
      </c>
      <c r="AA179" s="136">
        <v>1.4000000000000001</v>
      </c>
      <c r="AB179" s="134">
        <v>0</v>
      </c>
      <c r="AC179" s="136">
        <v>1.4000000000000001</v>
      </c>
      <c r="AE179" s="22">
        <v>16</v>
      </c>
      <c r="AF179" s="65"/>
      <c r="AG179" s="35"/>
      <c r="AH179" s="36"/>
      <c r="AI179" s="37"/>
      <c r="AJ179" s="35">
        <v>43</v>
      </c>
      <c r="AK179" s="36">
        <v>102.00000000000001</v>
      </c>
      <c r="AL179" s="35">
        <v>123</v>
      </c>
      <c r="AM179" s="36">
        <v>51.000000000000007</v>
      </c>
      <c r="AN179" s="37">
        <v>138</v>
      </c>
      <c r="AO179" s="36">
        <v>36.000000000000007</v>
      </c>
      <c r="AP179" s="37"/>
      <c r="AQ179" s="35">
        <v>39</v>
      </c>
      <c r="AR179" s="36">
        <v>135</v>
      </c>
      <c r="AS179" s="35">
        <v>132</v>
      </c>
      <c r="AT179" s="36">
        <v>42.000000000000007</v>
      </c>
      <c r="AU179" s="37">
        <v>132</v>
      </c>
      <c r="AV179" s="36">
        <v>42.000000000000007</v>
      </c>
      <c r="AW179" s="37">
        <v>132</v>
      </c>
      <c r="AX179" s="36">
        <v>42.000000000000007</v>
      </c>
      <c r="AY179" s="37">
        <v>132</v>
      </c>
      <c r="AZ179" s="36">
        <v>42.000000000000007</v>
      </c>
    </row>
    <row r="180" spans="1:52">
      <c r="A180" s="196" t="s">
        <v>1123</v>
      </c>
      <c r="B180" s="41" t="s">
        <v>664</v>
      </c>
      <c r="C180" s="211" t="s">
        <v>775</v>
      </c>
      <c r="D180" s="41">
        <v>188</v>
      </c>
      <c r="E180" s="41">
        <v>0</v>
      </c>
      <c r="F180" s="22" t="s">
        <v>1105</v>
      </c>
      <c r="G180" s="413">
        <v>24</v>
      </c>
      <c r="H180" s="80">
        <v>187.60330578512398</v>
      </c>
      <c r="I180" s="228"/>
      <c r="J180" s="35"/>
      <c r="K180" s="36"/>
      <c r="L180" s="498"/>
      <c r="M180" s="35" t="s">
        <v>3</v>
      </c>
      <c r="N180" s="155" t="s">
        <v>3</v>
      </c>
      <c r="O180" s="35" t="s">
        <v>3</v>
      </c>
      <c r="P180" s="156" t="s">
        <v>3</v>
      </c>
      <c r="Q180" s="37" t="s">
        <v>3</v>
      </c>
      <c r="R180" s="156" t="s">
        <v>3</v>
      </c>
      <c r="S180" s="37"/>
      <c r="T180" s="135">
        <v>0</v>
      </c>
      <c r="U180" s="134">
        <v>6.9</v>
      </c>
      <c r="V180" s="135">
        <v>0</v>
      </c>
      <c r="W180" s="134">
        <v>3.1</v>
      </c>
      <c r="X180" s="135">
        <v>0</v>
      </c>
      <c r="Y180" s="136">
        <v>3.1</v>
      </c>
      <c r="Z180" s="135">
        <v>0</v>
      </c>
      <c r="AA180" s="136">
        <v>3.1</v>
      </c>
      <c r="AB180" s="134">
        <v>0</v>
      </c>
      <c r="AC180" s="136">
        <v>3.1</v>
      </c>
      <c r="AE180" s="22">
        <v>0</v>
      </c>
      <c r="AF180" s="65"/>
      <c r="AG180" s="35"/>
      <c r="AH180" s="36"/>
      <c r="AI180" s="37"/>
      <c r="AJ180" s="35" t="s">
        <v>3</v>
      </c>
      <c r="AK180" s="36" t="s">
        <v>3</v>
      </c>
      <c r="AL180" s="35" t="s">
        <v>3</v>
      </c>
      <c r="AM180" s="36" t="s">
        <v>3</v>
      </c>
      <c r="AN180" s="35" t="s">
        <v>3</v>
      </c>
      <c r="AO180" s="36" t="s">
        <v>3</v>
      </c>
      <c r="AP180" s="37"/>
      <c r="AQ180" s="35">
        <v>22</v>
      </c>
      <c r="AR180" s="36">
        <v>165.60000000000002</v>
      </c>
      <c r="AS180" s="35">
        <v>114</v>
      </c>
      <c r="AT180" s="36">
        <v>74.400000000000006</v>
      </c>
      <c r="AU180" s="35">
        <v>114</v>
      </c>
      <c r="AV180" s="36">
        <v>74.400000000000006</v>
      </c>
      <c r="AW180" s="35">
        <v>114</v>
      </c>
      <c r="AX180" s="36">
        <v>74.400000000000006</v>
      </c>
      <c r="AY180" s="35">
        <v>114</v>
      </c>
      <c r="AZ180" s="36">
        <v>74.400000000000006</v>
      </c>
    </row>
    <row r="181" spans="1:52">
      <c r="A181" s="196" t="s">
        <v>1124</v>
      </c>
      <c r="B181" s="41" t="s">
        <v>664</v>
      </c>
      <c r="C181" s="211" t="s">
        <v>775</v>
      </c>
      <c r="D181" s="41">
        <v>188</v>
      </c>
      <c r="E181" s="41">
        <v>0</v>
      </c>
      <c r="F181" s="22" t="s">
        <v>1105</v>
      </c>
      <c r="G181" s="40">
        <v>30</v>
      </c>
      <c r="H181" s="80">
        <v>187.60330578512398</v>
      </c>
      <c r="I181" s="228"/>
      <c r="J181" s="35" t="s">
        <v>3</v>
      </c>
      <c r="K181" s="36" t="s">
        <v>3</v>
      </c>
      <c r="L181" s="498" t="s">
        <v>1210</v>
      </c>
      <c r="M181" s="135" t="s">
        <v>3</v>
      </c>
      <c r="N181" s="134" t="s">
        <v>3</v>
      </c>
      <c r="O181" s="135" t="s">
        <v>3</v>
      </c>
      <c r="P181" s="136" t="s">
        <v>3</v>
      </c>
      <c r="Q181" s="134" t="s">
        <v>3</v>
      </c>
      <c r="R181" s="136" t="s">
        <v>3</v>
      </c>
      <c r="S181" s="37"/>
      <c r="T181" s="135">
        <v>0</v>
      </c>
      <c r="U181" s="134">
        <v>5.6000000000000005</v>
      </c>
      <c r="V181" s="135">
        <v>0</v>
      </c>
      <c r="W181" s="134">
        <v>2.5</v>
      </c>
      <c r="X181" s="135">
        <v>0</v>
      </c>
      <c r="Y181" s="136">
        <v>2.5</v>
      </c>
      <c r="Z181" s="135">
        <v>0</v>
      </c>
      <c r="AA181" s="136">
        <v>2.5</v>
      </c>
      <c r="AB181" s="134">
        <v>0</v>
      </c>
      <c r="AC181" s="136">
        <v>2.5</v>
      </c>
      <c r="AE181" s="22">
        <v>0</v>
      </c>
      <c r="AF181" s="65"/>
      <c r="AG181" s="35">
        <v>0</v>
      </c>
      <c r="AH181" s="36">
        <v>0</v>
      </c>
      <c r="AI181" s="37"/>
      <c r="AJ181" s="35" t="s">
        <v>3</v>
      </c>
      <c r="AK181" s="36" t="s">
        <v>3</v>
      </c>
      <c r="AL181" s="35" t="s">
        <v>3</v>
      </c>
      <c r="AM181" s="36" t="s">
        <v>3</v>
      </c>
      <c r="AN181" s="37" t="s">
        <v>3</v>
      </c>
      <c r="AO181" s="36" t="s">
        <v>3</v>
      </c>
      <c r="AP181" s="37"/>
      <c r="AQ181" s="35">
        <v>20</v>
      </c>
      <c r="AR181" s="36">
        <v>168.00000000000003</v>
      </c>
      <c r="AS181" s="35">
        <v>113</v>
      </c>
      <c r="AT181" s="36">
        <v>75</v>
      </c>
      <c r="AU181" s="37">
        <v>113</v>
      </c>
      <c r="AV181" s="36">
        <v>75</v>
      </c>
      <c r="AW181" s="37">
        <v>113</v>
      </c>
      <c r="AX181" s="36">
        <v>75</v>
      </c>
      <c r="AY181" s="37">
        <v>113</v>
      </c>
      <c r="AZ181" s="36">
        <v>75</v>
      </c>
    </row>
    <row r="182" spans="1:52">
      <c r="A182" s="196" t="s">
        <v>1138</v>
      </c>
      <c r="B182" s="41" t="s">
        <v>60</v>
      </c>
      <c r="C182" s="211" t="s">
        <v>776</v>
      </c>
      <c r="D182" s="41">
        <v>61</v>
      </c>
      <c r="E182" s="41">
        <v>0</v>
      </c>
      <c r="F182" s="22" t="s">
        <v>1136</v>
      </c>
      <c r="G182" s="40">
        <v>24</v>
      </c>
      <c r="H182" s="80">
        <v>48.760330578512395</v>
      </c>
      <c r="I182" s="228"/>
      <c r="J182" s="35" t="s">
        <v>3</v>
      </c>
      <c r="K182" s="36" t="s">
        <v>3</v>
      </c>
      <c r="L182" s="498" t="s">
        <v>1210</v>
      </c>
      <c r="M182" s="135">
        <v>0</v>
      </c>
      <c r="N182" s="134">
        <v>1.2000000000000002</v>
      </c>
      <c r="O182" s="135">
        <v>0</v>
      </c>
      <c r="P182" s="136">
        <v>1.2000000000000002</v>
      </c>
      <c r="Q182" s="134">
        <v>0</v>
      </c>
      <c r="R182" s="136">
        <v>1.2000000000000002</v>
      </c>
      <c r="S182" s="37"/>
      <c r="T182" s="135">
        <v>0</v>
      </c>
      <c r="U182" s="134">
        <v>0</v>
      </c>
      <c r="V182" s="135">
        <v>0</v>
      </c>
      <c r="W182" s="134">
        <v>0</v>
      </c>
      <c r="X182" s="135">
        <v>0</v>
      </c>
      <c r="Y182" s="136">
        <v>0</v>
      </c>
      <c r="Z182" s="135">
        <v>0</v>
      </c>
      <c r="AA182" s="136">
        <v>0</v>
      </c>
      <c r="AB182" s="134">
        <v>0</v>
      </c>
      <c r="AC182" s="136">
        <v>0</v>
      </c>
      <c r="AE182" s="22">
        <v>12</v>
      </c>
      <c r="AF182" s="65"/>
      <c r="AG182" s="35">
        <v>0</v>
      </c>
      <c r="AH182" s="36">
        <v>0</v>
      </c>
      <c r="AI182" s="37"/>
      <c r="AJ182" s="35">
        <v>32</v>
      </c>
      <c r="AK182" s="36">
        <v>28.800000000000004</v>
      </c>
      <c r="AL182" s="35">
        <v>32</v>
      </c>
      <c r="AM182" s="36">
        <v>28.800000000000004</v>
      </c>
      <c r="AN182" s="35">
        <v>32</v>
      </c>
      <c r="AO182" s="36">
        <v>28.800000000000004</v>
      </c>
      <c r="AP182" s="37"/>
      <c r="AQ182" s="35">
        <v>61</v>
      </c>
      <c r="AR182" s="36">
        <v>0</v>
      </c>
      <c r="AS182" s="35">
        <v>61</v>
      </c>
      <c r="AT182" s="36">
        <v>0</v>
      </c>
      <c r="AU182" s="35">
        <v>61</v>
      </c>
      <c r="AV182" s="36">
        <v>0</v>
      </c>
      <c r="AW182" s="35">
        <v>61</v>
      </c>
      <c r="AX182" s="36">
        <v>0</v>
      </c>
      <c r="AY182" s="35">
        <v>61</v>
      </c>
      <c r="AZ182" s="36">
        <v>0</v>
      </c>
    </row>
    <row r="183" spans="1:52">
      <c r="A183" s="196" t="s">
        <v>1166</v>
      </c>
      <c r="B183" s="41" t="s">
        <v>60</v>
      </c>
      <c r="C183" s="211" t="s">
        <v>660</v>
      </c>
      <c r="D183" s="41">
        <v>315</v>
      </c>
      <c r="E183" s="41">
        <v>2.5</v>
      </c>
      <c r="F183" s="22" t="s">
        <v>1140</v>
      </c>
      <c r="G183" s="413">
        <v>24</v>
      </c>
      <c r="H183" s="80">
        <v>253.71900826446281</v>
      </c>
      <c r="I183" s="228"/>
      <c r="J183" s="35" t="s">
        <v>3</v>
      </c>
      <c r="K183" s="36" t="s">
        <v>3</v>
      </c>
      <c r="L183" s="498" t="s">
        <v>1210</v>
      </c>
      <c r="M183" s="135" t="s">
        <v>3</v>
      </c>
      <c r="N183" s="134" t="s">
        <v>3</v>
      </c>
      <c r="O183" s="135" t="s">
        <v>3</v>
      </c>
      <c r="P183" s="136" t="s">
        <v>3</v>
      </c>
      <c r="Q183" s="134" t="s">
        <v>3</v>
      </c>
      <c r="R183" s="136" t="s">
        <v>3</v>
      </c>
      <c r="S183" s="37"/>
      <c r="T183" s="135">
        <v>0</v>
      </c>
      <c r="U183" s="134">
        <v>8.7000000000000011</v>
      </c>
      <c r="V183" s="135">
        <v>0</v>
      </c>
      <c r="W183" s="134">
        <v>5.8000000000000007</v>
      </c>
      <c r="X183" s="135">
        <v>0</v>
      </c>
      <c r="Y183" s="136">
        <v>5.8000000000000007</v>
      </c>
      <c r="Z183" s="135">
        <v>0</v>
      </c>
      <c r="AA183" s="136">
        <v>5.8000000000000007</v>
      </c>
      <c r="AB183" s="134">
        <v>0</v>
      </c>
      <c r="AC183" s="136">
        <v>5.8000000000000007</v>
      </c>
      <c r="AE183" s="22">
        <v>61</v>
      </c>
      <c r="AF183" s="65"/>
      <c r="AG183" s="35">
        <v>0</v>
      </c>
      <c r="AH183" s="36">
        <v>0</v>
      </c>
      <c r="AI183" s="37"/>
      <c r="AJ183" s="35" t="s">
        <v>3</v>
      </c>
      <c r="AK183" s="36" t="s">
        <v>3</v>
      </c>
      <c r="AL183" s="35" t="s">
        <v>3</v>
      </c>
      <c r="AM183" s="36" t="s">
        <v>3</v>
      </c>
      <c r="AN183" s="37" t="s">
        <v>3</v>
      </c>
      <c r="AO183" s="36" t="s">
        <v>3</v>
      </c>
      <c r="AP183" s="37"/>
      <c r="AQ183" s="35">
        <v>106</v>
      </c>
      <c r="AR183" s="36">
        <v>208.8</v>
      </c>
      <c r="AS183" s="35">
        <v>176</v>
      </c>
      <c r="AT183" s="36">
        <v>139.20000000000002</v>
      </c>
      <c r="AU183" s="37">
        <v>176</v>
      </c>
      <c r="AV183" s="36">
        <v>139.20000000000002</v>
      </c>
      <c r="AW183" s="37">
        <v>176</v>
      </c>
      <c r="AX183" s="36">
        <v>139.20000000000002</v>
      </c>
      <c r="AY183" s="37">
        <v>176</v>
      </c>
      <c r="AZ183" s="36">
        <v>139.20000000000002</v>
      </c>
    </row>
    <row r="184" spans="1:52">
      <c r="A184" s="196" t="s">
        <v>1168</v>
      </c>
      <c r="B184" s="41" t="s">
        <v>60</v>
      </c>
      <c r="C184" s="211" t="s">
        <v>662</v>
      </c>
      <c r="D184" s="41">
        <v>338</v>
      </c>
      <c r="E184" s="41">
        <v>2.5</v>
      </c>
      <c r="F184" s="22" t="s">
        <v>1140</v>
      </c>
      <c r="G184" s="413">
        <v>24</v>
      </c>
      <c r="H184" s="80">
        <v>296.69421487603307</v>
      </c>
      <c r="I184" s="228"/>
      <c r="J184" s="35" t="s">
        <v>3</v>
      </c>
      <c r="K184" s="36" t="s">
        <v>3</v>
      </c>
      <c r="L184" s="498" t="s">
        <v>1210</v>
      </c>
      <c r="M184" s="135" t="s">
        <v>3</v>
      </c>
      <c r="N184" s="134" t="s">
        <v>3</v>
      </c>
      <c r="O184" s="135" t="s">
        <v>3</v>
      </c>
      <c r="P184" s="136" t="s">
        <v>3</v>
      </c>
      <c r="Q184" s="134" t="s">
        <v>3</v>
      </c>
      <c r="R184" s="136" t="s">
        <v>3</v>
      </c>
      <c r="S184" s="37"/>
      <c r="T184" s="135">
        <v>0</v>
      </c>
      <c r="U184" s="134">
        <v>9.6000000000000014</v>
      </c>
      <c r="V184" s="135">
        <v>0</v>
      </c>
      <c r="W184" s="134">
        <v>6.7</v>
      </c>
      <c r="X184" s="135">
        <v>0</v>
      </c>
      <c r="Y184" s="136">
        <v>6.7</v>
      </c>
      <c r="Z184" s="135">
        <v>0</v>
      </c>
      <c r="AA184" s="136">
        <v>6.6000000000000005</v>
      </c>
      <c r="AB184" s="134">
        <v>0</v>
      </c>
      <c r="AC184" s="136">
        <v>6.6000000000000005</v>
      </c>
      <c r="AE184" s="22">
        <v>41</v>
      </c>
      <c r="AF184" s="65"/>
      <c r="AG184" s="35">
        <v>0</v>
      </c>
      <c r="AH184" s="36">
        <v>0</v>
      </c>
      <c r="AI184" s="37"/>
      <c r="AJ184" s="35" t="s">
        <v>3</v>
      </c>
      <c r="AK184" s="36" t="s">
        <v>3</v>
      </c>
      <c r="AL184" s="35" t="s">
        <v>3</v>
      </c>
      <c r="AM184" s="36" t="s">
        <v>3</v>
      </c>
      <c r="AN184" s="35" t="s">
        <v>3</v>
      </c>
      <c r="AO184" s="36" t="s">
        <v>3</v>
      </c>
      <c r="AP184" s="37"/>
      <c r="AQ184" s="35">
        <v>108</v>
      </c>
      <c r="AR184" s="36">
        <v>230.40000000000003</v>
      </c>
      <c r="AS184" s="35">
        <v>177</v>
      </c>
      <c r="AT184" s="36">
        <v>160.80000000000001</v>
      </c>
      <c r="AU184" s="35">
        <v>177</v>
      </c>
      <c r="AV184" s="36">
        <v>160.80000000000001</v>
      </c>
      <c r="AW184" s="35">
        <v>180</v>
      </c>
      <c r="AX184" s="36">
        <v>158.4</v>
      </c>
      <c r="AY184" s="35">
        <v>180</v>
      </c>
      <c r="AZ184" s="36">
        <v>158.4</v>
      </c>
    </row>
    <row r="185" spans="1:52">
      <c r="A185" s="196" t="s">
        <v>1169</v>
      </c>
      <c r="B185" s="41" t="s">
        <v>60</v>
      </c>
      <c r="C185" s="211" t="s">
        <v>647</v>
      </c>
      <c r="D185" s="41">
        <v>207</v>
      </c>
      <c r="E185" s="41">
        <v>2.5</v>
      </c>
      <c r="F185" s="22" t="s">
        <v>1140</v>
      </c>
      <c r="G185" s="40">
        <v>24</v>
      </c>
      <c r="H185" s="80">
        <v>181.81818181818181</v>
      </c>
      <c r="I185" s="228"/>
      <c r="J185" s="35" t="s">
        <v>3</v>
      </c>
      <c r="K185" s="36" t="s">
        <v>3</v>
      </c>
      <c r="L185" s="498" t="s">
        <v>1210</v>
      </c>
      <c r="M185" s="135" t="s">
        <v>3</v>
      </c>
      <c r="N185" s="134" t="s">
        <v>3</v>
      </c>
      <c r="O185" s="135" t="s">
        <v>3</v>
      </c>
      <c r="P185" s="136" t="s">
        <v>3</v>
      </c>
      <c r="Q185" s="134" t="s">
        <v>3</v>
      </c>
      <c r="R185" s="136" t="s">
        <v>3</v>
      </c>
      <c r="S185" s="37"/>
      <c r="T185" s="135">
        <v>0</v>
      </c>
      <c r="U185" s="134">
        <v>6.5</v>
      </c>
      <c r="V185" s="135">
        <v>0</v>
      </c>
      <c r="W185" s="134">
        <v>3.4000000000000004</v>
      </c>
      <c r="X185" s="135">
        <v>0</v>
      </c>
      <c r="Y185" s="136">
        <v>3.4000000000000004</v>
      </c>
      <c r="Z185" s="135">
        <v>0</v>
      </c>
      <c r="AA185" s="136">
        <v>3.3000000000000003</v>
      </c>
      <c r="AB185" s="134">
        <v>0</v>
      </c>
      <c r="AC185" s="136">
        <v>3.3000000000000003</v>
      </c>
      <c r="AE185" s="22">
        <v>25</v>
      </c>
      <c r="AF185" s="65"/>
      <c r="AG185" s="35">
        <v>0</v>
      </c>
      <c r="AH185" s="36">
        <v>0</v>
      </c>
      <c r="AI185" s="37"/>
      <c r="AJ185" s="35" t="s">
        <v>3</v>
      </c>
      <c r="AK185" s="36" t="s">
        <v>3</v>
      </c>
      <c r="AL185" s="35" t="s">
        <v>3</v>
      </c>
      <c r="AM185" s="36" t="s">
        <v>3</v>
      </c>
      <c r="AN185" s="37" t="s">
        <v>3</v>
      </c>
      <c r="AO185" s="36" t="s">
        <v>3</v>
      </c>
      <c r="AP185" s="37"/>
      <c r="AQ185" s="35">
        <v>51</v>
      </c>
      <c r="AR185" s="36">
        <v>156</v>
      </c>
      <c r="AS185" s="35">
        <v>125</v>
      </c>
      <c r="AT185" s="36">
        <v>81.600000000000009</v>
      </c>
      <c r="AU185" s="37">
        <v>125</v>
      </c>
      <c r="AV185" s="36">
        <v>81.600000000000009</v>
      </c>
      <c r="AW185" s="37">
        <v>128</v>
      </c>
      <c r="AX185" s="36">
        <v>79.2</v>
      </c>
      <c r="AY185" s="37">
        <v>128</v>
      </c>
      <c r="AZ185" s="36">
        <v>79.2</v>
      </c>
    </row>
    <row r="186" spans="1:52">
      <c r="A186" s="196" t="s">
        <v>1095</v>
      </c>
      <c r="B186" s="41" t="s">
        <v>55</v>
      </c>
      <c r="C186" s="211" t="s">
        <v>506</v>
      </c>
      <c r="D186" s="41">
        <v>41</v>
      </c>
      <c r="E186" s="41">
        <v>0</v>
      </c>
      <c r="F186" s="22" t="s">
        <v>1084</v>
      </c>
      <c r="G186" s="413">
        <v>24</v>
      </c>
      <c r="H186" s="80">
        <v>62.809917355371901</v>
      </c>
      <c r="I186" s="228"/>
      <c r="J186" s="35" t="s">
        <v>3</v>
      </c>
      <c r="K186" s="36" t="s">
        <v>3</v>
      </c>
      <c r="L186" s="498" t="s">
        <v>1210</v>
      </c>
      <c r="M186" s="135">
        <v>0</v>
      </c>
      <c r="N186" s="134">
        <v>0.9</v>
      </c>
      <c r="O186" s="135">
        <v>0</v>
      </c>
      <c r="P186" s="136">
        <v>0.9</v>
      </c>
      <c r="Q186" s="134">
        <v>0</v>
      </c>
      <c r="R186" s="136">
        <v>0.9</v>
      </c>
      <c r="S186" s="37"/>
      <c r="T186" s="135">
        <v>0</v>
      </c>
      <c r="U186" s="134">
        <v>1.7000000000000002</v>
      </c>
      <c r="V186" s="135">
        <v>0</v>
      </c>
      <c r="W186" s="134">
        <v>1.7000000000000002</v>
      </c>
      <c r="X186" s="135">
        <v>0</v>
      </c>
      <c r="Y186" s="136">
        <v>1.7000000000000002</v>
      </c>
      <c r="Z186" s="135">
        <v>0</v>
      </c>
      <c r="AA186" s="136">
        <v>1.7000000000000002</v>
      </c>
      <c r="AB186" s="134">
        <v>0</v>
      </c>
      <c r="AC186" s="136">
        <v>1.7000000000000002</v>
      </c>
      <c r="AE186" s="22">
        <v>-22</v>
      </c>
      <c r="AF186" s="65"/>
      <c r="AG186" s="35">
        <v>0</v>
      </c>
      <c r="AH186" s="36">
        <v>0</v>
      </c>
      <c r="AI186" s="37"/>
      <c r="AJ186" s="35">
        <v>19</v>
      </c>
      <c r="AK186" s="36">
        <v>21.6</v>
      </c>
      <c r="AL186" s="35">
        <v>19</v>
      </c>
      <c r="AM186" s="36">
        <v>21.6</v>
      </c>
      <c r="AN186" s="35">
        <v>19</v>
      </c>
      <c r="AO186" s="36">
        <v>21.6</v>
      </c>
      <c r="AP186" s="37"/>
      <c r="AQ186" s="35">
        <v>0</v>
      </c>
      <c r="AR186" s="36">
        <v>40.800000000000004</v>
      </c>
      <c r="AS186" s="35">
        <v>0</v>
      </c>
      <c r="AT186" s="36">
        <v>40.800000000000004</v>
      </c>
      <c r="AU186" s="35">
        <v>0</v>
      </c>
      <c r="AV186" s="36">
        <v>40.800000000000004</v>
      </c>
      <c r="AW186" s="35">
        <v>0</v>
      </c>
      <c r="AX186" s="36">
        <v>40.800000000000004</v>
      </c>
      <c r="AY186" s="35">
        <v>0</v>
      </c>
      <c r="AZ186" s="36">
        <v>40.800000000000004</v>
      </c>
    </row>
    <row r="187" spans="1:52">
      <c r="A187" s="196" t="s">
        <v>1127</v>
      </c>
      <c r="B187" s="41" t="s">
        <v>189</v>
      </c>
      <c r="C187" s="211" t="s">
        <v>782</v>
      </c>
      <c r="D187" s="41">
        <v>25</v>
      </c>
      <c r="E187" s="41">
        <v>0</v>
      </c>
      <c r="F187" s="22" t="s">
        <v>1128</v>
      </c>
      <c r="G187" s="413">
        <v>24</v>
      </c>
      <c r="H187" s="80">
        <v>32.231404958677686</v>
      </c>
      <c r="I187" s="228"/>
      <c r="J187" s="35" t="s">
        <v>3</v>
      </c>
      <c r="K187" s="36" t="s">
        <v>3</v>
      </c>
      <c r="L187" s="498" t="s">
        <v>1210</v>
      </c>
      <c r="M187" s="135">
        <v>0</v>
      </c>
      <c r="N187" s="134">
        <v>0.60000000000000009</v>
      </c>
      <c r="O187" s="135">
        <v>0</v>
      </c>
      <c r="P187" s="136">
        <v>0.60000000000000009</v>
      </c>
      <c r="Q187" s="134">
        <v>0</v>
      </c>
      <c r="R187" s="136">
        <v>0.60000000000000009</v>
      </c>
      <c r="S187" s="37"/>
      <c r="T187" s="135">
        <v>0</v>
      </c>
      <c r="U187" s="134">
        <v>0.5</v>
      </c>
      <c r="V187" s="135">
        <v>0</v>
      </c>
      <c r="W187" s="134">
        <v>0.5</v>
      </c>
      <c r="X187" s="135">
        <v>0</v>
      </c>
      <c r="Y187" s="136">
        <v>0.5</v>
      </c>
      <c r="Z187" s="135">
        <v>0</v>
      </c>
      <c r="AA187" s="136">
        <v>0.4</v>
      </c>
      <c r="AB187" s="134">
        <v>0</v>
      </c>
      <c r="AC187" s="136">
        <v>0.4</v>
      </c>
      <c r="AE187" s="22">
        <v>-7</v>
      </c>
      <c r="AF187" s="65"/>
      <c r="AG187" s="35">
        <v>0</v>
      </c>
      <c r="AH187" s="36">
        <v>0</v>
      </c>
      <c r="AI187" s="37"/>
      <c r="AJ187" s="35">
        <v>11</v>
      </c>
      <c r="AK187" s="36">
        <v>14.400000000000002</v>
      </c>
      <c r="AL187" s="35">
        <v>11</v>
      </c>
      <c r="AM187" s="36">
        <v>14.400000000000002</v>
      </c>
      <c r="AN187" s="35">
        <v>11</v>
      </c>
      <c r="AO187" s="36">
        <v>14.400000000000002</v>
      </c>
      <c r="AP187" s="37"/>
      <c r="AQ187" s="35">
        <v>13</v>
      </c>
      <c r="AR187" s="36">
        <v>12</v>
      </c>
      <c r="AS187" s="35">
        <v>13</v>
      </c>
      <c r="AT187" s="36">
        <v>12</v>
      </c>
      <c r="AU187" s="35">
        <v>13</v>
      </c>
      <c r="AV187" s="36">
        <v>12</v>
      </c>
      <c r="AW187" s="35">
        <v>15</v>
      </c>
      <c r="AX187" s="36">
        <v>9.6000000000000014</v>
      </c>
      <c r="AY187" s="35">
        <v>15</v>
      </c>
      <c r="AZ187" s="36">
        <v>9.6000000000000014</v>
      </c>
    </row>
    <row r="188" spans="1:52">
      <c r="A188" s="196" t="s">
        <v>1096</v>
      </c>
      <c r="B188" s="41" t="s">
        <v>55</v>
      </c>
      <c r="C188" s="211" t="s">
        <v>556</v>
      </c>
      <c r="D188" s="41">
        <v>91</v>
      </c>
      <c r="E188" s="41">
        <v>0</v>
      </c>
      <c r="F188" s="22" t="s">
        <v>1084</v>
      </c>
      <c r="G188" s="40">
        <v>24</v>
      </c>
      <c r="H188" s="80">
        <v>84.297520661157023</v>
      </c>
      <c r="I188" s="228"/>
      <c r="J188" s="35" t="s">
        <v>3</v>
      </c>
      <c r="K188" s="36" t="s">
        <v>3</v>
      </c>
      <c r="L188" s="498" t="s">
        <v>1210</v>
      </c>
      <c r="M188" s="135">
        <v>0</v>
      </c>
      <c r="N188" s="134">
        <v>2.9000000000000004</v>
      </c>
      <c r="O188" s="135">
        <v>0</v>
      </c>
      <c r="P188" s="136">
        <v>0.30000000000000004</v>
      </c>
      <c r="Q188" s="134">
        <v>0</v>
      </c>
      <c r="R188" s="136">
        <v>0.30000000000000004</v>
      </c>
      <c r="S188" s="37"/>
      <c r="T188" s="135">
        <v>0</v>
      </c>
      <c r="U188" s="134">
        <v>3.4000000000000004</v>
      </c>
      <c r="V188" s="135">
        <v>0</v>
      </c>
      <c r="W188" s="134">
        <v>3.4000000000000004</v>
      </c>
      <c r="X188" s="135">
        <v>0</v>
      </c>
      <c r="Y188" s="136">
        <v>3.4000000000000004</v>
      </c>
      <c r="Z188" s="135">
        <v>0</v>
      </c>
      <c r="AA188" s="136">
        <v>3.3000000000000003</v>
      </c>
      <c r="AB188" s="134">
        <v>0</v>
      </c>
      <c r="AC188" s="136">
        <v>3.3000000000000003</v>
      </c>
      <c r="AE188" s="22">
        <v>7</v>
      </c>
      <c r="AF188" s="65"/>
      <c r="AG188" s="35">
        <v>0</v>
      </c>
      <c r="AH188" s="36">
        <v>0</v>
      </c>
      <c r="AI188" s="37"/>
      <c r="AJ188" s="35">
        <v>21</v>
      </c>
      <c r="AK188" s="36">
        <v>69.600000000000009</v>
      </c>
      <c r="AL188" s="35">
        <v>84</v>
      </c>
      <c r="AM188" s="36">
        <v>7.2000000000000011</v>
      </c>
      <c r="AN188" s="37">
        <v>84</v>
      </c>
      <c r="AO188" s="36">
        <v>7.2000000000000011</v>
      </c>
      <c r="AP188" s="37"/>
      <c r="AQ188" s="35">
        <v>9</v>
      </c>
      <c r="AR188" s="36">
        <v>81.600000000000009</v>
      </c>
      <c r="AS188" s="35">
        <v>9</v>
      </c>
      <c r="AT188" s="36">
        <v>81.600000000000009</v>
      </c>
      <c r="AU188" s="37">
        <v>9</v>
      </c>
      <c r="AV188" s="36">
        <v>81.600000000000009</v>
      </c>
      <c r="AW188" s="37">
        <v>12</v>
      </c>
      <c r="AX188" s="36">
        <v>79.2</v>
      </c>
      <c r="AY188" s="37">
        <v>12</v>
      </c>
      <c r="AZ188" s="36">
        <v>79.2</v>
      </c>
    </row>
    <row r="189" spans="1:52">
      <c r="A189" s="196" t="s">
        <v>1097</v>
      </c>
      <c r="B189" s="41" t="s">
        <v>55</v>
      </c>
      <c r="C189" s="211" t="s">
        <v>480</v>
      </c>
      <c r="D189" s="41">
        <v>48</v>
      </c>
      <c r="E189" s="41">
        <v>0</v>
      </c>
      <c r="F189" s="22" t="s">
        <v>1084</v>
      </c>
      <c r="G189" s="413">
        <v>24</v>
      </c>
      <c r="H189" s="80">
        <v>90.082644628099175</v>
      </c>
      <c r="I189" s="228"/>
      <c r="J189" s="35" t="s">
        <v>3</v>
      </c>
      <c r="K189" s="36" t="s">
        <v>3</v>
      </c>
      <c r="L189" s="498" t="s">
        <v>1210</v>
      </c>
      <c r="M189" s="135">
        <v>0</v>
      </c>
      <c r="N189" s="134">
        <v>1.2000000000000002</v>
      </c>
      <c r="O189" s="135">
        <v>0</v>
      </c>
      <c r="P189" s="136">
        <v>1.2000000000000002</v>
      </c>
      <c r="Q189" s="134">
        <v>0</v>
      </c>
      <c r="R189" s="136">
        <v>1.2000000000000002</v>
      </c>
      <c r="S189" s="37"/>
      <c r="T189" s="135">
        <v>0</v>
      </c>
      <c r="U189" s="134">
        <v>2.5</v>
      </c>
      <c r="V189" s="135">
        <v>0</v>
      </c>
      <c r="W189" s="134">
        <v>2.5</v>
      </c>
      <c r="X189" s="135">
        <v>0</v>
      </c>
      <c r="Y189" s="136">
        <v>2.5</v>
      </c>
      <c r="Z189" s="135">
        <v>0</v>
      </c>
      <c r="AA189" s="136">
        <v>2.5</v>
      </c>
      <c r="AB189" s="134">
        <v>0</v>
      </c>
      <c r="AC189" s="136">
        <v>2.5</v>
      </c>
      <c r="AE189" s="22">
        <v>-42</v>
      </c>
      <c r="AF189" s="65"/>
      <c r="AG189" s="35">
        <v>0</v>
      </c>
      <c r="AH189" s="36">
        <v>0</v>
      </c>
      <c r="AI189" s="37"/>
      <c r="AJ189" s="35">
        <v>19</v>
      </c>
      <c r="AK189" s="36">
        <v>28.800000000000004</v>
      </c>
      <c r="AL189" s="35">
        <v>19</v>
      </c>
      <c r="AM189" s="36">
        <v>28.800000000000004</v>
      </c>
      <c r="AN189" s="35">
        <v>19</v>
      </c>
      <c r="AO189" s="36">
        <v>28.800000000000004</v>
      </c>
      <c r="AP189" s="37"/>
      <c r="AQ189" s="35">
        <v>-12</v>
      </c>
      <c r="AR189" s="36">
        <v>60</v>
      </c>
      <c r="AS189" s="35">
        <v>-12</v>
      </c>
      <c r="AT189" s="36">
        <v>60</v>
      </c>
      <c r="AU189" s="35">
        <v>-12</v>
      </c>
      <c r="AV189" s="36">
        <v>60</v>
      </c>
      <c r="AW189" s="35">
        <v>-12</v>
      </c>
      <c r="AX189" s="36">
        <v>60</v>
      </c>
      <c r="AY189" s="35">
        <v>-12</v>
      </c>
      <c r="AZ189" s="36">
        <v>60</v>
      </c>
    </row>
    <row r="190" spans="1:52">
      <c r="A190" s="196" t="s">
        <v>985</v>
      </c>
      <c r="B190" s="41" t="s">
        <v>112</v>
      </c>
      <c r="C190" s="211" t="s">
        <v>468</v>
      </c>
      <c r="D190" s="41">
        <v>304</v>
      </c>
      <c r="E190" s="41">
        <v>0</v>
      </c>
      <c r="F190" s="22" t="s">
        <v>986</v>
      </c>
      <c r="G190" s="413">
        <v>24</v>
      </c>
      <c r="H190" s="80">
        <v>303.30578512396693</v>
      </c>
      <c r="I190" s="228"/>
      <c r="J190" s="35" t="s">
        <v>3</v>
      </c>
      <c r="K190" s="36" t="s">
        <v>3</v>
      </c>
      <c r="L190" s="498" t="s">
        <v>1210</v>
      </c>
      <c r="M190" s="135" t="s">
        <v>3</v>
      </c>
      <c r="N190" s="134" t="s">
        <v>3</v>
      </c>
      <c r="O190" s="135" t="s">
        <v>3</v>
      </c>
      <c r="P190" s="136" t="s">
        <v>3</v>
      </c>
      <c r="Q190" s="134" t="s">
        <v>3</v>
      </c>
      <c r="R190" s="136" t="s">
        <v>3</v>
      </c>
      <c r="S190" s="37"/>
      <c r="T190" s="135">
        <v>0</v>
      </c>
      <c r="U190" s="134">
        <v>10</v>
      </c>
      <c r="V190" s="135">
        <v>0</v>
      </c>
      <c r="W190" s="134">
        <v>6.2</v>
      </c>
      <c r="X190" s="135">
        <v>0</v>
      </c>
      <c r="Y190" s="136">
        <v>6.2</v>
      </c>
      <c r="Z190" s="135">
        <v>0</v>
      </c>
      <c r="AA190" s="136">
        <v>6.2</v>
      </c>
      <c r="AB190" s="134">
        <v>0</v>
      </c>
      <c r="AC190" s="136">
        <v>6.2</v>
      </c>
      <c r="AE190" s="22">
        <v>1</v>
      </c>
      <c r="AF190" s="65"/>
      <c r="AG190" s="35">
        <v>0</v>
      </c>
      <c r="AH190" s="36">
        <v>0</v>
      </c>
      <c r="AI190" s="37"/>
      <c r="AJ190" s="35" t="s">
        <v>3</v>
      </c>
      <c r="AK190" s="36" t="s">
        <v>3</v>
      </c>
      <c r="AL190" s="35" t="s">
        <v>3</v>
      </c>
      <c r="AM190" s="36" t="s">
        <v>3</v>
      </c>
      <c r="AN190" s="37" t="s">
        <v>3</v>
      </c>
      <c r="AO190" s="36" t="s">
        <v>3</v>
      </c>
      <c r="AP190" s="37"/>
      <c r="AQ190" s="35">
        <v>64</v>
      </c>
      <c r="AR190" s="36">
        <v>240</v>
      </c>
      <c r="AS190" s="35">
        <v>155</v>
      </c>
      <c r="AT190" s="36">
        <v>148.80000000000001</v>
      </c>
      <c r="AU190" s="37">
        <v>155</v>
      </c>
      <c r="AV190" s="36">
        <v>148.80000000000001</v>
      </c>
      <c r="AW190" s="37">
        <v>155</v>
      </c>
      <c r="AX190" s="36">
        <v>148.80000000000001</v>
      </c>
      <c r="AY190" s="37">
        <v>155</v>
      </c>
      <c r="AZ190" s="36">
        <v>148.80000000000001</v>
      </c>
    </row>
    <row r="191" spans="1:52">
      <c r="A191" s="196" t="s">
        <v>987</v>
      </c>
      <c r="B191" s="41" t="s">
        <v>112</v>
      </c>
      <c r="C191" s="211" t="s">
        <v>468</v>
      </c>
      <c r="D191" s="41">
        <v>304</v>
      </c>
      <c r="E191" s="41">
        <v>0</v>
      </c>
      <c r="F191" s="22" t="s">
        <v>986</v>
      </c>
      <c r="G191" s="40">
        <v>30</v>
      </c>
      <c r="H191" s="80">
        <v>303.30578512396693</v>
      </c>
      <c r="I191" s="228"/>
      <c r="J191" s="35" t="s">
        <v>3</v>
      </c>
      <c r="K191" s="36" t="s">
        <v>3</v>
      </c>
      <c r="L191" s="498" t="s">
        <v>1210</v>
      </c>
      <c r="M191" s="135" t="s">
        <v>3</v>
      </c>
      <c r="N191" s="134" t="s">
        <v>3</v>
      </c>
      <c r="O191" s="135" t="s">
        <v>3</v>
      </c>
      <c r="P191" s="136" t="s">
        <v>3</v>
      </c>
      <c r="Q191" s="134" t="s">
        <v>3</v>
      </c>
      <c r="R191" s="136" t="s">
        <v>3</v>
      </c>
      <c r="S191" s="37"/>
      <c r="T191" s="135">
        <v>0</v>
      </c>
      <c r="U191" s="134">
        <v>8</v>
      </c>
      <c r="V191" s="135">
        <v>0</v>
      </c>
      <c r="W191" s="134">
        <v>5</v>
      </c>
      <c r="X191" s="135">
        <v>0</v>
      </c>
      <c r="Y191" s="136">
        <v>5</v>
      </c>
      <c r="Z191" s="135">
        <v>0</v>
      </c>
      <c r="AA191" s="136">
        <v>5</v>
      </c>
      <c r="AB191" s="134">
        <v>0</v>
      </c>
      <c r="AC191" s="136">
        <v>5</v>
      </c>
      <c r="AE191" s="22">
        <v>1</v>
      </c>
      <c r="AF191" s="65"/>
      <c r="AG191" s="35">
        <v>0</v>
      </c>
      <c r="AH191" s="36">
        <v>0</v>
      </c>
      <c r="AI191" s="37"/>
      <c r="AJ191" s="35" t="s">
        <v>3</v>
      </c>
      <c r="AK191" s="36" t="s">
        <v>3</v>
      </c>
      <c r="AL191" s="35" t="s">
        <v>3</v>
      </c>
      <c r="AM191" s="36" t="s">
        <v>3</v>
      </c>
      <c r="AN191" s="35" t="s">
        <v>3</v>
      </c>
      <c r="AO191" s="36" t="s">
        <v>3</v>
      </c>
      <c r="AP191" s="37"/>
      <c r="AQ191" s="35">
        <v>64</v>
      </c>
      <c r="AR191" s="36">
        <v>240</v>
      </c>
      <c r="AS191" s="35">
        <v>154</v>
      </c>
      <c r="AT191" s="36">
        <v>150</v>
      </c>
      <c r="AU191" s="35">
        <v>154</v>
      </c>
      <c r="AV191" s="36">
        <v>150</v>
      </c>
      <c r="AW191" s="35">
        <v>154</v>
      </c>
      <c r="AX191" s="36">
        <v>150</v>
      </c>
      <c r="AY191" s="35">
        <v>154</v>
      </c>
      <c r="AZ191" s="36">
        <v>150</v>
      </c>
    </row>
    <row r="192" spans="1:52">
      <c r="A192" s="196" t="s">
        <v>1179</v>
      </c>
      <c r="B192" s="41" t="s">
        <v>664</v>
      </c>
      <c r="C192" s="211" t="s">
        <v>539</v>
      </c>
      <c r="D192" s="41">
        <v>459</v>
      </c>
      <c r="E192" s="41">
        <v>0</v>
      </c>
      <c r="F192" s="22" t="s">
        <v>1177</v>
      </c>
      <c r="G192" s="413">
        <v>24</v>
      </c>
      <c r="H192" s="80">
        <v>303.30578512396693</v>
      </c>
      <c r="I192" s="228"/>
      <c r="J192" s="35" t="s">
        <v>3</v>
      </c>
      <c r="K192" s="36" t="s">
        <v>3</v>
      </c>
      <c r="L192" s="498" t="s">
        <v>1210</v>
      </c>
      <c r="M192" s="135" t="s">
        <v>3</v>
      </c>
      <c r="N192" s="134" t="s">
        <v>3</v>
      </c>
      <c r="O192" s="135" t="s">
        <v>3</v>
      </c>
      <c r="P192" s="136" t="s">
        <v>3</v>
      </c>
      <c r="Q192" s="134" t="s">
        <v>3</v>
      </c>
      <c r="R192" s="136" t="s">
        <v>3</v>
      </c>
      <c r="S192" s="37"/>
      <c r="T192" s="135">
        <v>0</v>
      </c>
      <c r="U192" s="134">
        <v>10</v>
      </c>
      <c r="V192" s="135">
        <v>0</v>
      </c>
      <c r="W192" s="134">
        <v>6.2</v>
      </c>
      <c r="X192" s="135">
        <v>0</v>
      </c>
      <c r="Y192" s="136">
        <v>6</v>
      </c>
      <c r="Z192" s="135">
        <v>0</v>
      </c>
      <c r="AA192" s="136">
        <v>8.8000000000000007</v>
      </c>
      <c r="AB192" s="134">
        <v>0</v>
      </c>
      <c r="AC192" s="136">
        <v>8.8000000000000007</v>
      </c>
      <c r="AE192" s="22">
        <v>156</v>
      </c>
      <c r="AF192" s="65"/>
      <c r="AG192" s="35">
        <v>0</v>
      </c>
      <c r="AH192" s="36">
        <v>0</v>
      </c>
      <c r="AI192" s="37"/>
      <c r="AJ192" s="35" t="s">
        <v>3</v>
      </c>
      <c r="AK192" s="36" t="s">
        <v>3</v>
      </c>
      <c r="AL192" s="35" t="s">
        <v>3</v>
      </c>
      <c r="AM192" s="36" t="s">
        <v>3</v>
      </c>
      <c r="AN192" s="35" t="s">
        <v>3</v>
      </c>
      <c r="AO192" s="36" t="s">
        <v>3</v>
      </c>
      <c r="AP192" s="37"/>
      <c r="AQ192" s="35">
        <v>219</v>
      </c>
      <c r="AR192" s="36">
        <v>240</v>
      </c>
      <c r="AS192" s="35">
        <v>310</v>
      </c>
      <c r="AT192" s="36">
        <v>148.80000000000001</v>
      </c>
      <c r="AU192" s="35">
        <v>315</v>
      </c>
      <c r="AV192" s="36">
        <v>144</v>
      </c>
      <c r="AW192" s="35">
        <v>248</v>
      </c>
      <c r="AX192" s="36">
        <v>211.20000000000002</v>
      </c>
      <c r="AY192" s="35">
        <v>248</v>
      </c>
      <c r="AZ192" s="36">
        <v>211.20000000000002</v>
      </c>
    </row>
    <row r="193" spans="1:52">
      <c r="A193" s="196" t="s">
        <v>1180</v>
      </c>
      <c r="B193" s="41" t="s">
        <v>664</v>
      </c>
      <c r="C193" s="211" t="s">
        <v>539</v>
      </c>
      <c r="D193" s="41">
        <v>459</v>
      </c>
      <c r="E193" s="41">
        <v>0</v>
      </c>
      <c r="F193" s="22" t="s">
        <v>1177</v>
      </c>
      <c r="G193" s="40">
        <v>30</v>
      </c>
      <c r="H193" s="80">
        <v>303.30578512396693</v>
      </c>
      <c r="I193" s="228"/>
      <c r="J193" s="35" t="s">
        <v>3</v>
      </c>
      <c r="K193" s="36" t="s">
        <v>3</v>
      </c>
      <c r="L193" s="498" t="s">
        <v>1210</v>
      </c>
      <c r="M193" s="135" t="s">
        <v>3</v>
      </c>
      <c r="N193" s="134" t="s">
        <v>3</v>
      </c>
      <c r="O193" s="135" t="s">
        <v>3</v>
      </c>
      <c r="P193" s="136" t="s">
        <v>3</v>
      </c>
      <c r="Q193" s="134" t="s">
        <v>3</v>
      </c>
      <c r="R193" s="136" t="s">
        <v>3</v>
      </c>
      <c r="S193" s="37"/>
      <c r="T193" s="135">
        <v>0</v>
      </c>
      <c r="U193" s="134">
        <v>8</v>
      </c>
      <c r="V193" s="135">
        <v>0</v>
      </c>
      <c r="W193" s="134">
        <v>5</v>
      </c>
      <c r="X193" s="135">
        <v>0</v>
      </c>
      <c r="Y193" s="136">
        <v>4.8000000000000007</v>
      </c>
      <c r="Z193" s="135">
        <v>0</v>
      </c>
      <c r="AA193" s="136">
        <v>7</v>
      </c>
      <c r="AB193" s="134">
        <v>0</v>
      </c>
      <c r="AC193" s="136">
        <v>7</v>
      </c>
      <c r="AE193" s="22">
        <v>156</v>
      </c>
      <c r="AF193" s="65"/>
      <c r="AG193" s="35">
        <v>0</v>
      </c>
      <c r="AH193" s="36">
        <v>0</v>
      </c>
      <c r="AI193" s="37"/>
      <c r="AJ193" s="35" t="s">
        <v>3</v>
      </c>
      <c r="AK193" s="36" t="s">
        <v>3</v>
      </c>
      <c r="AL193" s="35" t="s">
        <v>3</v>
      </c>
      <c r="AM193" s="36" t="s">
        <v>3</v>
      </c>
      <c r="AN193" s="37" t="s">
        <v>3</v>
      </c>
      <c r="AO193" s="36" t="s">
        <v>3</v>
      </c>
      <c r="AP193" s="37"/>
      <c r="AQ193" s="35">
        <v>219</v>
      </c>
      <c r="AR193" s="36">
        <v>240</v>
      </c>
      <c r="AS193" s="35">
        <v>309</v>
      </c>
      <c r="AT193" s="36">
        <v>150</v>
      </c>
      <c r="AU193" s="37">
        <v>315</v>
      </c>
      <c r="AV193" s="36">
        <v>144.00000000000003</v>
      </c>
      <c r="AW193" s="37">
        <v>249</v>
      </c>
      <c r="AX193" s="36">
        <v>210</v>
      </c>
      <c r="AY193" s="37">
        <v>249</v>
      </c>
      <c r="AZ193" s="36">
        <v>210</v>
      </c>
    </row>
    <row r="194" spans="1:52">
      <c r="A194" s="196" t="s">
        <v>1171</v>
      </c>
      <c r="B194" s="41" t="s">
        <v>664</v>
      </c>
      <c r="C194" s="211" t="s">
        <v>577</v>
      </c>
      <c r="D194" s="41">
        <v>93</v>
      </c>
      <c r="E194" s="41">
        <v>2.5</v>
      </c>
      <c r="F194" s="22" t="s">
        <v>1140</v>
      </c>
      <c r="G194" s="40">
        <v>24</v>
      </c>
      <c r="H194" s="80">
        <v>66.11570247933885</v>
      </c>
      <c r="I194" s="228"/>
      <c r="J194" s="35" t="s">
        <v>3</v>
      </c>
      <c r="K194" s="36" t="s">
        <v>3</v>
      </c>
      <c r="L194" s="498" t="s">
        <v>1210</v>
      </c>
      <c r="M194" s="135">
        <v>0</v>
      </c>
      <c r="N194" s="134">
        <v>1.8</v>
      </c>
      <c r="O194" s="135">
        <v>0</v>
      </c>
      <c r="P194" s="136">
        <v>1.8</v>
      </c>
      <c r="Q194" s="134">
        <v>0</v>
      </c>
      <c r="R194" s="136">
        <v>1.8</v>
      </c>
      <c r="S194" s="37"/>
      <c r="T194" s="135">
        <v>0</v>
      </c>
      <c r="U194" s="134">
        <v>0</v>
      </c>
      <c r="V194" s="135">
        <v>0</v>
      </c>
      <c r="W194" s="134">
        <v>0</v>
      </c>
      <c r="X194" s="135">
        <v>0</v>
      </c>
      <c r="Y194" s="136">
        <v>0</v>
      </c>
      <c r="Z194" s="135">
        <v>0</v>
      </c>
      <c r="AA194" s="136">
        <v>0</v>
      </c>
      <c r="AB194" s="134">
        <v>0</v>
      </c>
      <c r="AC194" s="136">
        <v>0</v>
      </c>
      <c r="AE194" s="22">
        <v>27</v>
      </c>
      <c r="AF194" s="65"/>
      <c r="AG194" s="35">
        <v>0</v>
      </c>
      <c r="AH194" s="36">
        <v>0</v>
      </c>
      <c r="AI194" s="37"/>
      <c r="AJ194" s="35">
        <v>50</v>
      </c>
      <c r="AK194" s="36">
        <v>43.2</v>
      </c>
      <c r="AL194" s="35">
        <v>50</v>
      </c>
      <c r="AM194" s="36">
        <v>43.2</v>
      </c>
      <c r="AN194" s="35">
        <v>50</v>
      </c>
      <c r="AO194" s="36">
        <v>43.2</v>
      </c>
      <c r="AP194" s="37"/>
      <c r="AQ194" s="35">
        <v>93</v>
      </c>
      <c r="AR194" s="36">
        <v>0</v>
      </c>
      <c r="AS194" s="35">
        <v>93</v>
      </c>
      <c r="AT194" s="36">
        <v>0</v>
      </c>
      <c r="AU194" s="35">
        <v>93</v>
      </c>
      <c r="AV194" s="36">
        <v>0</v>
      </c>
      <c r="AW194" s="35">
        <v>93</v>
      </c>
      <c r="AX194" s="36">
        <v>0</v>
      </c>
      <c r="AY194" s="35">
        <v>93</v>
      </c>
      <c r="AZ194" s="36">
        <v>0</v>
      </c>
    </row>
    <row r="195" spans="1:52">
      <c r="A195" s="196" t="s">
        <v>1172</v>
      </c>
      <c r="B195" s="41" t="s">
        <v>664</v>
      </c>
      <c r="C195" s="211" t="s">
        <v>784</v>
      </c>
      <c r="D195" s="41">
        <v>110</v>
      </c>
      <c r="E195" s="41">
        <v>2.5</v>
      </c>
      <c r="F195" s="22" t="s">
        <v>1140</v>
      </c>
      <c r="G195" s="413">
        <v>24</v>
      </c>
      <c r="H195" s="80">
        <v>89.256198347107443</v>
      </c>
      <c r="I195" s="228"/>
      <c r="J195" s="35" t="s">
        <v>3</v>
      </c>
      <c r="K195" s="36" t="s">
        <v>3</v>
      </c>
      <c r="L195" s="498" t="s">
        <v>1210</v>
      </c>
      <c r="M195" s="135">
        <v>0</v>
      </c>
      <c r="N195" s="134">
        <v>3.1</v>
      </c>
      <c r="O195" s="135">
        <v>0</v>
      </c>
      <c r="P195" s="136">
        <v>0.30000000000000004</v>
      </c>
      <c r="Q195" s="134">
        <v>0</v>
      </c>
      <c r="R195" s="136">
        <v>0.30000000000000004</v>
      </c>
      <c r="S195" s="37"/>
      <c r="T195" s="135">
        <v>0</v>
      </c>
      <c r="U195" s="134">
        <v>3.4000000000000004</v>
      </c>
      <c r="V195" s="135">
        <v>0</v>
      </c>
      <c r="W195" s="134">
        <v>2.5</v>
      </c>
      <c r="X195" s="135">
        <v>0</v>
      </c>
      <c r="Y195" s="136">
        <v>1.3</v>
      </c>
      <c r="Z195" s="135">
        <v>0</v>
      </c>
      <c r="AA195" s="136">
        <v>1.2000000000000002</v>
      </c>
      <c r="AB195" s="134">
        <v>0</v>
      </c>
      <c r="AC195" s="136">
        <v>1.2000000000000002</v>
      </c>
      <c r="AE195" s="22">
        <v>21</v>
      </c>
      <c r="AF195" s="65"/>
      <c r="AG195" s="35">
        <v>0</v>
      </c>
      <c r="AH195" s="36">
        <v>0</v>
      </c>
      <c r="AI195" s="37"/>
      <c r="AJ195" s="35">
        <v>36</v>
      </c>
      <c r="AK195" s="36">
        <v>74.400000000000006</v>
      </c>
      <c r="AL195" s="35">
        <v>103</v>
      </c>
      <c r="AM195" s="36">
        <v>7.2000000000000011</v>
      </c>
      <c r="AN195" s="37">
        <v>103</v>
      </c>
      <c r="AO195" s="36">
        <v>7.2000000000000011</v>
      </c>
      <c r="AP195" s="37"/>
      <c r="AQ195" s="35">
        <v>28</v>
      </c>
      <c r="AR195" s="36">
        <v>81.600000000000009</v>
      </c>
      <c r="AS195" s="35">
        <v>50</v>
      </c>
      <c r="AT195" s="36">
        <v>60</v>
      </c>
      <c r="AU195" s="37">
        <v>79</v>
      </c>
      <c r="AV195" s="36">
        <v>31.200000000000003</v>
      </c>
      <c r="AW195" s="37">
        <v>81</v>
      </c>
      <c r="AX195" s="36">
        <v>28.800000000000004</v>
      </c>
      <c r="AY195" s="37">
        <v>81</v>
      </c>
      <c r="AZ195" s="36">
        <v>28.800000000000004</v>
      </c>
    </row>
    <row r="196" spans="1:52">
      <c r="A196" s="196" t="s">
        <v>1173</v>
      </c>
      <c r="B196" s="41" t="s">
        <v>664</v>
      </c>
      <c r="C196" s="211" t="s">
        <v>785</v>
      </c>
      <c r="D196" s="41">
        <v>64</v>
      </c>
      <c r="E196" s="41">
        <v>2.5</v>
      </c>
      <c r="F196" s="22" t="s">
        <v>1140</v>
      </c>
      <c r="G196" s="40">
        <v>24</v>
      </c>
      <c r="H196" s="80">
        <v>58.677685950413228</v>
      </c>
      <c r="I196" s="228"/>
      <c r="J196" s="35" t="s">
        <v>3</v>
      </c>
      <c r="K196" s="36" t="s">
        <v>3</v>
      </c>
      <c r="L196" s="498" t="s">
        <v>1210</v>
      </c>
      <c r="M196" s="135">
        <v>0</v>
      </c>
      <c r="N196" s="134">
        <v>1.5</v>
      </c>
      <c r="O196" s="135">
        <v>0</v>
      </c>
      <c r="P196" s="136">
        <v>1.5</v>
      </c>
      <c r="Q196" s="134">
        <v>0</v>
      </c>
      <c r="R196" s="136">
        <v>1.5</v>
      </c>
      <c r="S196" s="37"/>
      <c r="T196" s="135">
        <v>0</v>
      </c>
      <c r="U196" s="134">
        <v>0.5</v>
      </c>
      <c r="V196" s="135">
        <v>0</v>
      </c>
      <c r="W196" s="134">
        <v>0.5</v>
      </c>
      <c r="X196" s="135">
        <v>0</v>
      </c>
      <c r="Y196" s="136">
        <v>0.5</v>
      </c>
      <c r="Z196" s="135">
        <v>0</v>
      </c>
      <c r="AA196" s="136">
        <v>0.4</v>
      </c>
      <c r="AB196" s="134">
        <v>0</v>
      </c>
      <c r="AC196" s="136">
        <v>0.4</v>
      </c>
      <c r="AE196" s="22">
        <v>5</v>
      </c>
      <c r="AF196" s="65"/>
      <c r="AG196" s="35">
        <v>0</v>
      </c>
      <c r="AH196" s="36">
        <v>0</v>
      </c>
      <c r="AI196" s="37"/>
      <c r="AJ196" s="35">
        <v>28</v>
      </c>
      <c r="AK196" s="36">
        <v>36</v>
      </c>
      <c r="AL196" s="35">
        <v>28</v>
      </c>
      <c r="AM196" s="36">
        <v>36</v>
      </c>
      <c r="AN196" s="35">
        <v>28</v>
      </c>
      <c r="AO196" s="36">
        <v>36</v>
      </c>
      <c r="AP196" s="37"/>
      <c r="AQ196" s="35">
        <v>52</v>
      </c>
      <c r="AR196" s="36">
        <v>12</v>
      </c>
      <c r="AS196" s="35">
        <v>52</v>
      </c>
      <c r="AT196" s="36">
        <v>12</v>
      </c>
      <c r="AU196" s="35">
        <v>52</v>
      </c>
      <c r="AV196" s="36">
        <v>12</v>
      </c>
      <c r="AW196" s="35">
        <v>54</v>
      </c>
      <c r="AX196" s="36">
        <v>9.6000000000000014</v>
      </c>
      <c r="AY196" s="35">
        <v>54</v>
      </c>
      <c r="AZ196" s="36">
        <v>9.6000000000000014</v>
      </c>
    </row>
    <row r="197" spans="1:52">
      <c r="A197" s="196" t="s">
        <v>1098</v>
      </c>
      <c r="B197" s="41" t="s">
        <v>664</v>
      </c>
      <c r="C197" s="211" t="s">
        <v>650</v>
      </c>
      <c r="D197" s="41">
        <v>60</v>
      </c>
      <c r="E197" s="41">
        <v>0</v>
      </c>
      <c r="F197" s="22" t="s">
        <v>1099</v>
      </c>
      <c r="G197" s="40">
        <v>24</v>
      </c>
      <c r="H197" s="80">
        <v>55.371900826446286</v>
      </c>
      <c r="I197" s="228"/>
      <c r="J197" s="35" t="s">
        <v>3</v>
      </c>
      <c r="K197" s="36" t="s">
        <v>3</v>
      </c>
      <c r="L197" s="498" t="s">
        <v>1210</v>
      </c>
      <c r="M197" s="135">
        <v>0</v>
      </c>
      <c r="N197" s="134">
        <v>1.4000000000000001</v>
      </c>
      <c r="O197" s="135">
        <v>0</v>
      </c>
      <c r="P197" s="136">
        <v>1.4000000000000001</v>
      </c>
      <c r="Q197" s="134">
        <v>0</v>
      </c>
      <c r="R197" s="136">
        <v>1.4000000000000001</v>
      </c>
      <c r="S197" s="37"/>
      <c r="T197" s="135">
        <v>0</v>
      </c>
      <c r="U197" s="134">
        <v>0.5</v>
      </c>
      <c r="V197" s="135">
        <v>0</v>
      </c>
      <c r="W197" s="134">
        <v>0.5</v>
      </c>
      <c r="X197" s="135">
        <v>0</v>
      </c>
      <c r="Y197" s="136">
        <v>0.5</v>
      </c>
      <c r="Z197" s="135">
        <v>0</v>
      </c>
      <c r="AA197" s="136">
        <v>0.4</v>
      </c>
      <c r="AB197" s="134">
        <v>0</v>
      </c>
      <c r="AC197" s="136">
        <v>0.4</v>
      </c>
      <c r="AE197" s="22">
        <v>5</v>
      </c>
      <c r="AF197" s="65"/>
      <c r="AG197" s="35">
        <v>0</v>
      </c>
      <c r="AH197" s="36">
        <v>0</v>
      </c>
      <c r="AI197" s="37"/>
      <c r="AJ197" s="35">
        <v>26</v>
      </c>
      <c r="AK197" s="36">
        <v>33.6</v>
      </c>
      <c r="AL197" s="35">
        <v>26</v>
      </c>
      <c r="AM197" s="36">
        <v>33.6</v>
      </c>
      <c r="AN197" s="37">
        <v>26</v>
      </c>
      <c r="AO197" s="36">
        <v>33.6</v>
      </c>
      <c r="AP197" s="37"/>
      <c r="AQ197" s="35">
        <v>48</v>
      </c>
      <c r="AR197" s="36">
        <v>12</v>
      </c>
      <c r="AS197" s="35">
        <v>48</v>
      </c>
      <c r="AT197" s="36">
        <v>12</v>
      </c>
      <c r="AU197" s="37">
        <v>48</v>
      </c>
      <c r="AV197" s="36">
        <v>12</v>
      </c>
      <c r="AW197" s="37">
        <v>50</v>
      </c>
      <c r="AX197" s="36">
        <v>9.6000000000000014</v>
      </c>
      <c r="AY197" s="37">
        <v>50</v>
      </c>
      <c r="AZ197" s="36">
        <v>9.6000000000000014</v>
      </c>
    </row>
    <row r="198" spans="1:52">
      <c r="A198" s="196" t="s">
        <v>1174</v>
      </c>
      <c r="B198" s="41" t="s">
        <v>664</v>
      </c>
      <c r="C198" s="211" t="s">
        <v>562</v>
      </c>
      <c r="D198" s="41">
        <v>348</v>
      </c>
      <c r="E198" s="41">
        <v>2.5</v>
      </c>
      <c r="F198" s="22" t="s">
        <v>1140</v>
      </c>
      <c r="G198" s="413">
        <v>24</v>
      </c>
      <c r="H198" s="80">
        <v>161.98347107438016</v>
      </c>
      <c r="I198" s="228"/>
      <c r="J198" s="35" t="s">
        <v>3</v>
      </c>
      <c r="K198" s="36" t="s">
        <v>3</v>
      </c>
      <c r="L198" s="498" t="s">
        <v>1210</v>
      </c>
      <c r="M198" s="135" t="s">
        <v>3</v>
      </c>
      <c r="N198" s="134" t="s">
        <v>3</v>
      </c>
      <c r="O198" s="135" t="s">
        <v>3</v>
      </c>
      <c r="P198" s="136" t="s">
        <v>3</v>
      </c>
      <c r="Q198" s="134" t="s">
        <v>3</v>
      </c>
      <c r="R198" s="136" t="s">
        <v>3</v>
      </c>
      <c r="S198" s="37"/>
      <c r="T198" s="135">
        <v>0</v>
      </c>
      <c r="U198" s="134">
        <v>5.6000000000000005</v>
      </c>
      <c r="V198" s="135">
        <v>0</v>
      </c>
      <c r="W198" s="134">
        <v>3.4000000000000004</v>
      </c>
      <c r="X198" s="135">
        <v>0</v>
      </c>
      <c r="Y198" s="136">
        <v>3.4000000000000004</v>
      </c>
      <c r="Z198" s="135">
        <v>0</v>
      </c>
      <c r="AA198" s="136">
        <v>3.3000000000000003</v>
      </c>
      <c r="AB198" s="134">
        <v>0</v>
      </c>
      <c r="AC198" s="136">
        <v>3.3000000000000003</v>
      </c>
      <c r="AE198" s="22">
        <v>186</v>
      </c>
      <c r="AF198" s="65"/>
      <c r="AG198" s="35">
        <v>0</v>
      </c>
      <c r="AH198" s="36">
        <v>0</v>
      </c>
      <c r="AI198" s="37"/>
      <c r="AJ198" s="35" t="s">
        <v>3</v>
      </c>
      <c r="AK198" s="36" t="s">
        <v>3</v>
      </c>
      <c r="AL198" s="35" t="s">
        <v>3</v>
      </c>
      <c r="AM198" s="36" t="s">
        <v>3</v>
      </c>
      <c r="AN198" s="37" t="s">
        <v>3</v>
      </c>
      <c r="AO198" s="36" t="s">
        <v>3</v>
      </c>
      <c r="AP198" s="37"/>
      <c r="AQ198" s="35">
        <v>214</v>
      </c>
      <c r="AR198" s="36">
        <v>134.4</v>
      </c>
      <c r="AS198" s="35">
        <v>266</v>
      </c>
      <c r="AT198" s="36">
        <v>81.600000000000009</v>
      </c>
      <c r="AU198" s="37">
        <v>266</v>
      </c>
      <c r="AV198" s="36">
        <v>81.600000000000009</v>
      </c>
      <c r="AW198" s="37">
        <v>269</v>
      </c>
      <c r="AX198" s="36">
        <v>79.2</v>
      </c>
      <c r="AY198" s="37">
        <v>269</v>
      </c>
      <c r="AZ198" s="36">
        <v>79.2</v>
      </c>
    </row>
    <row r="199" spans="1:52" ht="13.5" thickBot="1">
      <c r="A199" s="196" t="s">
        <v>1175</v>
      </c>
      <c r="B199" s="222" t="s">
        <v>664</v>
      </c>
      <c r="C199" s="296" t="s">
        <v>605</v>
      </c>
      <c r="D199" s="222">
        <v>141</v>
      </c>
      <c r="E199" s="222">
        <v>2.5</v>
      </c>
      <c r="F199" s="223" t="s">
        <v>1140</v>
      </c>
      <c r="G199" s="224">
        <v>24</v>
      </c>
      <c r="H199" s="226">
        <v>105.78512396694215</v>
      </c>
      <c r="I199" s="499"/>
      <c r="J199" s="225" t="s">
        <v>3</v>
      </c>
      <c r="K199" s="220" t="s">
        <v>3</v>
      </c>
      <c r="L199" s="500" t="s">
        <v>1210</v>
      </c>
      <c r="M199" s="501">
        <v>0</v>
      </c>
      <c r="N199" s="502">
        <v>3.8000000000000003</v>
      </c>
      <c r="O199" s="501">
        <v>0</v>
      </c>
      <c r="P199" s="221">
        <v>0.9</v>
      </c>
      <c r="Q199" s="502">
        <v>0</v>
      </c>
      <c r="R199" s="221">
        <v>0.30000000000000004</v>
      </c>
      <c r="S199" s="219"/>
      <c r="T199" s="501">
        <v>0</v>
      </c>
      <c r="U199" s="502">
        <v>4</v>
      </c>
      <c r="V199" s="501">
        <v>0</v>
      </c>
      <c r="W199" s="502">
        <v>1.7000000000000002</v>
      </c>
      <c r="X199" s="501">
        <v>0</v>
      </c>
      <c r="Y199" s="221">
        <v>1.7000000000000002</v>
      </c>
      <c r="Z199" s="501">
        <v>0</v>
      </c>
      <c r="AA199" s="221">
        <v>1.7000000000000002</v>
      </c>
      <c r="AB199" s="502">
        <v>0</v>
      </c>
      <c r="AC199" s="221">
        <v>1.7000000000000002</v>
      </c>
      <c r="AD199" s="503"/>
      <c r="AE199" s="223">
        <v>35</v>
      </c>
      <c r="AF199" s="504"/>
      <c r="AG199" s="225">
        <v>0</v>
      </c>
      <c r="AH199" s="220">
        <v>0</v>
      </c>
      <c r="AI199" s="219"/>
      <c r="AJ199" s="225">
        <v>50</v>
      </c>
      <c r="AK199" s="220">
        <v>91.2</v>
      </c>
      <c r="AL199" s="225">
        <v>119</v>
      </c>
      <c r="AM199" s="220">
        <v>21.6</v>
      </c>
      <c r="AN199" s="225">
        <v>134</v>
      </c>
      <c r="AO199" s="220">
        <v>7.2000000000000011</v>
      </c>
      <c r="AP199" s="219"/>
      <c r="AQ199" s="225">
        <v>45</v>
      </c>
      <c r="AR199" s="220">
        <v>96</v>
      </c>
      <c r="AS199" s="225">
        <v>100</v>
      </c>
      <c r="AT199" s="220">
        <v>40.800000000000004</v>
      </c>
      <c r="AU199" s="225">
        <v>100</v>
      </c>
      <c r="AV199" s="220">
        <v>40.800000000000004</v>
      </c>
      <c r="AW199" s="225">
        <v>100</v>
      </c>
      <c r="AX199" s="220">
        <v>40.800000000000004</v>
      </c>
      <c r="AY199" s="225">
        <v>100</v>
      </c>
      <c r="AZ199" s="220">
        <v>40.800000000000004</v>
      </c>
    </row>
  </sheetData>
  <autoFilter ref="A28:BI28" xr:uid="{00000000-0001-0000-0700-000000000000}"/>
  <sortState xmlns:xlrd2="http://schemas.microsoft.com/office/spreadsheetml/2017/richdata2" ref="A29:BI199">
    <sortCondition ref="I29:I199"/>
    <sortCondition ref="C29:C199"/>
  </sortState>
  <mergeCells count="101">
    <mergeCell ref="AY26:AZ26"/>
    <mergeCell ref="AQ24:AZ24"/>
    <mergeCell ref="AJ22:AZ22"/>
    <mergeCell ref="Z12:AA12"/>
    <mergeCell ref="AB12:AC12"/>
    <mergeCell ref="T4:U4"/>
    <mergeCell ref="T6:U11"/>
    <mergeCell ref="T12:U12"/>
    <mergeCell ref="O4:P11"/>
    <mergeCell ref="Q4:R11"/>
    <mergeCell ref="V4:W11"/>
    <mergeCell ref="X4:Y11"/>
    <mergeCell ref="X12:Y12"/>
    <mergeCell ref="V12:W12"/>
    <mergeCell ref="AE22:AE26"/>
    <mergeCell ref="AG22:AH24"/>
    <mergeCell ref="AL26:AM26"/>
    <mergeCell ref="AN26:AO26"/>
    <mergeCell ref="AQ26:AR26"/>
    <mergeCell ref="AS26:AT26"/>
    <mergeCell ref="AU26:AV26"/>
    <mergeCell ref="AW26:AX26"/>
    <mergeCell ref="AG26:AH26"/>
    <mergeCell ref="AJ26:AK26"/>
    <mergeCell ref="B1:G1"/>
    <mergeCell ref="H1:H3"/>
    <mergeCell ref="J1:K1"/>
    <mergeCell ref="M1:AC1"/>
    <mergeCell ref="J3:K3"/>
    <mergeCell ref="M3:N3"/>
    <mergeCell ref="O3:P3"/>
    <mergeCell ref="Q3:R3"/>
    <mergeCell ref="T3:U3"/>
    <mergeCell ref="V3:W3"/>
    <mergeCell ref="Z3:AA3"/>
    <mergeCell ref="AB3:AC3"/>
    <mergeCell ref="X3:Y3"/>
    <mergeCell ref="D16:G16"/>
    <mergeCell ref="J16:K16"/>
    <mergeCell ref="M16:N16"/>
    <mergeCell ref="O16:P16"/>
    <mergeCell ref="Q16:R16"/>
    <mergeCell ref="D12:G13"/>
    <mergeCell ref="J12:K12"/>
    <mergeCell ref="M12:N12"/>
    <mergeCell ref="O12:P12"/>
    <mergeCell ref="Q12:R12"/>
    <mergeCell ref="J13:K13"/>
    <mergeCell ref="M13:N13"/>
    <mergeCell ref="O13:P13"/>
    <mergeCell ref="Q13:R13"/>
    <mergeCell ref="D14:G14"/>
    <mergeCell ref="J14:K14"/>
    <mergeCell ref="M14:N14"/>
    <mergeCell ref="O14:P14"/>
    <mergeCell ref="Q14:R14"/>
    <mergeCell ref="M4:N4"/>
    <mergeCell ref="T16:U16"/>
    <mergeCell ref="T14:U14"/>
    <mergeCell ref="T13:U13"/>
    <mergeCell ref="V13:W13"/>
    <mergeCell ref="Z4:AA11"/>
    <mergeCell ref="AB4:AC11"/>
    <mergeCell ref="T15:U15"/>
    <mergeCell ref="Q15:R15"/>
    <mergeCell ref="B22:G26"/>
    <mergeCell ref="H22:H26"/>
    <mergeCell ref="J22:K24"/>
    <mergeCell ref="M22:AC22"/>
    <mergeCell ref="J26:K26"/>
    <mergeCell ref="D15:G15"/>
    <mergeCell ref="J15:K15"/>
    <mergeCell ref="M15:N15"/>
    <mergeCell ref="O15:P15"/>
    <mergeCell ref="V15:W15"/>
    <mergeCell ref="Z15:AA15"/>
    <mergeCell ref="AB15:AC15"/>
    <mergeCell ref="B4:C16"/>
    <mergeCell ref="D4:G11"/>
    <mergeCell ref="X26:Y26"/>
    <mergeCell ref="H4:H11"/>
    <mergeCell ref="X14:Y14"/>
    <mergeCell ref="M24:R24"/>
    <mergeCell ref="T24:AC24"/>
    <mergeCell ref="M26:N26"/>
    <mergeCell ref="O26:P26"/>
    <mergeCell ref="Q26:R26"/>
    <mergeCell ref="T26:U26"/>
    <mergeCell ref="J4:K11"/>
    <mergeCell ref="AJ24:AO24"/>
    <mergeCell ref="V16:W16"/>
    <mergeCell ref="Z16:AA16"/>
    <mergeCell ref="AB16:AC16"/>
    <mergeCell ref="V26:W26"/>
    <mergeCell ref="Z26:AA26"/>
    <mergeCell ref="AB26:AC26"/>
    <mergeCell ref="Z14:AA14"/>
    <mergeCell ref="AB14:AC14"/>
    <mergeCell ref="V14:W14"/>
    <mergeCell ref="X15:Y15"/>
    <mergeCell ref="X16:Y16"/>
  </mergeCells>
  <phoneticPr fontId="73" type="noConversion"/>
  <conditionalFormatting sqref="F3">
    <cfRule type="expression" dxfId="1" priority="1" stopIfTrue="1">
      <formula>ISERROR(F3)</formula>
    </cfRule>
    <cfRule type="cellIs" dxfId="0" priority="2" stopIfTrue="1" operator="lessThan">
      <formula>0</formula>
    </cfRule>
  </conditionalFormatting>
  <pageMargins left="0.7" right="0.7" top="0.75" bottom="0.75" header="0.3" footer="0.3"/>
  <pageSetup paperSize="9" orientation="portrait" horizontalDpi="90" verticalDpi="90" r:id="rId1"/>
  <headerFooter>
    <oddFooter>&amp;C&amp;1#&amp;"Calibri"&amp;8&amp;KED7D31Orange Restricted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0"/>
  <dimension ref="A1:C47"/>
  <sheetViews>
    <sheetView zoomScale="85" zoomScaleNormal="85" workbookViewId="0">
      <selection activeCell="G22" sqref="G22"/>
    </sheetView>
  </sheetViews>
  <sheetFormatPr baseColWidth="10" defaultRowHeight="12.75"/>
  <cols>
    <col min="3" max="3" width="39.28515625" bestFit="1" customWidth="1"/>
    <col min="4" max="4" width="36" customWidth="1"/>
    <col min="5" max="5" width="12.7109375" bestFit="1" customWidth="1"/>
    <col min="7" max="7" width="39.28515625" bestFit="1" customWidth="1"/>
    <col min="9" max="9" width="29.42578125" bestFit="1" customWidth="1"/>
    <col min="12" max="12" width="40.28515625" bestFit="1" customWidth="1"/>
    <col min="16" max="16" width="39" bestFit="1" customWidth="1"/>
  </cols>
  <sheetData>
    <row r="1" spans="1:3">
      <c r="A1" t="s">
        <v>410</v>
      </c>
      <c r="B1" s="19" t="s">
        <v>19</v>
      </c>
      <c r="C1" s="20" t="s">
        <v>32</v>
      </c>
    </row>
    <row r="2" spans="1:3">
      <c r="A2" t="s">
        <v>374</v>
      </c>
      <c r="B2" s="127" t="e">
        <f>VLOOKUP($C2,#REF!,9,0)</f>
        <v>#REF!</v>
      </c>
      <c r="C2" s="139" t="s">
        <v>451</v>
      </c>
    </row>
    <row r="3" spans="1:3">
      <c r="A3" t="s">
        <v>373</v>
      </c>
      <c r="B3" s="127" t="e">
        <f>VLOOKUP($C3,#REF!,9,0)</f>
        <v>#REF!</v>
      </c>
      <c r="C3" s="140" t="s">
        <v>401</v>
      </c>
    </row>
    <row r="4" spans="1:3">
      <c r="A4" t="s">
        <v>374</v>
      </c>
      <c r="B4" s="127" t="e">
        <f>VLOOKUP($C4,#REF!,9,0)</f>
        <v>#REF!</v>
      </c>
      <c r="C4" s="139" t="s">
        <v>390</v>
      </c>
    </row>
    <row r="5" spans="1:3">
      <c r="A5" t="s">
        <v>373</v>
      </c>
      <c r="B5" s="127" t="e">
        <f>VLOOKUP($C5,#REF!,9,0)</f>
        <v>#REF!</v>
      </c>
      <c r="C5" s="140" t="s">
        <v>399</v>
      </c>
    </row>
    <row r="6" spans="1:3">
      <c r="A6" t="s">
        <v>374</v>
      </c>
      <c r="B6" s="127" t="e">
        <f>VLOOKUP($C6,#REF!,9,0)</f>
        <v>#REF!</v>
      </c>
      <c r="C6" s="139" t="s">
        <v>398</v>
      </c>
    </row>
    <row r="7" spans="1:3">
      <c r="A7" t="s">
        <v>373</v>
      </c>
      <c r="B7" s="127" t="e">
        <f>VLOOKUP($C7,#REF!,9,0)</f>
        <v>#REF!</v>
      </c>
      <c r="C7" s="140" t="s">
        <v>397</v>
      </c>
    </row>
    <row r="8" spans="1:3">
      <c r="A8" t="s">
        <v>374</v>
      </c>
      <c r="B8" s="127" t="e">
        <f>VLOOKUP($C8,#REF!,9,0)</f>
        <v>#REF!</v>
      </c>
      <c r="C8" s="139" t="s">
        <v>393</v>
      </c>
    </row>
    <row r="9" spans="1:3">
      <c r="A9" t="s">
        <v>373</v>
      </c>
      <c r="B9" s="127" t="e">
        <f>VLOOKUP($C9,#REF!,9,0)</f>
        <v>#REF!</v>
      </c>
      <c r="C9" s="140" t="s">
        <v>392</v>
      </c>
    </row>
    <row r="10" spans="1:3">
      <c r="A10" t="s">
        <v>374</v>
      </c>
      <c r="B10" s="127" t="e">
        <f>VLOOKUP($C10,#REF!,9,0)</f>
        <v>#REF!</v>
      </c>
      <c r="C10" s="139" t="s">
        <v>400</v>
      </c>
    </row>
    <row r="11" spans="1:3">
      <c r="A11" t="s">
        <v>373</v>
      </c>
      <c r="B11" s="127" t="e">
        <f>VLOOKUP($C11,#REF!,9,0)</f>
        <v>#REF!</v>
      </c>
      <c r="C11" s="140" t="s">
        <v>384</v>
      </c>
    </row>
    <row r="12" spans="1:3">
      <c r="A12" t="s">
        <v>374</v>
      </c>
      <c r="B12" s="127" t="e">
        <f>VLOOKUP($C12,#REF!,9,0)</f>
        <v>#REF!</v>
      </c>
      <c r="C12" s="139" t="s">
        <v>383</v>
      </c>
    </row>
    <row r="13" spans="1:3">
      <c r="A13" t="s">
        <v>373</v>
      </c>
      <c r="B13" s="127" t="e">
        <f>VLOOKUP($C13,#REF!,9,0)</f>
        <v>#REF!</v>
      </c>
      <c r="C13" s="140" t="s">
        <v>458</v>
      </c>
    </row>
    <row r="14" spans="1:3">
      <c r="A14" t="s">
        <v>374</v>
      </c>
      <c r="B14" s="127" t="e">
        <f>VLOOKUP($C14,#REF!,9,0)</f>
        <v>#REF!</v>
      </c>
      <c r="C14" s="139" t="s">
        <v>394</v>
      </c>
    </row>
    <row r="15" spans="1:3">
      <c r="A15" t="s">
        <v>373</v>
      </c>
      <c r="B15" s="127" t="e">
        <f>VLOOKUP($C15,#REF!,9,0)</f>
        <v>#REF!</v>
      </c>
      <c r="C15" s="140" t="s">
        <v>403</v>
      </c>
    </row>
    <row r="16" spans="1:3">
      <c r="A16" t="s">
        <v>374</v>
      </c>
      <c r="B16" s="127" t="e">
        <f>VLOOKUP($C16,#REF!,9,0)</f>
        <v>#REF!</v>
      </c>
      <c r="C16" s="139" t="s">
        <v>386</v>
      </c>
    </row>
    <row r="17" spans="1:3">
      <c r="A17" t="s">
        <v>373</v>
      </c>
      <c r="B17" s="127" t="e">
        <f>VLOOKUP($C17,#REF!,9,0)</f>
        <v>#REF!</v>
      </c>
      <c r="C17" s="140" t="s">
        <v>395</v>
      </c>
    </row>
    <row r="18" spans="1:3">
      <c r="A18" t="s">
        <v>374</v>
      </c>
      <c r="B18" s="127" t="e">
        <f>VLOOKUP($C18,#REF!,9,0)</f>
        <v>#REF!</v>
      </c>
      <c r="C18" s="139" t="s">
        <v>406</v>
      </c>
    </row>
    <row r="19" spans="1:3">
      <c r="A19" t="s">
        <v>373</v>
      </c>
      <c r="B19" s="127" t="e">
        <f>VLOOKUP($C19,#REF!,9,0)</f>
        <v>#REF!</v>
      </c>
      <c r="C19" s="140" t="s">
        <v>407</v>
      </c>
    </row>
    <row r="20" spans="1:3">
      <c r="A20" t="s">
        <v>374</v>
      </c>
      <c r="B20" s="127" t="e">
        <f>VLOOKUP($C20,#REF!,9,0)</f>
        <v>#REF!</v>
      </c>
      <c r="C20" s="139" t="s">
        <v>408</v>
      </c>
    </row>
    <row r="21" spans="1:3">
      <c r="A21" t="s">
        <v>373</v>
      </c>
      <c r="B21" s="127" t="e">
        <f>VLOOKUP($C21,#REF!,9,0)</f>
        <v>#REF!</v>
      </c>
      <c r="C21" s="140" t="s">
        <v>411</v>
      </c>
    </row>
    <row r="22" spans="1:3">
      <c r="A22" t="s">
        <v>374</v>
      </c>
      <c r="B22" s="127" t="e">
        <f>VLOOKUP($C22,#REF!,9,0)</f>
        <v>#REF!</v>
      </c>
      <c r="C22" s="139" t="s">
        <v>454</v>
      </c>
    </row>
    <row r="23" spans="1:3">
      <c r="A23" t="s">
        <v>373</v>
      </c>
      <c r="B23" s="127" t="e">
        <f>VLOOKUP($C23,#REF!,9,0)</f>
        <v>#REF!</v>
      </c>
      <c r="C23" s="140" t="s">
        <v>455</v>
      </c>
    </row>
    <row r="24" spans="1:3">
      <c r="A24" t="s">
        <v>374</v>
      </c>
      <c r="B24" s="127" t="e">
        <f>VLOOKUP($C24,#REF!,9,0)</f>
        <v>#REF!</v>
      </c>
      <c r="C24" s="139" t="s">
        <v>456</v>
      </c>
    </row>
    <row r="25" spans="1:3">
      <c r="A25" t="s">
        <v>373</v>
      </c>
      <c r="B25" s="127"/>
      <c r="C25" s="139"/>
    </row>
    <row r="26" spans="1:3">
      <c r="A26" t="s">
        <v>374</v>
      </c>
      <c r="B26" s="127" t="e">
        <f>VLOOKUP($C26,#REF!,9,0)</f>
        <v>#REF!</v>
      </c>
      <c r="C26" s="140" t="s">
        <v>459</v>
      </c>
    </row>
    <row r="27" spans="1:3">
      <c r="A27" t="s">
        <v>373</v>
      </c>
      <c r="B27" s="127" t="e">
        <f>VLOOKUP($C27,#REF!,9,0)</f>
        <v>#REF!</v>
      </c>
      <c r="C27" s="139" t="s">
        <v>457</v>
      </c>
    </row>
    <row r="28" spans="1:3">
      <c r="A28" t="s">
        <v>374</v>
      </c>
      <c r="B28" s="127"/>
      <c r="C28" s="139"/>
    </row>
    <row r="29" spans="1:3">
      <c r="A29" t="s">
        <v>373</v>
      </c>
      <c r="B29" s="127" t="e">
        <f>VLOOKUP($C29,#REF!,9,0)</f>
        <v>#REF!</v>
      </c>
      <c r="C29" s="140" t="s">
        <v>383</v>
      </c>
    </row>
    <row r="30" spans="1:3">
      <c r="A30" t="s">
        <v>373</v>
      </c>
      <c r="B30" s="127" t="e">
        <f>VLOOKUP($C30,#REF!,9,0)</f>
        <v>#REF!</v>
      </c>
      <c r="C30" s="139" t="s">
        <v>458</v>
      </c>
    </row>
    <row r="31" spans="1:3">
      <c r="A31" t="s">
        <v>374</v>
      </c>
      <c r="B31" s="153" t="s">
        <v>20</v>
      </c>
      <c r="C31" s="140" t="s">
        <v>396</v>
      </c>
    </row>
    <row r="32" spans="1:3">
      <c r="A32" t="s">
        <v>373</v>
      </c>
    </row>
    <row r="33" spans="1:1">
      <c r="A33" t="s">
        <v>374</v>
      </c>
    </row>
    <row r="34" spans="1:1">
      <c r="A34" t="s">
        <v>373</v>
      </c>
    </row>
    <row r="35" spans="1:1">
      <c r="A35" t="s">
        <v>374</v>
      </c>
    </row>
    <row r="36" spans="1:1">
      <c r="A36" t="s">
        <v>373</v>
      </c>
    </row>
    <row r="37" spans="1:1">
      <c r="A37" t="s">
        <v>374</v>
      </c>
    </row>
    <row r="38" spans="1:1">
      <c r="A38" t="s">
        <v>373</v>
      </c>
    </row>
    <row r="39" spans="1:1">
      <c r="A39" t="s">
        <v>374</v>
      </c>
    </row>
    <row r="40" spans="1:1">
      <c r="A40" t="s">
        <v>373</v>
      </c>
    </row>
    <row r="41" spans="1:1">
      <c r="A41" t="s">
        <v>374</v>
      </c>
    </row>
    <row r="42" spans="1:1">
      <c r="A42" t="s">
        <v>373</v>
      </c>
    </row>
    <row r="43" spans="1:1">
      <c r="A43" t="s">
        <v>374</v>
      </c>
    </row>
    <row r="44" spans="1:1">
      <c r="A44" t="s">
        <v>373</v>
      </c>
    </row>
    <row r="45" spans="1:1">
      <c r="A45" t="s">
        <v>374</v>
      </c>
    </row>
    <row r="46" spans="1:1">
      <c r="A46" t="s">
        <v>373</v>
      </c>
    </row>
    <row r="47" spans="1:1">
      <c r="A47" t="s">
        <v>374</v>
      </c>
    </row>
  </sheetData>
  <autoFilter ref="A1:C47" xr:uid="{00000000-0009-0000-0000-00000A000000}"/>
  <sortState xmlns:xlrd2="http://schemas.microsoft.com/office/spreadsheetml/2017/richdata2" ref="B2:C22">
    <sortCondition ref="C2:C22"/>
  </sortState>
  <pageMargins left="0.7" right="0.7" top="0.75" bottom="0.75" header="0.3" footer="0.3"/>
  <pageSetup paperSize="9" orientation="portrait" r:id="rId1"/>
  <headerFooter>
    <oddFooter>&amp;C&amp;1#&amp;"Calibri"&amp;8&amp;KED7D31Orange Restricted</oddFooter>
  </headerFooter>
</worksheet>
</file>

<file path=docMetadata/LabelInfo.xml><?xml version="1.0" encoding="utf-8"?>
<clbl:labelList xmlns:clbl="http://schemas.microsoft.com/office/2020/mipLabelMetadata">
  <clbl:label id="{e6c818a6-e1a0-4a6e-a969-20d857c5dc62}" enabled="1" method="Standard" siteId="{90c7a20a-f34b-40bf-bc48-b9253b6f5d20}"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7</vt:i4>
      </vt:variant>
    </vt:vector>
  </HeadingPairs>
  <TitlesOfParts>
    <vt:vector size="18" baseType="lpstr">
      <vt:lpstr>PVP VaP Auton-McrPyme (3)</vt:lpstr>
      <vt:lpstr>Comp.Permanencia</vt:lpstr>
      <vt:lpstr>PVP VaP Auton-McrPyme</vt:lpstr>
      <vt:lpstr>PVP VaP Linea Principal</vt:lpstr>
      <vt:lpstr>PVP Nuevo Modelo Financiación</vt:lpstr>
      <vt:lpstr>PVP VaP IEI Auton-McrPyme</vt:lpstr>
      <vt:lpstr>PVP VaP Mi Fijo Auton-McrPyme </vt:lpstr>
      <vt:lpstr>PVP Subv IEI Pro Auton-McrPyme</vt:lpstr>
      <vt:lpstr>PVP VaP 2º Dispo Auton-McrPyme</vt:lpstr>
      <vt:lpstr>PVP VaP Auton-McrPyme Riesg Alt</vt:lpstr>
      <vt:lpstr>BEW</vt:lpstr>
      <vt:lpstr>'PVP Nuevo Modelo Financiación'!Área_de_impresión</vt:lpstr>
      <vt:lpstr>'PVP Subv IEI Pro Auton-McrPyme'!Área_de_impresión</vt:lpstr>
      <vt:lpstr>'PVP VaP Auton-McrPyme'!Área_de_impresión</vt:lpstr>
      <vt:lpstr>'PVP VaP Auton-McrPyme (3)'!Área_de_impresión</vt:lpstr>
      <vt:lpstr>'PVP VaP IEI Auton-McrPyme'!Área_de_impresión</vt:lpstr>
      <vt:lpstr>'PVP VaP Linea Principal'!Área_de_impresión</vt:lpstr>
      <vt:lpstr>'PVP VaP Mi Fijo Auton-McrPyme '!Área_de_impresión</vt:lpstr>
    </vt:vector>
  </TitlesOfParts>
  <Company>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agarcgar</dc:creator>
  <cp:lastModifiedBy>Nortia Telecom</cp:lastModifiedBy>
  <cp:lastPrinted>2014-06-13T10:20:39Z</cp:lastPrinted>
  <dcterms:created xsi:type="dcterms:W3CDTF">2010-12-27T18:19:24Z</dcterms:created>
  <dcterms:modified xsi:type="dcterms:W3CDTF">2025-02-07T10:07:45Z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e6c818a6-e1a0-4a6e-a969-20d857c5dc62_Enabled">
    <vt:lpwstr>true</vt:lpwstr>
  </property>
  <property fmtid="{D5CDD505-2E9C-101B-9397-08002B2CF9AE}" pid="4" name="MSIP_Label_e6c818a6-e1a0-4a6e-a969-20d857c5dc62_SetDate">
    <vt:lpwstr>2024-12-20T15:33:38Z</vt:lpwstr>
  </property>
  <property fmtid="{D5CDD505-2E9C-101B-9397-08002B2CF9AE}" pid="5" name="MSIP_Label_e6c818a6-e1a0-4a6e-a969-20d857c5dc62_Method">
    <vt:lpwstr>Standard</vt:lpwstr>
  </property>
  <property fmtid="{D5CDD505-2E9C-101B-9397-08002B2CF9AE}" pid="6" name="MSIP_Label_e6c818a6-e1a0-4a6e-a969-20d857c5dc62_Name">
    <vt:lpwstr>Orange_restricted_internal.2</vt:lpwstr>
  </property>
  <property fmtid="{D5CDD505-2E9C-101B-9397-08002B2CF9AE}" pid="7" name="MSIP_Label_e6c818a6-e1a0-4a6e-a969-20d857c5dc62_SiteId">
    <vt:lpwstr>90c7a20a-f34b-40bf-bc48-b9253b6f5d20</vt:lpwstr>
  </property>
  <property fmtid="{D5CDD505-2E9C-101B-9397-08002B2CF9AE}" pid="8" name="MSIP_Label_e6c818a6-e1a0-4a6e-a969-20d857c5dc62_ActionId">
    <vt:lpwstr>d3b1d4f7-6fc3-40f7-b5b9-e2c0784dce4b</vt:lpwstr>
  </property>
  <property fmtid="{D5CDD505-2E9C-101B-9397-08002B2CF9AE}" pid="9" name="MSIP_Label_e6c818a6-e1a0-4a6e-a969-20d857c5dc62_ContentBits">
    <vt:lpwstr>2</vt:lpwstr>
  </property>
</Properties>
</file>